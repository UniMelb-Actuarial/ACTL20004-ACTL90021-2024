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Ex1.xml" ContentType="application/vnd.ms-office.chartex+xml"/>
  <Override PartName="/xl/charts/style2.xml" ContentType="application/vnd.ms-office.chartstyle+xml"/>
  <Override PartName="/xl/charts/colors2.xml" ContentType="application/vnd.ms-office.chartcolorstyle+xml"/>
  <Override PartName="/xl/charts/chartEx2.xml" ContentType="application/vnd.ms-office.chartex+xml"/>
  <Override PartName="/xl/charts/style3.xml" ContentType="application/vnd.ms-office.chartstyle+xml"/>
  <Override PartName="/xl/charts/colors3.xml" ContentType="application/vnd.ms-office.chartcolorstyle+xml"/>
  <Override PartName="/xl/charts/chartEx3.xml" ContentType="application/vnd.ms-office.chartex+xml"/>
  <Override PartName="/xl/charts/style4.xml" ContentType="application/vnd.ms-office.chartstyle+xml"/>
  <Override PartName="/xl/charts/colors4.xml" ContentType="application/vnd.ms-office.chartcolorstyle+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4" codeName="{873B2839-AC87-7CC4-5C0F-16DCB9831742}"/>
  <workbookPr codeName="ThisWorkbook" defaultThemeVersion="166925"/>
  <mc:AlternateContent xmlns:mc="http://schemas.openxmlformats.org/markup-compatibility/2006">
    <mc:Choice Requires="x15">
      <x15ac:absPath xmlns:x15ac="http://schemas.microsoft.com/office/spreadsheetml/2010/11/ac" url="/Users/bavanzi/Dropbox/Mac (3)/Documents/GitHub/ACTL20004-ACTL90021-2024/xlfiles/"/>
    </mc:Choice>
  </mc:AlternateContent>
  <xr:revisionPtr revIDLastSave="0" documentId="13_ncr:1_{5602BA8D-5322-2844-BDE5-D66D00D31456}" xr6:coauthVersionLast="47" xr6:coauthVersionMax="47" xr10:uidLastSave="{00000000-0000-0000-0000-000000000000}"/>
  <bookViews>
    <workbookView xWindow="4340" yWindow="760" windowWidth="30220" windowHeight="21580" activeTab="7" xr2:uid="{B7D3D78A-6740-C744-9570-1357A85CE16F}"/>
  </bookViews>
  <sheets>
    <sheet name="Pokemon data" sheetId="2" r:id="rId1"/>
    <sheet name="FIFA WWC" sheetId="3" r:id="rId2"/>
    <sheet name="M6.1 - Assumed Knowledge" sheetId="1" r:id="rId3"/>
    <sheet name="M6.2 - Pivot table" sheetId="6" r:id="rId4"/>
    <sheet name="M6.2 - Pivot chart" sheetId="8" r:id="rId5"/>
    <sheet name="M6.3 - Dynamic arrays" sheetId="9" r:id="rId6"/>
    <sheet name="M6.4 - Dynamic references" sheetId="12" r:id="rId7"/>
    <sheet name="M6.5 - Dependents" sheetId="5" r:id="rId8"/>
    <sheet name="M6.6 Simulations" sheetId="13" r:id="rId9"/>
    <sheet name="M6.6 Macros and VBA" sheetId="15" r:id="rId10"/>
  </sheets>
  <definedNames>
    <definedName name="_xlchart.v1.0" hidden="1">'M6.6 Simulations'!$B$13</definedName>
    <definedName name="_xlchart.v1.1" hidden="1">'M6.6 Simulations'!$B$14:$B$10013</definedName>
    <definedName name="_xlchart.v1.2" hidden="1">'M6.6 Simulations'!$X$4:$X$10003</definedName>
    <definedName name="_xlchart.v1.3" hidden="1">'M6.6 Simulations'!$O$4:$O$10003</definedName>
    <definedName name="age">'FIFA WWC'!$E$4:$E$139</definedName>
    <definedName name="assists">'FIFA WWC'!$L$4:$L$139</definedName>
    <definedName name="assists_per_90">'FIFA WWC'!$S$4:$S$139</definedName>
    <definedName name="Attacking">'Pokemon data'!$A$2:$A$19</definedName>
    <definedName name="Bug">'Pokemon data'!$M$2:$M$19</definedName>
    <definedName name="Dark">'Pokemon data'!$Q$2:$Q$19</definedName>
    <definedName name="Dragon">'Pokemon data'!$P$2:$P$19</definedName>
    <definedName name="Electric">'Pokemon data'!$E$2:$E$19</definedName>
    <definedName name="Fairy">'Pokemon data'!$S$2:$S$19</definedName>
    <definedName name="FiFA">'FIFA WWC'!$A$3:$V$139</definedName>
    <definedName name="Fighting">'Pokemon data'!$H$2:$H$19</definedName>
    <definedName name="Fire">'Pokemon data'!$C$2:$C$19</definedName>
    <definedName name="Flying">'Pokemon data'!$K$2:$K$19</definedName>
    <definedName name="Ghost">'Pokemon data'!$O$2:$O$19</definedName>
    <definedName name="goals">'FIFA WWC'!$K$4:$K$139</definedName>
    <definedName name="goals_minus_penalty_kicks_per_90">'FIFA WWC'!$U$4:$U$139</definedName>
    <definedName name="goals_per_90">'FIFA WWC'!$R$4:$R$139</definedName>
    <definedName name="goals_plus_assists_minus_penalty_kicks_per_90">'FIFA WWC'!$V$4:$V$139</definedName>
    <definedName name="goals_plus_assists_per_90">'FIFA WWC'!$T$4:$T$139</definedName>
    <definedName name="Grass">'Pokemon data'!$F$2:$F$19</definedName>
    <definedName name="Ground">'Pokemon data'!$J$2:$J$19</definedName>
    <definedName name="Ice">'Pokemon data'!$G$2:$G$19</definedName>
    <definedName name="id">'FIFA WWC'!$A$4:$A$139</definedName>
    <definedName name="loss_ratios">'M6.3 - Dynamic arrays'!$B$188:$B$191</definedName>
    <definedName name="lossratios">'M6.3 - Dynamic arrays'!$C$31:$F$35</definedName>
    <definedName name="matches_played">'FIFA WWC'!$G$4:$G$139</definedName>
    <definedName name="min_playing_time">'FIFA WWC'!$I$4:$I$139</definedName>
    <definedName name="minutes_played_90s">'FIFA WWC'!$J$4:$J$139</definedName>
    <definedName name="monthly_profit">'M6.4 - Dynamic references'!$B$4:$C$16</definedName>
    <definedName name="months">'M6.4 - Dynamic references'!$B$5:$B$16</definedName>
    <definedName name="non_penalty_goals">'FIFA WWC'!$M$4:$M$139</definedName>
    <definedName name="Normal">'Pokemon data'!$B$2:$S$2</definedName>
    <definedName name="penalty_kicks_attempted">'FIFA WWC'!$O$4:$O$139</definedName>
    <definedName name="penalty_kicks_made">'FIFA WWC'!$N$4:$N$139</definedName>
    <definedName name="players">'FIFA WWC'!$D$4:$D$139</definedName>
    <definedName name="Poison">'Pokemon data'!$I$2:$I$19</definedName>
    <definedName name="pokemon">'Pokemon data'!$A$1:$S$19</definedName>
    <definedName name="possesion">'FIFA WWC'!$F$4:$F$139</definedName>
    <definedName name="products">'M6.3 - Dynamic arrays'!$E$197:$E$201</definedName>
    <definedName name="Psychic">'Pokemon data'!$L$2:$L$19</definedName>
    <definedName name="red_cards">'FIFA WWC'!$Q$4:$Q$139</definedName>
    <definedName name="Rock">'Pokemon data'!$N$2:$N$19</definedName>
    <definedName name="Slicer_squad">#N/A</definedName>
    <definedName name="squad">'FIFA WWC'!$B$4:$B$139</definedName>
    <definedName name="starts">'FIFA WWC'!$H$4:$H$139</definedName>
    <definedName name="Steel">'Pokemon data'!$R$2:$R$19</definedName>
    <definedName name="tblProduct">'M6.3 - Dynamic arrays'!$E$196:$E$201</definedName>
    <definedName name="Water">'Pokemon data'!$D$2:$D$19</definedName>
    <definedName name="weekly_profit">'M6.4 - Dynamic references'!$B$38:$G$42</definedName>
    <definedName name="year">'FIFA WWC'!$C$4:$C$139</definedName>
    <definedName name="yellow_cards">'FIFA WWC'!$P$4:$P$139</definedName>
  </definedNames>
  <calcPr calcId="191028"/>
  <pivotCaches>
    <pivotCache cacheId="1" r:id="rId11"/>
  </pivotCaches>
  <extLst>
    <ext xmlns:x14="http://schemas.microsoft.com/office/spreadsheetml/2009/9/main" uri="{BBE1A952-AA13-448e-AADC-164F8A28A991}">
      <x14:slicerCaches>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11" i="12" l="1" a="1"/>
  <c r="F11" i="12" s="1"/>
  <c r="F6" i="12" a="1"/>
  <c r="F6" i="12" s="1"/>
  <c r="H206" i="9"/>
  <c r="N205" i="9"/>
  <c r="T198" i="9"/>
  <c r="N199" i="9"/>
  <c r="N200" i="9"/>
  <c r="N201" i="9"/>
  <c r="N198" i="9"/>
  <c r="H198" i="9" a="1"/>
  <c r="H198" i="9" s="1"/>
  <c r="H188" i="9" a="1"/>
  <c r="H188" i="9" s="1"/>
  <c r="H152" i="9" a="1"/>
  <c r="H152" i="9" s="1"/>
  <c r="A152" i="9"/>
  <c r="I33" i="9" a="1"/>
  <c r="I33" i="9" s="1"/>
  <c r="I34" i="9" a="1"/>
  <c r="I34" i="9" s="1"/>
  <c r="I35" i="9" a="1"/>
  <c r="I35" i="9" s="1"/>
  <c r="I32" i="9" a="1"/>
  <c r="I32" i="9" s="1"/>
  <c r="C7" i="9"/>
  <c r="B7" i="9" a="1"/>
  <c r="B7" i="9" s="1"/>
  <c r="B3" i="9" a="1"/>
  <c r="B3" i="9" s="1"/>
  <c r="G160" i="1" a="1"/>
  <c r="G160" i="1" s="1"/>
  <c r="E160" i="1" a="1"/>
  <c r="E160" i="1" s="1"/>
  <c r="A160" i="1" a="1"/>
  <c r="A160" i="1" s="1"/>
  <c r="I18" i="1"/>
  <c r="G18" i="1"/>
  <c r="E18" i="1" a="1"/>
  <c r="E18" i="1" s="1"/>
  <c r="C18" i="1" a="1"/>
  <c r="C18" i="1" s="1"/>
  <c r="A18" i="1" a="1"/>
  <c r="A18" i="1" s="1"/>
  <c r="N9" i="1"/>
  <c r="J9" i="1"/>
  <c r="F9" i="1"/>
  <c r="B9" i="1"/>
  <c r="V4" i="15" a="1"/>
  <c r="V4" i="15" s="1"/>
  <c r="M4" i="15" a="1"/>
  <c r="M4" i="15" s="1"/>
  <c r="B15" i="15" a="1"/>
  <c r="B15" i="15" s="1"/>
  <c r="B4" i="15" a="1"/>
  <c r="B4" i="15" s="1"/>
  <c r="I29" i="12"/>
  <c r="P38" i="12" a="1"/>
  <c r="P38" i="12" s="1"/>
  <c r="AG8" i="13" a="1"/>
  <c r="AG8" i="13" s="1"/>
  <c r="AH8" i="13" s="1" a="1"/>
  <c r="AH8" i="13" s="1"/>
  <c r="AA24" i="13"/>
  <c r="Z24" i="13"/>
  <c r="E34" i="13"/>
  <c r="X4" i="13" a="1"/>
  <c r="X4" i="13" s="1"/>
  <c r="O4" i="13" a="1"/>
  <c r="O4" i="13" s="1"/>
  <c r="B14" i="13" a="1"/>
  <c r="B14" i="13" s="1"/>
  <c r="I5" i="13" a="1"/>
  <c r="I5" i="13" s="1"/>
  <c r="D5" i="13" a="1"/>
  <c r="D5" i="13" s="1"/>
  <c r="B5" i="13"/>
  <c r="P39" i="12" a="1"/>
  <c r="P39" i="12" s="1"/>
  <c r="R210" i="9" a="1"/>
  <c r="R210" i="9"/>
  <c r="N210" i="9"/>
  <c r="N209" i="9"/>
  <c r="H207" i="9"/>
  <c r="B187" i="9" a="1"/>
  <c r="B187" i="9"/>
  <c r="F176" i="9" a="1"/>
  <c r="F176" i="9" s="1"/>
  <c r="A176" i="9" a="1"/>
  <c r="A176" i="9" s="1"/>
  <c r="A12" i="9" a="1"/>
  <c r="A12" i="9" s="1"/>
  <c r="H37" i="9"/>
  <c r="I37" i="9" s="1" a="1"/>
  <c r="I37" i="9" s="1"/>
  <c r="H32" i="9" a="1"/>
  <c r="H32" i="9" s="1"/>
  <c r="M32" i="9" s="1" a="1"/>
  <c r="M32" i="9" s="1"/>
  <c r="K12" i="9" a="1"/>
  <c r="K12" i="9" s="1"/>
  <c r="H12" i="9" a="1"/>
  <c r="H12" i="9" s="1"/>
  <c r="E153" i="9" s="1"/>
  <c r="C15" i="9" a="1"/>
  <c r="C15" i="9" s="1"/>
  <c r="C16" i="9" a="1"/>
  <c r="C16" i="9" s="1"/>
  <c r="C17" i="9" a="1"/>
  <c r="C17" i="9" s="1"/>
  <c r="C18" i="9" a="1"/>
  <c r="C18" i="9" s="1"/>
  <c r="C19" i="9" a="1"/>
  <c r="C19" i="9" s="1"/>
  <c r="C20" i="9" a="1"/>
  <c r="C20" i="9" s="1"/>
  <c r="C14" i="9" a="1"/>
  <c r="C14" i="9" s="1"/>
  <c r="F198" i="5"/>
  <c r="E40" i="5"/>
  <c r="E46" i="5"/>
  <c r="C196" i="5"/>
  <c r="C194" i="5"/>
  <c r="C190" i="5"/>
  <c r="C188" i="5"/>
  <c r="C184" i="5"/>
  <c r="C182" i="5"/>
  <c r="C181" i="5"/>
  <c r="C179" i="5"/>
  <c r="A151" i="5"/>
  <c r="A144" i="5"/>
  <c r="A142" i="5"/>
  <c r="A141" i="5"/>
  <c r="A137" i="5"/>
  <c r="A136" i="5"/>
  <c r="F133" i="5"/>
  <c r="G133" i="5" s="1"/>
  <c r="H133" i="5" s="1"/>
  <c r="I133" i="5" s="1"/>
  <c r="J133" i="5" s="1"/>
  <c r="K133" i="5" s="1"/>
  <c r="L133" i="5" s="1"/>
  <c r="M133" i="5" s="1"/>
  <c r="N133" i="5" s="1"/>
  <c r="O133" i="5" s="1"/>
  <c r="P133" i="5" s="1"/>
  <c r="Q133" i="5" s="1"/>
  <c r="R133" i="5" s="1"/>
  <c r="E133" i="5"/>
  <c r="D133" i="5"/>
  <c r="C133" i="5"/>
  <c r="A124" i="5"/>
  <c r="A196" i="5" s="1"/>
  <c r="A123" i="5"/>
  <c r="A195" i="5" s="1"/>
  <c r="A122" i="5"/>
  <c r="A121" i="5"/>
  <c r="A193" i="5" s="1"/>
  <c r="A120" i="5"/>
  <c r="A119" i="5"/>
  <c r="A191" i="5" s="1"/>
  <c r="A118" i="5"/>
  <c r="A117" i="5"/>
  <c r="A116" i="5"/>
  <c r="A188" i="5" s="1"/>
  <c r="A115" i="5"/>
  <c r="A114" i="5"/>
  <c r="A186" i="5" s="1"/>
  <c r="A113" i="5"/>
  <c r="A185" i="5" s="1"/>
  <c r="A112" i="5"/>
  <c r="A111" i="5"/>
  <c r="A183" i="5" s="1"/>
  <c r="A110" i="5"/>
  <c r="A182" i="5" s="1"/>
  <c r="A109" i="5"/>
  <c r="A181" i="5" s="1"/>
  <c r="A108" i="5"/>
  <c r="A180" i="5" s="1"/>
  <c r="A107" i="5"/>
  <c r="A179" i="5" s="1"/>
  <c r="F104" i="5"/>
  <c r="G104" i="5" s="1"/>
  <c r="H104" i="5" s="1"/>
  <c r="I104" i="5" s="1"/>
  <c r="J104" i="5" s="1"/>
  <c r="K104" i="5" s="1"/>
  <c r="L104" i="5" s="1"/>
  <c r="M104" i="5" s="1"/>
  <c r="N104" i="5" s="1"/>
  <c r="O104" i="5" s="1"/>
  <c r="P104" i="5" s="1"/>
  <c r="Q104" i="5" s="1"/>
  <c r="R104" i="5" s="1"/>
  <c r="S104" i="5" s="1"/>
  <c r="E104" i="5"/>
  <c r="D104" i="5"/>
  <c r="C104" i="5"/>
  <c r="C100" i="5"/>
  <c r="D99" i="5"/>
  <c r="C99" i="5"/>
  <c r="E98" i="5"/>
  <c r="D98" i="5"/>
  <c r="C98" i="5"/>
  <c r="F97" i="5"/>
  <c r="E97" i="5"/>
  <c r="D97" i="5"/>
  <c r="C97" i="5"/>
  <c r="G96" i="5"/>
  <c r="F96" i="5"/>
  <c r="E96" i="5"/>
  <c r="D96" i="5"/>
  <c r="C96" i="5"/>
  <c r="H95" i="5"/>
  <c r="G95" i="5"/>
  <c r="F95" i="5"/>
  <c r="E95" i="5"/>
  <c r="D95" i="5"/>
  <c r="C95" i="5"/>
  <c r="I94" i="5"/>
  <c r="H94" i="5"/>
  <c r="G94" i="5"/>
  <c r="F94" i="5"/>
  <c r="E94" i="5"/>
  <c r="D94" i="5"/>
  <c r="C94" i="5"/>
  <c r="J93" i="5"/>
  <c r="I93" i="5"/>
  <c r="H93" i="5"/>
  <c r="G93" i="5"/>
  <c r="F93" i="5"/>
  <c r="E93" i="5"/>
  <c r="D93" i="5"/>
  <c r="C93" i="5"/>
  <c r="K92" i="5"/>
  <c r="J92" i="5"/>
  <c r="I92" i="5"/>
  <c r="H92" i="5"/>
  <c r="G92" i="5"/>
  <c r="F92" i="5"/>
  <c r="E92" i="5"/>
  <c r="D92" i="5"/>
  <c r="C92" i="5"/>
  <c r="L91" i="5"/>
  <c r="K91" i="5"/>
  <c r="J91" i="5"/>
  <c r="I91" i="5"/>
  <c r="H91" i="5"/>
  <c r="G91" i="5"/>
  <c r="F91" i="5"/>
  <c r="E91" i="5"/>
  <c r="D91" i="5"/>
  <c r="C91" i="5"/>
  <c r="M90" i="5"/>
  <c r="L90" i="5"/>
  <c r="K90" i="5"/>
  <c r="J90" i="5"/>
  <c r="I90" i="5"/>
  <c r="H90" i="5"/>
  <c r="G90" i="5"/>
  <c r="F90" i="5"/>
  <c r="E90" i="5"/>
  <c r="D90" i="5"/>
  <c r="C90" i="5"/>
  <c r="M89" i="5"/>
  <c r="N89" i="5" s="1"/>
  <c r="L89" i="5"/>
  <c r="K89" i="5"/>
  <c r="J89" i="5"/>
  <c r="I89" i="5"/>
  <c r="H89" i="5"/>
  <c r="G89" i="5"/>
  <c r="F89" i="5"/>
  <c r="E89" i="5"/>
  <c r="D89" i="5"/>
  <c r="C89" i="5"/>
  <c r="M88" i="5"/>
  <c r="N88" i="5" s="1"/>
  <c r="O88" i="5" s="1"/>
  <c r="L88" i="5"/>
  <c r="K88" i="5"/>
  <c r="J88" i="5"/>
  <c r="I88" i="5"/>
  <c r="H88" i="5"/>
  <c r="G88" i="5"/>
  <c r="F88" i="5"/>
  <c r="E88" i="5"/>
  <c r="D88" i="5"/>
  <c r="C88" i="5"/>
  <c r="O87" i="5"/>
  <c r="P87" i="5" s="1"/>
  <c r="N87" i="5"/>
  <c r="M87" i="5"/>
  <c r="L87" i="5"/>
  <c r="K87" i="5"/>
  <c r="J87" i="5"/>
  <c r="I87" i="5"/>
  <c r="H87" i="5"/>
  <c r="G87" i="5"/>
  <c r="F87" i="5"/>
  <c r="E87" i="5"/>
  <c r="D87" i="5"/>
  <c r="C87" i="5"/>
  <c r="Q86" i="5"/>
  <c r="N86" i="5"/>
  <c r="O86" i="5" s="1"/>
  <c r="P86" i="5" s="1"/>
  <c r="M86" i="5"/>
  <c r="L86" i="5"/>
  <c r="K86" i="5"/>
  <c r="J86" i="5"/>
  <c r="I86" i="5"/>
  <c r="H86" i="5"/>
  <c r="G86" i="5"/>
  <c r="F86" i="5"/>
  <c r="E86" i="5"/>
  <c r="D86" i="5"/>
  <c r="C86" i="5"/>
  <c r="P85" i="5"/>
  <c r="Q85" i="5" s="1"/>
  <c r="R85" i="5" s="1"/>
  <c r="O85" i="5"/>
  <c r="N85" i="5"/>
  <c r="M85" i="5"/>
  <c r="L85" i="5"/>
  <c r="K85" i="5"/>
  <c r="J85" i="5"/>
  <c r="I85" i="5"/>
  <c r="H85" i="5"/>
  <c r="G85" i="5"/>
  <c r="F85" i="5"/>
  <c r="E85" i="5"/>
  <c r="D85" i="5"/>
  <c r="C85" i="5"/>
  <c r="O84" i="5"/>
  <c r="P84" i="5" s="1"/>
  <c r="Q84" i="5" s="1"/>
  <c r="R84" i="5" s="1"/>
  <c r="S84" i="5" s="1"/>
  <c r="N84" i="5"/>
  <c r="M84" i="5"/>
  <c r="L84" i="5"/>
  <c r="K84" i="5"/>
  <c r="J84" i="5"/>
  <c r="I84" i="5"/>
  <c r="H84" i="5"/>
  <c r="G84" i="5"/>
  <c r="F84" i="5"/>
  <c r="E84" i="5"/>
  <c r="D84" i="5"/>
  <c r="C84" i="5"/>
  <c r="B84" i="5"/>
  <c r="P74" i="5"/>
  <c r="O74" i="5"/>
  <c r="N74" i="5"/>
  <c r="P73" i="5"/>
  <c r="C195" i="5" s="1"/>
  <c r="N73" i="5"/>
  <c r="P72" i="5"/>
  <c r="N72" i="5"/>
  <c r="O72" i="5" s="1"/>
  <c r="P71" i="5"/>
  <c r="O71" i="5" s="1"/>
  <c r="N71" i="5"/>
  <c r="P70" i="5"/>
  <c r="C192" i="5" s="1"/>
  <c r="N70" i="5"/>
  <c r="O70" i="5" s="1"/>
  <c r="P69" i="5"/>
  <c r="O69" i="5" s="1"/>
  <c r="N69" i="5"/>
  <c r="P68" i="5"/>
  <c r="N68" i="5"/>
  <c r="O68" i="5" s="1"/>
  <c r="P67" i="5"/>
  <c r="C189" i="5" s="1"/>
  <c r="N67" i="5"/>
  <c r="P66" i="5"/>
  <c r="N66" i="5"/>
  <c r="O66" i="5" s="1"/>
  <c r="P65" i="5"/>
  <c r="C187" i="5" s="1"/>
  <c r="N65" i="5"/>
  <c r="P64" i="5"/>
  <c r="C186" i="5" s="1"/>
  <c r="N64" i="5"/>
  <c r="O64" i="5" s="1"/>
  <c r="P63" i="5"/>
  <c r="C185" i="5" s="1"/>
  <c r="N63" i="5"/>
  <c r="P62" i="5"/>
  <c r="O62" i="5"/>
  <c r="N62" i="5"/>
  <c r="P61" i="5"/>
  <c r="C183" i="5" s="1"/>
  <c r="N61" i="5"/>
  <c r="P60" i="5"/>
  <c r="N60" i="5"/>
  <c r="O60" i="5" s="1"/>
  <c r="P59" i="5"/>
  <c r="O59" i="5" s="1"/>
  <c r="N59" i="5"/>
  <c r="P58" i="5"/>
  <c r="C180" i="5" s="1"/>
  <c r="N58" i="5"/>
  <c r="O58" i="5" s="1"/>
  <c r="P57" i="5"/>
  <c r="O57" i="5" s="1"/>
  <c r="N57" i="5"/>
  <c r="C33" i="5"/>
  <c r="B109" i="5" s="1"/>
  <c r="B32" i="5"/>
  <c r="B33" i="5" s="1"/>
  <c r="D31" i="5"/>
  <c r="C107" i="5" s="1"/>
  <c r="C31" i="5"/>
  <c r="B107" i="5" s="1"/>
  <c r="A31" i="5"/>
  <c r="D28" i="5"/>
  <c r="E28" i="5" s="1"/>
  <c r="F28" i="5" s="1"/>
  <c r="G28" i="5" s="1"/>
  <c r="H28" i="5" s="1"/>
  <c r="I28" i="5" s="1"/>
  <c r="J28" i="5" s="1"/>
  <c r="K28" i="5" s="1"/>
  <c r="L28" i="5" s="1"/>
  <c r="M28" i="5" s="1"/>
  <c r="N28" i="5" s="1"/>
  <c r="O28" i="5" s="1"/>
  <c r="P28" i="5" s="1"/>
  <c r="Q28" i="5" s="1"/>
  <c r="R28" i="5" s="1"/>
  <c r="S28" i="5" s="1"/>
  <c r="T28" i="5" s="1"/>
  <c r="A9" i="5"/>
  <c r="A32" i="5" s="1"/>
  <c r="D5" i="5"/>
  <c r="E5" i="5" s="1"/>
  <c r="F5" i="5" s="1"/>
  <c r="G5" i="5" s="1"/>
  <c r="H5" i="5" s="1"/>
  <c r="I5" i="5" s="1"/>
  <c r="J5" i="5" s="1"/>
  <c r="K5" i="5" s="1"/>
  <c r="L5" i="5" s="1"/>
  <c r="M5" i="5" s="1"/>
  <c r="N5" i="5" s="1"/>
  <c r="O5" i="5" s="1"/>
  <c r="P5" i="5" s="1"/>
  <c r="Q5" i="5" s="1"/>
  <c r="R5" i="5" s="1"/>
  <c r="S5" i="5" s="1"/>
  <c r="T5" i="5" s="1"/>
  <c r="I64" i="12" a="1"/>
  <c r="I33" i="12" a="1"/>
  <c r="T197" i="9"/>
  <c r="J29" i="12"/>
  <c r="L152" i="9"/>
  <c r="N197" i="9"/>
  <c r="N204" i="9"/>
  <c r="O3" i="13"/>
  <c r="I12" i="9"/>
  <c r="G176" i="9"/>
  <c r="L153" i="9"/>
  <c r="D4" i="13"/>
  <c r="H187" i="9"/>
  <c r="AG6" i="13"/>
  <c r="F45" i="12"/>
  <c r="B4" i="13"/>
  <c r="J33" i="12"/>
  <c r="J37" i="9"/>
  <c r="H6" i="12"/>
  <c r="I38" i="12" a="1"/>
  <c r="O209" i="9"/>
  <c r="H197" i="9"/>
  <c r="I152" i="9"/>
  <c r="B176" i="9"/>
  <c r="F44" i="12"/>
  <c r="I39" i="12" a="1"/>
  <c r="AG7" i="13"/>
  <c r="I31" i="9"/>
  <c r="M31" i="9"/>
  <c r="P45" i="12"/>
  <c r="H11" i="12"/>
  <c r="I67" i="12" a="1"/>
  <c r="J64" i="12"/>
  <c r="I207" i="9"/>
  <c r="M189" i="9"/>
  <c r="R209" i="9"/>
  <c r="F152" i="9"/>
  <c r="B152" i="9"/>
  <c r="B13" i="13"/>
  <c r="L12" i="9"/>
  <c r="I206" i="9"/>
  <c r="I4" i="13"/>
  <c r="B12" i="9"/>
  <c r="P44" i="12"/>
  <c r="X3" i="13"/>
  <c r="L67" i="12"/>
  <c r="F153" i="9"/>
  <c r="D14" i="9" a="1"/>
  <c r="O210" i="9"/>
  <c r="D152" i="9"/>
  <c r="I64" i="12" l="1"/>
  <c r="I33" i="12"/>
  <c r="I67" i="12"/>
  <c r="I38" i="12"/>
  <c r="I39" i="12"/>
  <c r="M190" i="9" a="1"/>
  <c r="M190" i="9" s="1"/>
  <c r="Z20" i="13"/>
  <c r="AA20" i="13"/>
  <c r="D31" i="13"/>
  <c r="E31" i="13"/>
  <c r="Q20" i="13"/>
  <c r="R20" i="13"/>
  <c r="T199" i="9"/>
  <c r="T200" i="9"/>
  <c r="T201" i="9"/>
  <c r="M35" i="9" a="1"/>
  <c r="M35" i="9" s="1"/>
  <c r="M34" i="9" a="1"/>
  <c r="M34" i="9" s="1"/>
  <c r="M33" i="9" a="1"/>
  <c r="M33" i="9" s="1"/>
  <c r="C152" i="9" a="1"/>
  <c r="C152" i="9" s="1"/>
  <c r="E152" i="9"/>
  <c r="K153" i="9"/>
  <c r="K152" i="9"/>
  <c r="D14" i="9"/>
  <c r="B34" i="5"/>
  <c r="E31" i="5"/>
  <c r="D107" i="5" s="1"/>
  <c r="A10" i="5"/>
  <c r="B135" i="5"/>
  <c r="D32" i="5"/>
  <c r="C108" i="5" s="1"/>
  <c r="A190" i="5"/>
  <c r="A146" i="5"/>
  <c r="A194" i="5"/>
  <c r="A150" i="5"/>
  <c r="A143" i="5"/>
  <c r="A187" i="5"/>
  <c r="C32" i="5"/>
  <c r="B108" i="5" s="1"/>
  <c r="A189" i="5"/>
  <c r="A145" i="5"/>
  <c r="A192" i="5"/>
  <c r="A148" i="5"/>
  <c r="A138" i="5"/>
  <c r="A135" i="5"/>
  <c r="A149" i="5"/>
  <c r="C191" i="5"/>
  <c r="C193" i="5"/>
  <c r="O61" i="5"/>
  <c r="O63" i="5"/>
  <c r="O65" i="5"/>
  <c r="O76" i="5" s="1"/>
  <c r="O67" i="5"/>
  <c r="O73" i="5"/>
  <c r="A147" i="5"/>
  <c r="A140" i="5"/>
  <c r="A184" i="5"/>
  <c r="A139" i="5"/>
  <c r="AK10" i="13" l="1"/>
  <c r="AL10" i="13" s="1"/>
  <c r="AK11" i="13"/>
  <c r="AL11" i="13" s="1"/>
  <c r="AK12" i="13"/>
  <c r="AL12" i="13" s="1"/>
  <c r="A33" i="5"/>
  <c r="A11" i="5"/>
  <c r="C135" i="5"/>
  <c r="B136" i="5"/>
  <c r="B35" i="5"/>
  <c r="F31" i="5"/>
  <c r="E107" i="5" s="1"/>
  <c r="C34" i="5"/>
  <c r="B110" i="5" s="1"/>
  <c r="E32" i="5"/>
  <c r="D108" i="5" s="1"/>
  <c r="C136" i="5" s="1"/>
  <c r="D33" i="5"/>
  <c r="C109" i="5" s="1"/>
  <c r="B137" i="5" l="1"/>
  <c r="A34" i="5"/>
  <c r="A12" i="5"/>
  <c r="D135" i="5"/>
  <c r="B36" i="5"/>
  <c r="E33" i="5"/>
  <c r="D109" i="5" s="1"/>
  <c r="F32" i="5"/>
  <c r="E108" i="5" s="1"/>
  <c r="D136" i="5" s="1"/>
  <c r="G31" i="5"/>
  <c r="F107" i="5" s="1"/>
  <c r="C35" i="5"/>
  <c r="B111" i="5" s="1"/>
  <c r="D34" i="5"/>
  <c r="C110" i="5" s="1"/>
  <c r="B138" i="5" s="1"/>
  <c r="A35" i="5" l="1"/>
  <c r="A13" i="5"/>
  <c r="E135" i="5"/>
  <c r="C137" i="5"/>
  <c r="C36" i="5"/>
  <c r="B112" i="5" s="1"/>
  <c r="F33" i="5"/>
  <c r="E109" i="5" s="1"/>
  <c r="G32" i="5"/>
  <c r="F108" i="5" s="1"/>
  <c r="E136" i="5" s="1"/>
  <c r="E34" i="5"/>
  <c r="D110" i="5" s="1"/>
  <c r="C138" i="5" s="1"/>
  <c r="H31" i="5"/>
  <c r="G107" i="5" s="1"/>
  <c r="B37" i="5"/>
  <c r="D35" i="5"/>
  <c r="C111" i="5" s="1"/>
  <c r="B139" i="5" s="1"/>
  <c r="D137" i="5" l="1"/>
  <c r="A36" i="5"/>
  <c r="A14" i="5"/>
  <c r="F135" i="5"/>
  <c r="B38" i="5"/>
  <c r="D36" i="5"/>
  <c r="C112" i="5" s="1"/>
  <c r="F34" i="5"/>
  <c r="E110" i="5" s="1"/>
  <c r="D138" i="5" s="1"/>
  <c r="I31" i="5"/>
  <c r="H107" i="5" s="1"/>
  <c r="E35" i="5"/>
  <c r="D111" i="5" s="1"/>
  <c r="C139" i="5" s="1"/>
  <c r="G33" i="5"/>
  <c r="F109" i="5" s="1"/>
  <c r="E137" i="5" s="1"/>
  <c r="H32" i="5"/>
  <c r="G108" i="5" s="1"/>
  <c r="F136" i="5" s="1"/>
  <c r="C37" i="5"/>
  <c r="B113" i="5" s="1"/>
  <c r="G135" i="5" l="1"/>
  <c r="A37" i="5"/>
  <c r="A15" i="5"/>
  <c r="B140" i="5"/>
  <c r="G34" i="5"/>
  <c r="F110" i="5" s="1"/>
  <c r="E138" i="5" s="1"/>
  <c r="F35" i="5"/>
  <c r="E111" i="5" s="1"/>
  <c r="D139" i="5" s="1"/>
  <c r="C38" i="5"/>
  <c r="B114" i="5" s="1"/>
  <c r="E36" i="5"/>
  <c r="D112" i="5" s="1"/>
  <c r="C140" i="5" s="1"/>
  <c r="B39" i="5"/>
  <c r="I32" i="5"/>
  <c r="H108" i="5" s="1"/>
  <c r="G136" i="5" s="1"/>
  <c r="H33" i="5"/>
  <c r="G109" i="5" s="1"/>
  <c r="J31" i="5"/>
  <c r="I107" i="5" s="1"/>
  <c r="D37" i="5"/>
  <c r="C113" i="5" s="1"/>
  <c r="B141" i="5" s="1"/>
  <c r="C39" i="5" l="1"/>
  <c r="B115" i="5" s="1"/>
  <c r="D38" i="5"/>
  <c r="C114" i="5" s="1"/>
  <c r="B142" i="5" s="1"/>
  <c r="B40" i="5"/>
  <c r="G35" i="5"/>
  <c r="F111" i="5" s="1"/>
  <c r="E37" i="5"/>
  <c r="D113" i="5" s="1"/>
  <c r="C141" i="5" s="1"/>
  <c r="I33" i="5"/>
  <c r="H109" i="5" s="1"/>
  <c r="G137" i="5" s="1"/>
  <c r="J32" i="5"/>
  <c r="I108" i="5" s="1"/>
  <c r="H136" i="5" s="1"/>
  <c r="H34" i="5"/>
  <c r="G110" i="5" s="1"/>
  <c r="F138" i="5" s="1"/>
  <c r="F36" i="5"/>
  <c r="E112" i="5" s="1"/>
  <c r="K31" i="5"/>
  <c r="J107" i="5" s="1"/>
  <c r="H135" i="5"/>
  <c r="A38" i="5"/>
  <c r="A16" i="5"/>
  <c r="F137" i="5"/>
  <c r="I135" i="5" l="1"/>
  <c r="E139" i="5"/>
  <c r="D140" i="5"/>
  <c r="D39" i="5"/>
  <c r="C115" i="5" s="1"/>
  <c r="B143" i="5" s="1"/>
  <c r="E38" i="5"/>
  <c r="D114" i="5" s="1"/>
  <c r="C142" i="5" s="1"/>
  <c r="C40" i="5"/>
  <c r="B116" i="5" s="1"/>
  <c r="B41" i="5"/>
  <c r="H35" i="5"/>
  <c r="G111" i="5" s="1"/>
  <c r="F37" i="5"/>
  <c r="E113" i="5" s="1"/>
  <c r="D141" i="5" s="1"/>
  <c r="J33" i="5"/>
  <c r="I109" i="5" s="1"/>
  <c r="K32" i="5"/>
  <c r="J108" i="5" s="1"/>
  <c r="I136" i="5" s="1"/>
  <c r="I34" i="5"/>
  <c r="H110" i="5" s="1"/>
  <c r="G138" i="5" s="1"/>
  <c r="L31" i="5"/>
  <c r="K107" i="5" s="1"/>
  <c r="G36" i="5"/>
  <c r="F112" i="5" s="1"/>
  <c r="E140" i="5" s="1"/>
  <c r="A39" i="5"/>
  <c r="A17" i="5"/>
  <c r="J135" i="5" l="1"/>
  <c r="F139" i="5"/>
  <c r="D40" i="5"/>
  <c r="C116" i="5" s="1"/>
  <c r="B144" i="5" s="1"/>
  <c r="G37" i="5"/>
  <c r="F113" i="5" s="1"/>
  <c r="B42" i="5"/>
  <c r="E39" i="5"/>
  <c r="D115" i="5" s="1"/>
  <c r="C143" i="5" s="1"/>
  <c r="H36" i="5"/>
  <c r="G112" i="5" s="1"/>
  <c r="F140" i="5" s="1"/>
  <c r="K33" i="5"/>
  <c r="J109" i="5" s="1"/>
  <c r="I137" i="5" s="1"/>
  <c r="L32" i="5"/>
  <c r="K108" i="5" s="1"/>
  <c r="J136" i="5" s="1"/>
  <c r="C41" i="5"/>
  <c r="B117" i="5" s="1"/>
  <c r="I35" i="5"/>
  <c r="H111" i="5" s="1"/>
  <c r="G139" i="5" s="1"/>
  <c r="J34" i="5"/>
  <c r="I110" i="5" s="1"/>
  <c r="H138" i="5" s="1"/>
  <c r="M31" i="5"/>
  <c r="L107" i="5" s="1"/>
  <c r="F38" i="5"/>
  <c r="E114" i="5" s="1"/>
  <c r="A40" i="5"/>
  <c r="A18" i="5"/>
  <c r="H137" i="5"/>
  <c r="D142" i="5" l="1"/>
  <c r="A41" i="5"/>
  <c r="A19" i="5"/>
  <c r="E141" i="5"/>
  <c r="K135" i="5"/>
  <c r="D41" i="5"/>
  <c r="C117" i="5" s="1"/>
  <c r="B145" i="5" s="1"/>
  <c r="D116" i="5"/>
  <c r="C144" i="5" s="1"/>
  <c r="H37" i="5"/>
  <c r="G113" i="5" s="1"/>
  <c r="F39" i="5"/>
  <c r="E115" i="5" s="1"/>
  <c r="D143" i="5" s="1"/>
  <c r="I36" i="5"/>
  <c r="H112" i="5" s="1"/>
  <c r="G140" i="5" s="1"/>
  <c r="L33" i="5"/>
  <c r="K109" i="5" s="1"/>
  <c r="J137" i="5" s="1"/>
  <c r="M32" i="5"/>
  <c r="L108" i="5" s="1"/>
  <c r="K136" i="5" s="1"/>
  <c r="K34" i="5"/>
  <c r="J110" i="5" s="1"/>
  <c r="I138" i="5" s="1"/>
  <c r="N31" i="5"/>
  <c r="M107" i="5" s="1"/>
  <c r="B43" i="5"/>
  <c r="C42" i="5"/>
  <c r="B118" i="5" s="1"/>
  <c r="G38" i="5"/>
  <c r="F114" i="5" s="1"/>
  <c r="E142" i="5" s="1"/>
  <c r="J35" i="5"/>
  <c r="I111" i="5" s="1"/>
  <c r="H139" i="5" l="1"/>
  <c r="A42" i="5"/>
  <c r="A20" i="5"/>
  <c r="B44" i="5"/>
  <c r="E41" i="5"/>
  <c r="D117" i="5" s="1"/>
  <c r="C43" i="5"/>
  <c r="B119" i="5" s="1"/>
  <c r="G39" i="5"/>
  <c r="F115" i="5" s="1"/>
  <c r="J36" i="5"/>
  <c r="I112" i="5" s="1"/>
  <c r="L34" i="5"/>
  <c r="K110" i="5" s="1"/>
  <c r="H38" i="5"/>
  <c r="G114" i="5" s="1"/>
  <c r="O31" i="5"/>
  <c r="N107" i="5" s="1"/>
  <c r="D42" i="5"/>
  <c r="C118" i="5" s="1"/>
  <c r="I37" i="5"/>
  <c r="H113" i="5" s="1"/>
  <c r="F40" i="5"/>
  <c r="E116" i="5" s="1"/>
  <c r="N32" i="5"/>
  <c r="M108" i="5" s="1"/>
  <c r="K35" i="5"/>
  <c r="J111" i="5" s="1"/>
  <c r="M33" i="5"/>
  <c r="L109" i="5" s="1"/>
  <c r="L135" i="5"/>
  <c r="F141" i="5"/>
  <c r="F142" i="5" l="1"/>
  <c r="D144" i="5"/>
  <c r="L136" i="5"/>
  <c r="I139" i="5"/>
  <c r="D43" i="5"/>
  <c r="C119" i="5" s="1"/>
  <c r="B147" i="5" s="1"/>
  <c r="C44" i="5"/>
  <c r="B120" i="5" s="1"/>
  <c r="M34" i="5"/>
  <c r="L110" i="5" s="1"/>
  <c r="I38" i="5"/>
  <c r="H114" i="5" s="1"/>
  <c r="G142" i="5" s="1"/>
  <c r="B45" i="5"/>
  <c r="L35" i="5"/>
  <c r="K111" i="5" s="1"/>
  <c r="J139" i="5" s="1"/>
  <c r="H39" i="5"/>
  <c r="G115" i="5" s="1"/>
  <c r="P31" i="5"/>
  <c r="O107" i="5" s="1"/>
  <c r="E42" i="5"/>
  <c r="D118" i="5" s="1"/>
  <c r="C146" i="5" s="1"/>
  <c r="G40" i="5"/>
  <c r="F116" i="5" s="1"/>
  <c r="E144" i="5" s="1"/>
  <c r="J37" i="5"/>
  <c r="I113" i="5" s="1"/>
  <c r="H141" i="5" s="1"/>
  <c r="K36" i="5"/>
  <c r="J112" i="5" s="1"/>
  <c r="I140" i="5" s="1"/>
  <c r="N33" i="5"/>
  <c r="M109" i="5" s="1"/>
  <c r="L137" i="5" s="1"/>
  <c r="F41" i="5"/>
  <c r="E117" i="5" s="1"/>
  <c r="D145" i="5" s="1"/>
  <c r="O32" i="5"/>
  <c r="N108" i="5" s="1"/>
  <c r="M136" i="5" s="1"/>
  <c r="J138" i="5"/>
  <c r="H140" i="5"/>
  <c r="A43" i="5"/>
  <c r="A21" i="5"/>
  <c r="G141" i="5"/>
  <c r="E143" i="5"/>
  <c r="B146" i="5"/>
  <c r="K137" i="5"/>
  <c r="M135" i="5"/>
  <c r="C145" i="5"/>
  <c r="N135" i="5" l="1"/>
  <c r="F143" i="5"/>
  <c r="A44" i="5"/>
  <c r="A22" i="5"/>
  <c r="F42" i="5"/>
  <c r="E118" i="5" s="1"/>
  <c r="D146" i="5" s="1"/>
  <c r="I39" i="5"/>
  <c r="H115" i="5" s="1"/>
  <c r="J38" i="5"/>
  <c r="I114" i="5" s="1"/>
  <c r="C45" i="5"/>
  <c r="B121" i="5" s="1"/>
  <c r="M35" i="5"/>
  <c r="L111" i="5" s="1"/>
  <c r="N34" i="5"/>
  <c r="M110" i="5" s="1"/>
  <c r="H40" i="5"/>
  <c r="G116" i="5" s="1"/>
  <c r="F144" i="5" s="1"/>
  <c r="K37" i="5"/>
  <c r="J113" i="5" s="1"/>
  <c r="I141" i="5" s="1"/>
  <c r="L36" i="5"/>
  <c r="K112" i="5" s="1"/>
  <c r="D44" i="5"/>
  <c r="C120" i="5" s="1"/>
  <c r="B148" i="5" s="1"/>
  <c r="O33" i="5"/>
  <c r="N109" i="5" s="1"/>
  <c r="P32" i="5"/>
  <c r="O108" i="5" s="1"/>
  <c r="N136" i="5" s="1"/>
  <c r="B46" i="5"/>
  <c r="E43" i="5"/>
  <c r="D119" i="5" s="1"/>
  <c r="G41" i="5"/>
  <c r="F117" i="5" s="1"/>
  <c r="E145" i="5" s="1"/>
  <c r="Q31" i="5"/>
  <c r="P107" i="5" s="1"/>
  <c r="K138" i="5"/>
  <c r="O135" i="5" l="1"/>
  <c r="J140" i="5"/>
  <c r="H142" i="5"/>
  <c r="C147" i="5"/>
  <c r="G143" i="5"/>
  <c r="B47" i="5"/>
  <c r="G42" i="5"/>
  <c r="F118" i="5" s="1"/>
  <c r="J39" i="5"/>
  <c r="I115" i="5" s="1"/>
  <c r="K38" i="5"/>
  <c r="J114" i="5" s="1"/>
  <c r="I40" i="5"/>
  <c r="H116" i="5" s="1"/>
  <c r="L37" i="5"/>
  <c r="K113" i="5" s="1"/>
  <c r="D45" i="5"/>
  <c r="C121" i="5" s="1"/>
  <c r="N35" i="5"/>
  <c r="M111" i="5" s="1"/>
  <c r="H41" i="5"/>
  <c r="G117" i="5" s="1"/>
  <c r="M36" i="5"/>
  <c r="L112" i="5" s="1"/>
  <c r="E44" i="5"/>
  <c r="D120" i="5" s="1"/>
  <c r="P33" i="5"/>
  <c r="O109" i="5" s="1"/>
  <c r="Q32" i="5"/>
  <c r="P108" i="5" s="1"/>
  <c r="F43" i="5"/>
  <c r="E119" i="5" s="1"/>
  <c r="O34" i="5"/>
  <c r="N110" i="5" s="1"/>
  <c r="R31" i="5"/>
  <c r="Q107" i="5" s="1"/>
  <c r="C46" i="5"/>
  <c r="B122" i="5" s="1"/>
  <c r="L138" i="5"/>
  <c r="A45" i="5"/>
  <c r="A23" i="5"/>
  <c r="M137" i="5"/>
  <c r="K139" i="5"/>
  <c r="N137" i="5" l="1"/>
  <c r="G144" i="5"/>
  <c r="K140" i="5"/>
  <c r="M138" i="5"/>
  <c r="H143" i="5"/>
  <c r="J141" i="5"/>
  <c r="A46" i="5"/>
  <c r="A24" i="5"/>
  <c r="C148" i="5"/>
  <c r="P135" i="5"/>
  <c r="I142" i="5"/>
  <c r="F145" i="5"/>
  <c r="D147" i="5"/>
  <c r="L139" i="5"/>
  <c r="E146" i="5"/>
  <c r="O136" i="5"/>
  <c r="B149" i="5"/>
  <c r="J40" i="5"/>
  <c r="I116" i="5" s="1"/>
  <c r="M37" i="5"/>
  <c r="L113" i="5" s="1"/>
  <c r="C47" i="5"/>
  <c r="B123" i="5" s="1"/>
  <c r="L38" i="5"/>
  <c r="K114" i="5" s="1"/>
  <c r="J142" i="5" s="1"/>
  <c r="I41" i="5"/>
  <c r="H117" i="5" s="1"/>
  <c r="G145" i="5" s="1"/>
  <c r="D46" i="5"/>
  <c r="C122" i="5" s="1"/>
  <c r="G43" i="5"/>
  <c r="F119" i="5" s="1"/>
  <c r="E147" i="5" s="1"/>
  <c r="H42" i="5"/>
  <c r="G118" i="5" s="1"/>
  <c r="F146" i="5" s="1"/>
  <c r="N36" i="5"/>
  <c r="M112" i="5" s="1"/>
  <c r="Q33" i="5"/>
  <c r="P109" i="5" s="1"/>
  <c r="R32" i="5"/>
  <c r="Q108" i="5" s="1"/>
  <c r="P136" i="5" s="1"/>
  <c r="E45" i="5"/>
  <c r="D121" i="5" s="1"/>
  <c r="C149" i="5" s="1"/>
  <c r="B48" i="5"/>
  <c r="F44" i="5"/>
  <c r="E120" i="5" s="1"/>
  <c r="S31" i="5"/>
  <c r="R107" i="5" s="1"/>
  <c r="O35" i="5"/>
  <c r="N111" i="5" s="1"/>
  <c r="K39" i="5"/>
  <c r="J115" i="5" s="1"/>
  <c r="P34" i="5"/>
  <c r="O110" i="5" s="1"/>
  <c r="K157" i="5" l="1"/>
  <c r="C48" i="5"/>
  <c r="B124" i="5" s="1"/>
  <c r="F45" i="5"/>
  <c r="E121" i="5" s="1"/>
  <c r="D160" i="5" s="1"/>
  <c r="D166" i="5" s="1"/>
  <c r="G44" i="5"/>
  <c r="F120" i="5" s="1"/>
  <c r="J41" i="5"/>
  <c r="I117" i="5" s="1"/>
  <c r="H163" i="5" s="1"/>
  <c r="D122" i="5"/>
  <c r="H43" i="5"/>
  <c r="G119" i="5" s="1"/>
  <c r="I42" i="5"/>
  <c r="H118" i="5" s="1"/>
  <c r="O36" i="5"/>
  <c r="N112" i="5" s="1"/>
  <c r="R33" i="5"/>
  <c r="Q109" i="5" s="1"/>
  <c r="S32" i="5"/>
  <c r="R108" i="5" s="1"/>
  <c r="K40" i="5"/>
  <c r="J116" i="5" s="1"/>
  <c r="N37" i="5"/>
  <c r="M113" i="5" s="1"/>
  <c r="Q34" i="5"/>
  <c r="P110" i="5" s="1"/>
  <c r="T31" i="5"/>
  <c r="S107" i="5" s="1"/>
  <c r="P35" i="5"/>
  <c r="O111" i="5" s="1"/>
  <c r="N157" i="5" s="1"/>
  <c r="M38" i="5"/>
  <c r="L114" i="5" s="1"/>
  <c r="D47" i="5"/>
  <c r="C123" i="5" s="1"/>
  <c r="L39" i="5"/>
  <c r="K115" i="5" s="1"/>
  <c r="M139" i="5"/>
  <c r="M157" i="5"/>
  <c r="B150" i="5"/>
  <c r="B160" i="5"/>
  <c r="B166" i="5" s="1"/>
  <c r="C160" i="5"/>
  <c r="C166" i="5" s="1"/>
  <c r="C163" i="5"/>
  <c r="I143" i="5"/>
  <c r="I160" i="5"/>
  <c r="O137" i="5"/>
  <c r="O157" i="5"/>
  <c r="M163" i="5"/>
  <c r="M166" i="5" s="1"/>
  <c r="L140" i="5"/>
  <c r="J163" i="5"/>
  <c r="J166" i="5" s="1"/>
  <c r="H144" i="5"/>
  <c r="H160" i="5"/>
  <c r="H166" i="5" s="1"/>
  <c r="N138" i="5"/>
  <c r="A47" i="5"/>
  <c r="A25" i="5"/>
  <c r="A48" i="5" s="1"/>
  <c r="G163" i="5"/>
  <c r="Q135" i="5"/>
  <c r="Q157" i="5"/>
  <c r="Q166" i="5" s="1"/>
  <c r="D148" i="5"/>
  <c r="K141" i="5"/>
  <c r="K160" i="5"/>
  <c r="D163" i="5"/>
  <c r="P137" i="5" l="1"/>
  <c r="B184" i="5"/>
  <c r="D184" i="5" s="1"/>
  <c r="F184" i="5" s="1"/>
  <c r="I184" i="5" s="1"/>
  <c r="M140" i="5"/>
  <c r="M160" i="5"/>
  <c r="O138" i="5"/>
  <c r="P157" i="5"/>
  <c r="E148" i="5"/>
  <c r="E157" i="5"/>
  <c r="E160" i="5"/>
  <c r="E166" i="5" s="1"/>
  <c r="J143" i="5"/>
  <c r="J160" i="5"/>
  <c r="J157" i="5"/>
  <c r="L141" i="5"/>
  <c r="L163" i="5"/>
  <c r="L166" i="5" s="1"/>
  <c r="L169" i="5" s="1"/>
  <c r="L171" i="5" s="1"/>
  <c r="B186" i="5" s="1"/>
  <c r="D186" i="5" s="1"/>
  <c r="F186" i="5" s="1"/>
  <c r="I186" i="5" s="1"/>
  <c r="L160" i="5"/>
  <c r="O163" i="5"/>
  <c r="O166" i="5" s="1"/>
  <c r="P163" i="5"/>
  <c r="P166" i="5" s="1"/>
  <c r="P169" i="5" s="1"/>
  <c r="P171" i="5" s="1"/>
  <c r="B182" i="5" s="1"/>
  <c r="D182" i="5" s="1"/>
  <c r="F182" i="5" s="1"/>
  <c r="I182" i="5" s="1"/>
  <c r="B151" i="5"/>
  <c r="B157" i="5"/>
  <c r="I144" i="5"/>
  <c r="I157" i="5"/>
  <c r="I163" i="5"/>
  <c r="I166" i="5" s="1"/>
  <c r="C150" i="5"/>
  <c r="C157" i="5"/>
  <c r="N139" i="5"/>
  <c r="B179" i="5"/>
  <c r="D179" i="5" s="1"/>
  <c r="F179" i="5" s="1"/>
  <c r="R135" i="5"/>
  <c r="R157" i="5"/>
  <c r="R166" i="5" s="1"/>
  <c r="R169" i="5" s="1"/>
  <c r="R171" i="5" s="1"/>
  <c r="D149" i="5"/>
  <c r="D157" i="5"/>
  <c r="E163" i="5"/>
  <c r="G146" i="5"/>
  <c r="G157" i="5"/>
  <c r="F147" i="5"/>
  <c r="F157" i="5"/>
  <c r="F163" i="5"/>
  <c r="F160" i="5"/>
  <c r="F166" i="5" s="1"/>
  <c r="B169" i="5" s="1"/>
  <c r="B171" i="5" s="1"/>
  <c r="B196" i="5" s="1"/>
  <c r="D196" i="5" s="1"/>
  <c r="F196" i="5" s="1"/>
  <c r="I196" i="5" s="1"/>
  <c r="G160" i="5"/>
  <c r="G166" i="5" s="1"/>
  <c r="Q169" i="5"/>
  <c r="Q171" i="5" s="1"/>
  <c r="B181" i="5" s="1"/>
  <c r="D181" i="5" s="1"/>
  <c r="F181" i="5" s="1"/>
  <c r="I181" i="5" s="1"/>
  <c r="L157" i="5"/>
  <c r="B163" i="5"/>
  <c r="K142" i="5"/>
  <c r="K163" i="5"/>
  <c r="K166" i="5" s="1"/>
  <c r="J169" i="5" s="1"/>
  <c r="J171" i="5" s="1"/>
  <c r="B188" i="5" s="1"/>
  <c r="D188" i="5" s="1"/>
  <c r="F188" i="5" s="1"/>
  <c r="I188" i="5" s="1"/>
  <c r="B180" i="5"/>
  <c r="D180" i="5" s="1"/>
  <c r="F180" i="5" s="1"/>
  <c r="I180" i="5" s="1"/>
  <c r="Q136" i="5"/>
  <c r="H145" i="5"/>
  <c r="H157" i="5"/>
  <c r="N163" i="5"/>
  <c r="N166" i="5" s="1"/>
  <c r="N169" i="5" s="1"/>
  <c r="N171" i="5" s="1"/>
  <c r="I179" i="5" l="1"/>
  <c r="I169" i="5"/>
  <c r="I171" i="5" s="1"/>
  <c r="B189" i="5" s="1"/>
  <c r="D189" i="5" s="1"/>
  <c r="F189" i="5" s="1"/>
  <c r="I189" i="5" s="1"/>
  <c r="G169" i="5"/>
  <c r="G171" i="5" s="1"/>
  <c r="B191" i="5" s="1"/>
  <c r="D191" i="5" s="1"/>
  <c r="F191" i="5" s="1"/>
  <c r="I191" i="5" s="1"/>
  <c r="C169" i="5"/>
  <c r="C171" i="5" s="1"/>
  <c r="B195" i="5" s="1"/>
  <c r="D195" i="5" s="1"/>
  <c r="F195" i="5" s="1"/>
  <c r="I195" i="5" s="1"/>
  <c r="F169" i="5"/>
  <c r="F171" i="5" s="1"/>
  <c r="B192" i="5" s="1"/>
  <c r="D192" i="5" s="1"/>
  <c r="F192" i="5" s="1"/>
  <c r="I192" i="5" s="1"/>
  <c r="E169" i="5"/>
  <c r="E171" i="5" s="1"/>
  <c r="B193" i="5" s="1"/>
  <c r="D193" i="5" s="1"/>
  <c r="F193" i="5" s="1"/>
  <c r="I193" i="5" s="1"/>
  <c r="M169" i="5"/>
  <c r="M171" i="5" s="1"/>
  <c r="B185" i="5" s="1"/>
  <c r="D185" i="5" s="1"/>
  <c r="F185" i="5" s="1"/>
  <c r="I185" i="5" s="1"/>
  <c r="K169" i="5"/>
  <c r="K171" i="5" s="1"/>
  <c r="B187" i="5" s="1"/>
  <c r="D187" i="5" s="1"/>
  <c r="F187" i="5" s="1"/>
  <c r="I187" i="5" s="1"/>
  <c r="H169" i="5"/>
  <c r="H171" i="5" s="1"/>
  <c r="B190" i="5" s="1"/>
  <c r="D190" i="5" s="1"/>
  <c r="F190" i="5" s="1"/>
  <c r="I190" i="5" s="1"/>
  <c r="O169" i="5"/>
  <c r="O171" i="5" s="1"/>
  <c r="B183" i="5" s="1"/>
  <c r="D183" i="5" s="1"/>
  <c r="F183" i="5" s="1"/>
  <c r="I183" i="5" s="1"/>
  <c r="D169" i="5"/>
  <c r="D171" i="5" s="1"/>
  <c r="B194" i="5" s="1"/>
  <c r="D194" i="5" s="1"/>
  <c r="F194" i="5" s="1"/>
  <c r="I194" i="5" s="1"/>
  <c r="I198" i="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tc={B8DFFE92-4C1F-834A-8B14-DF1C3BAE1D39}</author>
    <author>tc={956F094E-48EA-BD43-A476-97D9B87AF8A6}</author>
  </authors>
  <commentList>
    <comment ref="C16" authorId="0" shapeId="0" xr:uid="{B8DFFE92-4C1F-834A-8B14-DF1C3BAE1D39}">
      <text>
        <t>[Threaded comment]
Your version of Excel allows you to read this threaded comment; however, any edits to it will get removed if the file is opened in a newer version of Excel. Learn more: https://go.microsoft.com/fwlink/?linkid=870924
Comment:
    Note how the formula proceeds to the second condition only if the first is not verified.</t>
      </text>
    </comment>
    <comment ref="E16" authorId="1" shapeId="0" xr:uid="{956F094E-48EA-BD43-A476-97D9B87AF8A6}">
      <text>
        <t>[Threaded comment]
Your version of Excel allows you to read this threaded comment; however, any edits to it will get removed if the file is opened in a newer version of Excel. Learn more: https://go.microsoft.com/fwlink/?linkid=870924
Comment:
    note how the “TRUE” condition at the end (which is always true!!) is a catch all condition (default if none of the preceding conditions are verified)</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<sst xmlns="http://schemas.openxmlformats.org/spreadsheetml/2006/main" count="580" uniqueCount="315">
  <si>
    <t>Attacking</t>
  </si>
  <si>
    <t>Normal</t>
  </si>
  <si>
    <t>Fire</t>
  </si>
  <si>
    <t>Water</t>
  </si>
  <si>
    <t>Electric</t>
  </si>
  <si>
    <t>Grass</t>
  </si>
  <si>
    <t>Ice</t>
  </si>
  <si>
    <t>Fighting</t>
  </si>
  <si>
    <t>Poison</t>
  </si>
  <si>
    <t>Ground</t>
  </si>
  <si>
    <t>Flying</t>
  </si>
  <si>
    <t>Psychic</t>
  </si>
  <si>
    <t>Bug</t>
  </si>
  <si>
    <t>Rock</t>
  </si>
  <si>
    <t>Ghost</t>
  </si>
  <si>
    <t>Dragon</t>
  </si>
  <si>
    <t>Dark</t>
  </si>
  <si>
    <t>Steel</t>
  </si>
  <si>
    <t>Fairy</t>
  </si>
  <si>
    <t>Source:</t>
  </si>
  <si>
    <t>https://github.com/zonination/pokemon-chart/blob/master/chart.csv</t>
  </si>
  <si>
    <t>FIFA Women's World Cup Stats (1991 - 2019)</t>
  </si>
  <si>
    <t>id</t>
  </si>
  <si>
    <t>squad</t>
  </si>
  <si>
    <t>year</t>
  </si>
  <si>
    <t>players</t>
  </si>
  <si>
    <t>age</t>
  </si>
  <si>
    <t>possesion</t>
  </si>
  <si>
    <t>matches_played</t>
  </si>
  <si>
    <t>starts</t>
  </si>
  <si>
    <t>min_playing_time</t>
  </si>
  <si>
    <t>minutes_played_90s</t>
  </si>
  <si>
    <t>goals</t>
  </si>
  <si>
    <t>assists</t>
  </si>
  <si>
    <t>non_penalty_goals</t>
  </si>
  <si>
    <t>penalty_kicks_made</t>
  </si>
  <si>
    <t>penalty_kicks_attempted</t>
  </si>
  <si>
    <t>yellow_cards</t>
  </si>
  <si>
    <t>red_cards</t>
  </si>
  <si>
    <t>goals_per_90</t>
  </si>
  <si>
    <t>assists_per_90</t>
  </si>
  <si>
    <t>goals_plus_assists_per_90</t>
  </si>
  <si>
    <t>goals_minus_penalty_kicks_per_90</t>
  </si>
  <si>
    <t>goals_plus_assists_minus_penalty_kicks_per_90</t>
  </si>
  <si>
    <t>Argentina</t>
  </si>
  <si>
    <t>Australia</t>
  </si>
  <si>
    <t>Brazil</t>
  </si>
  <si>
    <t>Cameroon</t>
  </si>
  <si>
    <t>Canada</t>
  </si>
  <si>
    <t>Chile</t>
  </si>
  <si>
    <t>China PR</t>
  </si>
  <si>
    <t>England</t>
  </si>
  <si>
    <t>France</t>
  </si>
  <si>
    <t>Germany</t>
  </si>
  <si>
    <t>Italy</t>
  </si>
  <si>
    <t>Jamaica</t>
  </si>
  <si>
    <t>Japan</t>
  </si>
  <si>
    <t>Korea Rep</t>
  </si>
  <si>
    <t>Netherlands</t>
  </si>
  <si>
    <t>New Zealand</t>
  </si>
  <si>
    <t>Nigeria</t>
  </si>
  <si>
    <t>Norway</t>
  </si>
  <si>
    <t>Scotland</t>
  </si>
  <si>
    <t>South Africa</t>
  </si>
  <si>
    <t>Spain</t>
  </si>
  <si>
    <t>Sweden</t>
  </si>
  <si>
    <t>Thailand</t>
  </si>
  <si>
    <t>USA</t>
  </si>
  <si>
    <t>Colombia</t>
  </si>
  <si>
    <t>Costa Rica</t>
  </si>
  <si>
    <t>C√¥te d'Ivoire</t>
  </si>
  <si>
    <t>Ecuador</t>
  </si>
  <si>
    <t>Mexico</t>
  </si>
  <si>
    <t>Switzerland</t>
  </si>
  <si>
    <t>Equ. Guinea</t>
  </si>
  <si>
    <t>Korea DPR</t>
  </si>
  <si>
    <t>Denmark</t>
  </si>
  <si>
    <t>Ghana</t>
  </si>
  <si>
    <t>Russia</t>
  </si>
  <si>
    <t>Chinese Taipei</t>
  </si>
  <si>
    <t>Absolute and mixed cell references: Chapter 7 EE19, pages 332-342</t>
  </si>
  <si>
    <t>Pull the formula in the top left corner right, and down, over the yellow area. Can you explain the differences?</t>
  </si>
  <si>
    <t>New Excel 2019 functions (IFS, MAXIFS, MINIFS): Chapter 8, pages 381-398</t>
  </si>
  <si>
    <t>Simple if:</t>
  </si>
  <si>
    <t>IFS</t>
  </si>
  <si>
    <t>MAXIFS</t>
  </si>
  <si>
    <t>MINIFS</t>
  </si>
  <si>
    <t>Paste with transpose will achieve the same as transpose:</t>
  </si>
  <si>
    <t>(All)</t>
  </si>
  <si>
    <t>Row Labels</t>
  </si>
  <si>
    <t>Sum of matches_played</t>
  </si>
  <si>
    <t>Sum of goals</t>
  </si>
  <si>
    <t>Grand Total</t>
  </si>
  <si>
    <t>Average of possesion</t>
  </si>
  <si>
    <t>Spilling</t>
  </si>
  <si>
    <t>Hello</t>
  </si>
  <si>
    <t>&lt;-  =LEN(B3:B6)</t>
  </si>
  <si>
    <t xml:space="preserve">World </t>
  </si>
  <si>
    <t>of</t>
  </si>
  <si>
    <t>Actuaries</t>
  </si>
  <si>
    <t>Think in vectors</t>
  </si>
  <si>
    <t>How often is Fire&gt;Water?</t>
  </si>
  <si>
    <t>For which type of pokemon?</t>
  </si>
  <si>
    <t>Loss ratios</t>
  </si>
  <si>
    <t>NSW</t>
  </si>
  <si>
    <t>VIC</t>
  </si>
  <si>
    <t>ACT</t>
  </si>
  <si>
    <t>Motor</t>
  </si>
  <si>
    <t>Liability</t>
  </si>
  <si>
    <t>Life</t>
  </si>
  <si>
    <t>Property</t>
  </si>
  <si>
    <t>The # sign</t>
  </si>
  <si>
    <t xml:space="preserve">Try to change to SEQUENCE(10) and compare sum differences above </t>
  </si>
  <si>
    <t>Some new formulas</t>
  </si>
  <si>
    <t>Which teams played 7 matches?</t>
  </si>
  <si>
    <t>Lookup functions</t>
  </si>
  <si>
    <t>VLOOKUP</t>
  </si>
  <si>
    <t>You can specify a lookup array and find all the corresponding values.</t>
  </si>
  <si>
    <t>Or return multiple columns as previouly shown</t>
  </si>
  <si>
    <t>You can even return multiple rows with different columns!</t>
  </si>
  <si>
    <t>We use 'Products' as the lookup array</t>
  </si>
  <si>
    <t>It must be at the first column of your table</t>
  </si>
  <si>
    <t>-&gt; returning 2nd and 4th column in first row</t>
  </si>
  <si>
    <t>and we select the 4th column to return values.</t>
  </si>
  <si>
    <t>-&gt; 1st and 3rd column in 2nd row</t>
  </si>
  <si>
    <t>-&gt; return N/A if value does not exist.</t>
  </si>
  <si>
    <t>-&gt; 4th and 2nd column in 3rd row</t>
  </si>
  <si>
    <r>
      <rPr>
        <b/>
        <sz val="12"/>
        <color rgb="FFFF0000"/>
        <rFont val="Calibri"/>
        <family val="2"/>
      </rPr>
      <t>XLOOKUP</t>
    </r>
    <r>
      <rPr>
        <sz val="12"/>
        <color rgb="FFFF0000"/>
        <rFont val="Calibri"/>
        <family val="2"/>
      </rPr>
      <t xml:space="preserve"> - We don't have to specify the column number.</t>
    </r>
  </si>
  <si>
    <t>Product</t>
  </si>
  <si>
    <t xml:space="preserve">Specifying return values if not found </t>
  </si>
  <si>
    <r>
      <t xml:space="preserve">MATCH </t>
    </r>
    <r>
      <rPr>
        <sz val="12"/>
        <color rgb="FFFF0000"/>
        <rFont val="Calibri"/>
        <family val="2"/>
        <scheme val="minor"/>
      </rPr>
      <t>- Matching the index of your lookup array</t>
    </r>
  </si>
  <si>
    <t>Combining with INDEX makes it works like a lookup function</t>
  </si>
  <si>
    <t>XLOOKUP does not require your lookup array in your data table</t>
  </si>
  <si>
    <t>However your lookup and return array need to have same length.</t>
  </si>
  <si>
    <t>Travel</t>
  </si>
  <si>
    <t>INDEX</t>
  </si>
  <si>
    <t>INDEX returns the value inside your array with specified index.</t>
  </si>
  <si>
    <t xml:space="preserve">How many goals did Argentina scored? </t>
  </si>
  <si>
    <t>Specifying search mode</t>
  </si>
  <si>
    <t>1: First to last; -1: Last to first</t>
  </si>
  <si>
    <r>
      <rPr>
        <b/>
        <sz val="12"/>
        <color rgb="FFFF0000"/>
        <rFont val="Calibri"/>
        <family val="2"/>
        <scheme val="minor"/>
      </rPr>
      <t>XMATCH</t>
    </r>
    <r>
      <rPr>
        <sz val="12"/>
        <color rgb="FFFF0000"/>
        <rFont val="Calibri"/>
        <family val="2"/>
        <scheme val="minor"/>
      </rPr>
      <t xml:space="preserve"> - allows specified search mode</t>
    </r>
  </si>
  <si>
    <t>allows lookup from the last item.</t>
  </si>
  <si>
    <t>Argentina went to world cup for multiple years.</t>
  </si>
  <si>
    <t>So there will be different number of goals if we search in different order.</t>
  </si>
  <si>
    <t>Dynamic references</t>
  </si>
  <si>
    <t>OFFSET</t>
  </si>
  <si>
    <t>Month</t>
  </si>
  <si>
    <t>Profit</t>
  </si>
  <si>
    <t>Which month?</t>
  </si>
  <si>
    <t>Jan</t>
  </si>
  <si>
    <t>Feb</t>
  </si>
  <si>
    <t>Mar</t>
  </si>
  <si>
    <t>Apr</t>
  </si>
  <si>
    <t>May</t>
  </si>
  <si>
    <t>From</t>
  </si>
  <si>
    <t>To</t>
  </si>
  <si>
    <t>Jun</t>
  </si>
  <si>
    <t>&lt;- try change this</t>
  </si>
  <si>
    <t>Jul</t>
  </si>
  <si>
    <t>You can dynamically reference a specified period!</t>
  </si>
  <si>
    <t>Aug</t>
  </si>
  <si>
    <t>Sep</t>
  </si>
  <si>
    <t>First, select the whole table to offset.</t>
  </si>
  <si>
    <t>Oct</t>
  </si>
  <si>
    <t>Move down 'F10' rows to get to the starting month.</t>
  </si>
  <si>
    <t>Nov</t>
  </si>
  <si>
    <t>Dec</t>
  </si>
  <si>
    <t>And you select 2 columns, which is the original width of your table.</t>
  </si>
  <si>
    <t>ADDRESS</t>
  </si>
  <si>
    <t>What is the address storing the month 'Jan' inside the table?</t>
  </si>
  <si>
    <t>&lt;- We are finding the address at row 26 and column 2, which stores the text 'Jan'.</t>
  </si>
  <si>
    <t>INDIRECT</t>
  </si>
  <si>
    <t>get the value of the address specified in cell</t>
  </si>
  <si>
    <t>What does that address contain?</t>
  </si>
  <si>
    <t>Combining together...</t>
  </si>
  <si>
    <t>You can reference any part of your table!</t>
  </si>
  <si>
    <t>You can do it with OFFSET too!</t>
  </si>
  <si>
    <t xml:space="preserve">To </t>
  </si>
  <si>
    <t>From Week</t>
  </si>
  <si>
    <t>Up to Week</t>
  </si>
  <si>
    <t>&lt;-</t>
  </si>
  <si>
    <t>Change them!</t>
  </si>
  <si>
    <t>-&gt;</t>
  </si>
  <si>
    <t>Week1</t>
  </si>
  <si>
    <t>Week2</t>
  </si>
  <si>
    <t>Week3</t>
  </si>
  <si>
    <t>Week4</t>
  </si>
  <si>
    <t>Get the months-&gt;</t>
  </si>
  <si>
    <t>Get the numbers-&gt;</t>
  </si>
  <si>
    <t>The trick here is similar as INDIRECT(ADDRESS()), we dynamically select the range by adding week numbers.</t>
  </si>
  <si>
    <t>Breakdown:</t>
  </si>
  <si>
    <t>To get the months:</t>
  </si>
  <si>
    <t xml:space="preserve">MATCH(I39,A26:G26,0) </t>
  </si>
  <si>
    <t>Find which column in A26:G26 contains the starting month</t>
  </si>
  <si>
    <t>ADDRESS(38, MATCH(I39,A26:G26,0) )</t>
  </si>
  <si>
    <t>That is the address of the cell inside the table containing the starting month</t>
  </si>
  <si>
    <t>INDIRECT(ADDRESS(..,MATCH()))</t>
  </si>
  <si>
    <t>This gives you the indirect reference to the starting month.</t>
  </si>
  <si>
    <t>The second INDIRECT gives you the indirect reference for the ending month.</t>
  </si>
  <si>
    <t>Combining them will give us the specified months.</t>
  </si>
  <si>
    <t>To get the data:</t>
  </si>
  <si>
    <t>Same as above</t>
  </si>
  <si>
    <t>ADDRESS(38+K39, MATCH(I39,A26:G26,0) )</t>
  </si>
  <si>
    <t>We move down few rows (+K39) based on the starting week</t>
  </si>
  <si>
    <t>This gives you the indirect reference corresponds to the value to the starting month at the starting week.</t>
  </si>
  <si>
    <t>The second INDIRECT gives you the indirect reference for the ending month at the ending week.</t>
  </si>
  <si>
    <t>Note: We need INDIRECT(address):INDIRECT(address) to select the range between two indirect addresses.</t>
  </si>
  <si>
    <t>top left</t>
  </si>
  <si>
    <t>bottom right</t>
  </si>
  <si>
    <t>Table 3.10</t>
  </si>
  <si>
    <t>Incurred Losses</t>
  </si>
  <si>
    <t>Period</t>
  </si>
  <si>
    <t>Incurred losses to end of development year n=</t>
  </si>
  <si>
    <t>of origin</t>
  </si>
  <si>
    <t>$000</t>
  </si>
  <si>
    <t xml:space="preserve">Inflation </t>
  </si>
  <si>
    <t>Incurred losses, as of 31/12/1995, to end of development year n=</t>
  </si>
  <si>
    <t>factor</t>
  </si>
  <si>
    <t>Table 2.2</t>
  </si>
  <si>
    <t>Forecast Numbers of IBNR Claims</t>
  </si>
  <si>
    <t>Number of claims notified, actual and forecast (bold), in development year</t>
  </si>
  <si>
    <t>Number</t>
  </si>
  <si>
    <t>11 &amp; later</t>
  </si>
  <si>
    <t>to 1995</t>
  </si>
  <si>
    <t>IBNR</t>
  </si>
  <si>
    <t>Total</t>
  </si>
  <si>
    <t>Cumulative reported claim counts</t>
  </si>
  <si>
    <t>Average incurred cost per reported claim, by period of origin and for develop period j=</t>
  </si>
  <si>
    <t>Incurred loss age to age factors</t>
  </si>
  <si>
    <t>Age to age factor from development year n to n+1</t>
  </si>
  <si>
    <t>development year n=</t>
  </si>
  <si>
    <t>Weighted</t>
  </si>
  <si>
    <t>averages:</t>
  </si>
  <si>
    <t>All</t>
  </si>
  <si>
    <t>Last 6</t>
  </si>
  <si>
    <t>experience</t>
  </si>
  <si>
    <t>years</t>
  </si>
  <si>
    <t>Last 3</t>
  </si>
  <si>
    <t>Model(un-</t>
  </si>
  <si>
    <t>smoothed)</t>
  </si>
  <si>
    <t>&lt;- we could decide to set this to 1 to be conservative</t>
  </si>
  <si>
    <t>age-to-</t>
  </si>
  <si>
    <t>ultimate</t>
  </si>
  <si>
    <t>prop-to-ult</t>
  </si>
  <si>
    <t>Paid losses</t>
  </si>
  <si>
    <t>to</t>
  </si>
  <si>
    <t>Out-</t>
  </si>
  <si>
    <t>Incurred</t>
  </si>
  <si>
    <t>Incurred CL/</t>
  </si>
  <si>
    <t>Paid CL</t>
  </si>
  <si>
    <t>Separation</t>
  </si>
  <si>
    <t>Average cost</t>
  </si>
  <si>
    <t xml:space="preserve">Claim </t>
  </si>
  <si>
    <t>Ultimate</t>
  </si>
  <si>
    <t>1995</t>
  </si>
  <si>
    <t>standing</t>
  </si>
  <si>
    <t>CL</t>
  </si>
  <si>
    <t>PPCI</t>
  </si>
  <si>
    <t>unadjusted</t>
  </si>
  <si>
    <t>adjusted</t>
  </si>
  <si>
    <t>method</t>
  </si>
  <si>
    <t>per claim</t>
  </si>
  <si>
    <t>numbers</t>
  </si>
  <si>
    <t>=SUM(F179:F196)</t>
  </si>
  <si>
    <t>this formula is show as text by adding a apostrophe ' in front of it.</t>
  </si>
  <si>
    <t>Basic random functions</t>
  </si>
  <si>
    <t>Simulating different distributions (Continuous)</t>
  </si>
  <si>
    <t>Simulating Discrete RV</t>
  </si>
  <si>
    <t>Weather</t>
  </si>
  <si>
    <t>Probability</t>
  </si>
  <si>
    <t>RAND</t>
  </si>
  <si>
    <t>RANDARRAY</t>
  </si>
  <si>
    <t>Good</t>
  </si>
  <si>
    <t>OK</t>
  </si>
  <si>
    <t>Bad</t>
  </si>
  <si>
    <t>Frequency</t>
  </si>
  <si>
    <t>Empirical Probability</t>
  </si>
  <si>
    <t>Mean</t>
  </si>
  <si>
    <t>SD</t>
  </si>
  <si>
    <t>Var</t>
  </si>
  <si>
    <t>Theoretical</t>
  </si>
  <si>
    <t>Variance</t>
  </si>
  <si>
    <t>Theoretical Variance</t>
  </si>
  <si>
    <t>Record a macro</t>
  </si>
  <si>
    <t>Try running recorded_example1 here!</t>
  </si>
  <si>
    <t>Absolute and relative references in macro</t>
  </si>
  <si>
    <t>Run recorded_absolute_example.</t>
  </si>
  <si>
    <t>Undo everything, select another cell outside the table and run it again. What happens?</t>
  </si>
  <si>
    <t>(You can clear all formatting by Home -&gt; Editing -&gt; Clear -&gt; Clear all formatting)</t>
  </si>
  <si>
    <t>Now click on cell B15 and run recorded_relative example.</t>
  </si>
  <si>
    <t>Click on cell E15 and run it again. What happens?</t>
  </si>
  <si>
    <t>This example shows the difference between absolute and relative referencing in recorded macro.</t>
  </si>
  <si>
    <t>Buttons in macro</t>
  </si>
  <si>
    <t>Try clicking this button!</t>
  </si>
  <si>
    <t>And this shape!</t>
  </si>
  <si>
    <t>Editing a macro</t>
  </si>
  <si>
    <t>Click on any cell between M5:P8. Run recorded_example1_edit.</t>
  </si>
  <si>
    <t>We added new lines, where the font size of the row you selected increases.</t>
  </si>
  <si>
    <t>Added the following lines:</t>
  </si>
  <si>
    <t>Try Here</t>
  </si>
  <si>
    <t>Writing VBA: Conditioning</t>
  </si>
  <si>
    <t>Click on any values under profit and press the button.</t>
  </si>
  <si>
    <t>Here we have three situations with conditioning.</t>
  </si>
  <si>
    <t>Writing VBA: Loop</t>
  </si>
  <si>
    <t>Example: Print numbers from 1 to k, each number n times</t>
  </si>
  <si>
    <t>For Loop</t>
  </si>
  <si>
    <t>While loop version of the previous example.</t>
  </si>
  <si>
    <t>Paste special: Chapter 11, pages 518-530</t>
  </si>
  <si>
    <t>=SUM(LEN(B3#))</t>
  </si>
  <si>
    <t>=SUM(B3#)</t>
  </si>
  <si>
    <t>Then you select the number of rows between starting and ending month.</t>
  </si>
  <si>
    <t>You don't need to offset by columns; use 0 as the third argument in those cases.</t>
  </si>
  <si>
    <t>find the address in Excel syntax for specified rows and columns in numbers</t>
  </si>
  <si>
    <t>B64</t>
  </si>
  <si>
    <t>D66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</si>
</sst>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1" formatCode="_(* #,##0_);_(* \(#,##0\);_(* &quot;-&quot;_);_(@_)"/>
    <numFmt numFmtId="43" formatCode="_(* #,##0.00_);_(* \(#,##0.00\);_(* &quot;-&quot;??_);_(@_)"/>
    <numFmt numFmtId="164" formatCode="0.000"/>
    <numFmt numFmtId="165" formatCode="0.0"/>
    <numFmt numFmtId="166" formatCode="0.0%"/>
    <numFmt numFmtId="167" formatCode="_(* #,##0_);_(* \(#,##0\);_(* &quot;-&quot;??_);_(@_)"/>
  </numFmts>
  <fonts count="22" x14ac:knownFonts="1">
    <font>
      <sz val="12"/>
      <color theme="1"/>
      <name val="Calibri"/>
      <family val="2"/>
      <scheme val="minor"/>
    </font>
    <font>
      <sz val="11"/>
      <color theme="1"/>
      <name val="Calibri"/>
      <family val="2"/>
      <scheme val="minor"/>
    </font>
    <font>
      <b/>
      <sz val="12"/>
      <color theme="1"/>
      <name val="Calibri"/>
      <family val="2"/>
      <scheme val="minor"/>
    </font>
    <font>
      <b/>
      <sz val="12"/>
      <color rgb="FFFF0000"/>
      <name val="Calibri"/>
      <family val="2"/>
      <scheme val="minor"/>
    </font>
    <font>
      <u/>
      <sz val="12"/>
      <color theme="10"/>
      <name val="Calibri"/>
      <family val="2"/>
      <scheme val="minor"/>
    </font>
    <font>
      <sz val="10"/>
      <color rgb="FF000000"/>
      <name val="Arial Unicode MS"/>
      <family val="2"/>
    </font>
    <font>
      <sz val="14"/>
      <color rgb="FF3C4043"/>
      <name val="Arial"/>
      <family val="2"/>
    </font>
    <font>
      <sz val="12"/>
      <color theme="1"/>
      <name val="Calibri"/>
      <family val="2"/>
      <scheme val="minor"/>
    </font>
    <font>
      <b/>
      <sz val="12"/>
      <color rgb="FF000000"/>
      <name val="Arial"/>
      <family val="2"/>
    </font>
    <font>
      <sz val="12"/>
      <color theme="1"/>
      <name val="Arial"/>
      <family val="2"/>
    </font>
    <font>
      <sz val="12"/>
      <color rgb="FF000000"/>
      <name val="Arial"/>
      <family val="2"/>
    </font>
    <font>
      <b/>
      <sz val="12"/>
      <color theme="1"/>
      <name val="Arial"/>
      <family val="2"/>
    </font>
    <font>
      <sz val="12"/>
      <name val="Arial"/>
      <family val="2"/>
    </font>
    <font>
      <sz val="12"/>
      <color rgb="FFFF0000"/>
      <name val="Calibri"/>
      <family val="2"/>
      <scheme val="minor"/>
    </font>
    <font>
      <b/>
      <sz val="12"/>
      <color rgb="FFFF0000"/>
      <name val="Calibri"/>
      <family val="2"/>
    </font>
    <font>
      <sz val="12"/>
      <color rgb="FFFF0000"/>
      <name val="Calibri"/>
      <family val="2"/>
    </font>
    <font>
      <b/>
      <sz val="12"/>
      <color rgb="FFFF0000"/>
      <name val="Calibri"/>
      <family val="2"/>
      <scheme val="minor"/>
    </font>
    <font>
      <sz val="12"/>
      <color rgb="FFFF0000"/>
      <name val="Calibri"/>
      <family val="2"/>
      <scheme val="minor"/>
    </font>
    <font>
      <sz val="12"/>
      <color rgb="FF000000"/>
      <name val="Calibri"/>
      <family val="2"/>
      <scheme val="minor"/>
    </font>
    <font>
      <sz val="11"/>
      <color rgb="FFFF0000"/>
      <name val="Calibri"/>
      <family val="2"/>
      <scheme val="minor"/>
    </font>
    <font>
      <sz val="18"/>
      <color theme="1"/>
      <name val="Calibri"/>
      <family val="2"/>
      <scheme val="minor"/>
    </font>
    <font>
      <sz val="12"/>
      <color rgb="FF000000"/>
      <name val="Calibri"/>
      <family val="2"/>
    </font>
  </fonts>
  <fills count="7">
    <fill>
      <patternFill patternType="none"/>
    </fill>
    <fill>
      <patternFill patternType="gray125"/>
    </fill>
    <fill>
      <patternFill patternType="solid">
        <fgColor rgb="FFFFFF00"/>
        <bgColor indexed="64"/>
      </patternFill>
    </fill>
    <fill>
      <patternFill patternType="solid">
        <fgColor theme="5" tint="0.59999389629810485"/>
        <bgColor indexed="64"/>
      </patternFill>
    </fill>
    <fill>
      <patternFill patternType="solid">
        <fgColor rgb="FFFFC000"/>
        <bgColor indexed="64"/>
      </patternFill>
    </fill>
    <fill>
      <patternFill patternType="solid">
        <fgColor theme="4" tint="0.59999389629810485"/>
        <bgColor indexed="64"/>
      </patternFill>
    </fill>
    <fill>
      <patternFill patternType="solid">
        <fgColor rgb="FFFFFF00"/>
        <bgColor rgb="FF000000"/>
      </patternFill>
    </fill>
  </fills>
  <borders count="31">
    <border>
      <left/>
      <right/>
      <top/>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auto="1"/>
      </bottom>
      <diagonal/>
    </border>
    <border>
      <left/>
      <right style="thin">
        <color auto="1"/>
      </right>
      <top/>
      <bottom/>
      <diagonal/>
    </border>
    <border>
      <left style="thin">
        <color indexed="64"/>
      </left>
      <right/>
      <top/>
      <bottom/>
      <diagonal/>
    </border>
    <border>
      <left/>
      <right/>
      <top style="thin">
        <color indexed="64"/>
      </top>
      <bottom style="double">
        <color indexed="64"/>
      </bottom>
      <diagonal/>
    </border>
    <border>
      <left/>
      <right/>
      <top style="thin">
        <color indexed="64"/>
      </top>
      <bottom style="thin">
        <color auto="1"/>
      </bottom>
      <diagonal/>
    </border>
    <border>
      <left style="thin">
        <color indexed="64"/>
      </left>
      <right style="thin">
        <color indexed="64"/>
      </right>
      <top style="thin">
        <color indexed="64"/>
      </top>
      <bottom style="thin">
        <color indexed="64"/>
      </bottom>
      <diagonal/>
    </border>
    <border>
      <left/>
      <right/>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s>
  <cellStyleXfs count="3">
    <xf numFmtId="0" fontId="0" fillId="0" borderId="0"/>
    <xf numFmtId="0" fontId="4" fillId="0" borderId="0" applyNumberFormat="0" applyFill="0" applyBorder="0" applyAlignment="0" applyProtection="0"/>
    <xf numFmtId="9" fontId="7" fillId="0" borderId="0" applyFont="0" applyFill="0" applyBorder="0" applyAlignment="0" applyProtection="0"/>
  </cellStyleXfs>
  <cellXfs count="119">
    <xf numFmtId="0" fontId="0" fillId="0" borderId="0" xfId="0"/>
    <xf numFmtId="0" fontId="0" fillId="0" borderId="1" xfId="0" applyBorder="1"/>
    <xf numFmtId="0" fontId="0" fillId="2" borderId="0" xfId="0" applyFill="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0" borderId="0" xfId="0" applyFont="1"/>
    <xf numFmtId="0" fontId="3" fillId="0" borderId="0" xfId="0" applyFont="1"/>
    <xf numFmtId="0" fontId="5" fillId="0" borderId="0" xfId="0" applyFont="1"/>
    <xf numFmtId="0" fontId="4" fillId="0" borderId="0" xfId="1"/>
    <xf numFmtId="0" fontId="6" fillId="0" borderId="0" xfId="0" applyFont="1"/>
    <xf numFmtId="0" fontId="8" fillId="0" borderId="0" xfId="0" applyFont="1" applyAlignment="1">
      <alignment horizontal="left"/>
    </xf>
    <xf numFmtId="0" fontId="9" fillId="0" borderId="0" xfId="0" applyFont="1"/>
    <xf numFmtId="0" fontId="10" fillId="0" borderId="0" xfId="0" applyFont="1"/>
    <xf numFmtId="0" fontId="8" fillId="0" borderId="0" xfId="0" applyFont="1" applyAlignment="1">
      <alignment horizontal="center"/>
    </xf>
    <xf numFmtId="0" fontId="11" fillId="0" borderId="0" xfId="0" applyFont="1" applyAlignment="1">
      <alignment horizontal="left"/>
    </xf>
    <xf numFmtId="0" fontId="8" fillId="0" borderId="10" xfId="0" applyFont="1" applyBorder="1"/>
    <xf numFmtId="0" fontId="11" fillId="0" borderId="0" xfId="0" applyFont="1"/>
    <xf numFmtId="0" fontId="8" fillId="0" borderId="10" xfId="0" applyFont="1" applyBorder="1" applyAlignment="1">
      <alignment horizontal="center"/>
    </xf>
    <xf numFmtId="0" fontId="11" fillId="0" borderId="10" xfId="0" applyFont="1" applyBorder="1"/>
    <xf numFmtId="0" fontId="10" fillId="0" borderId="0" xfId="0" applyFont="1" applyAlignment="1">
      <alignment horizontal="center"/>
    </xf>
    <xf numFmtId="41" fontId="10" fillId="0" borderId="0" xfId="0" applyNumberFormat="1" applyFont="1"/>
    <xf numFmtId="164" fontId="10" fillId="0" borderId="11" xfId="0" applyNumberFormat="1" applyFont="1" applyBorder="1"/>
    <xf numFmtId="0" fontId="11" fillId="0" borderId="12" xfId="0" applyFont="1" applyBorder="1"/>
    <xf numFmtId="0" fontId="11" fillId="0" borderId="0" xfId="0" applyFont="1" applyAlignment="1">
      <alignment horizontal="right"/>
    </xf>
    <xf numFmtId="0" fontId="12" fillId="0" borderId="0" xfId="0" applyFont="1"/>
    <xf numFmtId="0" fontId="9" fillId="0" borderId="12" xfId="0" applyFont="1" applyBorder="1"/>
    <xf numFmtId="165" fontId="9" fillId="0" borderId="0" xfId="0" applyNumberFormat="1" applyFont="1"/>
    <xf numFmtId="165" fontId="11" fillId="0" borderId="0" xfId="0" applyNumberFormat="1" applyFont="1"/>
    <xf numFmtId="165" fontId="9" fillId="0" borderId="12" xfId="0" applyNumberFormat="1" applyFont="1" applyBorder="1"/>
    <xf numFmtId="165" fontId="11" fillId="0" borderId="13" xfId="0" applyNumberFormat="1" applyFont="1" applyBorder="1"/>
    <xf numFmtId="0" fontId="10" fillId="0" borderId="0" xfId="0" applyFont="1" applyAlignment="1">
      <alignment horizontal="left"/>
    </xf>
    <xf numFmtId="0" fontId="10" fillId="0" borderId="10" xfId="0" applyFont="1" applyBorder="1" applyAlignment="1">
      <alignment horizontal="center"/>
    </xf>
    <xf numFmtId="0" fontId="10" fillId="0" borderId="10" xfId="0" applyFont="1" applyBorder="1" applyAlignment="1">
      <alignment horizontal="left"/>
    </xf>
    <xf numFmtId="0" fontId="10" fillId="0" borderId="10" xfId="0" applyFont="1" applyBorder="1"/>
    <xf numFmtId="164" fontId="10" fillId="0" borderId="0" xfId="0" applyNumberFormat="1" applyFont="1"/>
    <xf numFmtId="165" fontId="10" fillId="0" borderId="0" xfId="0" applyNumberFormat="1" applyFont="1"/>
    <xf numFmtId="164" fontId="10" fillId="2" borderId="0" xfId="0" applyNumberFormat="1" applyFont="1" applyFill="1"/>
    <xf numFmtId="164" fontId="10" fillId="3" borderId="0" xfId="0" applyNumberFormat="1" applyFont="1" applyFill="1"/>
    <xf numFmtId="164" fontId="10" fillId="4" borderId="0" xfId="0" applyNumberFormat="1" applyFont="1" applyFill="1"/>
    <xf numFmtId="0" fontId="9" fillId="5" borderId="0" xfId="0" applyFont="1" applyFill="1"/>
    <xf numFmtId="0" fontId="9" fillId="0" borderId="0" xfId="0" applyFont="1" applyAlignment="1">
      <alignment horizontal="center"/>
    </xf>
    <xf numFmtId="166" fontId="9" fillId="0" borderId="0" xfId="2" applyNumberFormat="1" applyFont="1"/>
    <xf numFmtId="0" fontId="8" fillId="0" borderId="14" xfId="0" applyFont="1" applyBorder="1" applyAlignment="1">
      <alignment horizontal="center"/>
    </xf>
    <xf numFmtId="0" fontId="8" fillId="0" borderId="1" xfId="0" applyFont="1" applyBorder="1" applyAlignment="1">
      <alignment horizontal="center"/>
    </xf>
    <xf numFmtId="0" fontId="8" fillId="0" borderId="0" xfId="0" applyFont="1"/>
    <xf numFmtId="41" fontId="9" fillId="0" borderId="0" xfId="0" applyNumberFormat="1" applyFont="1"/>
    <xf numFmtId="167" fontId="11" fillId="0" borderId="0" xfId="0" applyNumberFormat="1" applyFont="1"/>
    <xf numFmtId="167" fontId="9" fillId="0" borderId="0" xfId="0" applyNumberFormat="1" applyFont="1"/>
    <xf numFmtId="41" fontId="8" fillId="0" borderId="0" xfId="0" applyNumberFormat="1" applyFont="1"/>
    <xf numFmtId="9" fontId="9" fillId="0" borderId="0" xfId="2" applyFont="1"/>
    <xf numFmtId="43" fontId="9" fillId="0" borderId="0" xfId="0" applyNumberFormat="1" applyFont="1"/>
    <xf numFmtId="41" fontId="8" fillId="0" borderId="10" xfId="0" applyNumberFormat="1" applyFont="1" applyBorder="1"/>
    <xf numFmtId="41" fontId="11" fillId="0" borderId="0" xfId="0" applyNumberFormat="1" applyFont="1"/>
    <xf numFmtId="167" fontId="10" fillId="0" borderId="10" xfId="0" applyNumberFormat="1" applyFont="1" applyBorder="1"/>
    <xf numFmtId="167" fontId="8" fillId="0" borderId="10" xfId="0" applyNumberFormat="1" applyFont="1" applyBorder="1"/>
    <xf numFmtId="0" fontId="9" fillId="0" borderId="0" xfId="0" quotePrefix="1" applyFont="1"/>
    <xf numFmtId="0" fontId="0" fillId="0" borderId="0" xfId="0" pivotButton="1"/>
    <xf numFmtId="0" fontId="0" fillId="0" borderId="0" xfId="0" applyAlignment="1">
      <alignment horizontal="left"/>
    </xf>
    <xf numFmtId="0" fontId="0" fillId="0" borderId="0" xfId="0" quotePrefix="1"/>
    <xf numFmtId="0" fontId="0" fillId="0" borderId="13" xfId="0" applyBorder="1"/>
    <xf numFmtId="0" fontId="0" fillId="0" borderId="10" xfId="0" applyBorder="1"/>
    <xf numFmtId="0" fontId="13" fillId="0" borderId="0" xfId="0" applyFont="1"/>
    <xf numFmtId="164" fontId="0" fillId="0" borderId="0" xfId="0" applyNumberFormat="1"/>
    <xf numFmtId="164" fontId="0" fillId="0" borderId="6" xfId="0" applyNumberFormat="1" applyBorder="1"/>
    <xf numFmtId="164" fontId="0" fillId="0" borderId="8" xfId="0" applyNumberFormat="1" applyBorder="1"/>
    <xf numFmtId="164" fontId="0" fillId="0" borderId="9" xfId="0" applyNumberFormat="1" applyBorder="1"/>
    <xf numFmtId="0" fontId="0" fillId="0" borderId="16" xfId="0" applyBorder="1"/>
    <xf numFmtId="0" fontId="0" fillId="0" borderId="17" xfId="0" applyBorder="1"/>
    <xf numFmtId="0" fontId="0" fillId="0" borderId="18" xfId="0" applyBorder="1"/>
    <xf numFmtId="0" fontId="0" fillId="0" borderId="19" xfId="0" applyBorder="1"/>
    <xf numFmtId="0" fontId="0" fillId="0" borderId="20" xfId="0" applyBorder="1"/>
    <xf numFmtId="0" fontId="0" fillId="0" borderId="21" xfId="0" applyBorder="1"/>
    <xf numFmtId="0" fontId="0" fillId="0" borderId="22" xfId="0" applyBorder="1"/>
    <xf numFmtId="0" fontId="0" fillId="0" borderId="23" xfId="0" applyBorder="1"/>
    <xf numFmtId="0" fontId="0" fillId="0" borderId="24" xfId="0" applyBorder="1"/>
    <xf numFmtId="0" fontId="0" fillId="0" borderId="25" xfId="0" applyBorder="1"/>
    <xf numFmtId="0" fontId="0" fillId="0" borderId="26" xfId="0" applyBorder="1"/>
    <xf numFmtId="0" fontId="14" fillId="0" borderId="0" xfId="0" applyFont="1"/>
    <xf numFmtId="0" fontId="16" fillId="0" borderId="0" xfId="0" applyFont="1"/>
    <xf numFmtId="0" fontId="17" fillId="0" borderId="0" xfId="0" applyFont="1"/>
    <xf numFmtId="0" fontId="18" fillId="0" borderId="0" xfId="0" applyFont="1"/>
    <xf numFmtId="0" fontId="0" fillId="2" borderId="17" xfId="0" applyFill="1" applyBorder="1"/>
    <xf numFmtId="0" fontId="0" fillId="2" borderId="19" xfId="0" applyFill="1" applyBorder="1"/>
    <xf numFmtId="0" fontId="0" fillId="2" borderId="20" xfId="0" applyFill="1" applyBorder="1"/>
    <xf numFmtId="0" fontId="0" fillId="2" borderId="21" xfId="0" applyFill="1" applyBorder="1"/>
    <xf numFmtId="0" fontId="0" fillId="2" borderId="22" xfId="0" applyFill="1" applyBorder="1"/>
    <xf numFmtId="0" fontId="0" fillId="2" borderId="23" xfId="0" applyFill="1" applyBorder="1"/>
    <xf numFmtId="0" fontId="0" fillId="2" borderId="24" xfId="0" applyFill="1" applyBorder="1"/>
    <xf numFmtId="0" fontId="0" fillId="2" borderId="25" xfId="0" applyFill="1" applyBorder="1"/>
    <xf numFmtId="0" fontId="0" fillId="2" borderId="26" xfId="0" applyFill="1" applyBorder="1"/>
    <xf numFmtId="0" fontId="13" fillId="0" borderId="0" xfId="0" applyFont="1" applyAlignment="1">
      <alignment horizontal="center"/>
    </xf>
    <xf numFmtId="0" fontId="13" fillId="0" borderId="0" xfId="0" applyFont="1" applyAlignment="1">
      <alignment horizontal="right"/>
    </xf>
    <xf numFmtId="0" fontId="0" fillId="5" borderId="0" xfId="0" applyFill="1"/>
    <xf numFmtId="0" fontId="13" fillId="0" borderId="18" xfId="0" applyFont="1" applyBorder="1"/>
    <xf numFmtId="0" fontId="3" fillId="0" borderId="17" xfId="0" applyFont="1" applyBorder="1"/>
    <xf numFmtId="0" fontId="0" fillId="0" borderId="27" xfId="0" applyBorder="1"/>
    <xf numFmtId="0" fontId="0" fillId="0" borderId="28" xfId="0" applyBorder="1"/>
    <xf numFmtId="0" fontId="0" fillId="0" borderId="12" xfId="0" applyBorder="1"/>
    <xf numFmtId="0" fontId="0" fillId="0" borderId="11" xfId="0" applyBorder="1"/>
    <xf numFmtId="0" fontId="0" fillId="0" borderId="29" xfId="0" applyBorder="1"/>
    <xf numFmtId="0" fontId="0" fillId="0" borderId="30" xfId="0" applyBorder="1"/>
    <xf numFmtId="0" fontId="1" fillId="0" borderId="0" xfId="0" applyFont="1" applyAlignment="1">
      <alignment horizontal="right"/>
    </xf>
    <xf numFmtId="0" fontId="19" fillId="0" borderId="0" xfId="0" applyFont="1" applyAlignment="1">
      <alignment horizontal="right"/>
    </xf>
    <xf numFmtId="0" fontId="1" fillId="2" borderId="0" xfId="0" applyFont="1" applyFill="1" applyAlignment="1">
      <alignment horizontal="right"/>
    </xf>
    <xf numFmtId="0" fontId="19" fillId="2" borderId="0" xfId="0" applyFont="1" applyFill="1" applyAlignment="1">
      <alignment horizontal="right"/>
    </xf>
    <xf numFmtId="0" fontId="3" fillId="0" borderId="1" xfId="0" applyFont="1" applyBorder="1"/>
    <xf numFmtId="0" fontId="20" fillId="0" borderId="0" xfId="0" applyFont="1"/>
    <xf numFmtId="0" fontId="20" fillId="0" borderId="11" xfId="0" applyFont="1" applyBorder="1"/>
    <xf numFmtId="0" fontId="20" fillId="0" borderId="12" xfId="0" applyFont="1" applyBorder="1"/>
    <xf numFmtId="0" fontId="20" fillId="2" borderId="0" xfId="0" applyFont="1" applyFill="1"/>
    <xf numFmtId="0" fontId="2" fillId="0" borderId="15" xfId="0" applyFont="1" applyBorder="1"/>
    <xf numFmtId="0" fontId="18" fillId="6" borderId="0" xfId="0" applyFont="1" applyFill="1" applyAlignment="1">
      <alignment wrapText="1"/>
    </xf>
    <xf numFmtId="0" fontId="0" fillId="0" borderId="10" xfId="0" quotePrefix="1" applyBorder="1"/>
  </cellXfs>
  <cellStyles count="3">
    <cellStyle name="Hyperlink" xfId="1" builtinId="8"/>
    <cellStyle name="Normal" xfId="0" builtinId="0"/>
    <cellStyle name="Per cent 2" xfId="2" xr:uid="{905027FE-9333-1A4A-81D0-E99E9246473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1.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[Module6.xlsm]M6.2 - Pivot chart!PivotTable4</c:name>
    <c:fmtId val="4"/>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'M6.2 - Pivot chart'!$B$3</c:f>
              <c:strCache>
                <c:ptCount val="1"/>
                <c:pt idx="0">
                  <c:v>Sum of matches_played</c:v>
                </c:pt>
              </c:strCache>
            </c:strRef>
          </c:tx>
          <c:spPr>
            <a:solidFill>
              <a:schemeClr val="accent1"/>
            </a:solidFill>
            <a:ln>
              <a:noFill/>
            </a:ln>
            <a:effectLst/>
          </c:spPr>
          <c:invertIfNegative val="0"/>
          <c:cat>
            <c:strRef>
              <c:f>'M6.2 - Pivot chart'!$A$4:$A$11</c:f>
              <c:strCache>
                <c:ptCount val="7"/>
                <c:pt idx="0">
                  <c:v>1995</c:v>
                </c:pt>
                <c:pt idx="1">
                  <c:v>1999</c:v>
                </c:pt>
                <c:pt idx="2">
                  <c:v>2003</c:v>
                </c:pt>
                <c:pt idx="3">
                  <c:v>2007</c:v>
                </c:pt>
                <c:pt idx="4">
                  <c:v>2011</c:v>
                </c:pt>
                <c:pt idx="5">
                  <c:v>2015</c:v>
                </c:pt>
                <c:pt idx="6">
                  <c:v>2019</c:v>
                </c:pt>
              </c:strCache>
            </c:strRef>
          </c:cat>
          <c:val>
            <c:numRef>
              <c:f>'M6.2 - Pivot chart'!$B$4:$B$11</c:f>
              <c:numCache>
                <c:formatCode>General</c:formatCode>
                <c:ptCount val="7"/>
                <c:pt idx="0">
                  <c:v>3</c:v>
                </c:pt>
                <c:pt idx="1">
                  <c:v>3</c:v>
                </c:pt>
                <c:pt idx="2">
                  <c:v>3</c:v>
                </c:pt>
                <c:pt idx="3">
                  <c:v>4</c:v>
                </c:pt>
                <c:pt idx="4">
                  <c:v>4</c:v>
                </c:pt>
                <c:pt idx="5">
                  <c:v>5</c:v>
                </c:pt>
                <c:pt idx="6">
                  <c:v>4</c:v>
                </c:pt>
              </c:numCache>
            </c:numRef>
          </c:val>
          <c:extLst>
            <c:ext xmlns:c16="http://schemas.microsoft.com/office/drawing/2014/chart" uri="{C3380CC4-5D6E-409C-BE32-E72D297353CC}">
              <c16:uniqueId val="{00000000-DB96-4667-A91C-18020170F659}"/>
            </c:ext>
          </c:extLst>
        </c:ser>
        <c:ser>
          <c:idx val="1"/>
          <c:order val="1"/>
          <c:tx>
            <c:strRef>
              <c:f>'M6.2 - Pivot chart'!$C$3</c:f>
              <c:strCache>
                <c:ptCount val="1"/>
                <c:pt idx="0">
                  <c:v>Sum of goals</c:v>
                </c:pt>
              </c:strCache>
            </c:strRef>
          </c:tx>
          <c:spPr>
            <a:solidFill>
              <a:schemeClr val="accent2"/>
            </a:solidFill>
            <a:ln>
              <a:noFill/>
            </a:ln>
            <a:effectLst/>
          </c:spPr>
          <c:invertIfNegative val="0"/>
          <c:cat>
            <c:strRef>
              <c:f>'M6.2 - Pivot chart'!$A$4:$A$11</c:f>
              <c:strCache>
                <c:ptCount val="7"/>
                <c:pt idx="0">
                  <c:v>1995</c:v>
                </c:pt>
                <c:pt idx="1">
                  <c:v>1999</c:v>
                </c:pt>
                <c:pt idx="2">
                  <c:v>2003</c:v>
                </c:pt>
                <c:pt idx="3">
                  <c:v>2007</c:v>
                </c:pt>
                <c:pt idx="4">
                  <c:v>2011</c:v>
                </c:pt>
                <c:pt idx="5">
                  <c:v>2015</c:v>
                </c:pt>
                <c:pt idx="6">
                  <c:v>2019</c:v>
                </c:pt>
              </c:strCache>
            </c:strRef>
          </c:cat>
          <c:val>
            <c:numRef>
              <c:f>'M6.2 - Pivot chart'!$C$4:$C$11</c:f>
              <c:numCache>
                <c:formatCode>General</c:formatCode>
                <c:ptCount val="7"/>
                <c:pt idx="0">
                  <c:v>3</c:v>
                </c:pt>
                <c:pt idx="1">
                  <c:v>3</c:v>
                </c:pt>
                <c:pt idx="2">
                  <c:v>3</c:v>
                </c:pt>
                <c:pt idx="3">
                  <c:v>9</c:v>
                </c:pt>
                <c:pt idx="4">
                  <c:v>6</c:v>
                </c:pt>
                <c:pt idx="5">
                  <c:v>5</c:v>
                </c:pt>
                <c:pt idx="6">
                  <c:v>8</c:v>
                </c:pt>
              </c:numCache>
            </c:numRef>
          </c:val>
          <c:extLst>
            <c:ext xmlns:c16="http://schemas.microsoft.com/office/drawing/2014/chart" uri="{C3380CC4-5D6E-409C-BE32-E72D297353CC}">
              <c16:uniqueId val="{00000001-DB96-4667-A91C-18020170F659}"/>
            </c:ext>
          </c:extLst>
        </c:ser>
        <c:dLbls>
          <c:showLegendKey val="0"/>
          <c:showVal val="0"/>
          <c:showCatName val="0"/>
          <c:showSerName val="0"/>
          <c:showPercent val="0"/>
          <c:showBubbleSize val="0"/>
        </c:dLbls>
        <c:gapWidth val="219"/>
        <c:axId val="408426607"/>
        <c:axId val="2039344704"/>
      </c:barChart>
      <c:lineChart>
        <c:grouping val="standard"/>
        <c:varyColors val="0"/>
        <c:ser>
          <c:idx val="2"/>
          <c:order val="2"/>
          <c:tx>
            <c:strRef>
              <c:f>'M6.2 - Pivot chart'!$D$3</c:f>
              <c:strCache>
                <c:ptCount val="1"/>
                <c:pt idx="0">
                  <c:v>Average of possesion</c:v>
                </c:pt>
              </c:strCache>
            </c:strRef>
          </c:tx>
          <c:spPr>
            <a:ln w="28575" cap="rnd">
              <a:solidFill>
                <a:schemeClr val="accent3"/>
              </a:solidFill>
              <a:round/>
            </a:ln>
            <a:effectLst/>
          </c:spPr>
          <c:marker>
            <c:symbol val="none"/>
          </c:marker>
          <c:cat>
            <c:strRef>
              <c:f>'M6.2 - Pivot chart'!$A$4:$A$11</c:f>
              <c:strCache>
                <c:ptCount val="7"/>
                <c:pt idx="0">
                  <c:v>1995</c:v>
                </c:pt>
                <c:pt idx="1">
                  <c:v>1999</c:v>
                </c:pt>
                <c:pt idx="2">
                  <c:v>2003</c:v>
                </c:pt>
                <c:pt idx="3">
                  <c:v>2007</c:v>
                </c:pt>
                <c:pt idx="4">
                  <c:v>2011</c:v>
                </c:pt>
                <c:pt idx="5">
                  <c:v>2015</c:v>
                </c:pt>
                <c:pt idx="6">
                  <c:v>2019</c:v>
                </c:pt>
              </c:strCache>
            </c:strRef>
          </c:cat>
          <c:val>
            <c:numRef>
              <c:f>'M6.2 - Pivot chart'!$D$4:$D$11</c:f>
              <c:numCache>
                <c:formatCode>General</c:formatCode>
                <c:ptCount val="7"/>
                <c:pt idx="2">
                  <c:v>49</c:v>
                </c:pt>
                <c:pt idx="3">
                  <c:v>48.3</c:v>
                </c:pt>
                <c:pt idx="4">
                  <c:v>53.5</c:v>
                </c:pt>
                <c:pt idx="5">
                  <c:v>46.2</c:v>
                </c:pt>
                <c:pt idx="6">
                  <c:v>61.3</c:v>
                </c:pt>
              </c:numCache>
            </c:numRef>
          </c:val>
          <c:smooth val="0"/>
          <c:extLst>
            <c:ext xmlns:c16="http://schemas.microsoft.com/office/drawing/2014/chart" uri="{C3380CC4-5D6E-409C-BE32-E72D297353CC}">
              <c16:uniqueId val="{00000002-DB96-4667-A91C-18020170F659}"/>
            </c:ext>
          </c:extLst>
        </c:ser>
        <c:dLbls>
          <c:showLegendKey val="0"/>
          <c:showVal val="0"/>
          <c:showCatName val="0"/>
          <c:showSerName val="0"/>
          <c:showPercent val="0"/>
          <c:showBubbleSize val="0"/>
        </c:dLbls>
        <c:marker val="1"/>
        <c:smooth val="0"/>
        <c:axId val="2091505488"/>
        <c:axId val="2091503760"/>
      </c:lineChart>
      <c:catAx>
        <c:axId val="4084266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9344704"/>
        <c:crosses val="autoZero"/>
        <c:auto val="1"/>
        <c:lblAlgn val="ctr"/>
        <c:lblOffset val="100"/>
        <c:noMultiLvlLbl val="0"/>
      </c:catAx>
      <c:valAx>
        <c:axId val="20393447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426607"/>
        <c:crosses val="autoZero"/>
        <c:crossBetween val="between"/>
      </c:valAx>
      <c:valAx>
        <c:axId val="2091503760"/>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1505488"/>
        <c:crosses val="max"/>
        <c:crossBetween val="between"/>
      </c:valAx>
      <c:catAx>
        <c:axId val="2091505488"/>
        <c:scaling>
          <c:orientation val="minMax"/>
        </c:scaling>
        <c:delete val="1"/>
        <c:axPos val="b"/>
        <c:numFmt formatCode="General" sourceLinked="1"/>
        <c:majorTickMark val="out"/>
        <c:minorTickMark val="none"/>
        <c:tickLblPos val="nextTo"/>
        <c:crossAx val="2091503760"/>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_xlchart.v1.1</cx:f>
      </cx:numDim>
    </cx:data>
  </cx:chartData>
  <cx:chart>
    <cx:title pos="t" align="ctr" overlay="0">
      <cx:tx>
        <cx:txData>
          <cx:v>Simulated U(0,1)</cx:v>
        </cx:txData>
      </cx:tx>
      <cx:txPr>
        <a:bodyPr vertOverflow="overflow" horzOverflow="overflow" wrap="square" lIns="0" tIns="0" rIns="0" bIns="0"/>
        <a:lstStyle/>
        <a:p>
          <a:pPr algn="ctr" rtl="0">
            <a:defRPr sz="1400" b="0" i="0">
              <a:solidFill>
                <a:srgbClr val="7F7F7F"/>
              </a:solidFill>
              <a:latin typeface="Calibri" panose="020F0502020204030204" pitchFamily="34" charset="0"/>
              <a:ea typeface="Calibri" panose="020F0502020204030204" pitchFamily="34" charset="0"/>
              <a:cs typeface="Calibri" panose="020F0502020204030204" pitchFamily="34" charset="0"/>
            </a:defRPr>
          </a:pPr>
          <a:r>
            <a:t>Simulated U(0,1)</a:t>
          </a:r>
        </a:p>
      </cx:txPr>
    </cx:title>
    <cx:plotArea>
      <cx:plotAreaRegion>
        <cx:series layoutId="clusteredColumn" uniqueId="{F0B8C912-EE1A-4FB5-9F75-1FD9082BA9B6}">
          <cx:tx>
            <cx:txData>
              <cx:f>_xlchart.v1.0</cx:f>
              <cx:v>=RANDARRAY(10000)</cx:v>
            </cx:txData>
          </cx:tx>
          <cx:data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dataLabels>
          <cx:dataId val="0"/>
          <cx:layoutPr>
            <cx:binning intervalClosed="r">
              <cx:binSize val="0.050000000000000003"/>
            </cx:binning>
          </cx:layoutPr>
        </cx:series>
      </cx:plotAreaRegion>
      <cx:axis id="0">
        <cx:catScaling gapWidth="0"/>
        <cx:tickLabels/>
        <cx:numFmt formatCode="#,##0.00" sourceLinked="0"/>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axis id="1">
        <cx:valScaling max="1000" min="0"/>
        <cx:majorGridlines/>
        <cx:tick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numDim type="val">
        <cx:f>_xlchart.v1.3</cx:f>
      </cx:numDim>
    </cx:data>
  </cx:chartData>
  <cx:chart>
    <cx:title pos="t" align="ctr" overlay="0">
      <cx:tx>
        <cx:txData>
          <cx:v>Simulated N(0,1)</cx:v>
        </cx:txData>
      </cx:tx>
      <cx:txPr>
        <a:bodyPr vertOverflow="overflow" horzOverflow="overflow" wrap="square" lIns="0" tIns="0" rIns="0" bIns="0"/>
        <a:lstStyle/>
        <a:p>
          <a:pPr algn="ctr" rtl="0">
            <a:defRPr sz="1400" b="0" i="0">
              <a:solidFill>
                <a:srgbClr val="7F7F7F"/>
              </a:solidFill>
              <a:latin typeface="Calibri" panose="020F0502020204030204" pitchFamily="34" charset="0"/>
              <a:ea typeface="Calibri" panose="020F0502020204030204" pitchFamily="34" charset="0"/>
              <a:cs typeface="Calibri" panose="020F0502020204030204" pitchFamily="34" charset="0"/>
            </a:defRPr>
          </a:pPr>
          <a:r>
            <a:t>Simulated N(0,1)</a:t>
          </a:r>
        </a:p>
      </cx:txPr>
    </cx:title>
    <cx:plotArea>
      <cx:plotAreaRegion>
        <cx:series layoutId="clusteredColumn" uniqueId="{1692C4DA-5B04-49FA-9E9F-A2137BED9647}">
          <cx:dataId val="0"/>
          <cx:layoutPr>
            <cx:binning intervalClosed="r">
              <cx:binSize val="0.10000000000000001"/>
            </cx:binning>
          </cx:layoutPr>
        </cx:series>
      </cx:plotAreaRegion>
      <cx:axis id="0">
        <cx:catScaling gapWidth="0"/>
        <cx:tickLabels/>
        <cx:numFmt formatCode="#,##0.00" sourceLinked="0"/>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axis id="1">
        <cx:valScaling/>
        <cx:majorGridlines/>
        <cx:tick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plotArea>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numDim type="val">
        <cx:f>_xlchart.v1.2</cx:f>
      </cx:numDim>
    </cx:data>
  </cx:chartData>
  <cx:chart>
    <cx:title pos="t" align="ctr" overlay="0">
      <cx:tx>
        <cx:txData>
          <cx:v>Simulated Gamma(10,5)</cx:v>
        </cx:txData>
      </cx:tx>
      <cx:txPr>
        <a:bodyPr vertOverflow="overflow" horzOverflow="overflow" wrap="square" lIns="0" tIns="0" rIns="0" bIns="0"/>
        <a:lstStyle/>
        <a:p>
          <a:pPr algn="ctr" rtl="0">
            <a:defRPr sz="1400" b="0" i="0">
              <a:solidFill>
                <a:srgbClr val="7F7F7F"/>
              </a:solidFill>
              <a:latin typeface="Calibri" panose="020F0502020204030204" pitchFamily="34" charset="0"/>
              <a:ea typeface="Calibri" panose="020F0502020204030204" pitchFamily="34" charset="0"/>
              <a:cs typeface="Calibri" panose="020F0502020204030204" pitchFamily="34" charset="0"/>
            </a:defRPr>
          </a:pPr>
          <a:r>
            <a:t>Simulated Gamma(10,5)</a:t>
          </a:r>
        </a:p>
      </cx:txPr>
    </cx:title>
    <cx:plotArea>
      <cx:plotAreaRegion>
        <cx:series layoutId="clusteredColumn" uniqueId="{8445B9F1-82DF-49F7-9362-A52051D3C46F}">
          <cx:dataId val="0"/>
          <cx:layoutPr>
            <cx:binning intervalClosed="r"/>
          </cx:layoutPr>
        </cx:series>
      </cx:plotAreaRegion>
      <cx:axis id="0">
        <cx:catScaling gapWidth="0"/>
        <cx:tickLabels/>
        <cx:numFmt formatCode="#,##0.00" sourceLinked="0"/>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axis id="1">
        <cx:valScaling/>
        <cx:majorGridlines/>
        <cx:tick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microsoft.com/office/2014/relationships/chartEx" Target="../charts/chartEx3.xml"/><Relationship Id="rId2" Type="http://schemas.microsoft.com/office/2014/relationships/chartEx" Target="../charts/chartEx2.xml"/><Relationship Id="rId1" Type="http://schemas.microsoft.com/office/2014/relationships/chartEx" Target="../charts/chartEx1.xml"/></Relationships>
</file>

<file path=xl/drawings/_rels/drawing4.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 Id="rId6" Type="http://schemas.openxmlformats.org/officeDocument/2006/relationships/image" Target="../media/image4.png"/><Relationship Id="rId5" Type="http://schemas.microsoft.com/office/2007/relationships/hdphoto" Target="../media/hdphoto2.wdp"/><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oneCellAnchor>
    <xdr:from>
      <xdr:col>10</xdr:col>
      <xdr:colOff>431800</xdr:colOff>
      <xdr:row>32</xdr:row>
      <xdr:rowOff>82550</xdr:rowOff>
    </xdr:from>
    <xdr:ext cx="65" cy="172227"/>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8686800" y="683895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GB" sz="1100"/>
        </a:p>
      </xdr:txBody>
    </xdr:sp>
    <xdr:clientData/>
  </xdr:oneCellAnchor>
</xdr:wsDr>
</file>

<file path=xl/drawings/drawing2.xml><?xml version="1.0" encoding="utf-8"?>
<xdr:wsDr xmlns:xdr="http://schemas.openxmlformats.org/drawingml/2006/spreadsheetDrawing" xmlns:a="http://schemas.openxmlformats.org/drawingml/2006/main">
  <xdr:twoCellAnchor editAs="oneCell">
    <xdr:from>
      <xdr:col>1</xdr:col>
      <xdr:colOff>88900</xdr:colOff>
      <xdr:row>16</xdr:row>
      <xdr:rowOff>25400</xdr:rowOff>
    </xdr:from>
    <xdr:to>
      <xdr:col>2</xdr:col>
      <xdr:colOff>304800</xdr:colOff>
      <xdr:row>29</xdr:row>
      <xdr:rowOff>3172</xdr:rowOff>
    </xdr:to>
    <mc:AlternateContent xmlns:mc="http://schemas.openxmlformats.org/markup-compatibility/2006" xmlns:a14="http://schemas.microsoft.com/office/drawing/2010/main">
      <mc:Choice Requires="a14">
        <xdr:graphicFrame macro="">
          <xdr:nvGraphicFramePr>
            <xdr:cNvPr id="3" name="squad">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squad"/>
            </a:graphicData>
          </a:graphic>
        </xdr:graphicFrame>
      </mc:Choice>
      <mc:Fallback xmlns="">
        <xdr:sp macro="" textlink="">
          <xdr:nvSpPr>
            <xdr:cNvPr id="0" name=""/>
            <xdr:cNvSpPr>
              <a:spLocks noTextEdit="1"/>
            </xdr:cNvSpPr>
          </xdr:nvSpPr>
          <xdr:spPr>
            <a:xfrm>
              <a:off x="1079500" y="3276600"/>
              <a:ext cx="1828800" cy="2619372"/>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695325</xdr:colOff>
      <xdr:row>0</xdr:row>
      <xdr:rowOff>161925</xdr:rowOff>
    </xdr:from>
    <xdr:to>
      <xdr:col>18</xdr:col>
      <xdr:colOff>203200</xdr:colOff>
      <xdr:row>36</xdr:row>
      <xdr:rowOff>123825</xdr:rowOff>
    </xdr:to>
    <xdr:graphicFrame macro="">
      <xdr:nvGraphicFramePr>
        <xdr:cNvPr id="4" name="圖表 3">
          <a:extLst>
            <a:ext uri="{FF2B5EF4-FFF2-40B4-BE49-F238E27FC236}">
              <a16:creationId xmlns:a16="http://schemas.microsoft.com/office/drawing/2014/main" id="{00000000-0008-0000-0400-000004000000}"/>
            </a:ext>
            <a:ext uri="{147F2762-F138-4A5C-976F-8EAC2B608ADB}">
              <a16:predDERef xmlns:a16="http://schemas.microsoft.com/office/drawing/2014/main" pred="{391C3527-C6FA-3533-7E21-BBB72A6D53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9525</xdr:colOff>
      <xdr:row>14</xdr:row>
      <xdr:rowOff>0</xdr:rowOff>
    </xdr:from>
    <xdr:to>
      <xdr:col>9</xdr:col>
      <xdr:colOff>466725</xdr:colOff>
      <xdr:row>27</xdr:row>
      <xdr:rowOff>142875</xdr:rowOff>
    </xdr:to>
    <mc:AlternateContent xmlns:mc="http://schemas.openxmlformats.org/markup-compatibility/2006">
      <mc:Choice xmlns:cx1="http://schemas.microsoft.com/office/drawing/2015/9/8/chartex" Requires="cx1">
        <xdr:graphicFrame macro="">
          <xdr:nvGraphicFramePr>
            <xdr:cNvPr id="3" name="圖表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2028825" y="2844800"/>
              <a:ext cx="4495800" cy="2784475"/>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15</xdr:col>
      <xdr:colOff>114300</xdr:colOff>
      <xdr:row>3</xdr:row>
      <xdr:rowOff>47625</xdr:rowOff>
    </xdr:from>
    <xdr:to>
      <xdr:col>22</xdr:col>
      <xdr:colOff>276225</xdr:colOff>
      <xdr:row>16</xdr:row>
      <xdr:rowOff>190500</xdr:rowOff>
    </xdr:to>
    <mc:AlternateContent xmlns:mc="http://schemas.openxmlformats.org/markup-compatibility/2006">
      <mc:Choice xmlns:cx1="http://schemas.microsoft.com/office/drawing/2015/9/8/chartex" Requires="cx1">
        <xdr:graphicFrame macro="">
          <xdr:nvGraphicFramePr>
            <xdr:cNvPr id="4" name="圖表 3">
              <a:extLst>
                <a:ext uri="{FF2B5EF4-FFF2-40B4-BE49-F238E27FC236}">
                  <a16:creationId xmlns:a16="http://schemas.microsoft.com/office/drawing/2014/main" id="{00000000-0008-0000-0800-000004000000}"/>
                </a:ext>
                <a:ext uri="{147F2762-F138-4A5C-976F-8EAC2B608ADB}">
                  <a16:predDERef xmlns:a16="http://schemas.microsoft.com/office/drawing/2014/main" pred="{6AECB59A-E807-A6CE-27E5-50C505B5B122}"/>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10223500" y="657225"/>
              <a:ext cx="4873625" cy="2784475"/>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24</xdr:col>
      <xdr:colOff>104775</xdr:colOff>
      <xdr:row>3</xdr:row>
      <xdr:rowOff>0</xdr:rowOff>
    </xdr:from>
    <xdr:to>
      <xdr:col>30</xdr:col>
      <xdr:colOff>619125</xdr:colOff>
      <xdr:row>16</xdr:row>
      <xdr:rowOff>142875</xdr:rowOff>
    </xdr:to>
    <mc:AlternateContent xmlns:mc="http://schemas.openxmlformats.org/markup-compatibility/2006">
      <mc:Choice xmlns:cx1="http://schemas.microsoft.com/office/drawing/2015/9/8/chartex" Requires="cx1">
        <xdr:graphicFrame macro="">
          <xdr:nvGraphicFramePr>
            <xdr:cNvPr id="5" name="圖表 4">
              <a:extLst>
                <a:ext uri="{FF2B5EF4-FFF2-40B4-BE49-F238E27FC236}">
                  <a16:creationId xmlns:a16="http://schemas.microsoft.com/office/drawing/2014/main" id="{00000000-0008-0000-0800-000005000000}"/>
                </a:ext>
                <a:ext uri="{147F2762-F138-4A5C-976F-8EAC2B608ADB}">
                  <a16:predDERef xmlns:a16="http://schemas.microsoft.com/office/drawing/2014/main" pred="{E6002B3E-A065-EE2C-8D16-28124F50755D}"/>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16271875" y="609600"/>
              <a:ext cx="4552950" cy="2784475"/>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304800</xdr:colOff>
          <xdr:row>2</xdr:row>
          <xdr:rowOff>63500</xdr:rowOff>
        </xdr:from>
        <xdr:to>
          <xdr:col>9</xdr:col>
          <xdr:colOff>279400</xdr:colOff>
          <xdr:row>3</xdr:row>
          <xdr:rowOff>101600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900-000001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recorded_example1</a:t>
              </a:r>
            </a:p>
            <a:p>
              <a:pPr algn="ctr" rtl="0">
                <a:defRPr sz="1000"/>
              </a:pPr>
              <a:endParaRPr lang="en-GB" sz="1200" b="0" i="0" u="none" strike="noStrike" baseline="0">
                <a:solidFill>
                  <a:srgbClr val="000000"/>
                </a:solidFill>
                <a:latin typeface="Calibri" pitchFamily="2" charset="0"/>
                <a:cs typeface="Calibri" pitchFamily="2" charset="0"/>
              </a:endParaRPr>
            </a:p>
          </xdr:txBody>
        </xdr:sp>
        <xdr:clientData fPrintsWithSheet="0"/>
      </xdr:twoCellAnchor>
    </mc:Choice>
    <mc:Fallback/>
  </mc:AlternateContent>
  <xdr:twoCellAnchor>
    <xdr:from>
      <xdr:col>7</xdr:col>
      <xdr:colOff>209549</xdr:colOff>
      <xdr:row>5</xdr:row>
      <xdr:rowOff>66676</xdr:rowOff>
    </xdr:from>
    <xdr:to>
      <xdr:col>9</xdr:col>
      <xdr:colOff>314324</xdr:colOff>
      <xdr:row>7</xdr:row>
      <xdr:rowOff>85726</xdr:rowOff>
    </xdr:to>
    <xdr:sp macro="[0]!recorded_example1" textlink="">
      <xdr:nvSpPr>
        <xdr:cNvPr id="2" name="Cube 1">
          <a:extLst>
            <a:ext uri="{FF2B5EF4-FFF2-40B4-BE49-F238E27FC236}">
              <a16:creationId xmlns:a16="http://schemas.microsoft.com/office/drawing/2014/main" id="{00000000-0008-0000-0900-000002000000}"/>
            </a:ext>
          </a:extLst>
        </xdr:cNvPr>
        <xdr:cNvSpPr/>
      </xdr:nvSpPr>
      <xdr:spPr>
        <a:xfrm>
          <a:off x="5048249" y="1266826"/>
          <a:ext cx="1476375" cy="419100"/>
        </a:xfrm>
        <a:prstGeom prst="cub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recorded_example1</a:t>
          </a:r>
        </a:p>
      </xdr:txBody>
    </xdr:sp>
    <xdr:clientData/>
  </xdr:twoCellAnchor>
  <mc:AlternateContent xmlns:mc="http://schemas.openxmlformats.org/markup-compatibility/2006">
    <mc:Choice xmlns:a14="http://schemas.microsoft.com/office/drawing/2010/main" Requires="a14">
      <xdr:twoCellAnchor editAs="oneCell">
        <xdr:from>
          <xdr:col>14</xdr:col>
          <xdr:colOff>0</xdr:colOff>
          <xdr:row>11</xdr:row>
          <xdr:rowOff>50800</xdr:rowOff>
        </xdr:from>
        <xdr:to>
          <xdr:col>16</xdr:col>
          <xdr:colOff>406400</xdr:colOff>
          <xdr:row>12</xdr:row>
          <xdr:rowOff>101600</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900-000002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recorded_example1_edit</a:t>
              </a:r>
            </a:p>
            <a:p>
              <a:pPr algn="ctr" rtl="0">
                <a:defRPr sz="1000"/>
              </a:pPr>
              <a:endParaRPr lang="en-GB" sz="1200" b="0" i="0" u="none" strike="noStrike" baseline="0">
                <a:solidFill>
                  <a:srgbClr val="000000"/>
                </a:solidFill>
                <a:latin typeface="Calibri" pitchFamily="2" charset="0"/>
                <a:cs typeface="Calibri" pitchFamily="2" charset="0"/>
              </a:endParaRPr>
            </a:p>
          </xdr:txBody>
        </xdr:sp>
        <xdr:clientData fPrintsWithSheet="0"/>
      </xdr:twoCellAnchor>
    </mc:Choice>
    <mc:Fallback/>
  </mc:AlternateContent>
  <xdr:twoCellAnchor editAs="oneCell">
    <xdr:from>
      <xdr:col>12</xdr:col>
      <xdr:colOff>104776</xdr:colOff>
      <xdr:row>15</xdr:row>
      <xdr:rowOff>133350</xdr:rowOff>
    </xdr:from>
    <xdr:to>
      <xdr:col>18</xdr:col>
      <xdr:colOff>588753</xdr:colOff>
      <xdr:row>24</xdr:row>
      <xdr:rowOff>28575</xdr:rowOff>
    </xdr:to>
    <xdr:pic>
      <xdr:nvPicPr>
        <xdr:cNvPr id="4" name="Picture 3">
          <a:extLst>
            <a:ext uri="{FF2B5EF4-FFF2-40B4-BE49-F238E27FC236}">
              <a16:creationId xmlns:a16="http://schemas.microsoft.com/office/drawing/2014/main" id="{00000000-0008-0000-0900-000004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sharpenSoften amount="25000"/>
                  </a14:imgEffect>
                </a14:imgLayer>
              </a14:imgProps>
            </a:ext>
            <a:ext uri="{28A0092B-C50C-407E-A947-70E740481C1C}">
              <a14:useLocalDpi xmlns:a14="http://schemas.microsoft.com/office/drawing/2010/main" val="0"/>
            </a:ext>
          </a:extLst>
        </a:blip>
        <a:stretch>
          <a:fillRect/>
        </a:stretch>
      </xdr:blipFill>
      <xdr:spPr>
        <a:xfrm>
          <a:off x="8372476" y="3324225"/>
          <a:ext cx="4951202" cy="18859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8</xdr:col>
          <xdr:colOff>317500</xdr:colOff>
          <xdr:row>12</xdr:row>
          <xdr:rowOff>139700</xdr:rowOff>
        </xdr:from>
        <xdr:to>
          <xdr:col>10</xdr:col>
          <xdr:colOff>520700</xdr:colOff>
          <xdr:row>17</xdr:row>
          <xdr:rowOff>228600</xdr:rowOff>
        </xdr:to>
        <xdr:sp macro="" textlink="">
          <xdr:nvSpPr>
            <xdr:cNvPr id="11267" name="Button 3" hidden="1">
              <a:extLst>
                <a:ext uri="{63B3BB69-23CF-44E3-9099-C40C66FF867C}">
                  <a14:compatExt spid="_x0000_s11267"/>
                </a:ext>
                <a:ext uri="{FF2B5EF4-FFF2-40B4-BE49-F238E27FC236}">
                  <a16:creationId xmlns:a16="http://schemas.microsoft.com/office/drawing/2014/main" id="{00000000-0008-0000-0900-00000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Click here to clear all formats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23</xdr:col>
          <xdr:colOff>228600</xdr:colOff>
          <xdr:row>14</xdr:row>
          <xdr:rowOff>177800</xdr:rowOff>
        </xdr:from>
        <xdr:to>
          <xdr:col>24</xdr:col>
          <xdr:colOff>596900</xdr:colOff>
          <xdr:row>15</xdr:row>
          <xdr:rowOff>127000</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00000000-0008-0000-0900-00000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Good Profit?</a:t>
              </a:r>
            </a:p>
          </xdr:txBody>
        </xdr:sp>
        <xdr:clientData fPrintsWithSheet="0"/>
      </xdr:twoCellAnchor>
    </mc:Choice>
    <mc:Fallback/>
  </mc:AlternateContent>
  <xdr:twoCellAnchor editAs="oneCell">
    <xdr:from>
      <xdr:col>21</xdr:col>
      <xdr:colOff>104776</xdr:colOff>
      <xdr:row>19</xdr:row>
      <xdr:rowOff>95250</xdr:rowOff>
    </xdr:from>
    <xdr:to>
      <xdr:col>25</xdr:col>
      <xdr:colOff>638176</xdr:colOff>
      <xdr:row>30</xdr:row>
      <xdr:rowOff>88476</xdr:rowOff>
    </xdr:to>
    <xdr:pic>
      <xdr:nvPicPr>
        <xdr:cNvPr id="6" name="Picture 5">
          <a:extLst>
            <a:ext uri="{FF2B5EF4-FFF2-40B4-BE49-F238E27FC236}">
              <a16:creationId xmlns:a16="http://schemas.microsoft.com/office/drawing/2014/main" id="{00000000-0008-0000-0900-00000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4897101" y="4276725"/>
          <a:ext cx="3276600" cy="219350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7</xdr:col>
          <xdr:colOff>25400</xdr:colOff>
          <xdr:row>16</xdr:row>
          <xdr:rowOff>25400</xdr:rowOff>
        </xdr:from>
        <xdr:to>
          <xdr:col>7</xdr:col>
          <xdr:colOff>596900</xdr:colOff>
          <xdr:row>16</xdr:row>
          <xdr:rowOff>266700</xdr:rowOff>
        </xdr:to>
        <xdr:sp macro="" textlink="">
          <xdr:nvSpPr>
            <xdr:cNvPr id="11269" name="Button 5" hidden="1">
              <a:extLst>
                <a:ext uri="{63B3BB69-23CF-44E3-9099-C40C66FF867C}">
                  <a14:compatExt spid="_x0000_s11269"/>
                </a:ext>
                <a:ext uri="{FF2B5EF4-FFF2-40B4-BE49-F238E27FC236}">
                  <a16:creationId xmlns:a16="http://schemas.microsoft.com/office/drawing/2014/main" id="{00000000-0008-0000-0900-000005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Relative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660400</xdr:colOff>
          <xdr:row>14</xdr:row>
          <xdr:rowOff>76200</xdr:rowOff>
        </xdr:from>
        <xdr:to>
          <xdr:col>7</xdr:col>
          <xdr:colOff>673100</xdr:colOff>
          <xdr:row>15</xdr:row>
          <xdr:rowOff>25400</xdr:rowOff>
        </xdr:to>
        <xdr:sp macro="" textlink="">
          <xdr:nvSpPr>
            <xdr:cNvPr id="11270" name="Button 6" hidden="1">
              <a:extLst>
                <a:ext uri="{63B3BB69-23CF-44E3-9099-C40C66FF867C}">
                  <a14:compatExt spid="_x0000_s11270"/>
                </a:ext>
                <a:ext uri="{FF2B5EF4-FFF2-40B4-BE49-F238E27FC236}">
                  <a16:creationId xmlns:a16="http://schemas.microsoft.com/office/drawing/2014/main" id="{00000000-0008-0000-0900-000006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Absolute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28</xdr:col>
          <xdr:colOff>50800</xdr:colOff>
          <xdr:row>4</xdr:row>
          <xdr:rowOff>25400</xdr:rowOff>
        </xdr:from>
        <xdr:to>
          <xdr:col>29</xdr:col>
          <xdr:colOff>520700</xdr:colOff>
          <xdr:row>4</xdr:row>
          <xdr:rowOff>266700</xdr:rowOff>
        </xdr:to>
        <xdr:sp macro="" textlink="">
          <xdr:nvSpPr>
            <xdr:cNvPr id="11271" name="Button 7" hidden="1">
              <a:extLst>
                <a:ext uri="{63B3BB69-23CF-44E3-9099-C40C66FF867C}">
                  <a14:compatExt spid="_x0000_s11271"/>
                </a:ext>
                <a:ext uri="{FF2B5EF4-FFF2-40B4-BE49-F238E27FC236}">
                  <a16:creationId xmlns:a16="http://schemas.microsoft.com/office/drawing/2014/main" id="{00000000-0008-0000-0900-000007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Print numbers</a:t>
              </a:r>
            </a:p>
          </xdr:txBody>
        </xdr:sp>
        <xdr:clientData fPrintsWithSheet="0"/>
      </xdr:twoCellAnchor>
    </mc:Choice>
    <mc:Fallback/>
  </mc:AlternateContent>
  <xdr:twoCellAnchor editAs="oneCell">
    <xdr:from>
      <xdr:col>30</xdr:col>
      <xdr:colOff>209550</xdr:colOff>
      <xdr:row>4</xdr:row>
      <xdr:rowOff>38100</xdr:rowOff>
    </xdr:from>
    <xdr:to>
      <xdr:col>35</xdr:col>
      <xdr:colOff>495300</xdr:colOff>
      <xdr:row>14</xdr:row>
      <xdr:rowOff>104102</xdr:rowOff>
    </xdr:to>
    <xdr:pic>
      <xdr:nvPicPr>
        <xdr:cNvPr id="8" name="Picture 7">
          <a:extLst>
            <a:ext uri="{FF2B5EF4-FFF2-40B4-BE49-F238E27FC236}">
              <a16:creationId xmlns:a16="http://schemas.microsoft.com/office/drawing/2014/main" id="{00000000-0008-0000-0900-000008000000}"/>
            </a:ext>
          </a:extLst>
        </xdr:cNvPr>
        <xdr:cNvPicPr>
          <a:picLocks noChangeAspect="1"/>
        </xdr:cNvPicPr>
      </xdr:nvPicPr>
      <xdr:blipFill>
        <a:blip xmlns:r="http://schemas.openxmlformats.org/officeDocument/2006/relationships" r:embed="rId4">
          <a:extLst>
            <a:ext uri="{BEBA8EAE-BF5A-486C-A8C5-ECC9F3942E4B}">
              <a14:imgProps xmlns:a14="http://schemas.microsoft.com/office/drawing/2010/main">
                <a14:imgLayer r:embed="rId5">
                  <a14:imgEffect>
                    <a14:sharpenSoften amount="25000"/>
                  </a14:imgEffect>
                </a14:imgLayer>
              </a14:imgProps>
            </a:ext>
            <a:ext uri="{28A0092B-C50C-407E-A947-70E740481C1C}">
              <a14:useLocalDpi xmlns:a14="http://schemas.microsoft.com/office/drawing/2010/main" val="0"/>
            </a:ext>
          </a:extLst>
        </a:blip>
        <a:stretch>
          <a:fillRect/>
        </a:stretch>
      </xdr:blipFill>
      <xdr:spPr>
        <a:xfrm>
          <a:off x="21174075" y="838200"/>
          <a:ext cx="3714750" cy="235200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37</xdr:col>
          <xdr:colOff>190500</xdr:colOff>
          <xdr:row>4</xdr:row>
          <xdr:rowOff>25400</xdr:rowOff>
        </xdr:from>
        <xdr:to>
          <xdr:col>39</xdr:col>
          <xdr:colOff>292100</xdr:colOff>
          <xdr:row>4</xdr:row>
          <xdr:rowOff>266700</xdr:rowOff>
        </xdr:to>
        <xdr:sp macro="" textlink="">
          <xdr:nvSpPr>
            <xdr:cNvPr id="11272" name="Button 8" hidden="1">
              <a:extLst>
                <a:ext uri="{63B3BB69-23CF-44E3-9099-C40C66FF867C}">
                  <a14:compatExt spid="_x0000_s11272"/>
                </a:ext>
                <a:ext uri="{FF2B5EF4-FFF2-40B4-BE49-F238E27FC236}">
                  <a16:creationId xmlns:a16="http://schemas.microsoft.com/office/drawing/2014/main" id="{00000000-0008-0000-0900-000008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Print numbers (While)</a:t>
              </a:r>
            </a:p>
          </xdr:txBody>
        </xdr:sp>
        <xdr:clientData fPrintsWithSheet="0"/>
      </xdr:twoCellAnchor>
    </mc:Choice>
    <mc:Fallback/>
  </mc:AlternateContent>
  <xdr:twoCellAnchor editAs="oneCell">
    <xdr:from>
      <xdr:col>39</xdr:col>
      <xdr:colOff>66675</xdr:colOff>
      <xdr:row>5</xdr:row>
      <xdr:rowOff>190500</xdr:rowOff>
    </xdr:from>
    <xdr:to>
      <xdr:col>43</xdr:col>
      <xdr:colOff>638638</xdr:colOff>
      <xdr:row>17</xdr:row>
      <xdr:rowOff>67046</xdr:rowOff>
    </xdr:to>
    <xdr:pic>
      <xdr:nvPicPr>
        <xdr:cNvPr id="10" name="Picture 9">
          <a:extLst>
            <a:ext uri="{FF2B5EF4-FFF2-40B4-BE49-F238E27FC236}">
              <a16:creationId xmlns:a16="http://schemas.microsoft.com/office/drawing/2014/main" id="{00000000-0008-0000-0900-00000A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7203400" y="1285875"/>
          <a:ext cx="3315163" cy="2657846"/>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Benjamin Avanzi" id="{41D526D4-9D67-3148-83A7-7F4FDCAD8DB6}" userId="S::b.avanzi@unimelb.edu.au::4c1a0c65-cf17-4469-a7d7-15c887ee25bb"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5158.870142939813" createdVersion="8" refreshedVersion="8" minRefreshableVersion="3" recordCount="136" xr:uid="{61FC52FC-B3E2-3643-BB68-795569812EE9}">
  <cacheSource type="worksheet">
    <worksheetSource ref="A3:V139" sheet="FIFA WWC"/>
  </cacheSource>
  <cacheFields count="22">
    <cacheField name="id" numFmtId="0">
      <sharedItems containsSemiMixedTypes="0" containsString="0" containsNumber="1" containsInteger="1" minValue="1" maxValue="136"/>
    </cacheField>
    <cacheField name="squad" numFmtId="0">
      <sharedItems count="36">
        <s v="Argentina"/>
        <s v="Australia"/>
        <s v="Brazil"/>
        <s v="Cameroon"/>
        <s v="Canada"/>
        <s v="Chile"/>
        <s v="China PR"/>
        <s v="England"/>
        <s v="France"/>
        <s v="Germany"/>
        <s v="Italy"/>
        <s v="Jamaica"/>
        <s v="Japan"/>
        <s v="Korea Rep"/>
        <s v="Netherlands"/>
        <s v="New Zealand"/>
        <s v="Nigeria"/>
        <s v="Norway"/>
        <s v="Scotland"/>
        <s v="South Africa"/>
        <s v="Spain"/>
        <s v="Sweden"/>
        <s v="Thailand"/>
        <s v="USA"/>
        <s v="Colombia"/>
        <s v="Costa Rica"/>
        <s v="C√¥te d'Ivoire"/>
        <s v="Ecuador"/>
        <s v="Mexico"/>
        <s v="Switzerland"/>
        <s v="Equ. Guinea"/>
        <s v="Korea DPR"/>
        <s v="Denmark"/>
        <s v="Ghana"/>
        <s v="Russia"/>
        <s v="Chinese Taipei"/>
      </sharedItems>
    </cacheField>
    <cacheField name="year" numFmtId="0">
      <sharedItems containsSemiMixedTypes="0" containsString="0" containsNumber="1" containsInteger="1" minValue="1991" maxValue="2019" count="8">
        <n v="2019"/>
        <n v="2015"/>
        <n v="2011"/>
        <n v="2007"/>
        <n v="2003"/>
        <n v="1999"/>
        <n v="1995"/>
        <n v="1991"/>
      </sharedItems>
    </cacheField>
    <cacheField name="players" numFmtId="0">
      <sharedItems containsSemiMixedTypes="0" containsString="0" containsNumber="1" containsInteger="1" minValue="13" maxValue="23" count="11">
        <n v="18"/>
        <n v="20"/>
        <n v="16"/>
        <n v="17"/>
        <n v="22"/>
        <n v="19"/>
        <n v="21"/>
        <n v="15"/>
        <n v="23"/>
        <n v="14"/>
        <n v="13"/>
      </sharedItems>
    </cacheField>
    <cacheField name="age" numFmtId="0">
      <sharedItems containsSemiMixedTypes="0" containsString="0" containsNumber="1" minValue="18.2" maxValue="29.7"/>
    </cacheField>
    <cacheField name="possesion" numFmtId="0">
      <sharedItems containsString="0" containsBlank="1" containsNumber="1" minValue="30" maxValue="63"/>
    </cacheField>
    <cacheField name="matches_played" numFmtId="0">
      <sharedItems containsSemiMixedTypes="0" containsString="0" containsNumber="1" containsInteger="1" minValue="3" maxValue="7" count="5">
        <n v="3"/>
        <n v="4"/>
        <n v="7"/>
        <n v="5"/>
        <n v="6"/>
      </sharedItems>
    </cacheField>
    <cacheField name="starts" numFmtId="0">
      <sharedItems containsSemiMixedTypes="0" containsString="0" containsNumber="1" containsInteger="1" minValue="33" maxValue="77"/>
    </cacheField>
    <cacheField name="min_playing_time" numFmtId="0">
      <sharedItems containsSemiMixedTypes="0" containsString="0" containsNumber="1" containsInteger="1" minValue="240" maxValue="690"/>
    </cacheField>
    <cacheField name="minutes_played_90s" numFmtId="0">
      <sharedItems containsSemiMixedTypes="0" containsString="0" containsNumber="1" minValue="2.7" maxValue="7.7"/>
    </cacheField>
    <cacheField name="goals" numFmtId="0">
      <sharedItems containsSemiMixedTypes="0" containsString="0" containsNumber="1" containsInteger="1" minValue="0" maxValue="25"/>
    </cacheField>
    <cacheField name="assists" numFmtId="0">
      <sharedItems containsSemiMixedTypes="0" containsString="0" containsNumber="1" containsInteger="1" minValue="0" maxValue="17"/>
    </cacheField>
    <cacheField name="non_penalty_goals" numFmtId="0">
      <sharedItems containsSemiMixedTypes="0" containsString="0" containsNumber="1" containsInteger="1" minValue="0" maxValue="25"/>
    </cacheField>
    <cacheField name="penalty_kicks_made" numFmtId="0">
      <sharedItems containsSemiMixedTypes="0" containsString="0" containsNumber="1" containsInteger="1" minValue="0" maxValue="4"/>
    </cacheField>
    <cacheField name="penalty_kicks_attempted" numFmtId="0">
      <sharedItems containsSemiMixedTypes="0" containsString="0" containsNumber="1" containsInteger="1" minValue="0" maxValue="4"/>
    </cacheField>
    <cacheField name="yellow_cards" numFmtId="0">
      <sharedItems containsString="0" containsBlank="1" containsNumber="1" containsInteger="1" minValue="0" maxValue="8"/>
    </cacheField>
    <cacheField name="red_cards" numFmtId="0">
      <sharedItems containsString="0" containsBlank="1" containsNumber="1" containsInteger="1" minValue="0" maxValue="1"/>
    </cacheField>
    <cacheField name="goals_per_90" numFmtId="0">
      <sharedItems containsSemiMixedTypes="0" containsString="0" containsNumber="1" minValue="0" maxValue="4.6900000000000004"/>
    </cacheField>
    <cacheField name="assists_per_90" numFmtId="0">
      <sharedItems containsSemiMixedTypes="0" containsString="0" containsNumber="1" minValue="0" maxValue="2.4300000000000002"/>
    </cacheField>
    <cacheField name="goals_plus_assists_per_90" numFmtId="0">
      <sharedItems containsSemiMixedTypes="0" containsString="0" containsNumber="1" minValue="0" maxValue="6.75"/>
    </cacheField>
    <cacheField name="goals_minus_penalty_kicks_per_90" numFmtId="0">
      <sharedItems containsSemiMixedTypes="0" containsString="0" containsNumber="1" minValue="0" maxValue="4.5"/>
    </cacheField>
    <cacheField name="goals_plus_assists_minus_penalty_kicks_per_90" numFmtId="0">
      <sharedItems containsSemiMixedTypes="0" containsString="0" containsNumber="1" minValue="0" maxValue="6.56"/>
    </cacheField>
  </cacheFields>
  <extLst>
    <ext xmlns:x14="http://schemas.microsoft.com/office/spreadsheetml/2009/9/main" uri="{725AE2AE-9491-48be-B2B4-4EB974FC3084}">
      <x14:pivotCacheDefinition pivotCacheId="168059363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6">
  <r>
    <n v="1"/>
    <x v="0"/>
    <x v="0"/>
    <x v="0"/>
    <n v="26.8"/>
    <n v="34.700000000000003"/>
    <x v="0"/>
    <n v="33"/>
    <n v="270"/>
    <n v="3"/>
    <n v="2"/>
    <n v="1"/>
    <n v="1"/>
    <n v="1"/>
    <n v="1"/>
    <n v="3"/>
    <n v="0"/>
    <n v="0.67"/>
    <n v="0.33"/>
    <n v="1"/>
    <n v="0.33"/>
    <n v="0.67"/>
  </r>
  <r>
    <n v="2"/>
    <x v="1"/>
    <x v="0"/>
    <x v="0"/>
    <n v="25.4"/>
    <n v="61.3"/>
    <x v="1"/>
    <n v="44"/>
    <n v="390"/>
    <n v="4.3"/>
    <n v="8"/>
    <n v="4"/>
    <n v="8"/>
    <n v="0"/>
    <n v="1"/>
    <n v="2"/>
    <n v="0"/>
    <n v="1.85"/>
    <n v="0.92"/>
    <n v="2.77"/>
    <n v="1.85"/>
    <n v="2.77"/>
  </r>
  <r>
    <n v="3"/>
    <x v="2"/>
    <x v="0"/>
    <x v="0"/>
    <n v="29.7"/>
    <n v="51.5"/>
    <x v="1"/>
    <n v="44"/>
    <n v="390"/>
    <n v="4.3"/>
    <n v="7"/>
    <n v="3"/>
    <n v="5"/>
    <n v="2"/>
    <n v="3"/>
    <n v="7"/>
    <n v="0"/>
    <n v="1.62"/>
    <n v="0.69"/>
    <n v="2.31"/>
    <n v="1.1499999999999999"/>
    <n v="1.85"/>
  </r>
  <r>
    <n v="4"/>
    <x v="3"/>
    <x v="0"/>
    <x v="1"/>
    <n v="27.7"/>
    <n v="36"/>
    <x v="1"/>
    <n v="44"/>
    <n v="360"/>
    <n v="4"/>
    <n v="3"/>
    <n v="3"/>
    <n v="3"/>
    <n v="0"/>
    <n v="0"/>
    <n v="6"/>
    <n v="0"/>
    <n v="0.75"/>
    <n v="0.75"/>
    <n v="1.5"/>
    <n v="0.75"/>
    <n v="1.5"/>
  </r>
  <r>
    <n v="5"/>
    <x v="4"/>
    <x v="0"/>
    <x v="2"/>
    <n v="27"/>
    <n v="63"/>
    <x v="1"/>
    <n v="44"/>
    <n v="360"/>
    <n v="4"/>
    <n v="4"/>
    <n v="3"/>
    <n v="4"/>
    <n v="0"/>
    <n v="1"/>
    <n v="2"/>
    <n v="0"/>
    <n v="1"/>
    <n v="0.75"/>
    <n v="1.75"/>
    <n v="1"/>
    <n v="1.75"/>
  </r>
  <r>
    <n v="6"/>
    <x v="5"/>
    <x v="0"/>
    <x v="0"/>
    <n v="26.8"/>
    <n v="42"/>
    <x v="0"/>
    <n v="33"/>
    <n v="270"/>
    <n v="3"/>
    <n v="1"/>
    <n v="1"/>
    <n v="1"/>
    <n v="0"/>
    <n v="1"/>
    <n v="5"/>
    <n v="0"/>
    <n v="0.33"/>
    <n v="0.33"/>
    <n v="0.67"/>
    <n v="0.33"/>
    <n v="0.67"/>
  </r>
  <r>
    <n v="7"/>
    <x v="6"/>
    <x v="0"/>
    <x v="3"/>
    <n v="26.6"/>
    <n v="47"/>
    <x v="1"/>
    <n v="44"/>
    <n v="360"/>
    <n v="4"/>
    <n v="1"/>
    <n v="1"/>
    <n v="1"/>
    <n v="0"/>
    <n v="0"/>
    <n v="5"/>
    <n v="0"/>
    <n v="0.25"/>
    <n v="0.25"/>
    <n v="0.5"/>
    <n v="0.25"/>
    <n v="0.5"/>
  </r>
  <r>
    <n v="8"/>
    <x v="7"/>
    <x v="0"/>
    <x v="4"/>
    <n v="27.8"/>
    <n v="60.4"/>
    <x v="2"/>
    <n v="77"/>
    <n v="630"/>
    <n v="7"/>
    <n v="13"/>
    <n v="12"/>
    <n v="12"/>
    <n v="1"/>
    <n v="4"/>
    <n v="1"/>
    <n v="1"/>
    <n v="1.86"/>
    <n v="1.71"/>
    <n v="3.57"/>
    <n v="1.71"/>
    <n v="3.43"/>
  </r>
  <r>
    <n v="9"/>
    <x v="8"/>
    <x v="0"/>
    <x v="3"/>
    <n v="27.8"/>
    <n v="58.8"/>
    <x v="3"/>
    <n v="55"/>
    <n v="480"/>
    <n v="5.3"/>
    <n v="10"/>
    <n v="8"/>
    <n v="8"/>
    <n v="2"/>
    <n v="2"/>
    <n v="2"/>
    <n v="0"/>
    <n v="1.87"/>
    <n v="1.5"/>
    <n v="3.38"/>
    <n v="1.5"/>
    <n v="3"/>
  </r>
  <r>
    <n v="10"/>
    <x v="9"/>
    <x v="0"/>
    <x v="5"/>
    <n v="25.5"/>
    <n v="57.2"/>
    <x v="3"/>
    <n v="55"/>
    <n v="450"/>
    <n v="5"/>
    <n v="10"/>
    <n v="4"/>
    <n v="9"/>
    <n v="1"/>
    <n v="1"/>
    <n v="2"/>
    <n v="0"/>
    <n v="2"/>
    <n v="0.8"/>
    <n v="2.8"/>
    <n v="1.8"/>
    <n v="2.6"/>
  </r>
  <r>
    <n v="11"/>
    <x v="10"/>
    <x v="0"/>
    <x v="3"/>
    <n v="26.5"/>
    <n v="43.4"/>
    <x v="3"/>
    <n v="55"/>
    <n v="450"/>
    <n v="5"/>
    <n v="9"/>
    <n v="6"/>
    <n v="8"/>
    <n v="1"/>
    <n v="1"/>
    <n v="4"/>
    <n v="0"/>
    <n v="1.8"/>
    <n v="1.2"/>
    <n v="3"/>
    <n v="1.6"/>
    <n v="2.8"/>
  </r>
  <r>
    <n v="12"/>
    <x v="11"/>
    <x v="0"/>
    <x v="1"/>
    <n v="22.9"/>
    <n v="36.700000000000003"/>
    <x v="0"/>
    <n v="33"/>
    <n v="270"/>
    <n v="3"/>
    <n v="1"/>
    <n v="1"/>
    <n v="1"/>
    <n v="0"/>
    <n v="0"/>
    <n v="4"/>
    <n v="0"/>
    <n v="0.33"/>
    <n v="0.33"/>
    <n v="0.67"/>
    <n v="0.33"/>
    <n v="0.67"/>
  </r>
  <r>
    <n v="13"/>
    <x v="12"/>
    <x v="0"/>
    <x v="3"/>
    <n v="24.8"/>
    <n v="53.8"/>
    <x v="1"/>
    <n v="44"/>
    <n v="360"/>
    <n v="4"/>
    <n v="3"/>
    <n v="2"/>
    <n v="2"/>
    <n v="1"/>
    <n v="1"/>
    <n v="4"/>
    <n v="0"/>
    <n v="0.75"/>
    <n v="0.5"/>
    <n v="1.25"/>
    <n v="0.5"/>
    <n v="1"/>
  </r>
  <r>
    <n v="14"/>
    <x v="13"/>
    <x v="0"/>
    <x v="5"/>
    <n v="26.9"/>
    <n v="52"/>
    <x v="0"/>
    <n v="33"/>
    <n v="270"/>
    <n v="3"/>
    <n v="1"/>
    <n v="1"/>
    <n v="1"/>
    <n v="0"/>
    <n v="0"/>
    <n v="4"/>
    <n v="0"/>
    <n v="0.33"/>
    <n v="0.33"/>
    <n v="0.67"/>
    <n v="0.33"/>
    <n v="0.67"/>
  </r>
  <r>
    <n v="15"/>
    <x v="14"/>
    <x v="0"/>
    <x v="2"/>
    <n v="26.1"/>
    <n v="57.1"/>
    <x v="2"/>
    <n v="77"/>
    <n v="660"/>
    <n v="7.3"/>
    <n v="11"/>
    <n v="7"/>
    <n v="10"/>
    <n v="1"/>
    <n v="1"/>
    <n v="0"/>
    <n v="0"/>
    <n v="1.5"/>
    <n v="0.95"/>
    <n v="2.4500000000000002"/>
    <n v="1.36"/>
    <n v="2.3199999999999998"/>
  </r>
  <r>
    <n v="16"/>
    <x v="15"/>
    <x v="0"/>
    <x v="3"/>
    <n v="27.6"/>
    <n v="39.299999999999997"/>
    <x v="0"/>
    <n v="33"/>
    <n v="270"/>
    <n v="3"/>
    <n v="0"/>
    <n v="0"/>
    <n v="0"/>
    <n v="0"/>
    <n v="0"/>
    <n v="1"/>
    <n v="0"/>
    <n v="0"/>
    <n v="0"/>
    <n v="0"/>
    <n v="0"/>
    <n v="0"/>
  </r>
  <r>
    <n v="17"/>
    <x v="16"/>
    <x v="0"/>
    <x v="1"/>
    <n v="25.7"/>
    <n v="34.799999999999997"/>
    <x v="1"/>
    <n v="44"/>
    <n v="360"/>
    <n v="4"/>
    <n v="1"/>
    <n v="1"/>
    <n v="1"/>
    <n v="0"/>
    <n v="0"/>
    <n v="6"/>
    <n v="1"/>
    <n v="0.25"/>
    <n v="0.25"/>
    <n v="0.5"/>
    <n v="0.25"/>
    <n v="0.5"/>
  </r>
  <r>
    <n v="18"/>
    <x v="17"/>
    <x v="0"/>
    <x v="3"/>
    <n v="26.8"/>
    <n v="50.2"/>
    <x v="3"/>
    <n v="55"/>
    <n v="480"/>
    <n v="5.3"/>
    <n v="5"/>
    <n v="3"/>
    <n v="3"/>
    <n v="2"/>
    <n v="2"/>
    <n v="1"/>
    <n v="0"/>
    <n v="0.94"/>
    <n v="0.56000000000000005"/>
    <n v="1.5"/>
    <n v="0.56000000000000005"/>
    <n v="1.1299999999999999"/>
  </r>
  <r>
    <n v="19"/>
    <x v="18"/>
    <x v="0"/>
    <x v="5"/>
    <n v="26.4"/>
    <n v="47"/>
    <x v="0"/>
    <n v="33"/>
    <n v="270"/>
    <n v="3"/>
    <n v="5"/>
    <n v="3"/>
    <n v="5"/>
    <n v="0"/>
    <n v="0"/>
    <n v="6"/>
    <n v="0"/>
    <n v="1.67"/>
    <n v="1"/>
    <n v="2.67"/>
    <n v="1.67"/>
    <n v="2.67"/>
  </r>
  <r>
    <n v="20"/>
    <x v="19"/>
    <x v="0"/>
    <x v="5"/>
    <n v="27.5"/>
    <n v="38"/>
    <x v="0"/>
    <n v="33"/>
    <n v="270"/>
    <n v="3"/>
    <n v="1"/>
    <n v="1"/>
    <n v="1"/>
    <n v="0"/>
    <n v="0"/>
    <n v="7"/>
    <n v="1"/>
    <n v="0.33"/>
    <n v="0.33"/>
    <n v="0.67"/>
    <n v="0.33"/>
    <n v="0.67"/>
  </r>
  <r>
    <n v="21"/>
    <x v="20"/>
    <x v="0"/>
    <x v="5"/>
    <n v="25.2"/>
    <n v="62.5"/>
    <x v="1"/>
    <n v="44"/>
    <n v="360"/>
    <n v="4"/>
    <n v="4"/>
    <n v="2"/>
    <n v="2"/>
    <n v="2"/>
    <n v="2"/>
    <n v="1"/>
    <n v="0"/>
    <n v="1"/>
    <n v="0.5"/>
    <n v="1.5"/>
    <n v="0.5"/>
    <n v="1"/>
  </r>
  <r>
    <n v="22"/>
    <x v="21"/>
    <x v="0"/>
    <x v="1"/>
    <n v="28.5"/>
    <n v="48.4"/>
    <x v="2"/>
    <n v="77"/>
    <n v="660"/>
    <n v="7.3"/>
    <n v="12"/>
    <n v="7"/>
    <n v="11"/>
    <n v="1"/>
    <n v="1"/>
    <n v="2"/>
    <n v="0"/>
    <n v="1.64"/>
    <n v="0.95"/>
    <n v="2.59"/>
    <n v="1.5"/>
    <n v="2.4500000000000002"/>
  </r>
  <r>
    <n v="23"/>
    <x v="22"/>
    <x v="0"/>
    <x v="0"/>
    <n v="27.8"/>
    <n v="30"/>
    <x v="0"/>
    <n v="33"/>
    <n v="270"/>
    <n v="3"/>
    <n v="1"/>
    <n v="1"/>
    <n v="1"/>
    <n v="0"/>
    <n v="0"/>
    <n v="5"/>
    <n v="0"/>
    <n v="0.33"/>
    <n v="0.33"/>
    <n v="0.67"/>
    <n v="0.33"/>
    <n v="0.67"/>
  </r>
  <r>
    <n v="24"/>
    <x v="23"/>
    <x v="0"/>
    <x v="6"/>
    <n v="28.8"/>
    <n v="56"/>
    <x v="2"/>
    <n v="77"/>
    <n v="630"/>
    <n v="7"/>
    <n v="25"/>
    <n v="17"/>
    <n v="22"/>
    <n v="3"/>
    <n v="4"/>
    <n v="0"/>
    <n v="0"/>
    <n v="3.57"/>
    <n v="2.4300000000000002"/>
    <n v="6"/>
    <n v="3.14"/>
    <n v="5.57"/>
  </r>
  <r>
    <n v="25"/>
    <x v="1"/>
    <x v="1"/>
    <x v="3"/>
    <n v="23.6"/>
    <n v="46.2"/>
    <x v="3"/>
    <n v="55"/>
    <n v="450"/>
    <n v="5"/>
    <n v="5"/>
    <n v="4"/>
    <n v="5"/>
    <n v="0"/>
    <n v="0"/>
    <n v="0"/>
    <n v="0"/>
    <n v="1"/>
    <n v="0.8"/>
    <n v="1.8"/>
    <n v="1"/>
    <n v="1.8"/>
  </r>
  <r>
    <n v="26"/>
    <x v="2"/>
    <x v="1"/>
    <x v="1"/>
    <n v="27.4"/>
    <n v="59"/>
    <x v="1"/>
    <n v="44"/>
    <n v="360"/>
    <n v="4"/>
    <n v="4"/>
    <n v="1"/>
    <n v="3"/>
    <n v="1"/>
    <n v="1"/>
    <n v="1"/>
    <n v="0"/>
    <n v="1"/>
    <n v="0.25"/>
    <n v="1.25"/>
    <n v="0.75"/>
    <n v="1"/>
  </r>
  <r>
    <n v="27"/>
    <x v="3"/>
    <x v="1"/>
    <x v="3"/>
    <n v="25.1"/>
    <n v="48.8"/>
    <x v="1"/>
    <n v="44"/>
    <n v="360"/>
    <n v="4"/>
    <n v="9"/>
    <n v="5"/>
    <n v="5"/>
    <n v="4"/>
    <n v="4"/>
    <n v="6"/>
    <n v="0"/>
    <n v="2.25"/>
    <n v="1.25"/>
    <n v="3.5"/>
    <n v="1.25"/>
    <n v="2.5"/>
  </r>
  <r>
    <n v="28"/>
    <x v="4"/>
    <x v="1"/>
    <x v="0"/>
    <n v="27.2"/>
    <n v="55"/>
    <x v="3"/>
    <n v="55"/>
    <n v="450"/>
    <n v="5"/>
    <n v="4"/>
    <n v="1"/>
    <n v="3"/>
    <n v="1"/>
    <n v="1"/>
    <n v="3"/>
    <n v="0"/>
    <n v="0.8"/>
    <n v="0.2"/>
    <n v="1"/>
    <n v="0.6"/>
    <n v="0.8"/>
  </r>
  <r>
    <n v="29"/>
    <x v="6"/>
    <x v="1"/>
    <x v="0"/>
    <n v="23.6"/>
    <n v="48.6"/>
    <x v="3"/>
    <n v="55"/>
    <n v="450"/>
    <n v="5"/>
    <n v="4"/>
    <n v="2"/>
    <n v="3"/>
    <n v="1"/>
    <n v="1"/>
    <n v="2"/>
    <n v="0"/>
    <n v="0.8"/>
    <n v="0.4"/>
    <n v="1.2"/>
    <n v="0.6"/>
    <n v="1"/>
  </r>
  <r>
    <n v="30"/>
    <x v="24"/>
    <x v="1"/>
    <x v="0"/>
    <n v="24.3"/>
    <n v="44.3"/>
    <x v="1"/>
    <n v="44"/>
    <n v="360"/>
    <n v="4"/>
    <n v="4"/>
    <n v="4"/>
    <n v="4"/>
    <n v="0"/>
    <n v="0"/>
    <n v="8"/>
    <n v="0"/>
    <n v="1"/>
    <n v="1"/>
    <n v="2"/>
    <n v="1"/>
    <n v="2"/>
  </r>
  <r>
    <n v="31"/>
    <x v="25"/>
    <x v="1"/>
    <x v="7"/>
    <n v="25"/>
    <n v="42.3"/>
    <x v="0"/>
    <n v="33"/>
    <n v="270"/>
    <n v="3"/>
    <n v="3"/>
    <n v="3"/>
    <n v="3"/>
    <n v="0"/>
    <n v="0"/>
    <n v="0"/>
    <n v="0"/>
    <n v="1"/>
    <n v="1"/>
    <n v="2"/>
    <n v="1"/>
    <n v="2"/>
  </r>
  <r>
    <n v="32"/>
    <x v="26"/>
    <x v="1"/>
    <x v="5"/>
    <n v="25"/>
    <n v="45"/>
    <x v="0"/>
    <n v="33"/>
    <n v="270"/>
    <n v="3"/>
    <n v="3"/>
    <n v="0"/>
    <n v="3"/>
    <n v="0"/>
    <n v="0"/>
    <n v="8"/>
    <n v="0"/>
    <n v="1"/>
    <n v="0"/>
    <n v="1"/>
    <n v="1"/>
    <n v="1"/>
  </r>
  <r>
    <n v="33"/>
    <x v="27"/>
    <x v="1"/>
    <x v="5"/>
    <n v="23.4"/>
    <n v="38.700000000000003"/>
    <x v="0"/>
    <n v="33"/>
    <n v="270"/>
    <n v="3"/>
    <n v="1"/>
    <n v="0"/>
    <n v="0"/>
    <n v="1"/>
    <n v="1"/>
    <n v="6"/>
    <n v="1"/>
    <n v="0.33"/>
    <n v="0"/>
    <n v="0.33"/>
    <n v="0"/>
    <n v="0"/>
  </r>
  <r>
    <n v="34"/>
    <x v="7"/>
    <x v="1"/>
    <x v="4"/>
    <n v="27.6"/>
    <n v="48.1"/>
    <x v="2"/>
    <n v="77"/>
    <n v="660"/>
    <n v="7.3"/>
    <n v="10"/>
    <n v="4"/>
    <n v="7"/>
    <n v="3"/>
    <n v="3"/>
    <n v="3"/>
    <n v="0"/>
    <n v="1.36"/>
    <n v="0.55000000000000004"/>
    <n v="1.91"/>
    <n v="0.95"/>
    <n v="1.5"/>
  </r>
  <r>
    <n v="35"/>
    <x v="8"/>
    <x v="1"/>
    <x v="5"/>
    <n v="27.3"/>
    <n v="53.6"/>
    <x v="3"/>
    <n v="55"/>
    <n v="480"/>
    <n v="5.3"/>
    <n v="9"/>
    <n v="7"/>
    <n v="9"/>
    <n v="0"/>
    <n v="0"/>
    <n v="0"/>
    <n v="0"/>
    <n v="1.69"/>
    <n v="1.31"/>
    <n v="3"/>
    <n v="1.69"/>
    <n v="3"/>
  </r>
  <r>
    <n v="36"/>
    <x v="9"/>
    <x v="1"/>
    <x v="6"/>
    <n v="26.9"/>
    <n v="54.7"/>
    <x v="2"/>
    <n v="77"/>
    <n v="690"/>
    <n v="7.7"/>
    <n v="20"/>
    <n v="11"/>
    <n v="18"/>
    <n v="2"/>
    <n v="2"/>
    <n v="1"/>
    <n v="0"/>
    <n v="2.61"/>
    <n v="1.43"/>
    <n v="4.04"/>
    <n v="2.35"/>
    <n v="3.78"/>
  </r>
  <r>
    <n v="37"/>
    <x v="12"/>
    <x v="1"/>
    <x v="8"/>
    <n v="27.9"/>
    <n v="55.1"/>
    <x v="2"/>
    <n v="77"/>
    <n v="630"/>
    <n v="7"/>
    <n v="9"/>
    <n v="5"/>
    <n v="7"/>
    <n v="2"/>
    <n v="2"/>
    <n v="1"/>
    <n v="0"/>
    <n v="1.29"/>
    <n v="0.71"/>
    <n v="2"/>
    <n v="1"/>
    <n v="1.71"/>
  </r>
  <r>
    <n v="38"/>
    <x v="13"/>
    <x v="1"/>
    <x v="5"/>
    <n v="26.1"/>
    <n v="43.8"/>
    <x v="1"/>
    <n v="44"/>
    <n v="360"/>
    <n v="4"/>
    <n v="4"/>
    <n v="3"/>
    <n v="3"/>
    <n v="1"/>
    <n v="1"/>
    <n v="5"/>
    <n v="0"/>
    <n v="1"/>
    <n v="0.75"/>
    <n v="1.75"/>
    <n v="0.75"/>
    <n v="1.5"/>
  </r>
  <r>
    <n v="39"/>
    <x v="28"/>
    <x v="1"/>
    <x v="3"/>
    <n v="24.3"/>
    <n v="52.3"/>
    <x v="0"/>
    <n v="33"/>
    <n v="270"/>
    <n v="3"/>
    <n v="2"/>
    <n v="1"/>
    <n v="2"/>
    <n v="0"/>
    <n v="0"/>
    <n v="4"/>
    <n v="0"/>
    <n v="0.67"/>
    <n v="0.33"/>
    <n v="1"/>
    <n v="0.67"/>
    <n v="1"/>
  </r>
  <r>
    <n v="40"/>
    <x v="14"/>
    <x v="1"/>
    <x v="0"/>
    <n v="24.3"/>
    <n v="49"/>
    <x v="1"/>
    <n v="44"/>
    <n v="360"/>
    <n v="4"/>
    <n v="3"/>
    <n v="3"/>
    <n v="3"/>
    <n v="0"/>
    <n v="0"/>
    <n v="3"/>
    <n v="0"/>
    <n v="0.75"/>
    <n v="0.75"/>
    <n v="1.5"/>
    <n v="0.75"/>
    <n v="1.5"/>
  </r>
  <r>
    <n v="41"/>
    <x v="15"/>
    <x v="1"/>
    <x v="7"/>
    <n v="24.9"/>
    <n v="46.7"/>
    <x v="0"/>
    <n v="33"/>
    <n v="270"/>
    <n v="3"/>
    <n v="2"/>
    <n v="2"/>
    <n v="2"/>
    <n v="0"/>
    <n v="0"/>
    <n v="4"/>
    <n v="0"/>
    <n v="0.67"/>
    <n v="0.67"/>
    <n v="1.33"/>
    <n v="0.67"/>
    <n v="1.33"/>
  </r>
  <r>
    <n v="42"/>
    <x v="16"/>
    <x v="1"/>
    <x v="3"/>
    <n v="24.6"/>
    <n v="48.3"/>
    <x v="0"/>
    <n v="33"/>
    <n v="270"/>
    <n v="3"/>
    <n v="3"/>
    <n v="3"/>
    <n v="3"/>
    <n v="0"/>
    <n v="0"/>
    <n v="6"/>
    <n v="1"/>
    <n v="1"/>
    <n v="1"/>
    <n v="2"/>
    <n v="1"/>
    <n v="2"/>
  </r>
  <r>
    <n v="43"/>
    <x v="17"/>
    <x v="1"/>
    <x v="0"/>
    <n v="26.7"/>
    <n v="54.5"/>
    <x v="1"/>
    <n v="44"/>
    <n v="360"/>
    <n v="4"/>
    <n v="9"/>
    <n v="6"/>
    <n v="9"/>
    <n v="0"/>
    <n v="0"/>
    <n v="1"/>
    <n v="0"/>
    <n v="2.25"/>
    <n v="1.5"/>
    <n v="3.75"/>
    <n v="2.25"/>
    <n v="3.75"/>
  </r>
  <r>
    <n v="44"/>
    <x v="20"/>
    <x v="1"/>
    <x v="3"/>
    <n v="25.3"/>
    <n v="50.7"/>
    <x v="0"/>
    <n v="33"/>
    <n v="270"/>
    <n v="3"/>
    <n v="2"/>
    <n v="2"/>
    <n v="2"/>
    <n v="0"/>
    <n v="0"/>
    <n v="3"/>
    <n v="0"/>
    <n v="0.67"/>
    <n v="0.67"/>
    <n v="1.33"/>
    <n v="0.67"/>
    <n v="1.33"/>
  </r>
  <r>
    <n v="45"/>
    <x v="21"/>
    <x v="1"/>
    <x v="0"/>
    <n v="28.1"/>
    <n v="49.3"/>
    <x v="1"/>
    <n v="44"/>
    <n v="360"/>
    <n v="4"/>
    <n v="4"/>
    <n v="2"/>
    <n v="4"/>
    <n v="0"/>
    <n v="0"/>
    <n v="0"/>
    <n v="0"/>
    <n v="1"/>
    <n v="0.5"/>
    <n v="1.5"/>
    <n v="1"/>
    <n v="1.5"/>
  </r>
  <r>
    <n v="46"/>
    <x v="29"/>
    <x v="1"/>
    <x v="3"/>
    <n v="25"/>
    <n v="55.3"/>
    <x v="1"/>
    <n v="44"/>
    <n v="360"/>
    <n v="4"/>
    <n v="9"/>
    <n v="7"/>
    <n v="8"/>
    <n v="1"/>
    <n v="1"/>
    <n v="4"/>
    <n v="0"/>
    <n v="2.25"/>
    <n v="1.75"/>
    <n v="4"/>
    <n v="2"/>
    <n v="3.75"/>
  </r>
  <r>
    <n v="47"/>
    <x v="22"/>
    <x v="1"/>
    <x v="3"/>
    <n v="25.7"/>
    <n v="40"/>
    <x v="0"/>
    <n v="33"/>
    <n v="270"/>
    <n v="3"/>
    <n v="3"/>
    <n v="3"/>
    <n v="3"/>
    <n v="0"/>
    <n v="0"/>
    <n v="3"/>
    <n v="0"/>
    <n v="1"/>
    <n v="1"/>
    <n v="2"/>
    <n v="1"/>
    <n v="2"/>
  </r>
  <r>
    <n v="48"/>
    <x v="23"/>
    <x v="1"/>
    <x v="1"/>
    <n v="28.4"/>
    <n v="52.9"/>
    <x v="2"/>
    <n v="77"/>
    <n v="630"/>
    <n v="7"/>
    <n v="14"/>
    <n v="7"/>
    <n v="12"/>
    <n v="2"/>
    <n v="2"/>
    <n v="2"/>
    <n v="0"/>
    <n v="2"/>
    <n v="1"/>
    <n v="3"/>
    <n v="1.71"/>
    <n v="2.71"/>
  </r>
  <r>
    <n v="49"/>
    <x v="1"/>
    <x v="2"/>
    <x v="1"/>
    <n v="22.8"/>
    <n v="53.5"/>
    <x v="1"/>
    <n v="44"/>
    <n v="360"/>
    <n v="4"/>
    <n v="6"/>
    <n v="6"/>
    <n v="6"/>
    <n v="0"/>
    <n v="0"/>
    <n v="0"/>
    <n v="0"/>
    <n v="1.5"/>
    <n v="1.5"/>
    <n v="3"/>
    <n v="1.5"/>
    <n v="3"/>
  </r>
  <r>
    <n v="50"/>
    <x v="2"/>
    <x v="2"/>
    <x v="2"/>
    <n v="27"/>
    <n v="53.3"/>
    <x v="1"/>
    <n v="44"/>
    <n v="390"/>
    <n v="4.3"/>
    <n v="9"/>
    <n v="6"/>
    <n v="7"/>
    <n v="2"/>
    <n v="2"/>
    <n v="0"/>
    <n v="0"/>
    <n v="2.08"/>
    <n v="1.38"/>
    <n v="3.46"/>
    <n v="1.62"/>
    <n v="3"/>
  </r>
  <r>
    <n v="51"/>
    <x v="4"/>
    <x v="2"/>
    <x v="5"/>
    <n v="25.9"/>
    <n v="47.3"/>
    <x v="0"/>
    <n v="33"/>
    <n v="270"/>
    <n v="3"/>
    <n v="1"/>
    <n v="0"/>
    <n v="1"/>
    <n v="0"/>
    <n v="0"/>
    <n v="0"/>
    <n v="0"/>
    <n v="0.33"/>
    <n v="0"/>
    <n v="0.33"/>
    <n v="0.33"/>
    <n v="0.33"/>
  </r>
  <r>
    <n v="52"/>
    <x v="24"/>
    <x v="2"/>
    <x v="3"/>
    <n v="22.4"/>
    <n v="49.3"/>
    <x v="0"/>
    <n v="33"/>
    <n v="270"/>
    <n v="3"/>
    <n v="0"/>
    <n v="0"/>
    <n v="0"/>
    <n v="0"/>
    <n v="0"/>
    <n v="0"/>
    <n v="0"/>
    <n v="0"/>
    <n v="0"/>
    <n v="0"/>
    <n v="0"/>
    <n v="0"/>
  </r>
  <r>
    <n v="53"/>
    <x v="7"/>
    <x v="2"/>
    <x v="0"/>
    <n v="26.9"/>
    <n v="49.3"/>
    <x v="1"/>
    <n v="44"/>
    <n v="390"/>
    <n v="4.3"/>
    <n v="6"/>
    <n v="7"/>
    <n v="6"/>
    <n v="0"/>
    <n v="0"/>
    <n v="0"/>
    <n v="0"/>
    <n v="1.38"/>
    <n v="1.62"/>
    <n v="3"/>
    <n v="1.38"/>
    <n v="3"/>
  </r>
  <r>
    <n v="54"/>
    <x v="30"/>
    <x v="2"/>
    <x v="7"/>
    <n v="26.1"/>
    <n v="40.700000000000003"/>
    <x v="0"/>
    <n v="33"/>
    <n v="270"/>
    <n v="3"/>
    <n v="2"/>
    <n v="0"/>
    <n v="2"/>
    <n v="0"/>
    <n v="0"/>
    <m/>
    <m/>
    <n v="0.67"/>
    <n v="0"/>
    <n v="0.67"/>
    <n v="0.67"/>
    <n v="0.67"/>
  </r>
  <r>
    <n v="55"/>
    <x v="8"/>
    <x v="2"/>
    <x v="1"/>
    <n v="26.7"/>
    <n v="52.3"/>
    <x v="4"/>
    <n v="66"/>
    <n v="570"/>
    <n v="6.3"/>
    <n v="10"/>
    <n v="9"/>
    <n v="10"/>
    <n v="0"/>
    <n v="0"/>
    <n v="0"/>
    <n v="0"/>
    <n v="1.58"/>
    <n v="1.42"/>
    <n v="3"/>
    <n v="1.58"/>
    <n v="3"/>
  </r>
  <r>
    <n v="56"/>
    <x v="9"/>
    <x v="2"/>
    <x v="3"/>
    <n v="26.4"/>
    <n v="50"/>
    <x v="1"/>
    <n v="44"/>
    <n v="390"/>
    <n v="4.3"/>
    <n v="7"/>
    <n v="6"/>
    <n v="6"/>
    <n v="1"/>
    <n v="1"/>
    <n v="0"/>
    <n v="0"/>
    <n v="1.62"/>
    <n v="1.38"/>
    <n v="3"/>
    <n v="1.38"/>
    <n v="2.77"/>
  </r>
  <r>
    <n v="57"/>
    <x v="12"/>
    <x v="2"/>
    <x v="0"/>
    <n v="25.4"/>
    <n v="56.5"/>
    <x v="4"/>
    <n v="66"/>
    <n v="600"/>
    <n v="6.7"/>
    <n v="12"/>
    <n v="10"/>
    <n v="12"/>
    <n v="0"/>
    <n v="0"/>
    <n v="0"/>
    <n v="0"/>
    <n v="1.8"/>
    <n v="1.5"/>
    <n v="3.3"/>
    <n v="1.8"/>
    <n v="3.3"/>
  </r>
  <r>
    <n v="58"/>
    <x v="31"/>
    <x v="2"/>
    <x v="3"/>
    <n v="21.1"/>
    <n v="50.7"/>
    <x v="0"/>
    <n v="33"/>
    <n v="270"/>
    <n v="3"/>
    <n v="0"/>
    <n v="0"/>
    <n v="0"/>
    <n v="0"/>
    <n v="0"/>
    <m/>
    <m/>
    <n v="0"/>
    <n v="0"/>
    <n v="0"/>
    <n v="0"/>
    <n v="0"/>
  </r>
  <r>
    <n v="59"/>
    <x v="28"/>
    <x v="2"/>
    <x v="0"/>
    <n v="23.1"/>
    <n v="47.7"/>
    <x v="0"/>
    <n v="33"/>
    <n v="270"/>
    <n v="3"/>
    <n v="3"/>
    <n v="3"/>
    <n v="3"/>
    <n v="0"/>
    <n v="0"/>
    <n v="0"/>
    <n v="0"/>
    <n v="1"/>
    <n v="1"/>
    <n v="2"/>
    <n v="1"/>
    <n v="2"/>
  </r>
  <r>
    <n v="60"/>
    <x v="15"/>
    <x v="2"/>
    <x v="2"/>
    <n v="24.4"/>
    <n v="45.7"/>
    <x v="0"/>
    <n v="33"/>
    <n v="270"/>
    <n v="3"/>
    <n v="4"/>
    <n v="3"/>
    <n v="4"/>
    <n v="0"/>
    <n v="0"/>
    <n v="0"/>
    <n v="0"/>
    <n v="1.33"/>
    <n v="1"/>
    <n v="2.33"/>
    <n v="1.33"/>
    <n v="2.33"/>
  </r>
  <r>
    <n v="61"/>
    <x v="16"/>
    <x v="2"/>
    <x v="3"/>
    <n v="24.3"/>
    <n v="50.7"/>
    <x v="0"/>
    <n v="33"/>
    <n v="270"/>
    <n v="3"/>
    <n v="1"/>
    <n v="0"/>
    <n v="1"/>
    <n v="0"/>
    <n v="0"/>
    <n v="0"/>
    <n v="0"/>
    <n v="0.33"/>
    <n v="0"/>
    <n v="0.33"/>
    <n v="0.33"/>
    <n v="0.33"/>
  </r>
  <r>
    <n v="62"/>
    <x v="17"/>
    <x v="2"/>
    <x v="0"/>
    <n v="24.7"/>
    <n v="50.7"/>
    <x v="0"/>
    <n v="33"/>
    <n v="270"/>
    <n v="3"/>
    <n v="2"/>
    <n v="1"/>
    <n v="2"/>
    <n v="0"/>
    <n v="0"/>
    <n v="0"/>
    <n v="0"/>
    <n v="0.67"/>
    <n v="0.33"/>
    <n v="1"/>
    <n v="0.67"/>
    <n v="1"/>
  </r>
  <r>
    <n v="63"/>
    <x v="21"/>
    <x v="2"/>
    <x v="5"/>
    <n v="28.4"/>
    <n v="45.3"/>
    <x v="4"/>
    <n v="66"/>
    <n v="540"/>
    <n v="6"/>
    <n v="10"/>
    <n v="4"/>
    <n v="9"/>
    <n v="1"/>
    <n v="1"/>
    <n v="0"/>
    <n v="0"/>
    <n v="1.67"/>
    <n v="0.67"/>
    <n v="2.33"/>
    <n v="1.5"/>
    <n v="2.17"/>
  </r>
  <r>
    <n v="64"/>
    <x v="23"/>
    <x v="2"/>
    <x v="0"/>
    <n v="28.3"/>
    <n v="50.5"/>
    <x v="4"/>
    <n v="66"/>
    <n v="600"/>
    <n v="6.7"/>
    <n v="12"/>
    <n v="9"/>
    <n v="12"/>
    <n v="0"/>
    <n v="0"/>
    <n v="0"/>
    <n v="0"/>
    <n v="1.8"/>
    <n v="1.35"/>
    <n v="3.15"/>
    <n v="1.8"/>
    <n v="3.15"/>
  </r>
  <r>
    <n v="65"/>
    <x v="0"/>
    <x v="3"/>
    <x v="5"/>
    <n v="21"/>
    <n v="38.299999999999997"/>
    <x v="0"/>
    <n v="33"/>
    <n v="270"/>
    <n v="3"/>
    <n v="1"/>
    <n v="0"/>
    <n v="1"/>
    <n v="0"/>
    <n v="0"/>
    <m/>
    <m/>
    <n v="0.33"/>
    <n v="0"/>
    <n v="0.33"/>
    <n v="0.33"/>
    <n v="0.33"/>
  </r>
  <r>
    <n v="66"/>
    <x v="1"/>
    <x v="3"/>
    <x v="0"/>
    <n v="24.7"/>
    <n v="48.3"/>
    <x v="1"/>
    <n v="44"/>
    <n v="360"/>
    <n v="4"/>
    <n v="9"/>
    <n v="6"/>
    <n v="9"/>
    <n v="0"/>
    <n v="0"/>
    <m/>
    <m/>
    <n v="2.25"/>
    <n v="1.5"/>
    <n v="3.75"/>
    <n v="2.25"/>
    <n v="3.75"/>
  </r>
  <r>
    <n v="67"/>
    <x v="2"/>
    <x v="3"/>
    <x v="2"/>
    <n v="25.7"/>
    <n v="61.3"/>
    <x v="4"/>
    <n v="66"/>
    <n v="540"/>
    <n v="6"/>
    <n v="16"/>
    <n v="7"/>
    <n v="16"/>
    <n v="0"/>
    <n v="0"/>
    <m/>
    <m/>
    <n v="2.67"/>
    <n v="1.17"/>
    <n v="3.83"/>
    <n v="2.67"/>
    <n v="3.83"/>
  </r>
  <r>
    <n v="68"/>
    <x v="4"/>
    <x v="3"/>
    <x v="0"/>
    <n v="23.8"/>
    <n v="39.299999999999997"/>
    <x v="0"/>
    <n v="33"/>
    <n v="270"/>
    <n v="3"/>
    <n v="7"/>
    <n v="3"/>
    <n v="7"/>
    <n v="0"/>
    <n v="0"/>
    <m/>
    <m/>
    <n v="2.33"/>
    <n v="1"/>
    <n v="3.33"/>
    <n v="2.33"/>
    <n v="3.33"/>
  </r>
  <r>
    <n v="69"/>
    <x v="6"/>
    <x v="3"/>
    <x v="0"/>
    <n v="24.9"/>
    <n v="47.3"/>
    <x v="1"/>
    <n v="44"/>
    <n v="360"/>
    <n v="4"/>
    <n v="5"/>
    <n v="0"/>
    <n v="5"/>
    <n v="0"/>
    <n v="0"/>
    <m/>
    <m/>
    <n v="1.25"/>
    <n v="0"/>
    <n v="1.25"/>
    <n v="1.25"/>
    <n v="1.25"/>
  </r>
  <r>
    <n v="70"/>
    <x v="32"/>
    <x v="3"/>
    <x v="2"/>
    <n v="26.9"/>
    <n v="50.7"/>
    <x v="0"/>
    <n v="33"/>
    <n v="270"/>
    <n v="3"/>
    <n v="4"/>
    <n v="2"/>
    <n v="4"/>
    <n v="0"/>
    <n v="0"/>
    <m/>
    <m/>
    <n v="1.33"/>
    <n v="0.67"/>
    <n v="2"/>
    <n v="1.33"/>
    <n v="2"/>
  </r>
  <r>
    <n v="71"/>
    <x v="7"/>
    <x v="3"/>
    <x v="0"/>
    <n v="24.8"/>
    <n v="52.5"/>
    <x v="1"/>
    <n v="44"/>
    <n v="360"/>
    <n v="4"/>
    <n v="7"/>
    <n v="5"/>
    <n v="5"/>
    <n v="2"/>
    <n v="2"/>
    <m/>
    <m/>
    <n v="1.75"/>
    <n v="1.25"/>
    <n v="3"/>
    <n v="1.25"/>
    <n v="2.5"/>
  </r>
  <r>
    <n v="72"/>
    <x v="9"/>
    <x v="3"/>
    <x v="3"/>
    <n v="26.5"/>
    <n v="49.5"/>
    <x v="4"/>
    <n v="66"/>
    <n v="540"/>
    <n v="6"/>
    <n v="20"/>
    <n v="11"/>
    <n v="19"/>
    <n v="1"/>
    <n v="1"/>
    <m/>
    <m/>
    <n v="3.33"/>
    <n v="1.83"/>
    <n v="5.17"/>
    <n v="3.17"/>
    <n v="5"/>
  </r>
  <r>
    <n v="73"/>
    <x v="33"/>
    <x v="3"/>
    <x v="5"/>
    <n v="24.5"/>
    <n v="52.3"/>
    <x v="0"/>
    <n v="33"/>
    <n v="270"/>
    <n v="3"/>
    <n v="3"/>
    <n v="0"/>
    <n v="2"/>
    <n v="1"/>
    <n v="1"/>
    <m/>
    <m/>
    <n v="1"/>
    <n v="0"/>
    <n v="1"/>
    <n v="0.67"/>
    <n v="0.67"/>
  </r>
  <r>
    <n v="74"/>
    <x v="12"/>
    <x v="3"/>
    <x v="2"/>
    <n v="24.7"/>
    <n v="56"/>
    <x v="0"/>
    <n v="33"/>
    <n v="270"/>
    <n v="3"/>
    <n v="3"/>
    <n v="0"/>
    <n v="3"/>
    <n v="0"/>
    <n v="0"/>
    <m/>
    <m/>
    <n v="1"/>
    <n v="0"/>
    <n v="1"/>
    <n v="1"/>
    <n v="1"/>
  </r>
  <r>
    <n v="75"/>
    <x v="31"/>
    <x v="3"/>
    <x v="7"/>
    <n v="22.8"/>
    <n v="52.8"/>
    <x v="1"/>
    <n v="44"/>
    <n v="360"/>
    <n v="4"/>
    <n v="5"/>
    <n v="1"/>
    <n v="5"/>
    <n v="0"/>
    <n v="0"/>
    <m/>
    <m/>
    <n v="1.25"/>
    <n v="0.25"/>
    <n v="1.5"/>
    <n v="1.25"/>
    <n v="1.5"/>
  </r>
  <r>
    <n v="76"/>
    <x v="15"/>
    <x v="3"/>
    <x v="0"/>
    <n v="24.5"/>
    <n v="39.700000000000003"/>
    <x v="0"/>
    <n v="33"/>
    <n v="270"/>
    <n v="3"/>
    <n v="0"/>
    <n v="0"/>
    <n v="0"/>
    <n v="0"/>
    <n v="0"/>
    <m/>
    <m/>
    <n v="0"/>
    <n v="0"/>
    <n v="0"/>
    <n v="0"/>
    <n v="0"/>
  </r>
  <r>
    <n v="77"/>
    <x v="16"/>
    <x v="3"/>
    <x v="7"/>
    <n v="23.6"/>
    <n v="51"/>
    <x v="0"/>
    <n v="33"/>
    <n v="270"/>
    <n v="3"/>
    <n v="1"/>
    <n v="0"/>
    <n v="1"/>
    <n v="0"/>
    <n v="0"/>
    <m/>
    <m/>
    <n v="0.33"/>
    <n v="0"/>
    <n v="0.33"/>
    <n v="0.33"/>
    <n v="0.33"/>
  </r>
  <r>
    <n v="78"/>
    <x v="17"/>
    <x v="3"/>
    <x v="5"/>
    <n v="26.3"/>
    <n v="53.7"/>
    <x v="4"/>
    <n v="66"/>
    <n v="540"/>
    <n v="6"/>
    <n v="12"/>
    <n v="10"/>
    <n v="11"/>
    <n v="1"/>
    <n v="1"/>
    <m/>
    <m/>
    <n v="2"/>
    <n v="1.67"/>
    <n v="3.67"/>
    <n v="1.83"/>
    <n v="3.5"/>
  </r>
  <r>
    <n v="79"/>
    <x v="21"/>
    <x v="3"/>
    <x v="2"/>
    <n v="26.1"/>
    <n v="49.7"/>
    <x v="0"/>
    <n v="33"/>
    <n v="270"/>
    <n v="3"/>
    <n v="3"/>
    <n v="3"/>
    <n v="3"/>
    <n v="0"/>
    <n v="0"/>
    <m/>
    <m/>
    <n v="1"/>
    <n v="1"/>
    <n v="2"/>
    <n v="1"/>
    <n v="2"/>
  </r>
  <r>
    <n v="80"/>
    <x v="23"/>
    <x v="3"/>
    <x v="0"/>
    <n v="26.7"/>
    <n v="46.5"/>
    <x v="4"/>
    <n v="66"/>
    <n v="540"/>
    <n v="6"/>
    <n v="12"/>
    <n v="3"/>
    <n v="11"/>
    <n v="1"/>
    <n v="1"/>
    <m/>
    <m/>
    <n v="2"/>
    <n v="0.5"/>
    <n v="2.5"/>
    <n v="1.83"/>
    <n v="2.33"/>
  </r>
  <r>
    <n v="81"/>
    <x v="0"/>
    <x v="4"/>
    <x v="2"/>
    <n v="23"/>
    <n v="49"/>
    <x v="0"/>
    <n v="33"/>
    <n v="270"/>
    <n v="3"/>
    <n v="1"/>
    <n v="0"/>
    <n v="1"/>
    <n v="0"/>
    <n v="0"/>
    <m/>
    <m/>
    <n v="0.33"/>
    <n v="0"/>
    <n v="0.33"/>
    <n v="0.33"/>
    <n v="0.33"/>
  </r>
  <r>
    <n v="82"/>
    <x v="1"/>
    <x v="4"/>
    <x v="2"/>
    <n v="23.4"/>
    <n v="49"/>
    <x v="0"/>
    <n v="33"/>
    <n v="270"/>
    <n v="3"/>
    <n v="3"/>
    <n v="0"/>
    <n v="3"/>
    <n v="0"/>
    <n v="0"/>
    <m/>
    <m/>
    <n v="1"/>
    <n v="0"/>
    <n v="1"/>
    <n v="1"/>
    <n v="1"/>
  </r>
  <r>
    <n v="83"/>
    <x v="2"/>
    <x v="4"/>
    <x v="2"/>
    <n v="22.4"/>
    <n v="55"/>
    <x v="1"/>
    <n v="44"/>
    <n v="360"/>
    <n v="4"/>
    <n v="9"/>
    <n v="0"/>
    <n v="9"/>
    <n v="0"/>
    <n v="0"/>
    <m/>
    <m/>
    <n v="2.25"/>
    <n v="0"/>
    <n v="2.25"/>
    <n v="2.25"/>
    <n v="2.25"/>
  </r>
  <r>
    <n v="84"/>
    <x v="4"/>
    <x v="4"/>
    <x v="3"/>
    <n v="22.7"/>
    <n v="41.7"/>
    <x v="4"/>
    <n v="66"/>
    <n v="540"/>
    <n v="6"/>
    <n v="10"/>
    <n v="0"/>
    <n v="10"/>
    <n v="0"/>
    <n v="0"/>
    <m/>
    <m/>
    <n v="1.67"/>
    <n v="0"/>
    <n v="1.67"/>
    <n v="1.67"/>
    <n v="1.67"/>
  </r>
  <r>
    <n v="85"/>
    <x v="6"/>
    <x v="4"/>
    <x v="0"/>
    <n v="27"/>
    <n v="61"/>
    <x v="1"/>
    <n v="44"/>
    <n v="360"/>
    <n v="4"/>
    <n v="3"/>
    <n v="0"/>
    <n v="3"/>
    <n v="0"/>
    <n v="0"/>
    <m/>
    <m/>
    <n v="0.75"/>
    <n v="0"/>
    <n v="0.75"/>
    <n v="0.75"/>
    <n v="0.75"/>
  </r>
  <r>
    <n v="86"/>
    <x v="8"/>
    <x v="4"/>
    <x v="3"/>
    <n v="25.2"/>
    <n v="46.3"/>
    <x v="0"/>
    <n v="33"/>
    <n v="270"/>
    <n v="3"/>
    <n v="2"/>
    <n v="0"/>
    <n v="2"/>
    <n v="0"/>
    <n v="0"/>
    <m/>
    <m/>
    <n v="0.67"/>
    <n v="0"/>
    <n v="0.67"/>
    <n v="0.67"/>
    <n v="0.67"/>
  </r>
  <r>
    <n v="87"/>
    <x v="9"/>
    <x v="4"/>
    <x v="5"/>
    <n v="27"/>
    <n v="51.8"/>
    <x v="4"/>
    <n v="66"/>
    <n v="570"/>
    <n v="6.3"/>
    <n v="25"/>
    <n v="0"/>
    <n v="25"/>
    <n v="0"/>
    <n v="0"/>
    <m/>
    <m/>
    <n v="3.95"/>
    <n v="0"/>
    <n v="3.95"/>
    <n v="3.95"/>
    <n v="3.95"/>
  </r>
  <r>
    <n v="88"/>
    <x v="33"/>
    <x v="4"/>
    <x v="7"/>
    <n v="25.4"/>
    <n v="47.7"/>
    <x v="0"/>
    <n v="33"/>
    <n v="270"/>
    <n v="3"/>
    <n v="2"/>
    <n v="0"/>
    <n v="2"/>
    <n v="0"/>
    <n v="0"/>
    <m/>
    <m/>
    <n v="0.67"/>
    <n v="0"/>
    <n v="0.67"/>
    <n v="0.67"/>
    <n v="0.67"/>
  </r>
  <r>
    <n v="89"/>
    <x v="12"/>
    <x v="4"/>
    <x v="2"/>
    <n v="24.2"/>
    <n v="54.7"/>
    <x v="0"/>
    <n v="33"/>
    <n v="270"/>
    <n v="3"/>
    <n v="7"/>
    <n v="0"/>
    <n v="7"/>
    <n v="0"/>
    <n v="0"/>
    <m/>
    <m/>
    <n v="2.33"/>
    <n v="0"/>
    <n v="2.33"/>
    <n v="2.33"/>
    <n v="2.33"/>
  </r>
  <r>
    <n v="90"/>
    <x v="31"/>
    <x v="4"/>
    <x v="7"/>
    <n v="24.6"/>
    <n v="52.3"/>
    <x v="0"/>
    <n v="33"/>
    <n v="270"/>
    <n v="3"/>
    <n v="3"/>
    <n v="0"/>
    <n v="3"/>
    <n v="0"/>
    <n v="0"/>
    <m/>
    <m/>
    <n v="1"/>
    <n v="0"/>
    <n v="1"/>
    <n v="1"/>
    <n v="1"/>
  </r>
  <r>
    <n v="91"/>
    <x v="13"/>
    <x v="4"/>
    <x v="0"/>
    <n v="22.2"/>
    <n v="48.7"/>
    <x v="0"/>
    <n v="33"/>
    <n v="270"/>
    <n v="3"/>
    <n v="1"/>
    <n v="0"/>
    <n v="1"/>
    <n v="0"/>
    <n v="0"/>
    <m/>
    <m/>
    <n v="0.33"/>
    <n v="0"/>
    <n v="0.33"/>
    <n v="0.33"/>
    <n v="0.33"/>
  </r>
  <r>
    <n v="92"/>
    <x v="16"/>
    <x v="4"/>
    <x v="2"/>
    <n v="24.7"/>
    <n v="51.3"/>
    <x v="0"/>
    <n v="33"/>
    <n v="270"/>
    <n v="3"/>
    <n v="0"/>
    <n v="0"/>
    <n v="0"/>
    <n v="0"/>
    <n v="0"/>
    <m/>
    <m/>
    <n v="0"/>
    <n v="0"/>
    <n v="0"/>
    <n v="0"/>
    <n v="0"/>
  </r>
  <r>
    <n v="93"/>
    <x v="17"/>
    <x v="4"/>
    <x v="2"/>
    <n v="25.3"/>
    <n v="48"/>
    <x v="1"/>
    <n v="44"/>
    <n v="360"/>
    <n v="4"/>
    <n v="10"/>
    <n v="1"/>
    <n v="10"/>
    <n v="0"/>
    <n v="0"/>
    <m/>
    <m/>
    <n v="2.5"/>
    <n v="0.25"/>
    <n v="2.75"/>
    <n v="2.5"/>
    <n v="2.75"/>
  </r>
  <r>
    <n v="94"/>
    <x v="34"/>
    <x v="4"/>
    <x v="3"/>
    <n v="28.1"/>
    <n v="45"/>
    <x v="1"/>
    <n v="44"/>
    <n v="360"/>
    <n v="4"/>
    <n v="5"/>
    <n v="1"/>
    <n v="5"/>
    <n v="0"/>
    <n v="0"/>
    <m/>
    <m/>
    <n v="1.25"/>
    <n v="0.25"/>
    <n v="1.5"/>
    <n v="1.25"/>
    <n v="1.5"/>
  </r>
  <r>
    <n v="95"/>
    <x v="21"/>
    <x v="4"/>
    <x v="0"/>
    <n v="25.9"/>
    <n v="48.2"/>
    <x v="4"/>
    <n v="66"/>
    <n v="570"/>
    <n v="6.3"/>
    <n v="10"/>
    <n v="0"/>
    <n v="10"/>
    <n v="0"/>
    <n v="0"/>
    <m/>
    <m/>
    <n v="1.58"/>
    <n v="0"/>
    <n v="1.58"/>
    <n v="1.58"/>
    <n v="1.58"/>
  </r>
  <r>
    <n v="96"/>
    <x v="23"/>
    <x v="4"/>
    <x v="0"/>
    <n v="28.1"/>
    <n v="52.8"/>
    <x v="4"/>
    <n v="66"/>
    <n v="540"/>
    <n v="6"/>
    <n v="15"/>
    <n v="4"/>
    <n v="15"/>
    <n v="0"/>
    <n v="0"/>
    <m/>
    <m/>
    <n v="2.5"/>
    <n v="0.67"/>
    <n v="3.17"/>
    <n v="2.5"/>
    <n v="3.17"/>
  </r>
  <r>
    <n v="97"/>
    <x v="1"/>
    <x v="5"/>
    <x v="3"/>
    <n v="25"/>
    <m/>
    <x v="0"/>
    <n v="33"/>
    <n v="270"/>
    <n v="3"/>
    <n v="3"/>
    <n v="1"/>
    <n v="3"/>
    <n v="0"/>
    <n v="0"/>
    <m/>
    <m/>
    <n v="1"/>
    <n v="0.33"/>
    <n v="1.33"/>
    <n v="1"/>
    <n v="1.33"/>
  </r>
  <r>
    <n v="98"/>
    <x v="2"/>
    <x v="5"/>
    <x v="7"/>
    <n v="25"/>
    <m/>
    <x v="4"/>
    <n v="66"/>
    <n v="554"/>
    <n v="6.2"/>
    <n v="16"/>
    <n v="10"/>
    <n v="16"/>
    <n v="0"/>
    <n v="0"/>
    <m/>
    <m/>
    <n v="2.6"/>
    <n v="1.62"/>
    <n v="4.22"/>
    <n v="2.6"/>
    <n v="4.22"/>
  </r>
  <r>
    <n v="99"/>
    <x v="4"/>
    <x v="5"/>
    <x v="7"/>
    <n v="25.9"/>
    <m/>
    <x v="0"/>
    <n v="33"/>
    <n v="270"/>
    <n v="3"/>
    <n v="3"/>
    <n v="3"/>
    <n v="3"/>
    <n v="0"/>
    <n v="0"/>
    <m/>
    <m/>
    <n v="1"/>
    <n v="1"/>
    <n v="2"/>
    <n v="1"/>
    <n v="2"/>
  </r>
  <r>
    <n v="100"/>
    <x v="6"/>
    <x v="5"/>
    <x v="9"/>
    <n v="26.6"/>
    <m/>
    <x v="4"/>
    <n v="66"/>
    <n v="570"/>
    <n v="6.3"/>
    <n v="19"/>
    <n v="9"/>
    <n v="18"/>
    <n v="1"/>
    <n v="1"/>
    <m/>
    <m/>
    <n v="3"/>
    <n v="1.42"/>
    <n v="4.42"/>
    <n v="2.84"/>
    <n v="4.26"/>
  </r>
  <r>
    <n v="101"/>
    <x v="32"/>
    <x v="5"/>
    <x v="3"/>
    <n v="25.5"/>
    <m/>
    <x v="0"/>
    <n v="33"/>
    <n v="270"/>
    <n v="3"/>
    <n v="1"/>
    <n v="0"/>
    <n v="1"/>
    <n v="0"/>
    <n v="0"/>
    <m/>
    <m/>
    <n v="0.33"/>
    <n v="0"/>
    <n v="0.33"/>
    <n v="0.33"/>
    <n v="0.33"/>
  </r>
  <r>
    <n v="102"/>
    <x v="9"/>
    <x v="5"/>
    <x v="0"/>
    <n v="24.4"/>
    <m/>
    <x v="1"/>
    <n v="44"/>
    <n v="360"/>
    <n v="4"/>
    <n v="11"/>
    <n v="4"/>
    <n v="11"/>
    <n v="0"/>
    <n v="0"/>
    <m/>
    <m/>
    <n v="2.75"/>
    <n v="1"/>
    <n v="3.75"/>
    <n v="2.75"/>
    <n v="3.75"/>
  </r>
  <r>
    <n v="103"/>
    <x v="33"/>
    <x v="5"/>
    <x v="2"/>
    <n v="23.6"/>
    <m/>
    <x v="0"/>
    <n v="33"/>
    <n v="270"/>
    <n v="3"/>
    <n v="1"/>
    <n v="0"/>
    <n v="1"/>
    <n v="0"/>
    <n v="0"/>
    <m/>
    <m/>
    <n v="0.33"/>
    <n v="0"/>
    <n v="0.33"/>
    <n v="0.33"/>
    <n v="0.33"/>
  </r>
  <r>
    <n v="104"/>
    <x v="10"/>
    <x v="5"/>
    <x v="3"/>
    <n v="26.7"/>
    <m/>
    <x v="0"/>
    <n v="33"/>
    <n v="270"/>
    <n v="3"/>
    <n v="3"/>
    <n v="1"/>
    <n v="3"/>
    <n v="0"/>
    <n v="0"/>
    <m/>
    <m/>
    <n v="1"/>
    <n v="0.33"/>
    <n v="1.33"/>
    <n v="1"/>
    <n v="1.33"/>
  </r>
  <r>
    <n v="105"/>
    <x v="12"/>
    <x v="5"/>
    <x v="7"/>
    <n v="23"/>
    <m/>
    <x v="0"/>
    <n v="33"/>
    <n v="270"/>
    <n v="3"/>
    <n v="1"/>
    <n v="1"/>
    <n v="1"/>
    <n v="0"/>
    <n v="0"/>
    <m/>
    <m/>
    <n v="0.33"/>
    <n v="0.33"/>
    <n v="0.67"/>
    <n v="0.33"/>
    <n v="0.67"/>
  </r>
  <r>
    <n v="106"/>
    <x v="31"/>
    <x v="5"/>
    <x v="2"/>
    <n v="24.5"/>
    <m/>
    <x v="0"/>
    <n v="33"/>
    <n v="270"/>
    <n v="3"/>
    <n v="4"/>
    <n v="2"/>
    <n v="4"/>
    <n v="0"/>
    <n v="0"/>
    <m/>
    <m/>
    <n v="1.33"/>
    <n v="0.67"/>
    <n v="2"/>
    <n v="1.33"/>
    <n v="2"/>
  </r>
  <r>
    <n v="107"/>
    <x v="28"/>
    <x v="5"/>
    <x v="7"/>
    <n v="21.5"/>
    <m/>
    <x v="0"/>
    <n v="33"/>
    <n v="270"/>
    <n v="3"/>
    <n v="1"/>
    <n v="0"/>
    <n v="1"/>
    <n v="0"/>
    <n v="0"/>
    <m/>
    <m/>
    <n v="0.33"/>
    <n v="0"/>
    <n v="0.33"/>
    <n v="0.33"/>
    <n v="0.33"/>
  </r>
  <r>
    <n v="108"/>
    <x v="16"/>
    <x v="5"/>
    <x v="2"/>
    <n v="23.5"/>
    <m/>
    <x v="1"/>
    <n v="44"/>
    <n v="374"/>
    <n v="4.2"/>
    <n v="8"/>
    <n v="3"/>
    <n v="8"/>
    <n v="0"/>
    <n v="0"/>
    <m/>
    <m/>
    <n v="1.93"/>
    <n v="0.72"/>
    <n v="2.65"/>
    <n v="1.93"/>
    <n v="2.65"/>
  </r>
  <r>
    <n v="109"/>
    <x v="17"/>
    <x v="5"/>
    <x v="5"/>
    <n v="25.1"/>
    <m/>
    <x v="4"/>
    <n v="66"/>
    <n v="540"/>
    <n v="6"/>
    <n v="15"/>
    <n v="10"/>
    <n v="15"/>
    <n v="0"/>
    <n v="0"/>
    <m/>
    <m/>
    <n v="2.5"/>
    <n v="1.67"/>
    <n v="4.17"/>
    <n v="2.5"/>
    <n v="4.17"/>
  </r>
  <r>
    <n v="110"/>
    <x v="34"/>
    <x v="5"/>
    <x v="7"/>
    <n v="25.6"/>
    <m/>
    <x v="1"/>
    <n v="44"/>
    <n v="360"/>
    <n v="4"/>
    <n v="10"/>
    <n v="9"/>
    <n v="10"/>
    <n v="0"/>
    <n v="0"/>
    <m/>
    <m/>
    <n v="2.5"/>
    <n v="2.25"/>
    <n v="4.75"/>
    <n v="2.5"/>
    <n v="4.75"/>
  </r>
  <r>
    <n v="111"/>
    <x v="21"/>
    <x v="5"/>
    <x v="3"/>
    <n v="24.6"/>
    <m/>
    <x v="1"/>
    <n v="44"/>
    <n v="360"/>
    <n v="4"/>
    <n v="7"/>
    <n v="5"/>
    <n v="7"/>
    <n v="0"/>
    <n v="0"/>
    <m/>
    <m/>
    <n v="1.75"/>
    <n v="1.25"/>
    <n v="3"/>
    <n v="1.75"/>
    <n v="3"/>
  </r>
  <r>
    <n v="112"/>
    <x v="23"/>
    <x v="5"/>
    <x v="0"/>
    <n v="27.4"/>
    <m/>
    <x v="4"/>
    <n v="66"/>
    <n v="570"/>
    <n v="6.3"/>
    <n v="17"/>
    <n v="15"/>
    <n v="16"/>
    <n v="1"/>
    <n v="1"/>
    <m/>
    <m/>
    <n v="2.68"/>
    <n v="2.37"/>
    <n v="5.05"/>
    <n v="2.5299999999999998"/>
    <n v="4.8899999999999997"/>
  </r>
  <r>
    <n v="113"/>
    <x v="1"/>
    <x v="6"/>
    <x v="3"/>
    <n v="25"/>
    <m/>
    <x v="0"/>
    <n v="33"/>
    <n v="270"/>
    <n v="3"/>
    <n v="3"/>
    <n v="0"/>
    <n v="3"/>
    <n v="0"/>
    <n v="0"/>
    <m/>
    <m/>
    <n v="1"/>
    <n v="0"/>
    <n v="1"/>
    <n v="1"/>
    <n v="1"/>
  </r>
  <r>
    <n v="114"/>
    <x v="2"/>
    <x v="6"/>
    <x v="2"/>
    <n v="27.9"/>
    <m/>
    <x v="0"/>
    <n v="33"/>
    <n v="270"/>
    <n v="3"/>
    <n v="3"/>
    <n v="1"/>
    <n v="3"/>
    <n v="0"/>
    <n v="0"/>
    <m/>
    <m/>
    <n v="1"/>
    <n v="0.33"/>
    <n v="1.33"/>
    <n v="1"/>
    <n v="1.33"/>
  </r>
  <r>
    <n v="115"/>
    <x v="4"/>
    <x v="6"/>
    <x v="7"/>
    <n v="26.2"/>
    <m/>
    <x v="0"/>
    <n v="33"/>
    <n v="270"/>
    <n v="3"/>
    <n v="5"/>
    <n v="0"/>
    <n v="5"/>
    <n v="0"/>
    <n v="0"/>
    <m/>
    <m/>
    <n v="1.67"/>
    <n v="0"/>
    <n v="1.67"/>
    <n v="1.67"/>
    <n v="1.67"/>
  </r>
  <r>
    <n v="116"/>
    <x v="6"/>
    <x v="6"/>
    <x v="2"/>
    <n v="24.3"/>
    <m/>
    <x v="4"/>
    <n v="66"/>
    <n v="570"/>
    <n v="6.3"/>
    <n v="11"/>
    <n v="0"/>
    <n v="11"/>
    <n v="0"/>
    <n v="0"/>
    <m/>
    <m/>
    <n v="1.74"/>
    <n v="0"/>
    <n v="1.74"/>
    <n v="1.74"/>
    <n v="1.74"/>
  </r>
  <r>
    <n v="117"/>
    <x v="32"/>
    <x v="6"/>
    <x v="3"/>
    <n v="21.3"/>
    <m/>
    <x v="1"/>
    <n v="44"/>
    <n v="360"/>
    <n v="4"/>
    <n v="7"/>
    <n v="0"/>
    <n v="7"/>
    <n v="0"/>
    <n v="0"/>
    <m/>
    <m/>
    <n v="1.75"/>
    <n v="0"/>
    <n v="1.75"/>
    <n v="1.75"/>
    <n v="1.75"/>
  </r>
  <r>
    <n v="118"/>
    <x v="7"/>
    <x v="6"/>
    <x v="2"/>
    <n v="27.8"/>
    <m/>
    <x v="1"/>
    <n v="44"/>
    <n v="360"/>
    <n v="4"/>
    <n v="6"/>
    <n v="0"/>
    <n v="6"/>
    <n v="0"/>
    <n v="0"/>
    <m/>
    <m/>
    <n v="1.5"/>
    <n v="0"/>
    <n v="1.5"/>
    <n v="1.5"/>
    <n v="1.5"/>
  </r>
  <r>
    <n v="119"/>
    <x v="9"/>
    <x v="6"/>
    <x v="3"/>
    <n v="25.3"/>
    <m/>
    <x v="4"/>
    <n v="66"/>
    <n v="540"/>
    <n v="6"/>
    <n v="13"/>
    <n v="0"/>
    <n v="13"/>
    <n v="0"/>
    <n v="0"/>
    <m/>
    <m/>
    <n v="2.17"/>
    <n v="0"/>
    <n v="2.17"/>
    <n v="2.17"/>
    <n v="2.17"/>
  </r>
  <r>
    <n v="120"/>
    <x v="12"/>
    <x v="6"/>
    <x v="9"/>
    <n v="22.6"/>
    <m/>
    <x v="1"/>
    <n v="44"/>
    <n v="360"/>
    <n v="4"/>
    <n v="2"/>
    <n v="0"/>
    <n v="2"/>
    <n v="0"/>
    <n v="0"/>
    <m/>
    <m/>
    <n v="0.5"/>
    <n v="0"/>
    <n v="0.5"/>
    <n v="0.5"/>
    <n v="0.5"/>
  </r>
  <r>
    <n v="121"/>
    <x v="16"/>
    <x v="6"/>
    <x v="2"/>
    <n v="20.6"/>
    <m/>
    <x v="0"/>
    <n v="33"/>
    <n v="270"/>
    <n v="3"/>
    <n v="5"/>
    <n v="0"/>
    <n v="5"/>
    <n v="0"/>
    <n v="0"/>
    <m/>
    <m/>
    <n v="1.67"/>
    <n v="0"/>
    <n v="1.67"/>
    <n v="1.67"/>
    <n v="1.67"/>
  </r>
  <r>
    <n v="122"/>
    <x v="17"/>
    <x v="6"/>
    <x v="3"/>
    <n v="24.6"/>
    <m/>
    <x v="4"/>
    <n v="66"/>
    <n v="540"/>
    <n v="6"/>
    <n v="23"/>
    <n v="0"/>
    <n v="23"/>
    <n v="0"/>
    <n v="0"/>
    <m/>
    <m/>
    <n v="3.83"/>
    <n v="0"/>
    <n v="3.83"/>
    <n v="3.83"/>
    <n v="3.83"/>
  </r>
  <r>
    <n v="123"/>
    <x v="21"/>
    <x v="6"/>
    <x v="0"/>
    <n v="27.5"/>
    <m/>
    <x v="1"/>
    <n v="44"/>
    <n v="390"/>
    <n v="4.3"/>
    <n v="6"/>
    <n v="0"/>
    <n v="6"/>
    <n v="0"/>
    <n v="0"/>
    <m/>
    <m/>
    <n v="1.38"/>
    <n v="0"/>
    <n v="1.38"/>
    <n v="1.38"/>
    <n v="1.38"/>
  </r>
  <r>
    <n v="124"/>
    <x v="23"/>
    <x v="6"/>
    <x v="0"/>
    <n v="24.1"/>
    <m/>
    <x v="4"/>
    <n v="66"/>
    <n v="540"/>
    <n v="6"/>
    <n v="15"/>
    <n v="4"/>
    <n v="15"/>
    <n v="0"/>
    <n v="0"/>
    <m/>
    <m/>
    <n v="2.5"/>
    <n v="0.67"/>
    <n v="3.17"/>
    <n v="2.5"/>
    <n v="3.17"/>
  </r>
  <r>
    <n v="125"/>
    <x v="2"/>
    <x v="7"/>
    <x v="3"/>
    <n v="25.7"/>
    <m/>
    <x v="0"/>
    <n v="33"/>
    <n v="240"/>
    <n v="2.7"/>
    <n v="1"/>
    <n v="0"/>
    <n v="1"/>
    <n v="0"/>
    <n v="0"/>
    <m/>
    <m/>
    <n v="0.37"/>
    <n v="0"/>
    <n v="0.37"/>
    <n v="0.37"/>
    <n v="0.37"/>
  </r>
  <r>
    <n v="126"/>
    <x v="6"/>
    <x v="7"/>
    <x v="7"/>
    <n v="22.1"/>
    <m/>
    <x v="1"/>
    <n v="44"/>
    <n v="320"/>
    <n v="3.6"/>
    <n v="10"/>
    <n v="3"/>
    <n v="10"/>
    <n v="0"/>
    <n v="0"/>
    <m/>
    <m/>
    <n v="2.81"/>
    <n v="0.84"/>
    <n v="3.66"/>
    <n v="2.81"/>
    <n v="3.66"/>
  </r>
  <r>
    <n v="127"/>
    <x v="35"/>
    <x v="7"/>
    <x v="2"/>
    <n v="21.2"/>
    <m/>
    <x v="1"/>
    <n v="44"/>
    <n v="320"/>
    <n v="3.6"/>
    <n v="2"/>
    <n v="1"/>
    <n v="2"/>
    <n v="0"/>
    <n v="0"/>
    <m/>
    <m/>
    <n v="0.56000000000000005"/>
    <n v="0.28000000000000003"/>
    <n v="0.84"/>
    <n v="0.56000000000000005"/>
    <n v="0.84"/>
  </r>
  <r>
    <n v="128"/>
    <x v="32"/>
    <x v="7"/>
    <x v="7"/>
    <n v="23.8"/>
    <m/>
    <x v="1"/>
    <n v="44"/>
    <n v="340"/>
    <n v="3.8"/>
    <n v="7"/>
    <n v="5"/>
    <n v="5"/>
    <n v="2"/>
    <n v="2"/>
    <m/>
    <m/>
    <n v="1.85"/>
    <n v="1.32"/>
    <n v="3.18"/>
    <n v="1.32"/>
    <n v="2.65"/>
  </r>
  <r>
    <n v="129"/>
    <x v="9"/>
    <x v="7"/>
    <x v="0"/>
    <n v="23.8"/>
    <m/>
    <x v="4"/>
    <n v="66"/>
    <n v="500"/>
    <n v="5.6"/>
    <n v="13"/>
    <n v="9"/>
    <n v="12"/>
    <n v="1"/>
    <n v="1"/>
    <m/>
    <m/>
    <n v="2.34"/>
    <n v="1.62"/>
    <n v="3.96"/>
    <n v="2.16"/>
    <n v="3.78"/>
  </r>
  <r>
    <n v="130"/>
    <x v="10"/>
    <x v="7"/>
    <x v="3"/>
    <n v="24.2"/>
    <m/>
    <x v="1"/>
    <n v="44"/>
    <n v="340"/>
    <n v="3.8"/>
    <n v="8"/>
    <n v="5"/>
    <n v="8"/>
    <n v="0"/>
    <n v="0"/>
    <m/>
    <m/>
    <n v="2.12"/>
    <n v="1.32"/>
    <n v="3.44"/>
    <n v="2.12"/>
    <n v="3.44"/>
  </r>
  <r>
    <n v="131"/>
    <x v="12"/>
    <x v="7"/>
    <x v="10"/>
    <n v="24.3"/>
    <m/>
    <x v="0"/>
    <n v="33"/>
    <n v="240"/>
    <n v="2.7"/>
    <n v="0"/>
    <n v="0"/>
    <n v="0"/>
    <n v="0"/>
    <n v="0"/>
    <m/>
    <m/>
    <n v="0"/>
    <n v="0"/>
    <n v="0"/>
    <n v="0"/>
    <n v="0"/>
  </r>
  <r>
    <n v="132"/>
    <x v="15"/>
    <x v="7"/>
    <x v="7"/>
    <n v="25.5"/>
    <m/>
    <x v="0"/>
    <n v="33"/>
    <n v="240"/>
    <n v="2.7"/>
    <n v="1"/>
    <n v="1"/>
    <n v="1"/>
    <n v="0"/>
    <n v="0"/>
    <m/>
    <m/>
    <n v="0.37"/>
    <n v="0.37"/>
    <n v="0.75"/>
    <n v="0.37"/>
    <n v="0.75"/>
  </r>
  <r>
    <n v="133"/>
    <x v="16"/>
    <x v="7"/>
    <x v="3"/>
    <n v="18.2"/>
    <m/>
    <x v="0"/>
    <n v="33"/>
    <n v="240"/>
    <n v="2.7"/>
    <n v="0"/>
    <n v="0"/>
    <n v="0"/>
    <n v="0"/>
    <n v="0"/>
    <m/>
    <m/>
    <n v="0"/>
    <n v="0"/>
    <n v="0"/>
    <n v="0"/>
    <n v="0"/>
  </r>
  <r>
    <n v="134"/>
    <x v="17"/>
    <x v="7"/>
    <x v="7"/>
    <n v="24.1"/>
    <m/>
    <x v="4"/>
    <n v="66"/>
    <n v="500"/>
    <n v="5.6"/>
    <n v="13"/>
    <n v="6"/>
    <n v="12"/>
    <n v="1"/>
    <n v="1"/>
    <m/>
    <m/>
    <n v="2.34"/>
    <n v="1.08"/>
    <n v="3.42"/>
    <n v="2.16"/>
    <n v="3.24"/>
  </r>
  <r>
    <n v="135"/>
    <x v="21"/>
    <x v="7"/>
    <x v="0"/>
    <n v="25.4"/>
    <m/>
    <x v="4"/>
    <n v="66"/>
    <n v="480"/>
    <n v="5.3"/>
    <n v="17"/>
    <n v="11"/>
    <n v="16"/>
    <n v="1"/>
    <n v="1"/>
    <m/>
    <m/>
    <n v="3.19"/>
    <n v="2.06"/>
    <n v="5.25"/>
    <n v="3"/>
    <n v="5.0599999999999996"/>
  </r>
  <r>
    <n v="136"/>
    <x v="23"/>
    <x v="7"/>
    <x v="2"/>
    <n v="23"/>
    <m/>
    <x v="4"/>
    <n v="66"/>
    <n v="480"/>
    <n v="5.3"/>
    <n v="25"/>
    <n v="11"/>
    <n v="24"/>
    <n v="1"/>
    <n v="1"/>
    <m/>
    <m/>
    <n v="4.6900000000000004"/>
    <n v="2.06"/>
    <n v="6.75"/>
    <n v="4.5"/>
    <n v="6.5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C5C0B95-95B2-0B43-AAB5-55D34F086EBC}" name="PivotTable2"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C40" firstHeaderRow="0" firstDataRow="1" firstDataCol="1" rowPageCount="1" colPageCount="1"/>
  <pivotFields count="22">
    <pivotField showAll="0"/>
    <pivotField axis="axisRow" showAll="0">
      <items count="37">
        <item x="0"/>
        <item x="1"/>
        <item x="2"/>
        <item x="26"/>
        <item x="3"/>
        <item x="4"/>
        <item x="5"/>
        <item x="6"/>
        <item x="35"/>
        <item x="24"/>
        <item x="25"/>
        <item x="32"/>
        <item x="27"/>
        <item x="7"/>
        <item x="30"/>
        <item x="8"/>
        <item x="9"/>
        <item x="33"/>
        <item x="10"/>
        <item x="11"/>
        <item x="12"/>
        <item x="31"/>
        <item x="13"/>
        <item x="28"/>
        <item x="14"/>
        <item x="15"/>
        <item x="16"/>
        <item x="17"/>
        <item x="34"/>
        <item x="18"/>
        <item x="19"/>
        <item x="20"/>
        <item x="21"/>
        <item x="29"/>
        <item x="22"/>
        <item x="23"/>
        <item t="default"/>
      </items>
    </pivotField>
    <pivotField axis="axisPage" showAll="0">
      <items count="9">
        <item x="7"/>
        <item x="6"/>
        <item x="5"/>
        <item x="4"/>
        <item x="3"/>
        <item x="2"/>
        <item x="1"/>
        <item x="0"/>
        <item t="default"/>
      </items>
    </pivotField>
    <pivotField showAll="0"/>
    <pivotField showAll="0"/>
    <pivotField showAll="0"/>
    <pivotField dataField="1"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s>
  <rowFields count="1">
    <field x="1"/>
  </rowFields>
  <rowItems count="37">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t="grand">
      <x/>
    </i>
  </rowItems>
  <colFields count="1">
    <field x="-2"/>
  </colFields>
  <colItems count="2">
    <i>
      <x/>
    </i>
    <i i="1">
      <x v="1"/>
    </i>
  </colItems>
  <pageFields count="1">
    <pageField fld="2" hier="-1"/>
  </pageFields>
  <dataFields count="2">
    <dataField name="Sum of matches_played" fld="6" baseField="0" baseItem="0"/>
    <dataField name="Sum of goals" fld="1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4287B85-2685-1048-B561-3F05CD3B0AA0}" name="PivotTable4"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3:D11" firstHeaderRow="0" firstDataRow="1" firstDataCol="1" rowPageCount="1" colPageCount="1"/>
  <pivotFields count="22">
    <pivotField showAll="0"/>
    <pivotField axis="axisPage" multipleItemSelectionAllowed="1" showAll="0">
      <items count="37">
        <item h="1" x="0"/>
        <item x="1"/>
        <item h="1" x="2"/>
        <item h="1" x="26"/>
        <item h="1" x="3"/>
        <item h="1" x="4"/>
        <item h="1" x="5"/>
        <item h="1" x="6"/>
        <item h="1" x="35"/>
        <item h="1" x="24"/>
        <item h="1" x="25"/>
        <item h="1" x="32"/>
        <item h="1" x="27"/>
        <item h="1" x="7"/>
        <item h="1" x="30"/>
        <item h="1" x="8"/>
        <item h="1" x="9"/>
        <item h="1" x="33"/>
        <item h="1" x="10"/>
        <item h="1" x="11"/>
        <item h="1" x="12"/>
        <item h="1" x="31"/>
        <item h="1" x="13"/>
        <item h="1" x="28"/>
        <item h="1" x="14"/>
        <item h="1" x="15"/>
        <item h="1" x="16"/>
        <item h="1" x="17"/>
        <item h="1" x="34"/>
        <item h="1" x="18"/>
        <item h="1" x="19"/>
        <item h="1" x="20"/>
        <item h="1" x="21"/>
        <item h="1" x="29"/>
        <item h="1" x="22"/>
        <item h="1" x="23"/>
        <item t="default"/>
      </items>
    </pivotField>
    <pivotField axis="axisRow" showAll="0">
      <items count="9">
        <item x="7"/>
        <item x="6"/>
        <item x="5"/>
        <item x="4"/>
        <item x="3"/>
        <item x="2"/>
        <item x="1"/>
        <item x="0"/>
        <item t="default"/>
      </items>
    </pivotField>
    <pivotField showAll="0"/>
    <pivotField showAll="0"/>
    <pivotField dataField="1" showAll="0"/>
    <pivotField dataField="1" showAll="0">
      <items count="6">
        <item x="0"/>
        <item x="1"/>
        <item x="3"/>
        <item x="4"/>
        <item x="2"/>
        <item t="default"/>
      </items>
    </pivotField>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8">
    <i>
      <x v="1"/>
    </i>
    <i>
      <x v="2"/>
    </i>
    <i>
      <x v="3"/>
    </i>
    <i>
      <x v="4"/>
    </i>
    <i>
      <x v="5"/>
    </i>
    <i>
      <x v="6"/>
    </i>
    <i>
      <x v="7"/>
    </i>
    <i t="grand">
      <x/>
    </i>
  </rowItems>
  <colFields count="1">
    <field x="-2"/>
  </colFields>
  <colItems count="3">
    <i>
      <x/>
    </i>
    <i i="1">
      <x v="1"/>
    </i>
    <i i="2">
      <x v="2"/>
    </i>
  </colItems>
  <pageFields count="1">
    <pageField fld="1" hier="-1"/>
  </pageFields>
  <dataFields count="3">
    <dataField name="Sum of matches_played" fld="6" baseField="0" baseItem="0"/>
    <dataField name="Sum of goals" fld="10" baseField="0" baseItem="0"/>
    <dataField name="Average of possesion" fld="5" subtotal="average" baseField="0" baseItem="0"/>
  </dataFields>
  <chartFormats count="15">
    <chartFormat chart="0" format="1"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1"/>
          </reference>
        </references>
      </pivotArea>
    </chartFormat>
    <chartFormat chart="0" format="4" series="1">
      <pivotArea type="data" outline="0" fieldPosition="0">
        <references count="1">
          <reference field="4294967294" count="1" selected="0">
            <x v="2"/>
          </reference>
        </references>
      </pivotArea>
    </chartFormat>
    <chartFormat chart="1" format="5" series="1">
      <pivotArea type="data" outline="0" fieldPosition="0">
        <references count="1">
          <reference field="4294967294" count="1" selected="0">
            <x v="0"/>
          </reference>
        </references>
      </pivotArea>
    </chartFormat>
    <chartFormat chart="1" format="6" series="1">
      <pivotArea type="data" outline="0" fieldPosition="0">
        <references count="1">
          <reference field="4294967294" count="1" selected="0">
            <x v="1"/>
          </reference>
        </references>
      </pivotArea>
    </chartFormat>
    <chartFormat chart="1" format="7" series="1">
      <pivotArea type="data" outline="0" fieldPosition="0">
        <references count="1">
          <reference field="4294967294" count="1" selected="0">
            <x v="2"/>
          </reference>
        </references>
      </pivotArea>
    </chartFormat>
    <chartFormat chart="2" format="8" series="1">
      <pivotArea type="data" outline="0" fieldPosition="0">
        <references count="1">
          <reference field="4294967294" count="1" selected="0">
            <x v="0"/>
          </reference>
        </references>
      </pivotArea>
    </chartFormat>
    <chartFormat chart="2" format="9" series="1">
      <pivotArea type="data" outline="0" fieldPosition="0">
        <references count="1">
          <reference field="4294967294" count="1" selected="0">
            <x v="1"/>
          </reference>
        </references>
      </pivotArea>
    </chartFormat>
    <chartFormat chart="2" format="10" series="1">
      <pivotArea type="data" outline="0" fieldPosition="0">
        <references count="1">
          <reference field="4294967294" count="1" selected="0">
            <x v="2"/>
          </reference>
        </references>
      </pivotArea>
    </chartFormat>
    <chartFormat chart="3" format="11" series="1">
      <pivotArea type="data" outline="0" fieldPosition="0">
        <references count="1">
          <reference field="4294967294" count="1" selected="0">
            <x v="0"/>
          </reference>
        </references>
      </pivotArea>
    </chartFormat>
    <chartFormat chart="3" format="12" series="1">
      <pivotArea type="data" outline="0" fieldPosition="0">
        <references count="1">
          <reference field="4294967294" count="1" selected="0">
            <x v="1"/>
          </reference>
        </references>
      </pivotArea>
    </chartFormat>
    <chartFormat chart="3" format="13" series="1">
      <pivotArea type="data" outline="0" fieldPosition="0">
        <references count="1">
          <reference field="4294967294" count="1" selected="0">
            <x v="2"/>
          </reference>
        </references>
      </pivotArea>
    </chartFormat>
    <chartFormat chart="4" format="14" series="1">
      <pivotArea type="data" outline="0" fieldPosition="0">
        <references count="1">
          <reference field="4294967294" count="1" selected="0">
            <x v="0"/>
          </reference>
        </references>
      </pivotArea>
    </chartFormat>
    <chartFormat chart="4" format="15" series="1">
      <pivotArea type="data" outline="0" fieldPosition="0">
        <references count="1">
          <reference field="4294967294" count="1" selected="0">
            <x v="1"/>
          </reference>
        </references>
      </pivotArea>
    </chartFormat>
    <chartFormat chart="4" format="16"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Matches, goals and possessio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quad" xr10:uid="{39507514-BCAA-DE4E-82BE-9CACED3CD5EA}" sourceName="squad">
  <pivotTables>
    <pivotTable tabId="8" name="PivotTable4"/>
  </pivotTables>
  <data>
    <tabular pivotCacheId="1680593638">
      <items count="36">
        <i x="0"/>
        <i x="1" s="1"/>
        <i x="2"/>
        <i x="26"/>
        <i x="3"/>
        <i x="4"/>
        <i x="5"/>
        <i x="6"/>
        <i x="35"/>
        <i x="24"/>
        <i x="25"/>
        <i x="32"/>
        <i x="27"/>
        <i x="7"/>
        <i x="30"/>
        <i x="8"/>
        <i x="9"/>
        <i x="33"/>
        <i x="10"/>
        <i x="11"/>
        <i x="12"/>
        <i x="31"/>
        <i x="13"/>
        <i x="28"/>
        <i x="14"/>
        <i x="15"/>
        <i x="16"/>
        <i x="17"/>
        <i x="34"/>
        <i x="18"/>
        <i x="19"/>
        <i x="20"/>
        <i x="21"/>
        <i x="29"/>
        <i x="22"/>
        <i x="23"/>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quad" xr10:uid="{455DA9B7-5FDA-7249-9F52-1296C7E6A8F7}" cache="Slicer_squad" caption="squad" rowHeight="251883"/>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16" dT="2023-08-17T09:47:37.39" personId="{41D526D4-9D67-3148-83A7-7F4FDCAD8DB6}" id="{B8DFFE92-4C1F-834A-8B14-DF1C3BAE1D39}">
    <text>Note how the formula proceeds to the second condition only if the first is not verified.</text>
  </threadedComment>
  <threadedComment ref="E16" dT="2023-08-17T09:47:37.39" personId="{41D526D4-9D67-3148-83A7-7F4FDCAD8DB6}" id="{956F094E-48EA-BD43-A476-97D9B87AF8A6}">
    <text>note how the “TRUE” condition at the end (which is always true!!) is a catch all condition (default if none of the preceding conditions are verified)</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github.com/zonination/pokemon-chart/blob/master/chart.csv" TargetMode="Externa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2.vml"/><Relationship Id="rId1" Type="http://schemas.openxmlformats.org/officeDocument/2006/relationships/drawing" Target="../drawings/drawing4.xml"/><Relationship Id="rId6" Type="http://schemas.openxmlformats.org/officeDocument/2006/relationships/ctrlProp" Target="../ctrlProps/ctrlProp4.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75C904-E326-9543-B211-79A5D7A9CA2E}">
  <sheetPr codeName="Sheet1"/>
  <dimension ref="A1:S22"/>
  <sheetViews>
    <sheetView workbookViewId="0">
      <selection activeCell="B25" sqref="B25"/>
    </sheetView>
  </sheetViews>
  <sheetFormatPr baseColWidth="10" defaultColWidth="11" defaultRowHeight="16" x14ac:dyDescent="0.2"/>
  <sheetData>
    <row r="1" spans="1:19" ht="17" x14ac:dyDescent="0.25">
      <c r="A1" s="13"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row>
    <row r="2" spans="1:19" ht="17" x14ac:dyDescent="0.25">
      <c r="A2" s="13" t="s">
        <v>1</v>
      </c>
      <c r="B2">
        <v>1</v>
      </c>
      <c r="C2">
        <v>1</v>
      </c>
      <c r="D2">
        <v>1</v>
      </c>
      <c r="E2">
        <v>1</v>
      </c>
      <c r="F2">
        <v>1</v>
      </c>
      <c r="G2">
        <v>1</v>
      </c>
      <c r="H2">
        <v>1</v>
      </c>
      <c r="I2">
        <v>1</v>
      </c>
      <c r="J2">
        <v>1</v>
      </c>
      <c r="K2">
        <v>1</v>
      </c>
      <c r="L2">
        <v>1</v>
      </c>
      <c r="M2">
        <v>1</v>
      </c>
      <c r="N2">
        <v>0.5</v>
      </c>
      <c r="O2">
        <v>0</v>
      </c>
      <c r="P2">
        <v>1</v>
      </c>
      <c r="Q2">
        <v>1</v>
      </c>
      <c r="R2">
        <v>0.5</v>
      </c>
      <c r="S2">
        <v>1</v>
      </c>
    </row>
    <row r="3" spans="1:19" ht="17" x14ac:dyDescent="0.25">
      <c r="A3" s="13" t="s">
        <v>2</v>
      </c>
      <c r="B3">
        <v>1</v>
      </c>
      <c r="C3">
        <v>0.5</v>
      </c>
      <c r="D3">
        <v>0.5</v>
      </c>
      <c r="E3">
        <v>1</v>
      </c>
      <c r="F3">
        <v>2</v>
      </c>
      <c r="G3">
        <v>2</v>
      </c>
      <c r="H3">
        <v>1</v>
      </c>
      <c r="I3">
        <v>1</v>
      </c>
      <c r="J3">
        <v>1</v>
      </c>
      <c r="K3">
        <v>1</v>
      </c>
      <c r="L3">
        <v>1</v>
      </c>
      <c r="M3">
        <v>2</v>
      </c>
      <c r="N3">
        <v>0.5</v>
      </c>
      <c r="O3">
        <v>1</v>
      </c>
      <c r="P3">
        <v>0.5</v>
      </c>
      <c r="Q3">
        <v>1</v>
      </c>
      <c r="R3">
        <v>2</v>
      </c>
      <c r="S3">
        <v>1</v>
      </c>
    </row>
    <row r="4" spans="1:19" ht="17" x14ac:dyDescent="0.25">
      <c r="A4" s="13" t="s">
        <v>3</v>
      </c>
      <c r="B4">
        <v>1</v>
      </c>
      <c r="C4">
        <v>2</v>
      </c>
      <c r="D4">
        <v>0.5</v>
      </c>
      <c r="E4">
        <v>1</v>
      </c>
      <c r="F4">
        <v>0.5</v>
      </c>
      <c r="G4">
        <v>1</v>
      </c>
      <c r="H4">
        <v>1</v>
      </c>
      <c r="I4">
        <v>1</v>
      </c>
      <c r="J4">
        <v>2</v>
      </c>
      <c r="K4">
        <v>1</v>
      </c>
      <c r="L4">
        <v>1</v>
      </c>
      <c r="M4">
        <v>1</v>
      </c>
      <c r="N4">
        <v>2</v>
      </c>
      <c r="O4">
        <v>1</v>
      </c>
      <c r="P4">
        <v>0.5</v>
      </c>
      <c r="Q4">
        <v>1</v>
      </c>
      <c r="R4">
        <v>1</v>
      </c>
      <c r="S4">
        <v>1</v>
      </c>
    </row>
    <row r="5" spans="1:19" ht="17" x14ac:dyDescent="0.25">
      <c r="A5" s="13" t="s">
        <v>4</v>
      </c>
      <c r="B5">
        <v>1</v>
      </c>
      <c r="C5">
        <v>1</v>
      </c>
      <c r="D5">
        <v>2</v>
      </c>
      <c r="E5">
        <v>0.5</v>
      </c>
      <c r="F5">
        <v>0.5</v>
      </c>
      <c r="G5">
        <v>1</v>
      </c>
      <c r="H5">
        <v>1</v>
      </c>
      <c r="I5">
        <v>1</v>
      </c>
      <c r="J5">
        <v>0</v>
      </c>
      <c r="K5">
        <v>2</v>
      </c>
      <c r="L5">
        <v>1</v>
      </c>
      <c r="M5">
        <v>1</v>
      </c>
      <c r="N5">
        <v>1</v>
      </c>
      <c r="O5">
        <v>1</v>
      </c>
      <c r="P5">
        <v>0.5</v>
      </c>
      <c r="Q5">
        <v>1</v>
      </c>
      <c r="R5">
        <v>1</v>
      </c>
      <c r="S5">
        <v>1</v>
      </c>
    </row>
    <row r="6" spans="1:19" ht="17" x14ac:dyDescent="0.25">
      <c r="A6" s="13" t="s">
        <v>5</v>
      </c>
      <c r="B6">
        <v>1</v>
      </c>
      <c r="C6">
        <v>0.5</v>
      </c>
      <c r="D6">
        <v>2</v>
      </c>
      <c r="E6">
        <v>1</v>
      </c>
      <c r="F6">
        <v>0.5</v>
      </c>
      <c r="G6">
        <v>1</v>
      </c>
      <c r="H6">
        <v>1</v>
      </c>
      <c r="I6">
        <v>0.5</v>
      </c>
      <c r="J6">
        <v>2</v>
      </c>
      <c r="K6">
        <v>0.5</v>
      </c>
      <c r="L6">
        <v>1</v>
      </c>
      <c r="M6">
        <v>0.5</v>
      </c>
      <c r="N6">
        <v>2</v>
      </c>
      <c r="O6">
        <v>1</v>
      </c>
      <c r="P6">
        <v>0.5</v>
      </c>
      <c r="Q6">
        <v>1</v>
      </c>
      <c r="R6">
        <v>0.5</v>
      </c>
      <c r="S6">
        <v>1</v>
      </c>
    </row>
    <row r="7" spans="1:19" ht="17" x14ac:dyDescent="0.25">
      <c r="A7" s="13" t="s">
        <v>6</v>
      </c>
      <c r="B7">
        <v>1</v>
      </c>
      <c r="C7">
        <v>0.5</v>
      </c>
      <c r="D7">
        <v>0.5</v>
      </c>
      <c r="E7">
        <v>1</v>
      </c>
      <c r="F7">
        <v>2</v>
      </c>
      <c r="G7">
        <v>0.5</v>
      </c>
      <c r="H7">
        <v>1</v>
      </c>
      <c r="I7">
        <v>1</v>
      </c>
      <c r="J7">
        <v>2</v>
      </c>
      <c r="K7">
        <v>2</v>
      </c>
      <c r="L7">
        <v>1</v>
      </c>
      <c r="M7">
        <v>1</v>
      </c>
      <c r="N7">
        <v>1</v>
      </c>
      <c r="O7">
        <v>1</v>
      </c>
      <c r="P7">
        <v>2</v>
      </c>
      <c r="Q7">
        <v>1</v>
      </c>
      <c r="R7">
        <v>0.5</v>
      </c>
      <c r="S7">
        <v>1</v>
      </c>
    </row>
    <row r="8" spans="1:19" ht="17" x14ac:dyDescent="0.25">
      <c r="A8" s="13" t="s">
        <v>7</v>
      </c>
      <c r="B8">
        <v>2</v>
      </c>
      <c r="C8">
        <v>1</v>
      </c>
      <c r="D8">
        <v>1</v>
      </c>
      <c r="E8">
        <v>1</v>
      </c>
      <c r="F8">
        <v>1</v>
      </c>
      <c r="G8">
        <v>2</v>
      </c>
      <c r="H8">
        <v>1</v>
      </c>
      <c r="I8">
        <v>0.5</v>
      </c>
      <c r="J8">
        <v>1</v>
      </c>
      <c r="K8">
        <v>0.5</v>
      </c>
      <c r="L8">
        <v>0.5</v>
      </c>
      <c r="M8">
        <v>0.5</v>
      </c>
      <c r="N8">
        <v>2</v>
      </c>
      <c r="O8">
        <v>0</v>
      </c>
      <c r="P8">
        <v>1</v>
      </c>
      <c r="Q8">
        <v>2</v>
      </c>
      <c r="R8">
        <v>2</v>
      </c>
      <c r="S8">
        <v>0.5</v>
      </c>
    </row>
    <row r="9" spans="1:19" ht="17" x14ac:dyDescent="0.25">
      <c r="A9" s="13" t="s">
        <v>8</v>
      </c>
      <c r="B9">
        <v>1</v>
      </c>
      <c r="C9">
        <v>1</v>
      </c>
      <c r="D9">
        <v>1</v>
      </c>
      <c r="E9">
        <v>1</v>
      </c>
      <c r="F9">
        <v>2</v>
      </c>
      <c r="G9">
        <v>1</v>
      </c>
      <c r="H9">
        <v>1</v>
      </c>
      <c r="I9">
        <v>0.5</v>
      </c>
      <c r="J9">
        <v>0.5</v>
      </c>
      <c r="K9">
        <v>1</v>
      </c>
      <c r="L9">
        <v>1</v>
      </c>
      <c r="M9">
        <v>1</v>
      </c>
      <c r="N9">
        <v>0.5</v>
      </c>
      <c r="O9">
        <v>0.5</v>
      </c>
      <c r="P9">
        <v>1</v>
      </c>
      <c r="Q9">
        <v>1</v>
      </c>
      <c r="R9">
        <v>0</v>
      </c>
      <c r="S9">
        <v>2</v>
      </c>
    </row>
    <row r="10" spans="1:19" ht="17" x14ac:dyDescent="0.25">
      <c r="A10" s="13" t="s">
        <v>9</v>
      </c>
      <c r="B10">
        <v>1</v>
      </c>
      <c r="C10">
        <v>2</v>
      </c>
      <c r="D10">
        <v>1</v>
      </c>
      <c r="E10">
        <v>2</v>
      </c>
      <c r="F10">
        <v>0.5</v>
      </c>
      <c r="G10">
        <v>1</v>
      </c>
      <c r="H10">
        <v>1</v>
      </c>
      <c r="I10">
        <v>2</v>
      </c>
      <c r="J10">
        <v>1</v>
      </c>
      <c r="K10">
        <v>0</v>
      </c>
      <c r="L10">
        <v>1</v>
      </c>
      <c r="M10">
        <v>0.5</v>
      </c>
      <c r="N10">
        <v>2</v>
      </c>
      <c r="O10">
        <v>1</v>
      </c>
      <c r="P10">
        <v>1</v>
      </c>
      <c r="Q10">
        <v>1</v>
      </c>
      <c r="R10">
        <v>2</v>
      </c>
      <c r="S10">
        <v>1</v>
      </c>
    </row>
    <row r="11" spans="1:19" ht="17" x14ac:dyDescent="0.25">
      <c r="A11" s="13" t="s">
        <v>10</v>
      </c>
      <c r="B11">
        <v>1</v>
      </c>
      <c r="C11">
        <v>1</v>
      </c>
      <c r="D11">
        <v>1</v>
      </c>
      <c r="E11">
        <v>0.5</v>
      </c>
      <c r="F11">
        <v>2</v>
      </c>
      <c r="G11">
        <v>1</v>
      </c>
      <c r="H11">
        <v>2</v>
      </c>
      <c r="I11">
        <v>1</v>
      </c>
      <c r="J11">
        <v>1</v>
      </c>
      <c r="K11">
        <v>1</v>
      </c>
      <c r="L11">
        <v>1</v>
      </c>
      <c r="M11">
        <v>2</v>
      </c>
      <c r="N11">
        <v>0.5</v>
      </c>
      <c r="O11">
        <v>1</v>
      </c>
      <c r="P11">
        <v>1</v>
      </c>
      <c r="Q11">
        <v>1</v>
      </c>
      <c r="R11">
        <v>0.5</v>
      </c>
      <c r="S11">
        <v>1</v>
      </c>
    </row>
    <row r="12" spans="1:19" ht="17" x14ac:dyDescent="0.25">
      <c r="A12" s="13" t="s">
        <v>11</v>
      </c>
      <c r="B12">
        <v>1</v>
      </c>
      <c r="C12">
        <v>1</v>
      </c>
      <c r="D12">
        <v>1</v>
      </c>
      <c r="E12">
        <v>1</v>
      </c>
      <c r="F12">
        <v>1</v>
      </c>
      <c r="G12">
        <v>1</v>
      </c>
      <c r="H12">
        <v>2</v>
      </c>
      <c r="I12">
        <v>2</v>
      </c>
      <c r="J12">
        <v>1</v>
      </c>
      <c r="K12">
        <v>1</v>
      </c>
      <c r="L12">
        <v>0.5</v>
      </c>
      <c r="M12">
        <v>1</v>
      </c>
      <c r="N12">
        <v>1</v>
      </c>
      <c r="O12">
        <v>1</v>
      </c>
      <c r="P12">
        <v>1</v>
      </c>
      <c r="Q12">
        <v>0</v>
      </c>
      <c r="R12">
        <v>0.5</v>
      </c>
      <c r="S12">
        <v>1</v>
      </c>
    </row>
    <row r="13" spans="1:19" ht="17" x14ac:dyDescent="0.25">
      <c r="A13" s="13" t="s">
        <v>12</v>
      </c>
      <c r="B13">
        <v>1</v>
      </c>
      <c r="C13">
        <v>0.5</v>
      </c>
      <c r="D13">
        <v>1</v>
      </c>
      <c r="E13">
        <v>1</v>
      </c>
      <c r="F13">
        <v>2</v>
      </c>
      <c r="G13">
        <v>1</v>
      </c>
      <c r="H13">
        <v>0.5</v>
      </c>
      <c r="I13">
        <v>0.5</v>
      </c>
      <c r="J13">
        <v>1</v>
      </c>
      <c r="K13">
        <v>0.5</v>
      </c>
      <c r="L13">
        <v>2</v>
      </c>
      <c r="M13">
        <v>1</v>
      </c>
      <c r="N13">
        <v>1</v>
      </c>
      <c r="O13">
        <v>0.5</v>
      </c>
      <c r="P13">
        <v>1</v>
      </c>
      <c r="Q13">
        <v>2</v>
      </c>
      <c r="R13">
        <v>0.5</v>
      </c>
      <c r="S13">
        <v>0.5</v>
      </c>
    </row>
    <row r="14" spans="1:19" ht="17" x14ac:dyDescent="0.25">
      <c r="A14" s="13" t="s">
        <v>13</v>
      </c>
      <c r="B14">
        <v>1</v>
      </c>
      <c r="C14">
        <v>2</v>
      </c>
      <c r="D14">
        <v>1</v>
      </c>
      <c r="E14">
        <v>1</v>
      </c>
      <c r="F14">
        <v>1</v>
      </c>
      <c r="G14">
        <v>2</v>
      </c>
      <c r="H14">
        <v>0.5</v>
      </c>
      <c r="I14">
        <v>1</v>
      </c>
      <c r="J14">
        <v>0.5</v>
      </c>
      <c r="K14">
        <v>2</v>
      </c>
      <c r="L14">
        <v>1</v>
      </c>
      <c r="M14">
        <v>2</v>
      </c>
      <c r="N14">
        <v>1</v>
      </c>
      <c r="O14">
        <v>1</v>
      </c>
      <c r="P14">
        <v>1</v>
      </c>
      <c r="Q14">
        <v>1</v>
      </c>
      <c r="R14">
        <v>0.5</v>
      </c>
      <c r="S14">
        <v>1</v>
      </c>
    </row>
    <row r="15" spans="1:19" ht="17" x14ac:dyDescent="0.25">
      <c r="A15" s="13" t="s">
        <v>14</v>
      </c>
      <c r="B15">
        <v>0</v>
      </c>
      <c r="C15">
        <v>1</v>
      </c>
      <c r="D15">
        <v>1</v>
      </c>
      <c r="E15">
        <v>1</v>
      </c>
      <c r="F15">
        <v>1</v>
      </c>
      <c r="G15">
        <v>1</v>
      </c>
      <c r="H15">
        <v>1</v>
      </c>
      <c r="I15">
        <v>1</v>
      </c>
      <c r="J15">
        <v>1</v>
      </c>
      <c r="K15">
        <v>1</v>
      </c>
      <c r="L15">
        <v>2</v>
      </c>
      <c r="M15">
        <v>1</v>
      </c>
      <c r="N15">
        <v>1</v>
      </c>
      <c r="O15">
        <v>2</v>
      </c>
      <c r="P15">
        <v>1</v>
      </c>
      <c r="Q15">
        <v>0.5</v>
      </c>
      <c r="R15">
        <v>1</v>
      </c>
      <c r="S15">
        <v>1</v>
      </c>
    </row>
    <row r="16" spans="1:19" ht="17" x14ac:dyDescent="0.25">
      <c r="A16" s="13" t="s">
        <v>15</v>
      </c>
      <c r="B16">
        <v>1</v>
      </c>
      <c r="C16">
        <v>1</v>
      </c>
      <c r="D16">
        <v>1</v>
      </c>
      <c r="E16">
        <v>1</v>
      </c>
      <c r="F16">
        <v>1</v>
      </c>
      <c r="G16">
        <v>1</v>
      </c>
      <c r="H16">
        <v>1</v>
      </c>
      <c r="I16">
        <v>1</v>
      </c>
      <c r="J16">
        <v>1</v>
      </c>
      <c r="K16">
        <v>1</v>
      </c>
      <c r="L16">
        <v>1</v>
      </c>
      <c r="M16">
        <v>1</v>
      </c>
      <c r="N16">
        <v>1</v>
      </c>
      <c r="O16">
        <v>1</v>
      </c>
      <c r="P16">
        <v>2</v>
      </c>
      <c r="Q16">
        <v>1</v>
      </c>
      <c r="R16">
        <v>0.5</v>
      </c>
      <c r="S16">
        <v>0</v>
      </c>
    </row>
    <row r="17" spans="1:19" ht="17" x14ac:dyDescent="0.25">
      <c r="A17" s="13" t="s">
        <v>16</v>
      </c>
      <c r="B17">
        <v>1</v>
      </c>
      <c r="C17">
        <v>1</v>
      </c>
      <c r="D17">
        <v>1</v>
      </c>
      <c r="E17">
        <v>1</v>
      </c>
      <c r="F17">
        <v>1</v>
      </c>
      <c r="G17">
        <v>1</v>
      </c>
      <c r="H17">
        <v>0.5</v>
      </c>
      <c r="I17">
        <v>1</v>
      </c>
      <c r="J17">
        <v>1</v>
      </c>
      <c r="K17">
        <v>1</v>
      </c>
      <c r="L17">
        <v>2</v>
      </c>
      <c r="M17">
        <v>1</v>
      </c>
      <c r="N17">
        <v>1</v>
      </c>
      <c r="O17">
        <v>2</v>
      </c>
      <c r="P17">
        <v>1</v>
      </c>
      <c r="Q17">
        <v>0.5</v>
      </c>
      <c r="R17">
        <v>1</v>
      </c>
      <c r="S17">
        <v>0.5</v>
      </c>
    </row>
    <row r="18" spans="1:19" ht="17" x14ac:dyDescent="0.25">
      <c r="A18" s="13" t="s">
        <v>17</v>
      </c>
      <c r="B18">
        <v>1</v>
      </c>
      <c r="C18">
        <v>0.5</v>
      </c>
      <c r="D18">
        <v>0.5</v>
      </c>
      <c r="E18">
        <v>0.5</v>
      </c>
      <c r="F18">
        <v>1</v>
      </c>
      <c r="G18">
        <v>2</v>
      </c>
      <c r="H18">
        <v>1</v>
      </c>
      <c r="I18">
        <v>1</v>
      </c>
      <c r="J18">
        <v>1</v>
      </c>
      <c r="K18">
        <v>1</v>
      </c>
      <c r="L18">
        <v>1</v>
      </c>
      <c r="M18">
        <v>1</v>
      </c>
      <c r="N18">
        <v>2</v>
      </c>
      <c r="O18">
        <v>1</v>
      </c>
      <c r="P18">
        <v>1</v>
      </c>
      <c r="Q18">
        <v>1</v>
      </c>
      <c r="R18">
        <v>0.5</v>
      </c>
      <c r="S18">
        <v>2</v>
      </c>
    </row>
    <row r="19" spans="1:19" ht="17" x14ac:dyDescent="0.25">
      <c r="A19" s="13" t="s">
        <v>18</v>
      </c>
      <c r="B19">
        <v>1</v>
      </c>
      <c r="C19">
        <v>0.5</v>
      </c>
      <c r="D19">
        <v>1</v>
      </c>
      <c r="E19">
        <v>1</v>
      </c>
      <c r="F19">
        <v>1</v>
      </c>
      <c r="G19">
        <v>1</v>
      </c>
      <c r="H19">
        <v>2</v>
      </c>
      <c r="I19">
        <v>0.5</v>
      </c>
      <c r="J19">
        <v>1</v>
      </c>
      <c r="K19">
        <v>1</v>
      </c>
      <c r="L19">
        <v>1</v>
      </c>
      <c r="M19">
        <v>1</v>
      </c>
      <c r="N19">
        <v>1</v>
      </c>
      <c r="O19">
        <v>1</v>
      </c>
      <c r="P19">
        <v>2</v>
      </c>
      <c r="Q19">
        <v>2</v>
      </c>
      <c r="R19">
        <v>0.5</v>
      </c>
      <c r="S19">
        <v>1</v>
      </c>
    </row>
    <row r="22" spans="1:19" ht="17" x14ac:dyDescent="0.25">
      <c r="A22" s="13" t="s">
        <v>19</v>
      </c>
      <c r="B22" s="14" t="s">
        <v>20</v>
      </c>
    </row>
  </sheetData>
  <hyperlinks>
    <hyperlink ref="B22" r:id="rId1" xr:uid="{86729434-85F6-AA47-8D13-C198526A0460}"/>
  </hyperlink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199C1C-D30A-8A45-AEF3-1A6BD10676CA}">
  <sheetPr codeName="Sheet2"/>
  <dimension ref="A1:V139"/>
  <sheetViews>
    <sheetView workbookViewId="0">
      <selection activeCell="B84" sqref="B84"/>
    </sheetView>
  </sheetViews>
  <sheetFormatPr baseColWidth="10" defaultColWidth="11" defaultRowHeight="16" x14ac:dyDescent="0.2"/>
  <sheetData>
    <row r="1" spans="1:22" ht="18" x14ac:dyDescent="0.2">
      <c r="A1" s="15" t="s">
        <v>21</v>
      </c>
    </row>
    <row r="3" spans="1:22" x14ac:dyDescent="0.2">
      <c r="A3" t="s">
        <v>22</v>
      </c>
      <c r="B3" t="s">
        <v>23</v>
      </c>
      <c r="C3" t="s">
        <v>24</v>
      </c>
      <c r="D3" t="s">
        <v>25</v>
      </c>
      <c r="E3" t="s">
        <v>26</v>
      </c>
      <c r="F3" t="s">
        <v>27</v>
      </c>
      <c r="G3" t="s">
        <v>28</v>
      </c>
      <c r="H3" t="s">
        <v>29</v>
      </c>
      <c r="I3" t="s">
        <v>30</v>
      </c>
      <c r="J3" t="s">
        <v>31</v>
      </c>
      <c r="K3" t="s">
        <v>32</v>
      </c>
      <c r="L3" t="s">
        <v>33</v>
      </c>
      <c r="M3" t="s">
        <v>34</v>
      </c>
      <c r="N3" t="s">
        <v>35</v>
      </c>
      <c r="O3" t="s">
        <v>36</v>
      </c>
      <c r="P3" t="s">
        <v>37</v>
      </c>
      <c r="Q3" t="s">
        <v>38</v>
      </c>
      <c r="R3" t="s">
        <v>39</v>
      </c>
      <c r="S3" t="s">
        <v>40</v>
      </c>
      <c r="T3" t="s">
        <v>41</v>
      </c>
      <c r="U3" t="s">
        <v>42</v>
      </c>
      <c r="V3" t="s">
        <v>43</v>
      </c>
    </row>
    <row r="4" spans="1:22" x14ac:dyDescent="0.2">
      <c r="A4">
        <v>1</v>
      </c>
      <c r="B4" t="s">
        <v>44</v>
      </c>
      <c r="C4">
        <v>2019</v>
      </c>
      <c r="D4">
        <v>18</v>
      </c>
      <c r="E4">
        <v>26.8</v>
      </c>
      <c r="F4">
        <v>34.700000000000003</v>
      </c>
      <c r="G4">
        <v>3</v>
      </c>
      <c r="H4">
        <v>33</v>
      </c>
      <c r="I4">
        <v>270</v>
      </c>
      <c r="J4">
        <v>3</v>
      </c>
      <c r="K4">
        <v>2</v>
      </c>
      <c r="L4">
        <v>1</v>
      </c>
      <c r="M4">
        <v>1</v>
      </c>
      <c r="N4">
        <v>1</v>
      </c>
      <c r="O4">
        <v>1</v>
      </c>
      <c r="P4">
        <v>3</v>
      </c>
      <c r="Q4">
        <v>0</v>
      </c>
      <c r="R4">
        <v>0.67</v>
      </c>
      <c r="S4">
        <v>0.33</v>
      </c>
      <c r="T4">
        <v>1</v>
      </c>
      <c r="U4">
        <v>0.33</v>
      </c>
      <c r="V4">
        <v>0.67</v>
      </c>
    </row>
    <row r="5" spans="1:22" x14ac:dyDescent="0.2">
      <c r="A5">
        <v>2</v>
      </c>
      <c r="B5" t="s">
        <v>45</v>
      </c>
      <c r="C5">
        <v>2019</v>
      </c>
      <c r="D5">
        <v>18</v>
      </c>
      <c r="E5">
        <v>25.4</v>
      </c>
      <c r="F5">
        <v>61.3</v>
      </c>
      <c r="G5">
        <v>4</v>
      </c>
      <c r="H5">
        <v>44</v>
      </c>
      <c r="I5">
        <v>390</v>
      </c>
      <c r="J5">
        <v>4.3</v>
      </c>
      <c r="K5">
        <v>8</v>
      </c>
      <c r="L5">
        <v>4</v>
      </c>
      <c r="M5">
        <v>8</v>
      </c>
      <c r="N5">
        <v>0</v>
      </c>
      <c r="O5">
        <v>1</v>
      </c>
      <c r="P5">
        <v>2</v>
      </c>
      <c r="Q5">
        <v>0</v>
      </c>
      <c r="R5">
        <v>1.85</v>
      </c>
      <c r="S5">
        <v>0.92</v>
      </c>
      <c r="T5">
        <v>2.77</v>
      </c>
      <c r="U5">
        <v>1.85</v>
      </c>
      <c r="V5">
        <v>2.77</v>
      </c>
    </row>
    <row r="6" spans="1:22" x14ac:dyDescent="0.2">
      <c r="A6">
        <v>3</v>
      </c>
      <c r="B6" t="s">
        <v>46</v>
      </c>
      <c r="C6">
        <v>2019</v>
      </c>
      <c r="D6">
        <v>18</v>
      </c>
      <c r="E6">
        <v>29.7</v>
      </c>
      <c r="F6">
        <v>51.5</v>
      </c>
      <c r="G6">
        <v>4</v>
      </c>
      <c r="H6">
        <v>44</v>
      </c>
      <c r="I6">
        <v>390</v>
      </c>
      <c r="J6">
        <v>4.3</v>
      </c>
      <c r="K6">
        <v>7</v>
      </c>
      <c r="L6">
        <v>3</v>
      </c>
      <c r="M6">
        <v>5</v>
      </c>
      <c r="N6">
        <v>2</v>
      </c>
      <c r="O6">
        <v>3</v>
      </c>
      <c r="P6">
        <v>7</v>
      </c>
      <c r="Q6">
        <v>0</v>
      </c>
      <c r="R6">
        <v>1.62</v>
      </c>
      <c r="S6">
        <v>0.69</v>
      </c>
      <c r="T6">
        <v>2.31</v>
      </c>
      <c r="U6">
        <v>1.1499999999999999</v>
      </c>
      <c r="V6">
        <v>1.85</v>
      </c>
    </row>
    <row r="7" spans="1:22" x14ac:dyDescent="0.2">
      <c r="A7">
        <v>4</v>
      </c>
      <c r="B7" t="s">
        <v>47</v>
      </c>
      <c r="C7">
        <v>2019</v>
      </c>
      <c r="D7">
        <v>20</v>
      </c>
      <c r="E7">
        <v>27.7</v>
      </c>
      <c r="F7">
        <v>36</v>
      </c>
      <c r="G7">
        <v>4</v>
      </c>
      <c r="H7">
        <v>44</v>
      </c>
      <c r="I7">
        <v>360</v>
      </c>
      <c r="J7">
        <v>4</v>
      </c>
      <c r="K7">
        <v>3</v>
      </c>
      <c r="L7">
        <v>3</v>
      </c>
      <c r="M7">
        <v>3</v>
      </c>
      <c r="N7">
        <v>0</v>
      </c>
      <c r="O7">
        <v>0</v>
      </c>
      <c r="P7">
        <v>6</v>
      </c>
      <c r="Q7">
        <v>0</v>
      </c>
      <c r="R7">
        <v>0.75</v>
      </c>
      <c r="S7">
        <v>0.75</v>
      </c>
      <c r="T7">
        <v>1.5</v>
      </c>
      <c r="U7">
        <v>0.75</v>
      </c>
      <c r="V7">
        <v>1.5</v>
      </c>
    </row>
    <row r="8" spans="1:22" x14ac:dyDescent="0.2">
      <c r="A8">
        <v>5</v>
      </c>
      <c r="B8" t="s">
        <v>48</v>
      </c>
      <c r="C8">
        <v>2019</v>
      </c>
      <c r="D8">
        <v>16</v>
      </c>
      <c r="E8">
        <v>27</v>
      </c>
      <c r="F8">
        <v>63</v>
      </c>
      <c r="G8">
        <v>4</v>
      </c>
      <c r="H8">
        <v>44</v>
      </c>
      <c r="I8">
        <v>360</v>
      </c>
      <c r="J8">
        <v>4</v>
      </c>
      <c r="K8">
        <v>4</v>
      </c>
      <c r="L8">
        <v>3</v>
      </c>
      <c r="M8">
        <v>4</v>
      </c>
      <c r="N8">
        <v>0</v>
      </c>
      <c r="O8">
        <v>1</v>
      </c>
      <c r="P8">
        <v>2</v>
      </c>
      <c r="Q8">
        <v>0</v>
      </c>
      <c r="R8">
        <v>1</v>
      </c>
      <c r="S8">
        <v>0.75</v>
      </c>
      <c r="T8">
        <v>1.75</v>
      </c>
      <c r="U8">
        <v>1</v>
      </c>
      <c r="V8">
        <v>1.75</v>
      </c>
    </row>
    <row r="9" spans="1:22" x14ac:dyDescent="0.2">
      <c r="A9">
        <v>6</v>
      </c>
      <c r="B9" t="s">
        <v>49</v>
      </c>
      <c r="C9">
        <v>2019</v>
      </c>
      <c r="D9">
        <v>18</v>
      </c>
      <c r="E9">
        <v>26.8</v>
      </c>
      <c r="F9">
        <v>42</v>
      </c>
      <c r="G9">
        <v>3</v>
      </c>
      <c r="H9">
        <v>33</v>
      </c>
      <c r="I9">
        <v>270</v>
      </c>
      <c r="J9">
        <v>3</v>
      </c>
      <c r="K9">
        <v>1</v>
      </c>
      <c r="L9">
        <v>1</v>
      </c>
      <c r="M9">
        <v>1</v>
      </c>
      <c r="N9">
        <v>0</v>
      </c>
      <c r="O9">
        <v>1</v>
      </c>
      <c r="P9">
        <v>5</v>
      </c>
      <c r="Q9">
        <v>0</v>
      </c>
      <c r="R9">
        <v>0.33</v>
      </c>
      <c r="S9">
        <v>0.33</v>
      </c>
      <c r="T9">
        <v>0.67</v>
      </c>
      <c r="U9">
        <v>0.33</v>
      </c>
      <c r="V9">
        <v>0.67</v>
      </c>
    </row>
    <row r="10" spans="1:22" x14ac:dyDescent="0.2">
      <c r="A10">
        <v>7</v>
      </c>
      <c r="B10" t="s">
        <v>50</v>
      </c>
      <c r="C10">
        <v>2019</v>
      </c>
      <c r="D10">
        <v>17</v>
      </c>
      <c r="E10">
        <v>26.6</v>
      </c>
      <c r="F10">
        <v>47</v>
      </c>
      <c r="G10">
        <v>4</v>
      </c>
      <c r="H10">
        <v>44</v>
      </c>
      <c r="I10">
        <v>360</v>
      </c>
      <c r="J10">
        <v>4</v>
      </c>
      <c r="K10">
        <v>1</v>
      </c>
      <c r="L10">
        <v>1</v>
      </c>
      <c r="M10">
        <v>1</v>
      </c>
      <c r="N10">
        <v>0</v>
      </c>
      <c r="O10">
        <v>0</v>
      </c>
      <c r="P10">
        <v>5</v>
      </c>
      <c r="Q10">
        <v>0</v>
      </c>
      <c r="R10">
        <v>0.25</v>
      </c>
      <c r="S10">
        <v>0.25</v>
      </c>
      <c r="T10">
        <v>0.5</v>
      </c>
      <c r="U10">
        <v>0.25</v>
      </c>
      <c r="V10">
        <v>0.5</v>
      </c>
    </row>
    <row r="11" spans="1:22" x14ac:dyDescent="0.2">
      <c r="A11">
        <v>8</v>
      </c>
      <c r="B11" t="s">
        <v>51</v>
      </c>
      <c r="C11">
        <v>2019</v>
      </c>
      <c r="D11">
        <v>22</v>
      </c>
      <c r="E11">
        <v>27.8</v>
      </c>
      <c r="F11">
        <v>60.4</v>
      </c>
      <c r="G11">
        <v>7</v>
      </c>
      <c r="H11">
        <v>77</v>
      </c>
      <c r="I11">
        <v>630</v>
      </c>
      <c r="J11">
        <v>7</v>
      </c>
      <c r="K11">
        <v>13</v>
      </c>
      <c r="L11">
        <v>12</v>
      </c>
      <c r="M11">
        <v>12</v>
      </c>
      <c r="N11">
        <v>1</v>
      </c>
      <c r="O11">
        <v>4</v>
      </c>
      <c r="P11">
        <v>1</v>
      </c>
      <c r="Q11">
        <v>1</v>
      </c>
      <c r="R11">
        <v>1.86</v>
      </c>
      <c r="S11">
        <v>1.71</v>
      </c>
      <c r="T11">
        <v>3.57</v>
      </c>
      <c r="U11">
        <v>1.71</v>
      </c>
      <c r="V11">
        <v>3.43</v>
      </c>
    </row>
    <row r="12" spans="1:22" x14ac:dyDescent="0.2">
      <c r="A12">
        <v>9</v>
      </c>
      <c r="B12" t="s">
        <v>52</v>
      </c>
      <c r="C12">
        <v>2019</v>
      </c>
      <c r="D12">
        <v>17</v>
      </c>
      <c r="E12">
        <v>27.8</v>
      </c>
      <c r="F12">
        <v>58.8</v>
      </c>
      <c r="G12">
        <v>5</v>
      </c>
      <c r="H12">
        <v>55</v>
      </c>
      <c r="I12">
        <v>480</v>
      </c>
      <c r="J12">
        <v>5.3</v>
      </c>
      <c r="K12">
        <v>10</v>
      </c>
      <c r="L12">
        <v>8</v>
      </c>
      <c r="M12">
        <v>8</v>
      </c>
      <c r="N12">
        <v>2</v>
      </c>
      <c r="O12">
        <v>2</v>
      </c>
      <c r="P12">
        <v>2</v>
      </c>
      <c r="Q12">
        <v>0</v>
      </c>
      <c r="R12">
        <v>1.87</v>
      </c>
      <c r="S12">
        <v>1.5</v>
      </c>
      <c r="T12">
        <v>3.38</v>
      </c>
      <c r="U12">
        <v>1.5</v>
      </c>
      <c r="V12">
        <v>3</v>
      </c>
    </row>
    <row r="13" spans="1:22" x14ac:dyDescent="0.2">
      <c r="A13">
        <v>10</v>
      </c>
      <c r="B13" t="s">
        <v>53</v>
      </c>
      <c r="C13">
        <v>2019</v>
      </c>
      <c r="D13">
        <v>19</v>
      </c>
      <c r="E13">
        <v>25.5</v>
      </c>
      <c r="F13">
        <v>57.2</v>
      </c>
      <c r="G13">
        <v>5</v>
      </c>
      <c r="H13">
        <v>55</v>
      </c>
      <c r="I13">
        <v>450</v>
      </c>
      <c r="J13">
        <v>5</v>
      </c>
      <c r="K13">
        <v>10</v>
      </c>
      <c r="L13">
        <v>4</v>
      </c>
      <c r="M13">
        <v>9</v>
      </c>
      <c r="N13">
        <v>1</v>
      </c>
      <c r="O13">
        <v>1</v>
      </c>
      <c r="P13">
        <v>2</v>
      </c>
      <c r="Q13">
        <v>0</v>
      </c>
      <c r="R13">
        <v>2</v>
      </c>
      <c r="S13">
        <v>0.8</v>
      </c>
      <c r="T13">
        <v>2.8</v>
      </c>
      <c r="U13">
        <v>1.8</v>
      </c>
      <c r="V13">
        <v>2.6</v>
      </c>
    </row>
    <row r="14" spans="1:22" x14ac:dyDescent="0.2">
      <c r="A14">
        <v>11</v>
      </c>
      <c r="B14" t="s">
        <v>54</v>
      </c>
      <c r="C14">
        <v>2019</v>
      </c>
      <c r="D14">
        <v>17</v>
      </c>
      <c r="E14">
        <v>26.5</v>
      </c>
      <c r="F14">
        <v>43.4</v>
      </c>
      <c r="G14">
        <v>5</v>
      </c>
      <c r="H14">
        <v>55</v>
      </c>
      <c r="I14">
        <v>450</v>
      </c>
      <c r="J14">
        <v>5</v>
      </c>
      <c r="K14">
        <v>9</v>
      </c>
      <c r="L14">
        <v>6</v>
      </c>
      <c r="M14">
        <v>8</v>
      </c>
      <c r="N14">
        <v>1</v>
      </c>
      <c r="O14">
        <v>1</v>
      </c>
      <c r="P14">
        <v>4</v>
      </c>
      <c r="Q14">
        <v>0</v>
      </c>
      <c r="R14">
        <v>1.8</v>
      </c>
      <c r="S14">
        <v>1.2</v>
      </c>
      <c r="T14">
        <v>3</v>
      </c>
      <c r="U14">
        <v>1.6</v>
      </c>
      <c r="V14">
        <v>2.8</v>
      </c>
    </row>
    <row r="15" spans="1:22" x14ac:dyDescent="0.2">
      <c r="A15">
        <v>12</v>
      </c>
      <c r="B15" t="s">
        <v>55</v>
      </c>
      <c r="C15">
        <v>2019</v>
      </c>
      <c r="D15">
        <v>20</v>
      </c>
      <c r="E15">
        <v>22.9</v>
      </c>
      <c r="F15">
        <v>36.700000000000003</v>
      </c>
      <c r="G15">
        <v>3</v>
      </c>
      <c r="H15">
        <v>33</v>
      </c>
      <c r="I15">
        <v>270</v>
      </c>
      <c r="J15">
        <v>3</v>
      </c>
      <c r="K15">
        <v>1</v>
      </c>
      <c r="L15">
        <v>1</v>
      </c>
      <c r="M15">
        <v>1</v>
      </c>
      <c r="N15">
        <v>0</v>
      </c>
      <c r="O15">
        <v>0</v>
      </c>
      <c r="P15">
        <v>4</v>
      </c>
      <c r="Q15">
        <v>0</v>
      </c>
      <c r="R15">
        <v>0.33</v>
      </c>
      <c r="S15">
        <v>0.33</v>
      </c>
      <c r="T15">
        <v>0.67</v>
      </c>
      <c r="U15">
        <v>0.33</v>
      </c>
      <c r="V15">
        <v>0.67</v>
      </c>
    </row>
    <row r="16" spans="1:22" x14ac:dyDescent="0.2">
      <c r="A16">
        <v>13</v>
      </c>
      <c r="B16" t="s">
        <v>56</v>
      </c>
      <c r="C16">
        <v>2019</v>
      </c>
      <c r="D16">
        <v>17</v>
      </c>
      <c r="E16">
        <v>24.8</v>
      </c>
      <c r="F16">
        <v>53.8</v>
      </c>
      <c r="G16">
        <v>4</v>
      </c>
      <c r="H16">
        <v>44</v>
      </c>
      <c r="I16">
        <v>360</v>
      </c>
      <c r="J16">
        <v>4</v>
      </c>
      <c r="K16">
        <v>3</v>
      </c>
      <c r="L16">
        <v>2</v>
      </c>
      <c r="M16">
        <v>2</v>
      </c>
      <c r="N16">
        <v>1</v>
      </c>
      <c r="O16">
        <v>1</v>
      </c>
      <c r="P16">
        <v>4</v>
      </c>
      <c r="Q16">
        <v>0</v>
      </c>
      <c r="R16">
        <v>0.75</v>
      </c>
      <c r="S16">
        <v>0.5</v>
      </c>
      <c r="T16">
        <v>1.25</v>
      </c>
      <c r="U16">
        <v>0.5</v>
      </c>
      <c r="V16">
        <v>1</v>
      </c>
    </row>
    <row r="17" spans="1:22" x14ac:dyDescent="0.2">
      <c r="A17">
        <v>14</v>
      </c>
      <c r="B17" t="s">
        <v>57</v>
      </c>
      <c r="C17">
        <v>2019</v>
      </c>
      <c r="D17">
        <v>19</v>
      </c>
      <c r="E17">
        <v>26.9</v>
      </c>
      <c r="F17">
        <v>52</v>
      </c>
      <c r="G17">
        <v>3</v>
      </c>
      <c r="H17">
        <v>33</v>
      </c>
      <c r="I17">
        <v>270</v>
      </c>
      <c r="J17">
        <v>3</v>
      </c>
      <c r="K17">
        <v>1</v>
      </c>
      <c r="L17">
        <v>1</v>
      </c>
      <c r="M17">
        <v>1</v>
      </c>
      <c r="N17">
        <v>0</v>
      </c>
      <c r="O17">
        <v>0</v>
      </c>
      <c r="P17">
        <v>4</v>
      </c>
      <c r="Q17">
        <v>0</v>
      </c>
      <c r="R17">
        <v>0.33</v>
      </c>
      <c r="S17">
        <v>0.33</v>
      </c>
      <c r="T17">
        <v>0.67</v>
      </c>
      <c r="U17">
        <v>0.33</v>
      </c>
      <c r="V17">
        <v>0.67</v>
      </c>
    </row>
    <row r="18" spans="1:22" x14ac:dyDescent="0.2">
      <c r="A18">
        <v>15</v>
      </c>
      <c r="B18" t="s">
        <v>58</v>
      </c>
      <c r="C18">
        <v>2019</v>
      </c>
      <c r="D18">
        <v>16</v>
      </c>
      <c r="E18">
        <v>26.1</v>
      </c>
      <c r="F18">
        <v>57.1</v>
      </c>
      <c r="G18">
        <v>7</v>
      </c>
      <c r="H18">
        <v>77</v>
      </c>
      <c r="I18">
        <v>660</v>
      </c>
      <c r="J18">
        <v>7.3</v>
      </c>
      <c r="K18">
        <v>11</v>
      </c>
      <c r="L18">
        <v>7</v>
      </c>
      <c r="M18">
        <v>10</v>
      </c>
      <c r="N18">
        <v>1</v>
      </c>
      <c r="O18">
        <v>1</v>
      </c>
      <c r="P18">
        <v>0</v>
      </c>
      <c r="Q18">
        <v>0</v>
      </c>
      <c r="R18">
        <v>1.5</v>
      </c>
      <c r="S18">
        <v>0.95</v>
      </c>
      <c r="T18">
        <v>2.4500000000000002</v>
      </c>
      <c r="U18">
        <v>1.36</v>
      </c>
      <c r="V18">
        <v>2.3199999999999998</v>
      </c>
    </row>
    <row r="19" spans="1:22" x14ac:dyDescent="0.2">
      <c r="A19">
        <v>16</v>
      </c>
      <c r="B19" t="s">
        <v>59</v>
      </c>
      <c r="C19">
        <v>2019</v>
      </c>
      <c r="D19">
        <v>17</v>
      </c>
      <c r="E19">
        <v>27.6</v>
      </c>
      <c r="F19">
        <v>39.299999999999997</v>
      </c>
      <c r="G19">
        <v>3</v>
      </c>
      <c r="H19">
        <v>33</v>
      </c>
      <c r="I19">
        <v>270</v>
      </c>
      <c r="J19">
        <v>3</v>
      </c>
      <c r="K19">
        <v>0</v>
      </c>
      <c r="L19">
        <v>0</v>
      </c>
      <c r="M19">
        <v>0</v>
      </c>
      <c r="N19">
        <v>0</v>
      </c>
      <c r="O19">
        <v>0</v>
      </c>
      <c r="P19">
        <v>1</v>
      </c>
      <c r="Q19">
        <v>0</v>
      </c>
      <c r="R19">
        <v>0</v>
      </c>
      <c r="S19">
        <v>0</v>
      </c>
      <c r="T19">
        <v>0</v>
      </c>
      <c r="U19">
        <v>0</v>
      </c>
      <c r="V19">
        <v>0</v>
      </c>
    </row>
    <row r="20" spans="1:22" x14ac:dyDescent="0.2">
      <c r="A20">
        <v>17</v>
      </c>
      <c r="B20" t="s">
        <v>60</v>
      </c>
      <c r="C20">
        <v>2019</v>
      </c>
      <c r="D20">
        <v>20</v>
      </c>
      <c r="E20">
        <v>25.7</v>
      </c>
      <c r="F20">
        <v>34.799999999999997</v>
      </c>
      <c r="G20">
        <v>4</v>
      </c>
      <c r="H20">
        <v>44</v>
      </c>
      <c r="I20">
        <v>360</v>
      </c>
      <c r="J20">
        <v>4</v>
      </c>
      <c r="K20">
        <v>1</v>
      </c>
      <c r="L20">
        <v>1</v>
      </c>
      <c r="M20">
        <v>1</v>
      </c>
      <c r="N20">
        <v>0</v>
      </c>
      <c r="O20">
        <v>0</v>
      </c>
      <c r="P20">
        <v>6</v>
      </c>
      <c r="Q20">
        <v>1</v>
      </c>
      <c r="R20">
        <v>0.25</v>
      </c>
      <c r="S20">
        <v>0.25</v>
      </c>
      <c r="T20">
        <v>0.5</v>
      </c>
      <c r="U20">
        <v>0.25</v>
      </c>
      <c r="V20">
        <v>0.5</v>
      </c>
    </row>
    <row r="21" spans="1:22" x14ac:dyDescent="0.2">
      <c r="A21">
        <v>18</v>
      </c>
      <c r="B21" t="s">
        <v>61</v>
      </c>
      <c r="C21">
        <v>2019</v>
      </c>
      <c r="D21">
        <v>17</v>
      </c>
      <c r="E21">
        <v>26.8</v>
      </c>
      <c r="F21">
        <v>50.2</v>
      </c>
      <c r="G21">
        <v>5</v>
      </c>
      <c r="H21">
        <v>55</v>
      </c>
      <c r="I21">
        <v>480</v>
      </c>
      <c r="J21">
        <v>5.3</v>
      </c>
      <c r="K21">
        <v>5</v>
      </c>
      <c r="L21">
        <v>3</v>
      </c>
      <c r="M21">
        <v>3</v>
      </c>
      <c r="N21">
        <v>2</v>
      </c>
      <c r="O21">
        <v>2</v>
      </c>
      <c r="P21">
        <v>1</v>
      </c>
      <c r="Q21">
        <v>0</v>
      </c>
      <c r="R21">
        <v>0.94</v>
      </c>
      <c r="S21">
        <v>0.56000000000000005</v>
      </c>
      <c r="T21">
        <v>1.5</v>
      </c>
      <c r="U21">
        <v>0.56000000000000005</v>
      </c>
      <c r="V21">
        <v>1.1299999999999999</v>
      </c>
    </row>
    <row r="22" spans="1:22" x14ac:dyDescent="0.2">
      <c r="A22">
        <v>19</v>
      </c>
      <c r="B22" t="s">
        <v>62</v>
      </c>
      <c r="C22">
        <v>2019</v>
      </c>
      <c r="D22">
        <v>19</v>
      </c>
      <c r="E22">
        <v>26.4</v>
      </c>
      <c r="F22">
        <v>47</v>
      </c>
      <c r="G22">
        <v>3</v>
      </c>
      <c r="H22">
        <v>33</v>
      </c>
      <c r="I22">
        <v>270</v>
      </c>
      <c r="J22">
        <v>3</v>
      </c>
      <c r="K22">
        <v>5</v>
      </c>
      <c r="L22">
        <v>3</v>
      </c>
      <c r="M22">
        <v>5</v>
      </c>
      <c r="N22">
        <v>0</v>
      </c>
      <c r="O22">
        <v>0</v>
      </c>
      <c r="P22">
        <v>6</v>
      </c>
      <c r="Q22">
        <v>0</v>
      </c>
      <c r="R22">
        <v>1.67</v>
      </c>
      <c r="S22">
        <v>1</v>
      </c>
      <c r="T22">
        <v>2.67</v>
      </c>
      <c r="U22">
        <v>1.67</v>
      </c>
      <c r="V22">
        <v>2.67</v>
      </c>
    </row>
    <row r="23" spans="1:22" x14ac:dyDescent="0.2">
      <c r="A23">
        <v>20</v>
      </c>
      <c r="B23" t="s">
        <v>63</v>
      </c>
      <c r="C23">
        <v>2019</v>
      </c>
      <c r="D23">
        <v>19</v>
      </c>
      <c r="E23">
        <v>27.5</v>
      </c>
      <c r="F23">
        <v>38</v>
      </c>
      <c r="G23">
        <v>3</v>
      </c>
      <c r="H23">
        <v>33</v>
      </c>
      <c r="I23">
        <v>270</v>
      </c>
      <c r="J23">
        <v>3</v>
      </c>
      <c r="K23">
        <v>1</v>
      </c>
      <c r="L23">
        <v>1</v>
      </c>
      <c r="M23">
        <v>1</v>
      </c>
      <c r="N23">
        <v>0</v>
      </c>
      <c r="O23">
        <v>0</v>
      </c>
      <c r="P23">
        <v>7</v>
      </c>
      <c r="Q23">
        <v>1</v>
      </c>
      <c r="R23">
        <v>0.33</v>
      </c>
      <c r="S23">
        <v>0.33</v>
      </c>
      <c r="T23">
        <v>0.67</v>
      </c>
      <c r="U23">
        <v>0.33</v>
      </c>
      <c r="V23">
        <v>0.67</v>
      </c>
    </row>
    <row r="24" spans="1:22" x14ac:dyDescent="0.2">
      <c r="A24">
        <v>21</v>
      </c>
      <c r="B24" t="s">
        <v>64</v>
      </c>
      <c r="C24">
        <v>2019</v>
      </c>
      <c r="D24">
        <v>19</v>
      </c>
      <c r="E24">
        <v>25.2</v>
      </c>
      <c r="F24">
        <v>62.5</v>
      </c>
      <c r="G24">
        <v>4</v>
      </c>
      <c r="H24">
        <v>44</v>
      </c>
      <c r="I24">
        <v>360</v>
      </c>
      <c r="J24">
        <v>4</v>
      </c>
      <c r="K24">
        <v>4</v>
      </c>
      <c r="L24">
        <v>2</v>
      </c>
      <c r="M24">
        <v>2</v>
      </c>
      <c r="N24">
        <v>2</v>
      </c>
      <c r="O24">
        <v>2</v>
      </c>
      <c r="P24">
        <v>1</v>
      </c>
      <c r="Q24">
        <v>0</v>
      </c>
      <c r="R24">
        <v>1</v>
      </c>
      <c r="S24">
        <v>0.5</v>
      </c>
      <c r="T24">
        <v>1.5</v>
      </c>
      <c r="U24">
        <v>0.5</v>
      </c>
      <c r="V24">
        <v>1</v>
      </c>
    </row>
    <row r="25" spans="1:22" x14ac:dyDescent="0.2">
      <c r="A25">
        <v>22</v>
      </c>
      <c r="B25" t="s">
        <v>65</v>
      </c>
      <c r="C25">
        <v>2019</v>
      </c>
      <c r="D25">
        <v>20</v>
      </c>
      <c r="E25">
        <v>28.5</v>
      </c>
      <c r="F25">
        <v>48.4</v>
      </c>
      <c r="G25">
        <v>7</v>
      </c>
      <c r="H25">
        <v>77</v>
      </c>
      <c r="I25">
        <v>660</v>
      </c>
      <c r="J25">
        <v>7.3</v>
      </c>
      <c r="K25">
        <v>12</v>
      </c>
      <c r="L25">
        <v>7</v>
      </c>
      <c r="M25">
        <v>11</v>
      </c>
      <c r="N25">
        <v>1</v>
      </c>
      <c r="O25">
        <v>1</v>
      </c>
      <c r="P25">
        <v>2</v>
      </c>
      <c r="Q25">
        <v>0</v>
      </c>
      <c r="R25">
        <v>1.64</v>
      </c>
      <c r="S25">
        <v>0.95</v>
      </c>
      <c r="T25">
        <v>2.59</v>
      </c>
      <c r="U25">
        <v>1.5</v>
      </c>
      <c r="V25">
        <v>2.4500000000000002</v>
      </c>
    </row>
    <row r="26" spans="1:22" x14ac:dyDescent="0.2">
      <c r="A26">
        <v>23</v>
      </c>
      <c r="B26" t="s">
        <v>66</v>
      </c>
      <c r="C26">
        <v>2019</v>
      </c>
      <c r="D26">
        <v>18</v>
      </c>
      <c r="E26">
        <v>27.8</v>
      </c>
      <c r="F26">
        <v>30</v>
      </c>
      <c r="G26">
        <v>3</v>
      </c>
      <c r="H26">
        <v>33</v>
      </c>
      <c r="I26">
        <v>270</v>
      </c>
      <c r="J26">
        <v>3</v>
      </c>
      <c r="K26">
        <v>1</v>
      </c>
      <c r="L26">
        <v>1</v>
      </c>
      <c r="M26">
        <v>1</v>
      </c>
      <c r="N26">
        <v>0</v>
      </c>
      <c r="O26">
        <v>0</v>
      </c>
      <c r="P26">
        <v>5</v>
      </c>
      <c r="Q26">
        <v>0</v>
      </c>
      <c r="R26">
        <v>0.33</v>
      </c>
      <c r="S26">
        <v>0.33</v>
      </c>
      <c r="T26">
        <v>0.67</v>
      </c>
      <c r="U26">
        <v>0.33</v>
      </c>
      <c r="V26">
        <v>0.67</v>
      </c>
    </row>
    <row r="27" spans="1:22" x14ac:dyDescent="0.2">
      <c r="A27">
        <v>24</v>
      </c>
      <c r="B27" t="s">
        <v>67</v>
      </c>
      <c r="C27">
        <v>2019</v>
      </c>
      <c r="D27">
        <v>21</v>
      </c>
      <c r="E27">
        <v>28.8</v>
      </c>
      <c r="F27">
        <v>56</v>
      </c>
      <c r="G27">
        <v>7</v>
      </c>
      <c r="H27">
        <v>77</v>
      </c>
      <c r="I27">
        <v>630</v>
      </c>
      <c r="J27">
        <v>7</v>
      </c>
      <c r="K27">
        <v>25</v>
      </c>
      <c r="L27">
        <v>17</v>
      </c>
      <c r="M27">
        <v>22</v>
      </c>
      <c r="N27">
        <v>3</v>
      </c>
      <c r="O27">
        <v>4</v>
      </c>
      <c r="P27">
        <v>0</v>
      </c>
      <c r="Q27">
        <v>0</v>
      </c>
      <c r="R27">
        <v>3.57</v>
      </c>
      <c r="S27">
        <v>2.4300000000000002</v>
      </c>
      <c r="T27">
        <v>6</v>
      </c>
      <c r="U27">
        <v>3.14</v>
      </c>
      <c r="V27">
        <v>5.57</v>
      </c>
    </row>
    <row r="28" spans="1:22" x14ac:dyDescent="0.2">
      <c r="A28">
        <v>25</v>
      </c>
      <c r="B28" t="s">
        <v>45</v>
      </c>
      <c r="C28">
        <v>2015</v>
      </c>
      <c r="D28">
        <v>17</v>
      </c>
      <c r="E28">
        <v>23.6</v>
      </c>
      <c r="F28">
        <v>46.2</v>
      </c>
      <c r="G28">
        <v>5</v>
      </c>
      <c r="H28">
        <v>55</v>
      </c>
      <c r="I28">
        <v>450</v>
      </c>
      <c r="J28">
        <v>5</v>
      </c>
      <c r="K28">
        <v>5</v>
      </c>
      <c r="L28">
        <v>4</v>
      </c>
      <c r="M28">
        <v>5</v>
      </c>
      <c r="N28">
        <v>0</v>
      </c>
      <c r="O28">
        <v>0</v>
      </c>
      <c r="P28">
        <v>0</v>
      </c>
      <c r="Q28">
        <v>0</v>
      </c>
      <c r="R28">
        <v>1</v>
      </c>
      <c r="S28">
        <v>0.8</v>
      </c>
      <c r="T28">
        <v>1.8</v>
      </c>
      <c r="U28">
        <v>1</v>
      </c>
      <c r="V28">
        <v>1.8</v>
      </c>
    </row>
    <row r="29" spans="1:22" x14ac:dyDescent="0.2">
      <c r="A29">
        <v>26</v>
      </c>
      <c r="B29" t="s">
        <v>46</v>
      </c>
      <c r="C29">
        <v>2015</v>
      </c>
      <c r="D29">
        <v>20</v>
      </c>
      <c r="E29">
        <v>27.4</v>
      </c>
      <c r="F29">
        <v>59</v>
      </c>
      <c r="G29">
        <v>4</v>
      </c>
      <c r="H29">
        <v>44</v>
      </c>
      <c r="I29">
        <v>360</v>
      </c>
      <c r="J29">
        <v>4</v>
      </c>
      <c r="K29">
        <v>4</v>
      </c>
      <c r="L29">
        <v>1</v>
      </c>
      <c r="M29">
        <v>3</v>
      </c>
      <c r="N29">
        <v>1</v>
      </c>
      <c r="O29">
        <v>1</v>
      </c>
      <c r="P29">
        <v>1</v>
      </c>
      <c r="Q29">
        <v>0</v>
      </c>
      <c r="R29">
        <v>1</v>
      </c>
      <c r="S29">
        <v>0.25</v>
      </c>
      <c r="T29">
        <v>1.25</v>
      </c>
      <c r="U29">
        <v>0.75</v>
      </c>
      <c r="V29">
        <v>1</v>
      </c>
    </row>
    <row r="30" spans="1:22" x14ac:dyDescent="0.2">
      <c r="A30">
        <v>27</v>
      </c>
      <c r="B30" t="s">
        <v>47</v>
      </c>
      <c r="C30">
        <v>2015</v>
      </c>
      <c r="D30">
        <v>17</v>
      </c>
      <c r="E30">
        <v>25.1</v>
      </c>
      <c r="F30">
        <v>48.8</v>
      </c>
      <c r="G30">
        <v>4</v>
      </c>
      <c r="H30">
        <v>44</v>
      </c>
      <c r="I30">
        <v>360</v>
      </c>
      <c r="J30">
        <v>4</v>
      </c>
      <c r="K30">
        <v>9</v>
      </c>
      <c r="L30">
        <v>5</v>
      </c>
      <c r="M30">
        <v>5</v>
      </c>
      <c r="N30">
        <v>4</v>
      </c>
      <c r="O30">
        <v>4</v>
      </c>
      <c r="P30">
        <v>6</v>
      </c>
      <c r="Q30">
        <v>0</v>
      </c>
      <c r="R30">
        <v>2.25</v>
      </c>
      <c r="S30">
        <v>1.25</v>
      </c>
      <c r="T30">
        <v>3.5</v>
      </c>
      <c r="U30">
        <v>1.25</v>
      </c>
      <c r="V30">
        <v>2.5</v>
      </c>
    </row>
    <row r="31" spans="1:22" x14ac:dyDescent="0.2">
      <c r="A31">
        <v>28</v>
      </c>
      <c r="B31" t="s">
        <v>48</v>
      </c>
      <c r="C31">
        <v>2015</v>
      </c>
      <c r="D31">
        <v>18</v>
      </c>
      <c r="E31">
        <v>27.2</v>
      </c>
      <c r="F31">
        <v>55</v>
      </c>
      <c r="G31">
        <v>5</v>
      </c>
      <c r="H31">
        <v>55</v>
      </c>
      <c r="I31">
        <v>450</v>
      </c>
      <c r="J31">
        <v>5</v>
      </c>
      <c r="K31">
        <v>4</v>
      </c>
      <c r="L31">
        <v>1</v>
      </c>
      <c r="M31">
        <v>3</v>
      </c>
      <c r="N31">
        <v>1</v>
      </c>
      <c r="O31">
        <v>1</v>
      </c>
      <c r="P31">
        <v>3</v>
      </c>
      <c r="Q31">
        <v>0</v>
      </c>
      <c r="R31">
        <v>0.8</v>
      </c>
      <c r="S31">
        <v>0.2</v>
      </c>
      <c r="T31">
        <v>1</v>
      </c>
      <c r="U31">
        <v>0.6</v>
      </c>
      <c r="V31">
        <v>0.8</v>
      </c>
    </row>
    <row r="32" spans="1:22" x14ac:dyDescent="0.2">
      <c r="A32">
        <v>29</v>
      </c>
      <c r="B32" t="s">
        <v>50</v>
      </c>
      <c r="C32">
        <v>2015</v>
      </c>
      <c r="D32">
        <v>18</v>
      </c>
      <c r="E32">
        <v>23.6</v>
      </c>
      <c r="F32">
        <v>48.6</v>
      </c>
      <c r="G32">
        <v>5</v>
      </c>
      <c r="H32">
        <v>55</v>
      </c>
      <c r="I32">
        <v>450</v>
      </c>
      <c r="J32">
        <v>5</v>
      </c>
      <c r="K32">
        <v>4</v>
      </c>
      <c r="L32">
        <v>2</v>
      </c>
      <c r="M32">
        <v>3</v>
      </c>
      <c r="N32">
        <v>1</v>
      </c>
      <c r="O32">
        <v>1</v>
      </c>
      <c r="P32">
        <v>2</v>
      </c>
      <c r="Q32">
        <v>0</v>
      </c>
      <c r="R32">
        <v>0.8</v>
      </c>
      <c r="S32">
        <v>0.4</v>
      </c>
      <c r="T32">
        <v>1.2</v>
      </c>
      <c r="U32">
        <v>0.6</v>
      </c>
      <c r="V32">
        <v>1</v>
      </c>
    </row>
    <row r="33" spans="1:22" x14ac:dyDescent="0.2">
      <c r="A33">
        <v>30</v>
      </c>
      <c r="B33" t="s">
        <v>68</v>
      </c>
      <c r="C33">
        <v>2015</v>
      </c>
      <c r="D33">
        <v>18</v>
      </c>
      <c r="E33">
        <v>24.3</v>
      </c>
      <c r="F33">
        <v>44.3</v>
      </c>
      <c r="G33">
        <v>4</v>
      </c>
      <c r="H33">
        <v>44</v>
      </c>
      <c r="I33">
        <v>360</v>
      </c>
      <c r="J33">
        <v>4</v>
      </c>
      <c r="K33">
        <v>4</v>
      </c>
      <c r="L33">
        <v>4</v>
      </c>
      <c r="M33">
        <v>4</v>
      </c>
      <c r="N33">
        <v>0</v>
      </c>
      <c r="O33">
        <v>0</v>
      </c>
      <c r="P33">
        <v>8</v>
      </c>
      <c r="Q33">
        <v>0</v>
      </c>
      <c r="R33">
        <v>1</v>
      </c>
      <c r="S33">
        <v>1</v>
      </c>
      <c r="T33">
        <v>2</v>
      </c>
      <c r="U33">
        <v>1</v>
      </c>
      <c r="V33">
        <v>2</v>
      </c>
    </row>
    <row r="34" spans="1:22" x14ac:dyDescent="0.2">
      <c r="A34">
        <v>31</v>
      </c>
      <c r="B34" t="s">
        <v>69</v>
      </c>
      <c r="C34">
        <v>2015</v>
      </c>
      <c r="D34">
        <v>15</v>
      </c>
      <c r="E34">
        <v>25</v>
      </c>
      <c r="F34">
        <v>42.3</v>
      </c>
      <c r="G34">
        <v>3</v>
      </c>
      <c r="H34">
        <v>33</v>
      </c>
      <c r="I34">
        <v>270</v>
      </c>
      <c r="J34">
        <v>3</v>
      </c>
      <c r="K34">
        <v>3</v>
      </c>
      <c r="L34">
        <v>3</v>
      </c>
      <c r="M34">
        <v>3</v>
      </c>
      <c r="N34">
        <v>0</v>
      </c>
      <c r="O34">
        <v>0</v>
      </c>
      <c r="P34">
        <v>0</v>
      </c>
      <c r="Q34">
        <v>0</v>
      </c>
      <c r="R34">
        <v>1</v>
      </c>
      <c r="S34">
        <v>1</v>
      </c>
      <c r="T34">
        <v>2</v>
      </c>
      <c r="U34">
        <v>1</v>
      </c>
      <c r="V34">
        <v>2</v>
      </c>
    </row>
    <row r="35" spans="1:22" x14ac:dyDescent="0.2">
      <c r="A35">
        <v>32</v>
      </c>
      <c r="B35" t="s">
        <v>70</v>
      </c>
      <c r="C35">
        <v>2015</v>
      </c>
      <c r="D35">
        <v>19</v>
      </c>
      <c r="E35">
        <v>25</v>
      </c>
      <c r="F35">
        <v>45</v>
      </c>
      <c r="G35">
        <v>3</v>
      </c>
      <c r="H35">
        <v>33</v>
      </c>
      <c r="I35">
        <v>270</v>
      </c>
      <c r="J35">
        <v>3</v>
      </c>
      <c r="K35">
        <v>3</v>
      </c>
      <c r="L35">
        <v>0</v>
      </c>
      <c r="M35">
        <v>3</v>
      </c>
      <c r="N35">
        <v>0</v>
      </c>
      <c r="O35">
        <v>0</v>
      </c>
      <c r="P35">
        <v>8</v>
      </c>
      <c r="Q35">
        <v>0</v>
      </c>
      <c r="R35">
        <v>1</v>
      </c>
      <c r="S35">
        <v>0</v>
      </c>
      <c r="T35">
        <v>1</v>
      </c>
      <c r="U35">
        <v>1</v>
      </c>
      <c r="V35">
        <v>1</v>
      </c>
    </row>
    <row r="36" spans="1:22" x14ac:dyDescent="0.2">
      <c r="A36">
        <v>33</v>
      </c>
      <c r="B36" t="s">
        <v>71</v>
      </c>
      <c r="C36">
        <v>2015</v>
      </c>
      <c r="D36">
        <v>19</v>
      </c>
      <c r="E36">
        <v>23.4</v>
      </c>
      <c r="F36">
        <v>38.700000000000003</v>
      </c>
      <c r="G36">
        <v>3</v>
      </c>
      <c r="H36">
        <v>33</v>
      </c>
      <c r="I36">
        <v>270</v>
      </c>
      <c r="J36">
        <v>3</v>
      </c>
      <c r="K36">
        <v>1</v>
      </c>
      <c r="L36">
        <v>0</v>
      </c>
      <c r="M36">
        <v>0</v>
      </c>
      <c r="N36">
        <v>1</v>
      </c>
      <c r="O36">
        <v>1</v>
      </c>
      <c r="P36">
        <v>6</v>
      </c>
      <c r="Q36">
        <v>1</v>
      </c>
      <c r="R36">
        <v>0.33</v>
      </c>
      <c r="S36">
        <v>0</v>
      </c>
      <c r="T36">
        <v>0.33</v>
      </c>
      <c r="U36">
        <v>0</v>
      </c>
      <c r="V36">
        <v>0</v>
      </c>
    </row>
    <row r="37" spans="1:22" x14ac:dyDescent="0.2">
      <c r="A37">
        <v>34</v>
      </c>
      <c r="B37" t="s">
        <v>51</v>
      </c>
      <c r="C37">
        <v>2015</v>
      </c>
      <c r="D37">
        <v>22</v>
      </c>
      <c r="E37">
        <v>27.6</v>
      </c>
      <c r="F37">
        <v>48.1</v>
      </c>
      <c r="G37">
        <v>7</v>
      </c>
      <c r="H37">
        <v>77</v>
      </c>
      <c r="I37">
        <v>660</v>
      </c>
      <c r="J37">
        <v>7.3</v>
      </c>
      <c r="K37">
        <v>10</v>
      </c>
      <c r="L37">
        <v>4</v>
      </c>
      <c r="M37">
        <v>7</v>
      </c>
      <c r="N37">
        <v>3</v>
      </c>
      <c r="O37">
        <v>3</v>
      </c>
      <c r="P37">
        <v>3</v>
      </c>
      <c r="Q37">
        <v>0</v>
      </c>
      <c r="R37">
        <v>1.36</v>
      </c>
      <c r="S37">
        <v>0.55000000000000004</v>
      </c>
      <c r="T37">
        <v>1.91</v>
      </c>
      <c r="U37">
        <v>0.95</v>
      </c>
      <c r="V37">
        <v>1.5</v>
      </c>
    </row>
    <row r="38" spans="1:22" x14ac:dyDescent="0.2">
      <c r="A38">
        <v>35</v>
      </c>
      <c r="B38" t="s">
        <v>52</v>
      </c>
      <c r="C38">
        <v>2015</v>
      </c>
      <c r="D38">
        <v>19</v>
      </c>
      <c r="E38">
        <v>27.3</v>
      </c>
      <c r="F38">
        <v>53.6</v>
      </c>
      <c r="G38">
        <v>5</v>
      </c>
      <c r="H38">
        <v>55</v>
      </c>
      <c r="I38">
        <v>480</v>
      </c>
      <c r="J38">
        <v>5.3</v>
      </c>
      <c r="K38">
        <v>9</v>
      </c>
      <c r="L38">
        <v>7</v>
      </c>
      <c r="M38">
        <v>9</v>
      </c>
      <c r="N38">
        <v>0</v>
      </c>
      <c r="O38">
        <v>0</v>
      </c>
      <c r="P38">
        <v>0</v>
      </c>
      <c r="Q38">
        <v>0</v>
      </c>
      <c r="R38">
        <v>1.69</v>
      </c>
      <c r="S38">
        <v>1.31</v>
      </c>
      <c r="T38">
        <v>3</v>
      </c>
      <c r="U38">
        <v>1.69</v>
      </c>
      <c r="V38">
        <v>3</v>
      </c>
    </row>
    <row r="39" spans="1:22" x14ac:dyDescent="0.2">
      <c r="A39">
        <v>36</v>
      </c>
      <c r="B39" t="s">
        <v>53</v>
      </c>
      <c r="C39">
        <v>2015</v>
      </c>
      <c r="D39">
        <v>21</v>
      </c>
      <c r="E39">
        <v>26.9</v>
      </c>
      <c r="F39">
        <v>54.7</v>
      </c>
      <c r="G39">
        <v>7</v>
      </c>
      <c r="H39">
        <v>77</v>
      </c>
      <c r="I39">
        <v>690</v>
      </c>
      <c r="J39">
        <v>7.7</v>
      </c>
      <c r="K39">
        <v>20</v>
      </c>
      <c r="L39">
        <v>11</v>
      </c>
      <c r="M39">
        <v>18</v>
      </c>
      <c r="N39">
        <v>2</v>
      </c>
      <c r="O39">
        <v>2</v>
      </c>
      <c r="P39">
        <v>1</v>
      </c>
      <c r="Q39">
        <v>0</v>
      </c>
      <c r="R39">
        <v>2.61</v>
      </c>
      <c r="S39">
        <v>1.43</v>
      </c>
      <c r="T39">
        <v>4.04</v>
      </c>
      <c r="U39">
        <v>2.35</v>
      </c>
      <c r="V39">
        <v>3.78</v>
      </c>
    </row>
    <row r="40" spans="1:22" x14ac:dyDescent="0.2">
      <c r="A40">
        <v>37</v>
      </c>
      <c r="B40" t="s">
        <v>56</v>
      </c>
      <c r="C40">
        <v>2015</v>
      </c>
      <c r="D40">
        <v>23</v>
      </c>
      <c r="E40">
        <v>27.9</v>
      </c>
      <c r="F40">
        <v>55.1</v>
      </c>
      <c r="G40">
        <v>7</v>
      </c>
      <c r="H40">
        <v>77</v>
      </c>
      <c r="I40">
        <v>630</v>
      </c>
      <c r="J40">
        <v>7</v>
      </c>
      <c r="K40">
        <v>9</v>
      </c>
      <c r="L40">
        <v>5</v>
      </c>
      <c r="M40">
        <v>7</v>
      </c>
      <c r="N40">
        <v>2</v>
      </c>
      <c r="O40">
        <v>2</v>
      </c>
      <c r="P40">
        <v>1</v>
      </c>
      <c r="Q40">
        <v>0</v>
      </c>
      <c r="R40">
        <v>1.29</v>
      </c>
      <c r="S40">
        <v>0.71</v>
      </c>
      <c r="T40">
        <v>2</v>
      </c>
      <c r="U40">
        <v>1</v>
      </c>
      <c r="V40">
        <v>1.71</v>
      </c>
    </row>
    <row r="41" spans="1:22" x14ac:dyDescent="0.2">
      <c r="A41">
        <v>38</v>
      </c>
      <c r="B41" t="s">
        <v>57</v>
      </c>
      <c r="C41">
        <v>2015</v>
      </c>
      <c r="D41">
        <v>19</v>
      </c>
      <c r="E41">
        <v>26.1</v>
      </c>
      <c r="F41">
        <v>43.8</v>
      </c>
      <c r="G41">
        <v>4</v>
      </c>
      <c r="H41">
        <v>44</v>
      </c>
      <c r="I41">
        <v>360</v>
      </c>
      <c r="J41">
        <v>4</v>
      </c>
      <c r="K41">
        <v>4</v>
      </c>
      <c r="L41">
        <v>3</v>
      </c>
      <c r="M41">
        <v>3</v>
      </c>
      <c r="N41">
        <v>1</v>
      </c>
      <c r="O41">
        <v>1</v>
      </c>
      <c r="P41">
        <v>5</v>
      </c>
      <c r="Q41">
        <v>0</v>
      </c>
      <c r="R41">
        <v>1</v>
      </c>
      <c r="S41">
        <v>0.75</v>
      </c>
      <c r="T41">
        <v>1.75</v>
      </c>
      <c r="U41">
        <v>0.75</v>
      </c>
      <c r="V41">
        <v>1.5</v>
      </c>
    </row>
    <row r="42" spans="1:22" x14ac:dyDescent="0.2">
      <c r="A42">
        <v>39</v>
      </c>
      <c r="B42" t="s">
        <v>72</v>
      </c>
      <c r="C42">
        <v>2015</v>
      </c>
      <c r="D42">
        <v>17</v>
      </c>
      <c r="E42">
        <v>24.3</v>
      </c>
      <c r="F42">
        <v>52.3</v>
      </c>
      <c r="G42">
        <v>3</v>
      </c>
      <c r="H42">
        <v>33</v>
      </c>
      <c r="I42">
        <v>270</v>
      </c>
      <c r="J42">
        <v>3</v>
      </c>
      <c r="K42">
        <v>2</v>
      </c>
      <c r="L42">
        <v>1</v>
      </c>
      <c r="M42">
        <v>2</v>
      </c>
      <c r="N42">
        <v>0</v>
      </c>
      <c r="O42">
        <v>0</v>
      </c>
      <c r="P42">
        <v>4</v>
      </c>
      <c r="Q42">
        <v>0</v>
      </c>
      <c r="R42">
        <v>0.67</v>
      </c>
      <c r="S42">
        <v>0.33</v>
      </c>
      <c r="T42">
        <v>1</v>
      </c>
      <c r="U42">
        <v>0.67</v>
      </c>
      <c r="V42">
        <v>1</v>
      </c>
    </row>
    <row r="43" spans="1:22" x14ac:dyDescent="0.2">
      <c r="A43">
        <v>40</v>
      </c>
      <c r="B43" t="s">
        <v>58</v>
      </c>
      <c r="C43">
        <v>2015</v>
      </c>
      <c r="D43">
        <v>18</v>
      </c>
      <c r="E43">
        <v>24.3</v>
      </c>
      <c r="F43">
        <v>49</v>
      </c>
      <c r="G43">
        <v>4</v>
      </c>
      <c r="H43">
        <v>44</v>
      </c>
      <c r="I43">
        <v>360</v>
      </c>
      <c r="J43">
        <v>4</v>
      </c>
      <c r="K43">
        <v>3</v>
      </c>
      <c r="L43">
        <v>3</v>
      </c>
      <c r="M43">
        <v>3</v>
      </c>
      <c r="N43">
        <v>0</v>
      </c>
      <c r="O43">
        <v>0</v>
      </c>
      <c r="P43">
        <v>3</v>
      </c>
      <c r="Q43">
        <v>0</v>
      </c>
      <c r="R43">
        <v>0.75</v>
      </c>
      <c r="S43">
        <v>0.75</v>
      </c>
      <c r="T43">
        <v>1.5</v>
      </c>
      <c r="U43">
        <v>0.75</v>
      </c>
      <c r="V43">
        <v>1.5</v>
      </c>
    </row>
    <row r="44" spans="1:22" x14ac:dyDescent="0.2">
      <c r="A44">
        <v>41</v>
      </c>
      <c r="B44" t="s">
        <v>59</v>
      </c>
      <c r="C44">
        <v>2015</v>
      </c>
      <c r="D44">
        <v>15</v>
      </c>
      <c r="E44">
        <v>24.9</v>
      </c>
      <c r="F44">
        <v>46.7</v>
      </c>
      <c r="G44">
        <v>3</v>
      </c>
      <c r="H44">
        <v>33</v>
      </c>
      <c r="I44">
        <v>270</v>
      </c>
      <c r="J44">
        <v>3</v>
      </c>
      <c r="K44">
        <v>2</v>
      </c>
      <c r="L44">
        <v>2</v>
      </c>
      <c r="M44">
        <v>2</v>
      </c>
      <c r="N44">
        <v>0</v>
      </c>
      <c r="O44">
        <v>0</v>
      </c>
      <c r="P44">
        <v>4</v>
      </c>
      <c r="Q44">
        <v>0</v>
      </c>
      <c r="R44">
        <v>0.67</v>
      </c>
      <c r="S44">
        <v>0.67</v>
      </c>
      <c r="T44">
        <v>1.33</v>
      </c>
      <c r="U44">
        <v>0.67</v>
      </c>
      <c r="V44">
        <v>1.33</v>
      </c>
    </row>
    <row r="45" spans="1:22" x14ac:dyDescent="0.2">
      <c r="A45">
        <v>42</v>
      </c>
      <c r="B45" t="s">
        <v>60</v>
      </c>
      <c r="C45">
        <v>2015</v>
      </c>
      <c r="D45">
        <v>17</v>
      </c>
      <c r="E45">
        <v>24.6</v>
      </c>
      <c r="F45">
        <v>48.3</v>
      </c>
      <c r="G45">
        <v>3</v>
      </c>
      <c r="H45">
        <v>33</v>
      </c>
      <c r="I45">
        <v>270</v>
      </c>
      <c r="J45">
        <v>3</v>
      </c>
      <c r="K45">
        <v>3</v>
      </c>
      <c r="L45">
        <v>3</v>
      </c>
      <c r="M45">
        <v>3</v>
      </c>
      <c r="N45">
        <v>0</v>
      </c>
      <c r="O45">
        <v>0</v>
      </c>
      <c r="P45">
        <v>6</v>
      </c>
      <c r="Q45">
        <v>1</v>
      </c>
      <c r="R45">
        <v>1</v>
      </c>
      <c r="S45">
        <v>1</v>
      </c>
      <c r="T45">
        <v>2</v>
      </c>
      <c r="U45">
        <v>1</v>
      </c>
      <c r="V45">
        <v>2</v>
      </c>
    </row>
    <row r="46" spans="1:22" x14ac:dyDescent="0.2">
      <c r="A46">
        <v>43</v>
      </c>
      <c r="B46" t="s">
        <v>61</v>
      </c>
      <c r="C46">
        <v>2015</v>
      </c>
      <c r="D46">
        <v>18</v>
      </c>
      <c r="E46">
        <v>26.7</v>
      </c>
      <c r="F46">
        <v>54.5</v>
      </c>
      <c r="G46">
        <v>4</v>
      </c>
      <c r="H46">
        <v>44</v>
      </c>
      <c r="I46">
        <v>360</v>
      </c>
      <c r="J46">
        <v>4</v>
      </c>
      <c r="K46">
        <v>9</v>
      </c>
      <c r="L46">
        <v>6</v>
      </c>
      <c r="M46">
        <v>9</v>
      </c>
      <c r="N46">
        <v>0</v>
      </c>
      <c r="O46">
        <v>0</v>
      </c>
      <c r="P46">
        <v>1</v>
      </c>
      <c r="Q46">
        <v>0</v>
      </c>
      <c r="R46">
        <v>2.25</v>
      </c>
      <c r="S46">
        <v>1.5</v>
      </c>
      <c r="T46">
        <v>3.75</v>
      </c>
      <c r="U46">
        <v>2.25</v>
      </c>
      <c r="V46">
        <v>3.75</v>
      </c>
    </row>
    <row r="47" spans="1:22" x14ac:dyDescent="0.2">
      <c r="A47">
        <v>44</v>
      </c>
      <c r="B47" t="s">
        <v>64</v>
      </c>
      <c r="C47">
        <v>2015</v>
      </c>
      <c r="D47">
        <v>17</v>
      </c>
      <c r="E47">
        <v>25.3</v>
      </c>
      <c r="F47">
        <v>50.7</v>
      </c>
      <c r="G47">
        <v>3</v>
      </c>
      <c r="H47">
        <v>33</v>
      </c>
      <c r="I47">
        <v>270</v>
      </c>
      <c r="J47">
        <v>3</v>
      </c>
      <c r="K47">
        <v>2</v>
      </c>
      <c r="L47">
        <v>2</v>
      </c>
      <c r="M47">
        <v>2</v>
      </c>
      <c r="N47">
        <v>0</v>
      </c>
      <c r="O47">
        <v>0</v>
      </c>
      <c r="P47">
        <v>3</v>
      </c>
      <c r="Q47">
        <v>0</v>
      </c>
      <c r="R47">
        <v>0.67</v>
      </c>
      <c r="S47">
        <v>0.67</v>
      </c>
      <c r="T47">
        <v>1.33</v>
      </c>
      <c r="U47">
        <v>0.67</v>
      </c>
      <c r="V47">
        <v>1.33</v>
      </c>
    </row>
    <row r="48" spans="1:22" x14ac:dyDescent="0.2">
      <c r="A48">
        <v>45</v>
      </c>
      <c r="B48" t="s">
        <v>65</v>
      </c>
      <c r="C48">
        <v>2015</v>
      </c>
      <c r="D48">
        <v>18</v>
      </c>
      <c r="E48">
        <v>28.1</v>
      </c>
      <c r="F48">
        <v>49.3</v>
      </c>
      <c r="G48">
        <v>4</v>
      </c>
      <c r="H48">
        <v>44</v>
      </c>
      <c r="I48">
        <v>360</v>
      </c>
      <c r="J48">
        <v>4</v>
      </c>
      <c r="K48">
        <v>4</v>
      </c>
      <c r="L48">
        <v>2</v>
      </c>
      <c r="M48">
        <v>4</v>
      </c>
      <c r="N48">
        <v>0</v>
      </c>
      <c r="O48">
        <v>0</v>
      </c>
      <c r="P48">
        <v>0</v>
      </c>
      <c r="Q48">
        <v>0</v>
      </c>
      <c r="R48">
        <v>1</v>
      </c>
      <c r="S48">
        <v>0.5</v>
      </c>
      <c r="T48">
        <v>1.5</v>
      </c>
      <c r="U48">
        <v>1</v>
      </c>
      <c r="V48">
        <v>1.5</v>
      </c>
    </row>
    <row r="49" spans="1:22" x14ac:dyDescent="0.2">
      <c r="A49">
        <v>46</v>
      </c>
      <c r="B49" t="s">
        <v>73</v>
      </c>
      <c r="C49">
        <v>2015</v>
      </c>
      <c r="D49">
        <v>17</v>
      </c>
      <c r="E49">
        <v>25</v>
      </c>
      <c r="F49">
        <v>55.3</v>
      </c>
      <c r="G49">
        <v>4</v>
      </c>
      <c r="H49">
        <v>44</v>
      </c>
      <c r="I49">
        <v>360</v>
      </c>
      <c r="J49">
        <v>4</v>
      </c>
      <c r="K49">
        <v>9</v>
      </c>
      <c r="L49">
        <v>7</v>
      </c>
      <c r="M49">
        <v>8</v>
      </c>
      <c r="N49">
        <v>1</v>
      </c>
      <c r="O49">
        <v>1</v>
      </c>
      <c r="P49">
        <v>4</v>
      </c>
      <c r="Q49">
        <v>0</v>
      </c>
      <c r="R49">
        <v>2.25</v>
      </c>
      <c r="S49">
        <v>1.75</v>
      </c>
      <c r="T49">
        <v>4</v>
      </c>
      <c r="U49">
        <v>2</v>
      </c>
      <c r="V49">
        <v>3.75</v>
      </c>
    </row>
    <row r="50" spans="1:22" x14ac:dyDescent="0.2">
      <c r="A50">
        <v>47</v>
      </c>
      <c r="B50" t="s">
        <v>66</v>
      </c>
      <c r="C50">
        <v>2015</v>
      </c>
      <c r="D50">
        <v>17</v>
      </c>
      <c r="E50">
        <v>25.7</v>
      </c>
      <c r="F50">
        <v>40</v>
      </c>
      <c r="G50">
        <v>3</v>
      </c>
      <c r="H50">
        <v>33</v>
      </c>
      <c r="I50">
        <v>270</v>
      </c>
      <c r="J50">
        <v>3</v>
      </c>
      <c r="K50">
        <v>3</v>
      </c>
      <c r="L50">
        <v>3</v>
      </c>
      <c r="M50">
        <v>3</v>
      </c>
      <c r="N50">
        <v>0</v>
      </c>
      <c r="O50">
        <v>0</v>
      </c>
      <c r="P50">
        <v>3</v>
      </c>
      <c r="Q50">
        <v>0</v>
      </c>
      <c r="R50">
        <v>1</v>
      </c>
      <c r="S50">
        <v>1</v>
      </c>
      <c r="T50">
        <v>2</v>
      </c>
      <c r="U50">
        <v>1</v>
      </c>
      <c r="V50">
        <v>2</v>
      </c>
    </row>
    <row r="51" spans="1:22" x14ac:dyDescent="0.2">
      <c r="A51">
        <v>48</v>
      </c>
      <c r="B51" t="s">
        <v>67</v>
      </c>
      <c r="C51">
        <v>2015</v>
      </c>
      <c r="D51">
        <v>20</v>
      </c>
      <c r="E51">
        <v>28.4</v>
      </c>
      <c r="F51">
        <v>52.9</v>
      </c>
      <c r="G51">
        <v>7</v>
      </c>
      <c r="H51">
        <v>77</v>
      </c>
      <c r="I51">
        <v>630</v>
      </c>
      <c r="J51">
        <v>7</v>
      </c>
      <c r="K51">
        <v>14</v>
      </c>
      <c r="L51">
        <v>7</v>
      </c>
      <c r="M51">
        <v>12</v>
      </c>
      <c r="N51">
        <v>2</v>
      </c>
      <c r="O51">
        <v>2</v>
      </c>
      <c r="P51">
        <v>2</v>
      </c>
      <c r="Q51">
        <v>0</v>
      </c>
      <c r="R51">
        <v>2</v>
      </c>
      <c r="S51">
        <v>1</v>
      </c>
      <c r="T51">
        <v>3</v>
      </c>
      <c r="U51">
        <v>1.71</v>
      </c>
      <c r="V51">
        <v>2.71</v>
      </c>
    </row>
    <row r="52" spans="1:22" x14ac:dyDescent="0.2">
      <c r="A52">
        <v>49</v>
      </c>
      <c r="B52" t="s">
        <v>45</v>
      </c>
      <c r="C52">
        <v>2011</v>
      </c>
      <c r="D52">
        <v>20</v>
      </c>
      <c r="E52">
        <v>22.8</v>
      </c>
      <c r="F52">
        <v>53.5</v>
      </c>
      <c r="G52">
        <v>4</v>
      </c>
      <c r="H52">
        <v>44</v>
      </c>
      <c r="I52">
        <v>360</v>
      </c>
      <c r="J52">
        <v>4</v>
      </c>
      <c r="K52">
        <v>6</v>
      </c>
      <c r="L52">
        <v>6</v>
      </c>
      <c r="M52">
        <v>6</v>
      </c>
      <c r="N52">
        <v>0</v>
      </c>
      <c r="O52">
        <v>0</v>
      </c>
      <c r="P52">
        <v>0</v>
      </c>
      <c r="Q52">
        <v>0</v>
      </c>
      <c r="R52">
        <v>1.5</v>
      </c>
      <c r="S52">
        <v>1.5</v>
      </c>
      <c r="T52">
        <v>3</v>
      </c>
      <c r="U52">
        <v>1.5</v>
      </c>
      <c r="V52">
        <v>3</v>
      </c>
    </row>
    <row r="53" spans="1:22" x14ac:dyDescent="0.2">
      <c r="A53">
        <v>50</v>
      </c>
      <c r="B53" t="s">
        <v>46</v>
      </c>
      <c r="C53">
        <v>2011</v>
      </c>
      <c r="D53">
        <v>16</v>
      </c>
      <c r="E53">
        <v>27</v>
      </c>
      <c r="F53">
        <v>53.3</v>
      </c>
      <c r="G53">
        <v>4</v>
      </c>
      <c r="H53">
        <v>44</v>
      </c>
      <c r="I53">
        <v>390</v>
      </c>
      <c r="J53">
        <v>4.3</v>
      </c>
      <c r="K53">
        <v>9</v>
      </c>
      <c r="L53">
        <v>6</v>
      </c>
      <c r="M53">
        <v>7</v>
      </c>
      <c r="N53">
        <v>2</v>
      </c>
      <c r="O53">
        <v>2</v>
      </c>
      <c r="P53">
        <v>0</v>
      </c>
      <c r="Q53">
        <v>0</v>
      </c>
      <c r="R53">
        <v>2.08</v>
      </c>
      <c r="S53">
        <v>1.38</v>
      </c>
      <c r="T53">
        <v>3.46</v>
      </c>
      <c r="U53">
        <v>1.62</v>
      </c>
      <c r="V53">
        <v>3</v>
      </c>
    </row>
    <row r="54" spans="1:22" x14ac:dyDescent="0.2">
      <c r="A54">
        <v>51</v>
      </c>
      <c r="B54" t="s">
        <v>48</v>
      </c>
      <c r="C54">
        <v>2011</v>
      </c>
      <c r="D54">
        <v>19</v>
      </c>
      <c r="E54">
        <v>25.9</v>
      </c>
      <c r="F54">
        <v>47.3</v>
      </c>
      <c r="G54">
        <v>3</v>
      </c>
      <c r="H54">
        <v>33</v>
      </c>
      <c r="I54">
        <v>270</v>
      </c>
      <c r="J54">
        <v>3</v>
      </c>
      <c r="K54">
        <v>1</v>
      </c>
      <c r="L54">
        <v>0</v>
      </c>
      <c r="M54">
        <v>1</v>
      </c>
      <c r="N54">
        <v>0</v>
      </c>
      <c r="O54">
        <v>0</v>
      </c>
      <c r="P54">
        <v>0</v>
      </c>
      <c r="Q54">
        <v>0</v>
      </c>
      <c r="R54">
        <v>0.33</v>
      </c>
      <c r="S54">
        <v>0</v>
      </c>
      <c r="T54">
        <v>0.33</v>
      </c>
      <c r="U54">
        <v>0.33</v>
      </c>
      <c r="V54">
        <v>0.33</v>
      </c>
    </row>
    <row r="55" spans="1:22" x14ac:dyDescent="0.2">
      <c r="A55">
        <v>52</v>
      </c>
      <c r="B55" t="s">
        <v>68</v>
      </c>
      <c r="C55">
        <v>2011</v>
      </c>
      <c r="D55">
        <v>17</v>
      </c>
      <c r="E55">
        <v>22.4</v>
      </c>
      <c r="F55">
        <v>49.3</v>
      </c>
      <c r="G55">
        <v>3</v>
      </c>
      <c r="H55">
        <v>33</v>
      </c>
      <c r="I55">
        <v>270</v>
      </c>
      <c r="J55">
        <v>3</v>
      </c>
      <c r="K55">
        <v>0</v>
      </c>
      <c r="L55">
        <v>0</v>
      </c>
      <c r="M55">
        <v>0</v>
      </c>
      <c r="N55">
        <v>0</v>
      </c>
      <c r="O55">
        <v>0</v>
      </c>
      <c r="P55">
        <v>0</v>
      </c>
      <c r="Q55">
        <v>0</v>
      </c>
      <c r="R55">
        <v>0</v>
      </c>
      <c r="S55">
        <v>0</v>
      </c>
      <c r="T55">
        <v>0</v>
      </c>
      <c r="U55">
        <v>0</v>
      </c>
      <c r="V55">
        <v>0</v>
      </c>
    </row>
    <row r="56" spans="1:22" x14ac:dyDescent="0.2">
      <c r="A56">
        <v>53</v>
      </c>
      <c r="B56" t="s">
        <v>51</v>
      </c>
      <c r="C56">
        <v>2011</v>
      </c>
      <c r="D56">
        <v>18</v>
      </c>
      <c r="E56">
        <v>26.9</v>
      </c>
      <c r="F56">
        <v>49.3</v>
      </c>
      <c r="G56">
        <v>4</v>
      </c>
      <c r="H56">
        <v>44</v>
      </c>
      <c r="I56">
        <v>390</v>
      </c>
      <c r="J56">
        <v>4.3</v>
      </c>
      <c r="K56">
        <v>6</v>
      </c>
      <c r="L56">
        <v>7</v>
      </c>
      <c r="M56">
        <v>6</v>
      </c>
      <c r="N56">
        <v>0</v>
      </c>
      <c r="O56">
        <v>0</v>
      </c>
      <c r="P56">
        <v>0</v>
      </c>
      <c r="Q56">
        <v>0</v>
      </c>
      <c r="R56">
        <v>1.38</v>
      </c>
      <c r="S56">
        <v>1.62</v>
      </c>
      <c r="T56">
        <v>3</v>
      </c>
      <c r="U56">
        <v>1.38</v>
      </c>
      <c r="V56">
        <v>3</v>
      </c>
    </row>
    <row r="57" spans="1:22" x14ac:dyDescent="0.2">
      <c r="A57">
        <v>54</v>
      </c>
      <c r="B57" t="s">
        <v>74</v>
      </c>
      <c r="C57">
        <v>2011</v>
      </c>
      <c r="D57">
        <v>15</v>
      </c>
      <c r="E57">
        <v>26.1</v>
      </c>
      <c r="F57">
        <v>40.700000000000003</v>
      </c>
      <c r="G57">
        <v>3</v>
      </c>
      <c r="H57">
        <v>33</v>
      </c>
      <c r="I57">
        <v>270</v>
      </c>
      <c r="J57">
        <v>3</v>
      </c>
      <c r="K57">
        <v>2</v>
      </c>
      <c r="L57">
        <v>0</v>
      </c>
      <c r="M57">
        <v>2</v>
      </c>
      <c r="N57">
        <v>0</v>
      </c>
      <c r="O57">
        <v>0</v>
      </c>
      <c r="R57">
        <v>0.67</v>
      </c>
      <c r="S57">
        <v>0</v>
      </c>
      <c r="T57">
        <v>0.67</v>
      </c>
      <c r="U57">
        <v>0.67</v>
      </c>
      <c r="V57">
        <v>0.67</v>
      </c>
    </row>
    <row r="58" spans="1:22" x14ac:dyDescent="0.2">
      <c r="A58">
        <v>55</v>
      </c>
      <c r="B58" t="s">
        <v>52</v>
      </c>
      <c r="C58">
        <v>2011</v>
      </c>
      <c r="D58">
        <v>20</v>
      </c>
      <c r="E58">
        <v>26.7</v>
      </c>
      <c r="F58">
        <v>52.3</v>
      </c>
      <c r="G58">
        <v>6</v>
      </c>
      <c r="H58">
        <v>66</v>
      </c>
      <c r="I58">
        <v>570</v>
      </c>
      <c r="J58">
        <v>6.3</v>
      </c>
      <c r="K58">
        <v>10</v>
      </c>
      <c r="L58">
        <v>9</v>
      </c>
      <c r="M58">
        <v>10</v>
      </c>
      <c r="N58">
        <v>0</v>
      </c>
      <c r="O58">
        <v>0</v>
      </c>
      <c r="P58">
        <v>0</v>
      </c>
      <c r="Q58">
        <v>0</v>
      </c>
      <c r="R58">
        <v>1.58</v>
      </c>
      <c r="S58">
        <v>1.42</v>
      </c>
      <c r="T58">
        <v>3</v>
      </c>
      <c r="U58">
        <v>1.58</v>
      </c>
      <c r="V58">
        <v>3</v>
      </c>
    </row>
    <row r="59" spans="1:22" x14ac:dyDescent="0.2">
      <c r="A59">
        <v>56</v>
      </c>
      <c r="B59" t="s">
        <v>53</v>
      </c>
      <c r="C59">
        <v>2011</v>
      </c>
      <c r="D59">
        <v>17</v>
      </c>
      <c r="E59">
        <v>26.4</v>
      </c>
      <c r="F59">
        <v>50</v>
      </c>
      <c r="G59">
        <v>4</v>
      </c>
      <c r="H59">
        <v>44</v>
      </c>
      <c r="I59">
        <v>390</v>
      </c>
      <c r="J59">
        <v>4.3</v>
      </c>
      <c r="K59">
        <v>7</v>
      </c>
      <c r="L59">
        <v>6</v>
      </c>
      <c r="M59">
        <v>6</v>
      </c>
      <c r="N59">
        <v>1</v>
      </c>
      <c r="O59">
        <v>1</v>
      </c>
      <c r="P59">
        <v>0</v>
      </c>
      <c r="Q59">
        <v>0</v>
      </c>
      <c r="R59">
        <v>1.62</v>
      </c>
      <c r="S59">
        <v>1.38</v>
      </c>
      <c r="T59">
        <v>3</v>
      </c>
      <c r="U59">
        <v>1.38</v>
      </c>
      <c r="V59">
        <v>2.77</v>
      </c>
    </row>
    <row r="60" spans="1:22" x14ac:dyDescent="0.2">
      <c r="A60">
        <v>57</v>
      </c>
      <c r="B60" t="s">
        <v>56</v>
      </c>
      <c r="C60">
        <v>2011</v>
      </c>
      <c r="D60">
        <v>18</v>
      </c>
      <c r="E60">
        <v>25.4</v>
      </c>
      <c r="F60">
        <v>56.5</v>
      </c>
      <c r="G60">
        <v>6</v>
      </c>
      <c r="H60">
        <v>66</v>
      </c>
      <c r="I60">
        <v>600</v>
      </c>
      <c r="J60">
        <v>6.7</v>
      </c>
      <c r="K60">
        <v>12</v>
      </c>
      <c r="L60">
        <v>10</v>
      </c>
      <c r="M60">
        <v>12</v>
      </c>
      <c r="N60">
        <v>0</v>
      </c>
      <c r="O60">
        <v>0</v>
      </c>
      <c r="P60">
        <v>0</v>
      </c>
      <c r="Q60">
        <v>0</v>
      </c>
      <c r="R60">
        <v>1.8</v>
      </c>
      <c r="S60">
        <v>1.5</v>
      </c>
      <c r="T60">
        <v>3.3</v>
      </c>
      <c r="U60">
        <v>1.8</v>
      </c>
      <c r="V60">
        <v>3.3</v>
      </c>
    </row>
    <row r="61" spans="1:22" x14ac:dyDescent="0.2">
      <c r="A61">
        <v>58</v>
      </c>
      <c r="B61" t="s">
        <v>75</v>
      </c>
      <c r="C61">
        <v>2011</v>
      </c>
      <c r="D61">
        <v>17</v>
      </c>
      <c r="E61">
        <v>21.1</v>
      </c>
      <c r="F61">
        <v>50.7</v>
      </c>
      <c r="G61">
        <v>3</v>
      </c>
      <c r="H61">
        <v>33</v>
      </c>
      <c r="I61">
        <v>270</v>
      </c>
      <c r="J61">
        <v>3</v>
      </c>
      <c r="K61">
        <v>0</v>
      </c>
      <c r="L61">
        <v>0</v>
      </c>
      <c r="M61">
        <v>0</v>
      </c>
      <c r="N61">
        <v>0</v>
      </c>
      <c r="O61">
        <v>0</v>
      </c>
      <c r="R61">
        <v>0</v>
      </c>
      <c r="S61">
        <v>0</v>
      </c>
      <c r="T61">
        <v>0</v>
      </c>
      <c r="U61">
        <v>0</v>
      </c>
      <c r="V61">
        <v>0</v>
      </c>
    </row>
    <row r="62" spans="1:22" x14ac:dyDescent="0.2">
      <c r="A62">
        <v>59</v>
      </c>
      <c r="B62" t="s">
        <v>72</v>
      </c>
      <c r="C62">
        <v>2011</v>
      </c>
      <c r="D62">
        <v>18</v>
      </c>
      <c r="E62">
        <v>23.1</v>
      </c>
      <c r="F62">
        <v>47.7</v>
      </c>
      <c r="G62">
        <v>3</v>
      </c>
      <c r="H62">
        <v>33</v>
      </c>
      <c r="I62">
        <v>270</v>
      </c>
      <c r="J62">
        <v>3</v>
      </c>
      <c r="K62">
        <v>3</v>
      </c>
      <c r="L62">
        <v>3</v>
      </c>
      <c r="M62">
        <v>3</v>
      </c>
      <c r="N62">
        <v>0</v>
      </c>
      <c r="O62">
        <v>0</v>
      </c>
      <c r="P62">
        <v>0</v>
      </c>
      <c r="Q62">
        <v>0</v>
      </c>
      <c r="R62">
        <v>1</v>
      </c>
      <c r="S62">
        <v>1</v>
      </c>
      <c r="T62">
        <v>2</v>
      </c>
      <c r="U62">
        <v>1</v>
      </c>
      <c r="V62">
        <v>2</v>
      </c>
    </row>
    <row r="63" spans="1:22" x14ac:dyDescent="0.2">
      <c r="A63">
        <v>60</v>
      </c>
      <c r="B63" t="s">
        <v>59</v>
      </c>
      <c r="C63">
        <v>2011</v>
      </c>
      <c r="D63">
        <v>16</v>
      </c>
      <c r="E63">
        <v>24.4</v>
      </c>
      <c r="F63">
        <v>45.7</v>
      </c>
      <c r="G63">
        <v>3</v>
      </c>
      <c r="H63">
        <v>33</v>
      </c>
      <c r="I63">
        <v>270</v>
      </c>
      <c r="J63">
        <v>3</v>
      </c>
      <c r="K63">
        <v>4</v>
      </c>
      <c r="L63">
        <v>3</v>
      </c>
      <c r="M63">
        <v>4</v>
      </c>
      <c r="N63">
        <v>0</v>
      </c>
      <c r="O63">
        <v>0</v>
      </c>
      <c r="P63">
        <v>0</v>
      </c>
      <c r="Q63">
        <v>0</v>
      </c>
      <c r="R63">
        <v>1.33</v>
      </c>
      <c r="S63">
        <v>1</v>
      </c>
      <c r="T63">
        <v>2.33</v>
      </c>
      <c r="U63">
        <v>1.33</v>
      </c>
      <c r="V63">
        <v>2.33</v>
      </c>
    </row>
    <row r="64" spans="1:22" x14ac:dyDescent="0.2">
      <c r="A64">
        <v>61</v>
      </c>
      <c r="B64" t="s">
        <v>60</v>
      </c>
      <c r="C64">
        <v>2011</v>
      </c>
      <c r="D64">
        <v>17</v>
      </c>
      <c r="E64">
        <v>24.3</v>
      </c>
      <c r="F64">
        <v>50.7</v>
      </c>
      <c r="G64">
        <v>3</v>
      </c>
      <c r="H64">
        <v>33</v>
      </c>
      <c r="I64">
        <v>270</v>
      </c>
      <c r="J64">
        <v>3</v>
      </c>
      <c r="K64">
        <v>1</v>
      </c>
      <c r="L64">
        <v>0</v>
      </c>
      <c r="M64">
        <v>1</v>
      </c>
      <c r="N64">
        <v>0</v>
      </c>
      <c r="O64">
        <v>0</v>
      </c>
      <c r="P64">
        <v>0</v>
      </c>
      <c r="Q64">
        <v>0</v>
      </c>
      <c r="R64">
        <v>0.33</v>
      </c>
      <c r="S64">
        <v>0</v>
      </c>
      <c r="T64">
        <v>0.33</v>
      </c>
      <c r="U64">
        <v>0.33</v>
      </c>
      <c r="V64">
        <v>0.33</v>
      </c>
    </row>
    <row r="65" spans="1:22" x14ac:dyDescent="0.2">
      <c r="A65">
        <v>62</v>
      </c>
      <c r="B65" t="s">
        <v>61</v>
      </c>
      <c r="C65">
        <v>2011</v>
      </c>
      <c r="D65">
        <v>18</v>
      </c>
      <c r="E65">
        <v>24.7</v>
      </c>
      <c r="F65">
        <v>50.7</v>
      </c>
      <c r="G65">
        <v>3</v>
      </c>
      <c r="H65">
        <v>33</v>
      </c>
      <c r="I65">
        <v>270</v>
      </c>
      <c r="J65">
        <v>3</v>
      </c>
      <c r="K65">
        <v>2</v>
      </c>
      <c r="L65">
        <v>1</v>
      </c>
      <c r="M65">
        <v>2</v>
      </c>
      <c r="N65">
        <v>0</v>
      </c>
      <c r="O65">
        <v>0</v>
      </c>
      <c r="P65">
        <v>0</v>
      </c>
      <c r="Q65">
        <v>0</v>
      </c>
      <c r="R65">
        <v>0.67</v>
      </c>
      <c r="S65">
        <v>0.33</v>
      </c>
      <c r="T65">
        <v>1</v>
      </c>
      <c r="U65">
        <v>0.67</v>
      </c>
      <c r="V65">
        <v>1</v>
      </c>
    </row>
    <row r="66" spans="1:22" x14ac:dyDescent="0.2">
      <c r="A66">
        <v>63</v>
      </c>
      <c r="B66" t="s">
        <v>65</v>
      </c>
      <c r="C66">
        <v>2011</v>
      </c>
      <c r="D66">
        <v>19</v>
      </c>
      <c r="E66">
        <v>28.4</v>
      </c>
      <c r="F66">
        <v>45.3</v>
      </c>
      <c r="G66">
        <v>6</v>
      </c>
      <c r="H66">
        <v>66</v>
      </c>
      <c r="I66">
        <v>540</v>
      </c>
      <c r="J66">
        <v>6</v>
      </c>
      <c r="K66">
        <v>10</v>
      </c>
      <c r="L66">
        <v>4</v>
      </c>
      <c r="M66">
        <v>9</v>
      </c>
      <c r="N66">
        <v>1</v>
      </c>
      <c r="O66">
        <v>1</v>
      </c>
      <c r="P66">
        <v>0</v>
      </c>
      <c r="Q66">
        <v>0</v>
      </c>
      <c r="R66">
        <v>1.67</v>
      </c>
      <c r="S66">
        <v>0.67</v>
      </c>
      <c r="T66">
        <v>2.33</v>
      </c>
      <c r="U66">
        <v>1.5</v>
      </c>
      <c r="V66">
        <v>2.17</v>
      </c>
    </row>
    <row r="67" spans="1:22" x14ac:dyDescent="0.2">
      <c r="A67">
        <v>64</v>
      </c>
      <c r="B67" t="s">
        <v>67</v>
      </c>
      <c r="C67">
        <v>2011</v>
      </c>
      <c r="D67">
        <v>18</v>
      </c>
      <c r="E67">
        <v>28.3</v>
      </c>
      <c r="F67">
        <v>50.5</v>
      </c>
      <c r="G67">
        <v>6</v>
      </c>
      <c r="H67">
        <v>66</v>
      </c>
      <c r="I67">
        <v>600</v>
      </c>
      <c r="J67">
        <v>6.7</v>
      </c>
      <c r="K67">
        <v>12</v>
      </c>
      <c r="L67">
        <v>9</v>
      </c>
      <c r="M67">
        <v>12</v>
      </c>
      <c r="N67">
        <v>0</v>
      </c>
      <c r="O67">
        <v>0</v>
      </c>
      <c r="P67">
        <v>0</v>
      </c>
      <c r="Q67">
        <v>0</v>
      </c>
      <c r="R67">
        <v>1.8</v>
      </c>
      <c r="S67">
        <v>1.35</v>
      </c>
      <c r="T67">
        <v>3.15</v>
      </c>
      <c r="U67">
        <v>1.8</v>
      </c>
      <c r="V67">
        <v>3.15</v>
      </c>
    </row>
    <row r="68" spans="1:22" x14ac:dyDescent="0.2">
      <c r="A68">
        <v>65</v>
      </c>
      <c r="B68" t="s">
        <v>44</v>
      </c>
      <c r="C68">
        <v>2007</v>
      </c>
      <c r="D68">
        <v>19</v>
      </c>
      <c r="E68">
        <v>21</v>
      </c>
      <c r="F68">
        <v>38.299999999999997</v>
      </c>
      <c r="G68">
        <v>3</v>
      </c>
      <c r="H68">
        <v>33</v>
      </c>
      <c r="I68">
        <v>270</v>
      </c>
      <c r="J68">
        <v>3</v>
      </c>
      <c r="K68">
        <v>1</v>
      </c>
      <c r="L68">
        <v>0</v>
      </c>
      <c r="M68">
        <v>1</v>
      </c>
      <c r="N68">
        <v>0</v>
      </c>
      <c r="O68">
        <v>0</v>
      </c>
      <c r="R68">
        <v>0.33</v>
      </c>
      <c r="S68">
        <v>0</v>
      </c>
      <c r="T68">
        <v>0.33</v>
      </c>
      <c r="U68">
        <v>0.33</v>
      </c>
      <c r="V68">
        <v>0.33</v>
      </c>
    </row>
    <row r="69" spans="1:22" x14ac:dyDescent="0.2">
      <c r="A69">
        <v>66</v>
      </c>
      <c r="B69" t="s">
        <v>45</v>
      </c>
      <c r="C69">
        <v>2007</v>
      </c>
      <c r="D69">
        <v>18</v>
      </c>
      <c r="E69">
        <v>24.7</v>
      </c>
      <c r="F69">
        <v>48.3</v>
      </c>
      <c r="G69">
        <v>4</v>
      </c>
      <c r="H69">
        <v>44</v>
      </c>
      <c r="I69">
        <v>360</v>
      </c>
      <c r="J69">
        <v>4</v>
      </c>
      <c r="K69">
        <v>9</v>
      </c>
      <c r="L69">
        <v>6</v>
      </c>
      <c r="M69">
        <v>9</v>
      </c>
      <c r="N69">
        <v>0</v>
      </c>
      <c r="O69">
        <v>0</v>
      </c>
      <c r="R69">
        <v>2.25</v>
      </c>
      <c r="S69">
        <v>1.5</v>
      </c>
      <c r="T69">
        <v>3.75</v>
      </c>
      <c r="U69">
        <v>2.25</v>
      </c>
      <c r="V69">
        <v>3.75</v>
      </c>
    </row>
    <row r="70" spans="1:22" x14ac:dyDescent="0.2">
      <c r="A70">
        <v>67</v>
      </c>
      <c r="B70" t="s">
        <v>46</v>
      </c>
      <c r="C70">
        <v>2007</v>
      </c>
      <c r="D70">
        <v>16</v>
      </c>
      <c r="E70">
        <v>25.7</v>
      </c>
      <c r="F70">
        <v>61.3</v>
      </c>
      <c r="G70">
        <v>6</v>
      </c>
      <c r="H70">
        <v>66</v>
      </c>
      <c r="I70">
        <v>540</v>
      </c>
      <c r="J70">
        <v>6</v>
      </c>
      <c r="K70">
        <v>16</v>
      </c>
      <c r="L70">
        <v>7</v>
      </c>
      <c r="M70">
        <v>16</v>
      </c>
      <c r="N70">
        <v>0</v>
      </c>
      <c r="O70">
        <v>0</v>
      </c>
      <c r="R70">
        <v>2.67</v>
      </c>
      <c r="S70">
        <v>1.17</v>
      </c>
      <c r="T70">
        <v>3.83</v>
      </c>
      <c r="U70">
        <v>2.67</v>
      </c>
      <c r="V70">
        <v>3.83</v>
      </c>
    </row>
    <row r="71" spans="1:22" x14ac:dyDescent="0.2">
      <c r="A71">
        <v>68</v>
      </c>
      <c r="B71" t="s">
        <v>48</v>
      </c>
      <c r="C71">
        <v>2007</v>
      </c>
      <c r="D71">
        <v>18</v>
      </c>
      <c r="E71">
        <v>23.8</v>
      </c>
      <c r="F71">
        <v>39.299999999999997</v>
      </c>
      <c r="G71">
        <v>3</v>
      </c>
      <c r="H71">
        <v>33</v>
      </c>
      <c r="I71">
        <v>270</v>
      </c>
      <c r="J71">
        <v>3</v>
      </c>
      <c r="K71">
        <v>7</v>
      </c>
      <c r="L71">
        <v>3</v>
      </c>
      <c r="M71">
        <v>7</v>
      </c>
      <c r="N71">
        <v>0</v>
      </c>
      <c r="O71">
        <v>0</v>
      </c>
      <c r="R71">
        <v>2.33</v>
      </c>
      <c r="S71">
        <v>1</v>
      </c>
      <c r="T71">
        <v>3.33</v>
      </c>
      <c r="U71">
        <v>2.33</v>
      </c>
      <c r="V71">
        <v>3.33</v>
      </c>
    </row>
    <row r="72" spans="1:22" x14ac:dyDescent="0.2">
      <c r="A72">
        <v>69</v>
      </c>
      <c r="B72" t="s">
        <v>50</v>
      </c>
      <c r="C72">
        <v>2007</v>
      </c>
      <c r="D72">
        <v>18</v>
      </c>
      <c r="E72">
        <v>24.9</v>
      </c>
      <c r="F72">
        <v>47.3</v>
      </c>
      <c r="G72">
        <v>4</v>
      </c>
      <c r="H72">
        <v>44</v>
      </c>
      <c r="I72">
        <v>360</v>
      </c>
      <c r="J72">
        <v>4</v>
      </c>
      <c r="K72">
        <v>5</v>
      </c>
      <c r="L72">
        <v>0</v>
      </c>
      <c r="M72">
        <v>5</v>
      </c>
      <c r="N72">
        <v>0</v>
      </c>
      <c r="O72">
        <v>0</v>
      </c>
      <c r="R72">
        <v>1.25</v>
      </c>
      <c r="S72">
        <v>0</v>
      </c>
      <c r="T72">
        <v>1.25</v>
      </c>
      <c r="U72">
        <v>1.25</v>
      </c>
      <c r="V72">
        <v>1.25</v>
      </c>
    </row>
    <row r="73" spans="1:22" x14ac:dyDescent="0.2">
      <c r="A73">
        <v>70</v>
      </c>
      <c r="B73" t="s">
        <v>76</v>
      </c>
      <c r="C73">
        <v>2007</v>
      </c>
      <c r="D73">
        <v>16</v>
      </c>
      <c r="E73">
        <v>26.9</v>
      </c>
      <c r="F73">
        <v>50.7</v>
      </c>
      <c r="G73">
        <v>3</v>
      </c>
      <c r="H73">
        <v>33</v>
      </c>
      <c r="I73">
        <v>270</v>
      </c>
      <c r="J73">
        <v>3</v>
      </c>
      <c r="K73">
        <v>4</v>
      </c>
      <c r="L73">
        <v>2</v>
      </c>
      <c r="M73">
        <v>4</v>
      </c>
      <c r="N73">
        <v>0</v>
      </c>
      <c r="O73">
        <v>0</v>
      </c>
      <c r="R73">
        <v>1.33</v>
      </c>
      <c r="S73">
        <v>0.67</v>
      </c>
      <c r="T73">
        <v>2</v>
      </c>
      <c r="U73">
        <v>1.33</v>
      </c>
      <c r="V73">
        <v>2</v>
      </c>
    </row>
    <row r="74" spans="1:22" x14ac:dyDescent="0.2">
      <c r="A74">
        <v>71</v>
      </c>
      <c r="B74" t="s">
        <v>51</v>
      </c>
      <c r="C74">
        <v>2007</v>
      </c>
      <c r="D74">
        <v>18</v>
      </c>
      <c r="E74">
        <v>24.8</v>
      </c>
      <c r="F74">
        <v>52.5</v>
      </c>
      <c r="G74">
        <v>4</v>
      </c>
      <c r="H74">
        <v>44</v>
      </c>
      <c r="I74">
        <v>360</v>
      </c>
      <c r="J74">
        <v>4</v>
      </c>
      <c r="K74">
        <v>7</v>
      </c>
      <c r="L74">
        <v>5</v>
      </c>
      <c r="M74">
        <v>5</v>
      </c>
      <c r="N74">
        <v>2</v>
      </c>
      <c r="O74">
        <v>2</v>
      </c>
      <c r="R74">
        <v>1.75</v>
      </c>
      <c r="S74">
        <v>1.25</v>
      </c>
      <c r="T74">
        <v>3</v>
      </c>
      <c r="U74">
        <v>1.25</v>
      </c>
      <c r="V74">
        <v>2.5</v>
      </c>
    </row>
    <row r="75" spans="1:22" x14ac:dyDescent="0.2">
      <c r="A75">
        <v>72</v>
      </c>
      <c r="B75" t="s">
        <v>53</v>
      </c>
      <c r="C75">
        <v>2007</v>
      </c>
      <c r="D75">
        <v>17</v>
      </c>
      <c r="E75">
        <v>26.5</v>
      </c>
      <c r="F75">
        <v>49.5</v>
      </c>
      <c r="G75">
        <v>6</v>
      </c>
      <c r="H75">
        <v>66</v>
      </c>
      <c r="I75">
        <v>540</v>
      </c>
      <c r="J75">
        <v>6</v>
      </c>
      <c r="K75">
        <v>20</v>
      </c>
      <c r="L75">
        <v>11</v>
      </c>
      <c r="M75">
        <v>19</v>
      </c>
      <c r="N75">
        <v>1</v>
      </c>
      <c r="O75">
        <v>1</v>
      </c>
      <c r="R75">
        <v>3.33</v>
      </c>
      <c r="S75">
        <v>1.83</v>
      </c>
      <c r="T75">
        <v>5.17</v>
      </c>
      <c r="U75">
        <v>3.17</v>
      </c>
      <c r="V75">
        <v>5</v>
      </c>
    </row>
    <row r="76" spans="1:22" x14ac:dyDescent="0.2">
      <c r="A76">
        <v>73</v>
      </c>
      <c r="B76" t="s">
        <v>77</v>
      </c>
      <c r="C76">
        <v>2007</v>
      </c>
      <c r="D76">
        <v>19</v>
      </c>
      <c r="E76">
        <v>24.5</v>
      </c>
      <c r="F76">
        <v>52.3</v>
      </c>
      <c r="G76">
        <v>3</v>
      </c>
      <c r="H76">
        <v>33</v>
      </c>
      <c r="I76">
        <v>270</v>
      </c>
      <c r="J76">
        <v>3</v>
      </c>
      <c r="K76">
        <v>3</v>
      </c>
      <c r="L76">
        <v>0</v>
      </c>
      <c r="M76">
        <v>2</v>
      </c>
      <c r="N76">
        <v>1</v>
      </c>
      <c r="O76">
        <v>1</v>
      </c>
      <c r="R76">
        <v>1</v>
      </c>
      <c r="S76">
        <v>0</v>
      </c>
      <c r="T76">
        <v>1</v>
      </c>
      <c r="U76">
        <v>0.67</v>
      </c>
      <c r="V76">
        <v>0.67</v>
      </c>
    </row>
    <row r="77" spans="1:22" x14ac:dyDescent="0.2">
      <c r="A77">
        <v>74</v>
      </c>
      <c r="B77" t="s">
        <v>56</v>
      </c>
      <c r="C77">
        <v>2007</v>
      </c>
      <c r="D77">
        <v>16</v>
      </c>
      <c r="E77">
        <v>24.7</v>
      </c>
      <c r="F77">
        <v>56</v>
      </c>
      <c r="G77">
        <v>3</v>
      </c>
      <c r="H77">
        <v>33</v>
      </c>
      <c r="I77">
        <v>270</v>
      </c>
      <c r="J77">
        <v>3</v>
      </c>
      <c r="K77">
        <v>3</v>
      </c>
      <c r="L77">
        <v>0</v>
      </c>
      <c r="M77">
        <v>3</v>
      </c>
      <c r="N77">
        <v>0</v>
      </c>
      <c r="O77">
        <v>0</v>
      </c>
      <c r="R77">
        <v>1</v>
      </c>
      <c r="S77">
        <v>0</v>
      </c>
      <c r="T77">
        <v>1</v>
      </c>
      <c r="U77">
        <v>1</v>
      </c>
      <c r="V77">
        <v>1</v>
      </c>
    </row>
    <row r="78" spans="1:22" x14ac:dyDescent="0.2">
      <c r="A78">
        <v>75</v>
      </c>
      <c r="B78" t="s">
        <v>75</v>
      </c>
      <c r="C78">
        <v>2007</v>
      </c>
      <c r="D78">
        <v>15</v>
      </c>
      <c r="E78">
        <v>22.8</v>
      </c>
      <c r="F78">
        <v>52.8</v>
      </c>
      <c r="G78">
        <v>4</v>
      </c>
      <c r="H78">
        <v>44</v>
      </c>
      <c r="I78">
        <v>360</v>
      </c>
      <c r="J78">
        <v>4</v>
      </c>
      <c r="K78">
        <v>5</v>
      </c>
      <c r="L78">
        <v>1</v>
      </c>
      <c r="M78">
        <v>5</v>
      </c>
      <c r="N78">
        <v>0</v>
      </c>
      <c r="O78">
        <v>0</v>
      </c>
      <c r="R78">
        <v>1.25</v>
      </c>
      <c r="S78">
        <v>0.25</v>
      </c>
      <c r="T78">
        <v>1.5</v>
      </c>
      <c r="U78">
        <v>1.25</v>
      </c>
      <c r="V78">
        <v>1.5</v>
      </c>
    </row>
    <row r="79" spans="1:22" x14ac:dyDescent="0.2">
      <c r="A79">
        <v>76</v>
      </c>
      <c r="B79" t="s">
        <v>59</v>
      </c>
      <c r="C79">
        <v>2007</v>
      </c>
      <c r="D79">
        <v>18</v>
      </c>
      <c r="E79">
        <v>24.5</v>
      </c>
      <c r="F79">
        <v>39.700000000000003</v>
      </c>
      <c r="G79">
        <v>3</v>
      </c>
      <c r="H79">
        <v>33</v>
      </c>
      <c r="I79">
        <v>270</v>
      </c>
      <c r="J79">
        <v>3</v>
      </c>
      <c r="K79">
        <v>0</v>
      </c>
      <c r="L79">
        <v>0</v>
      </c>
      <c r="M79">
        <v>0</v>
      </c>
      <c r="N79">
        <v>0</v>
      </c>
      <c r="O79">
        <v>0</v>
      </c>
      <c r="R79">
        <v>0</v>
      </c>
      <c r="S79">
        <v>0</v>
      </c>
      <c r="T79">
        <v>0</v>
      </c>
      <c r="U79">
        <v>0</v>
      </c>
      <c r="V79">
        <v>0</v>
      </c>
    </row>
    <row r="80" spans="1:22" x14ac:dyDescent="0.2">
      <c r="A80">
        <v>77</v>
      </c>
      <c r="B80" t="s">
        <v>60</v>
      </c>
      <c r="C80">
        <v>2007</v>
      </c>
      <c r="D80">
        <v>15</v>
      </c>
      <c r="E80">
        <v>23.6</v>
      </c>
      <c r="F80">
        <v>51</v>
      </c>
      <c r="G80">
        <v>3</v>
      </c>
      <c r="H80">
        <v>33</v>
      </c>
      <c r="I80">
        <v>270</v>
      </c>
      <c r="J80">
        <v>3</v>
      </c>
      <c r="K80">
        <v>1</v>
      </c>
      <c r="L80">
        <v>0</v>
      </c>
      <c r="M80">
        <v>1</v>
      </c>
      <c r="N80">
        <v>0</v>
      </c>
      <c r="O80">
        <v>0</v>
      </c>
      <c r="R80">
        <v>0.33</v>
      </c>
      <c r="S80">
        <v>0</v>
      </c>
      <c r="T80">
        <v>0.33</v>
      </c>
      <c r="U80">
        <v>0.33</v>
      </c>
      <c r="V80">
        <v>0.33</v>
      </c>
    </row>
    <row r="81" spans="1:22" x14ac:dyDescent="0.2">
      <c r="A81">
        <v>78</v>
      </c>
      <c r="B81" t="s">
        <v>61</v>
      </c>
      <c r="C81">
        <v>2007</v>
      </c>
      <c r="D81">
        <v>19</v>
      </c>
      <c r="E81">
        <v>26.3</v>
      </c>
      <c r="F81">
        <v>53.7</v>
      </c>
      <c r="G81">
        <v>6</v>
      </c>
      <c r="H81">
        <v>66</v>
      </c>
      <c r="I81">
        <v>540</v>
      </c>
      <c r="J81">
        <v>6</v>
      </c>
      <c r="K81">
        <v>12</v>
      </c>
      <c r="L81">
        <v>10</v>
      </c>
      <c r="M81">
        <v>11</v>
      </c>
      <c r="N81">
        <v>1</v>
      </c>
      <c r="O81">
        <v>1</v>
      </c>
      <c r="R81">
        <v>2</v>
      </c>
      <c r="S81">
        <v>1.67</v>
      </c>
      <c r="T81">
        <v>3.67</v>
      </c>
      <c r="U81">
        <v>1.83</v>
      </c>
      <c r="V81">
        <v>3.5</v>
      </c>
    </row>
    <row r="82" spans="1:22" x14ac:dyDescent="0.2">
      <c r="A82">
        <v>79</v>
      </c>
      <c r="B82" t="s">
        <v>65</v>
      </c>
      <c r="C82">
        <v>2007</v>
      </c>
      <c r="D82">
        <v>16</v>
      </c>
      <c r="E82">
        <v>26.1</v>
      </c>
      <c r="F82">
        <v>49.7</v>
      </c>
      <c r="G82">
        <v>3</v>
      </c>
      <c r="H82">
        <v>33</v>
      </c>
      <c r="I82">
        <v>270</v>
      </c>
      <c r="J82">
        <v>3</v>
      </c>
      <c r="K82">
        <v>3</v>
      </c>
      <c r="L82">
        <v>3</v>
      </c>
      <c r="M82">
        <v>3</v>
      </c>
      <c r="N82">
        <v>0</v>
      </c>
      <c r="O82">
        <v>0</v>
      </c>
      <c r="R82">
        <v>1</v>
      </c>
      <c r="S82">
        <v>1</v>
      </c>
      <c r="T82">
        <v>2</v>
      </c>
      <c r="U82">
        <v>1</v>
      </c>
      <c r="V82">
        <v>2</v>
      </c>
    </row>
    <row r="83" spans="1:22" x14ac:dyDescent="0.2">
      <c r="A83">
        <v>80</v>
      </c>
      <c r="B83" t="s">
        <v>67</v>
      </c>
      <c r="C83">
        <v>2007</v>
      </c>
      <c r="D83">
        <v>18</v>
      </c>
      <c r="E83">
        <v>26.7</v>
      </c>
      <c r="F83">
        <v>46.5</v>
      </c>
      <c r="G83">
        <v>6</v>
      </c>
      <c r="H83">
        <v>66</v>
      </c>
      <c r="I83">
        <v>540</v>
      </c>
      <c r="J83">
        <v>6</v>
      </c>
      <c r="K83">
        <v>12</v>
      </c>
      <c r="L83">
        <v>3</v>
      </c>
      <c r="M83">
        <v>11</v>
      </c>
      <c r="N83">
        <v>1</v>
      </c>
      <c r="O83">
        <v>1</v>
      </c>
      <c r="R83">
        <v>2</v>
      </c>
      <c r="S83">
        <v>0.5</v>
      </c>
      <c r="T83">
        <v>2.5</v>
      </c>
      <c r="U83">
        <v>1.83</v>
      </c>
      <c r="V83">
        <v>2.33</v>
      </c>
    </row>
    <row r="84" spans="1:22" x14ac:dyDescent="0.2">
      <c r="A84">
        <v>81</v>
      </c>
      <c r="B84" t="s">
        <v>44</v>
      </c>
      <c r="C84">
        <v>2003</v>
      </c>
      <c r="D84">
        <v>16</v>
      </c>
      <c r="E84">
        <v>23</v>
      </c>
      <c r="F84">
        <v>49</v>
      </c>
      <c r="G84">
        <v>3</v>
      </c>
      <c r="H84">
        <v>33</v>
      </c>
      <c r="I84">
        <v>270</v>
      </c>
      <c r="J84">
        <v>3</v>
      </c>
      <c r="K84">
        <v>1</v>
      </c>
      <c r="L84">
        <v>0</v>
      </c>
      <c r="M84">
        <v>1</v>
      </c>
      <c r="N84">
        <v>0</v>
      </c>
      <c r="O84">
        <v>0</v>
      </c>
      <c r="R84">
        <v>0.33</v>
      </c>
      <c r="S84">
        <v>0</v>
      </c>
      <c r="T84">
        <v>0.33</v>
      </c>
      <c r="U84">
        <v>0.33</v>
      </c>
      <c r="V84">
        <v>0.33</v>
      </c>
    </row>
    <row r="85" spans="1:22" x14ac:dyDescent="0.2">
      <c r="A85">
        <v>82</v>
      </c>
      <c r="B85" t="s">
        <v>45</v>
      </c>
      <c r="C85">
        <v>2003</v>
      </c>
      <c r="D85">
        <v>16</v>
      </c>
      <c r="E85">
        <v>23.4</v>
      </c>
      <c r="F85">
        <v>49</v>
      </c>
      <c r="G85">
        <v>3</v>
      </c>
      <c r="H85">
        <v>33</v>
      </c>
      <c r="I85">
        <v>270</v>
      </c>
      <c r="J85">
        <v>3</v>
      </c>
      <c r="K85">
        <v>3</v>
      </c>
      <c r="L85">
        <v>0</v>
      </c>
      <c r="M85">
        <v>3</v>
      </c>
      <c r="N85">
        <v>0</v>
      </c>
      <c r="O85">
        <v>0</v>
      </c>
      <c r="R85">
        <v>1</v>
      </c>
      <c r="S85">
        <v>0</v>
      </c>
      <c r="T85">
        <v>1</v>
      </c>
      <c r="U85">
        <v>1</v>
      </c>
      <c r="V85">
        <v>1</v>
      </c>
    </row>
    <row r="86" spans="1:22" x14ac:dyDescent="0.2">
      <c r="A86">
        <v>83</v>
      </c>
      <c r="B86" t="s">
        <v>46</v>
      </c>
      <c r="C86">
        <v>2003</v>
      </c>
      <c r="D86">
        <v>16</v>
      </c>
      <c r="E86">
        <v>22.4</v>
      </c>
      <c r="F86">
        <v>55</v>
      </c>
      <c r="G86">
        <v>4</v>
      </c>
      <c r="H86">
        <v>44</v>
      </c>
      <c r="I86">
        <v>360</v>
      </c>
      <c r="J86">
        <v>4</v>
      </c>
      <c r="K86">
        <v>9</v>
      </c>
      <c r="L86">
        <v>0</v>
      </c>
      <c r="M86">
        <v>9</v>
      </c>
      <c r="N86">
        <v>0</v>
      </c>
      <c r="O86">
        <v>0</v>
      </c>
      <c r="R86">
        <v>2.25</v>
      </c>
      <c r="S86">
        <v>0</v>
      </c>
      <c r="T86">
        <v>2.25</v>
      </c>
      <c r="U86">
        <v>2.25</v>
      </c>
      <c r="V86">
        <v>2.25</v>
      </c>
    </row>
    <row r="87" spans="1:22" x14ac:dyDescent="0.2">
      <c r="A87">
        <v>84</v>
      </c>
      <c r="B87" t="s">
        <v>48</v>
      </c>
      <c r="C87">
        <v>2003</v>
      </c>
      <c r="D87">
        <v>17</v>
      </c>
      <c r="E87">
        <v>22.7</v>
      </c>
      <c r="F87">
        <v>41.7</v>
      </c>
      <c r="G87">
        <v>6</v>
      </c>
      <c r="H87">
        <v>66</v>
      </c>
      <c r="I87">
        <v>540</v>
      </c>
      <c r="J87">
        <v>6</v>
      </c>
      <c r="K87">
        <v>10</v>
      </c>
      <c r="L87">
        <v>0</v>
      </c>
      <c r="M87">
        <v>10</v>
      </c>
      <c r="N87">
        <v>0</v>
      </c>
      <c r="O87">
        <v>0</v>
      </c>
      <c r="R87">
        <v>1.67</v>
      </c>
      <c r="S87">
        <v>0</v>
      </c>
      <c r="T87">
        <v>1.67</v>
      </c>
      <c r="U87">
        <v>1.67</v>
      </c>
      <c r="V87">
        <v>1.67</v>
      </c>
    </row>
    <row r="88" spans="1:22" x14ac:dyDescent="0.2">
      <c r="A88">
        <v>85</v>
      </c>
      <c r="B88" t="s">
        <v>50</v>
      </c>
      <c r="C88">
        <v>2003</v>
      </c>
      <c r="D88">
        <v>18</v>
      </c>
      <c r="E88">
        <v>27</v>
      </c>
      <c r="F88">
        <v>61</v>
      </c>
      <c r="G88">
        <v>4</v>
      </c>
      <c r="H88">
        <v>44</v>
      </c>
      <c r="I88">
        <v>360</v>
      </c>
      <c r="J88">
        <v>4</v>
      </c>
      <c r="K88">
        <v>3</v>
      </c>
      <c r="L88">
        <v>0</v>
      </c>
      <c r="M88">
        <v>3</v>
      </c>
      <c r="N88">
        <v>0</v>
      </c>
      <c r="O88">
        <v>0</v>
      </c>
      <c r="R88">
        <v>0.75</v>
      </c>
      <c r="S88">
        <v>0</v>
      </c>
      <c r="T88">
        <v>0.75</v>
      </c>
      <c r="U88">
        <v>0.75</v>
      </c>
      <c r="V88">
        <v>0.75</v>
      </c>
    </row>
    <row r="89" spans="1:22" x14ac:dyDescent="0.2">
      <c r="A89">
        <v>86</v>
      </c>
      <c r="B89" t="s">
        <v>52</v>
      </c>
      <c r="C89">
        <v>2003</v>
      </c>
      <c r="D89">
        <v>17</v>
      </c>
      <c r="E89">
        <v>25.2</v>
      </c>
      <c r="F89">
        <v>46.3</v>
      </c>
      <c r="G89">
        <v>3</v>
      </c>
      <c r="H89">
        <v>33</v>
      </c>
      <c r="I89">
        <v>270</v>
      </c>
      <c r="J89">
        <v>3</v>
      </c>
      <c r="K89">
        <v>2</v>
      </c>
      <c r="L89">
        <v>0</v>
      </c>
      <c r="M89">
        <v>2</v>
      </c>
      <c r="N89">
        <v>0</v>
      </c>
      <c r="O89">
        <v>0</v>
      </c>
      <c r="R89">
        <v>0.67</v>
      </c>
      <c r="S89">
        <v>0</v>
      </c>
      <c r="T89">
        <v>0.67</v>
      </c>
      <c r="U89">
        <v>0.67</v>
      </c>
      <c r="V89">
        <v>0.67</v>
      </c>
    </row>
    <row r="90" spans="1:22" x14ac:dyDescent="0.2">
      <c r="A90">
        <v>87</v>
      </c>
      <c r="B90" t="s">
        <v>53</v>
      </c>
      <c r="C90">
        <v>2003</v>
      </c>
      <c r="D90">
        <v>19</v>
      </c>
      <c r="E90">
        <v>27</v>
      </c>
      <c r="F90">
        <v>51.8</v>
      </c>
      <c r="G90">
        <v>6</v>
      </c>
      <c r="H90">
        <v>66</v>
      </c>
      <c r="I90">
        <v>570</v>
      </c>
      <c r="J90">
        <v>6.3</v>
      </c>
      <c r="K90">
        <v>25</v>
      </c>
      <c r="L90">
        <v>0</v>
      </c>
      <c r="M90">
        <v>25</v>
      </c>
      <c r="N90">
        <v>0</v>
      </c>
      <c r="O90">
        <v>0</v>
      </c>
      <c r="R90">
        <v>3.95</v>
      </c>
      <c r="S90">
        <v>0</v>
      </c>
      <c r="T90">
        <v>3.95</v>
      </c>
      <c r="U90">
        <v>3.95</v>
      </c>
      <c r="V90">
        <v>3.95</v>
      </c>
    </row>
    <row r="91" spans="1:22" x14ac:dyDescent="0.2">
      <c r="A91">
        <v>88</v>
      </c>
      <c r="B91" t="s">
        <v>77</v>
      </c>
      <c r="C91">
        <v>2003</v>
      </c>
      <c r="D91">
        <v>15</v>
      </c>
      <c r="E91">
        <v>25.4</v>
      </c>
      <c r="F91">
        <v>47.7</v>
      </c>
      <c r="G91">
        <v>3</v>
      </c>
      <c r="H91">
        <v>33</v>
      </c>
      <c r="I91">
        <v>270</v>
      </c>
      <c r="J91">
        <v>3</v>
      </c>
      <c r="K91">
        <v>2</v>
      </c>
      <c r="L91">
        <v>0</v>
      </c>
      <c r="M91">
        <v>2</v>
      </c>
      <c r="N91">
        <v>0</v>
      </c>
      <c r="O91">
        <v>0</v>
      </c>
      <c r="R91">
        <v>0.67</v>
      </c>
      <c r="S91">
        <v>0</v>
      </c>
      <c r="T91">
        <v>0.67</v>
      </c>
      <c r="U91">
        <v>0.67</v>
      </c>
      <c r="V91">
        <v>0.67</v>
      </c>
    </row>
    <row r="92" spans="1:22" x14ac:dyDescent="0.2">
      <c r="A92">
        <v>89</v>
      </c>
      <c r="B92" t="s">
        <v>56</v>
      </c>
      <c r="C92">
        <v>2003</v>
      </c>
      <c r="D92">
        <v>16</v>
      </c>
      <c r="E92">
        <v>24.2</v>
      </c>
      <c r="F92">
        <v>54.7</v>
      </c>
      <c r="G92">
        <v>3</v>
      </c>
      <c r="H92">
        <v>33</v>
      </c>
      <c r="I92">
        <v>270</v>
      </c>
      <c r="J92">
        <v>3</v>
      </c>
      <c r="K92">
        <v>7</v>
      </c>
      <c r="L92">
        <v>0</v>
      </c>
      <c r="M92">
        <v>7</v>
      </c>
      <c r="N92">
        <v>0</v>
      </c>
      <c r="O92">
        <v>0</v>
      </c>
      <c r="R92">
        <v>2.33</v>
      </c>
      <c r="S92">
        <v>0</v>
      </c>
      <c r="T92">
        <v>2.33</v>
      </c>
      <c r="U92">
        <v>2.33</v>
      </c>
      <c r="V92">
        <v>2.33</v>
      </c>
    </row>
    <row r="93" spans="1:22" x14ac:dyDescent="0.2">
      <c r="A93">
        <v>90</v>
      </c>
      <c r="B93" t="s">
        <v>75</v>
      </c>
      <c r="C93">
        <v>2003</v>
      </c>
      <c r="D93">
        <v>15</v>
      </c>
      <c r="E93">
        <v>24.6</v>
      </c>
      <c r="F93">
        <v>52.3</v>
      </c>
      <c r="G93">
        <v>3</v>
      </c>
      <c r="H93">
        <v>33</v>
      </c>
      <c r="I93">
        <v>270</v>
      </c>
      <c r="J93">
        <v>3</v>
      </c>
      <c r="K93">
        <v>3</v>
      </c>
      <c r="L93">
        <v>0</v>
      </c>
      <c r="M93">
        <v>3</v>
      </c>
      <c r="N93">
        <v>0</v>
      </c>
      <c r="O93">
        <v>0</v>
      </c>
      <c r="R93">
        <v>1</v>
      </c>
      <c r="S93">
        <v>0</v>
      </c>
      <c r="T93">
        <v>1</v>
      </c>
      <c r="U93">
        <v>1</v>
      </c>
      <c r="V93">
        <v>1</v>
      </c>
    </row>
    <row r="94" spans="1:22" x14ac:dyDescent="0.2">
      <c r="A94">
        <v>91</v>
      </c>
      <c r="B94" t="s">
        <v>57</v>
      </c>
      <c r="C94">
        <v>2003</v>
      </c>
      <c r="D94">
        <v>18</v>
      </c>
      <c r="E94">
        <v>22.2</v>
      </c>
      <c r="F94">
        <v>48.7</v>
      </c>
      <c r="G94">
        <v>3</v>
      </c>
      <c r="H94">
        <v>33</v>
      </c>
      <c r="I94">
        <v>270</v>
      </c>
      <c r="J94">
        <v>3</v>
      </c>
      <c r="K94">
        <v>1</v>
      </c>
      <c r="L94">
        <v>0</v>
      </c>
      <c r="M94">
        <v>1</v>
      </c>
      <c r="N94">
        <v>0</v>
      </c>
      <c r="O94">
        <v>0</v>
      </c>
      <c r="R94">
        <v>0.33</v>
      </c>
      <c r="S94">
        <v>0</v>
      </c>
      <c r="T94">
        <v>0.33</v>
      </c>
      <c r="U94">
        <v>0.33</v>
      </c>
      <c r="V94">
        <v>0.33</v>
      </c>
    </row>
    <row r="95" spans="1:22" x14ac:dyDescent="0.2">
      <c r="A95">
        <v>92</v>
      </c>
      <c r="B95" t="s">
        <v>60</v>
      </c>
      <c r="C95">
        <v>2003</v>
      </c>
      <c r="D95">
        <v>16</v>
      </c>
      <c r="E95">
        <v>24.7</v>
      </c>
      <c r="F95">
        <v>51.3</v>
      </c>
      <c r="G95">
        <v>3</v>
      </c>
      <c r="H95">
        <v>33</v>
      </c>
      <c r="I95">
        <v>270</v>
      </c>
      <c r="J95">
        <v>3</v>
      </c>
      <c r="K95">
        <v>0</v>
      </c>
      <c r="L95">
        <v>0</v>
      </c>
      <c r="M95">
        <v>0</v>
      </c>
      <c r="N95">
        <v>0</v>
      </c>
      <c r="O95">
        <v>0</v>
      </c>
      <c r="R95">
        <v>0</v>
      </c>
      <c r="S95">
        <v>0</v>
      </c>
      <c r="T95">
        <v>0</v>
      </c>
      <c r="U95">
        <v>0</v>
      </c>
      <c r="V95">
        <v>0</v>
      </c>
    </row>
    <row r="96" spans="1:22" x14ac:dyDescent="0.2">
      <c r="A96">
        <v>93</v>
      </c>
      <c r="B96" t="s">
        <v>61</v>
      </c>
      <c r="C96">
        <v>2003</v>
      </c>
      <c r="D96">
        <v>16</v>
      </c>
      <c r="E96">
        <v>25.3</v>
      </c>
      <c r="F96">
        <v>48</v>
      </c>
      <c r="G96">
        <v>4</v>
      </c>
      <c r="H96">
        <v>44</v>
      </c>
      <c r="I96">
        <v>360</v>
      </c>
      <c r="J96">
        <v>4</v>
      </c>
      <c r="K96">
        <v>10</v>
      </c>
      <c r="L96">
        <v>1</v>
      </c>
      <c r="M96">
        <v>10</v>
      </c>
      <c r="N96">
        <v>0</v>
      </c>
      <c r="O96">
        <v>0</v>
      </c>
      <c r="R96">
        <v>2.5</v>
      </c>
      <c r="S96">
        <v>0.25</v>
      </c>
      <c r="T96">
        <v>2.75</v>
      </c>
      <c r="U96">
        <v>2.5</v>
      </c>
      <c r="V96">
        <v>2.75</v>
      </c>
    </row>
    <row r="97" spans="1:22" x14ac:dyDescent="0.2">
      <c r="A97">
        <v>94</v>
      </c>
      <c r="B97" t="s">
        <v>78</v>
      </c>
      <c r="C97">
        <v>2003</v>
      </c>
      <c r="D97">
        <v>17</v>
      </c>
      <c r="E97">
        <v>28.1</v>
      </c>
      <c r="F97">
        <v>45</v>
      </c>
      <c r="G97">
        <v>4</v>
      </c>
      <c r="H97">
        <v>44</v>
      </c>
      <c r="I97">
        <v>360</v>
      </c>
      <c r="J97">
        <v>4</v>
      </c>
      <c r="K97">
        <v>5</v>
      </c>
      <c r="L97">
        <v>1</v>
      </c>
      <c r="M97">
        <v>5</v>
      </c>
      <c r="N97">
        <v>0</v>
      </c>
      <c r="O97">
        <v>0</v>
      </c>
      <c r="R97">
        <v>1.25</v>
      </c>
      <c r="S97">
        <v>0.25</v>
      </c>
      <c r="T97">
        <v>1.5</v>
      </c>
      <c r="U97">
        <v>1.25</v>
      </c>
      <c r="V97">
        <v>1.5</v>
      </c>
    </row>
    <row r="98" spans="1:22" x14ac:dyDescent="0.2">
      <c r="A98">
        <v>95</v>
      </c>
      <c r="B98" t="s">
        <v>65</v>
      </c>
      <c r="C98">
        <v>2003</v>
      </c>
      <c r="D98">
        <v>18</v>
      </c>
      <c r="E98">
        <v>25.9</v>
      </c>
      <c r="F98">
        <v>48.2</v>
      </c>
      <c r="G98">
        <v>6</v>
      </c>
      <c r="H98">
        <v>66</v>
      </c>
      <c r="I98">
        <v>570</v>
      </c>
      <c r="J98">
        <v>6.3</v>
      </c>
      <c r="K98">
        <v>10</v>
      </c>
      <c r="L98">
        <v>0</v>
      </c>
      <c r="M98">
        <v>10</v>
      </c>
      <c r="N98">
        <v>0</v>
      </c>
      <c r="O98">
        <v>0</v>
      </c>
      <c r="R98">
        <v>1.58</v>
      </c>
      <c r="S98">
        <v>0</v>
      </c>
      <c r="T98">
        <v>1.58</v>
      </c>
      <c r="U98">
        <v>1.58</v>
      </c>
      <c r="V98">
        <v>1.58</v>
      </c>
    </row>
    <row r="99" spans="1:22" x14ac:dyDescent="0.2">
      <c r="A99">
        <v>96</v>
      </c>
      <c r="B99" t="s">
        <v>67</v>
      </c>
      <c r="C99">
        <v>2003</v>
      </c>
      <c r="D99">
        <v>18</v>
      </c>
      <c r="E99">
        <v>28.1</v>
      </c>
      <c r="F99">
        <v>52.8</v>
      </c>
      <c r="G99">
        <v>6</v>
      </c>
      <c r="H99">
        <v>66</v>
      </c>
      <c r="I99">
        <v>540</v>
      </c>
      <c r="J99">
        <v>6</v>
      </c>
      <c r="K99">
        <v>15</v>
      </c>
      <c r="L99">
        <v>4</v>
      </c>
      <c r="M99">
        <v>15</v>
      </c>
      <c r="N99">
        <v>0</v>
      </c>
      <c r="O99">
        <v>0</v>
      </c>
      <c r="R99">
        <v>2.5</v>
      </c>
      <c r="S99">
        <v>0.67</v>
      </c>
      <c r="T99">
        <v>3.17</v>
      </c>
      <c r="U99">
        <v>2.5</v>
      </c>
      <c r="V99">
        <v>3.17</v>
      </c>
    </row>
    <row r="100" spans="1:22" x14ac:dyDescent="0.2">
      <c r="A100">
        <v>97</v>
      </c>
      <c r="B100" t="s">
        <v>45</v>
      </c>
      <c r="C100">
        <v>1999</v>
      </c>
      <c r="D100">
        <v>17</v>
      </c>
      <c r="E100">
        <v>25</v>
      </c>
      <c r="G100">
        <v>3</v>
      </c>
      <c r="H100">
        <v>33</v>
      </c>
      <c r="I100">
        <v>270</v>
      </c>
      <c r="J100">
        <v>3</v>
      </c>
      <c r="K100">
        <v>3</v>
      </c>
      <c r="L100">
        <v>1</v>
      </c>
      <c r="M100">
        <v>3</v>
      </c>
      <c r="N100">
        <v>0</v>
      </c>
      <c r="O100">
        <v>0</v>
      </c>
      <c r="R100">
        <v>1</v>
      </c>
      <c r="S100">
        <v>0.33</v>
      </c>
      <c r="T100">
        <v>1.33</v>
      </c>
      <c r="U100">
        <v>1</v>
      </c>
      <c r="V100">
        <v>1.33</v>
      </c>
    </row>
    <row r="101" spans="1:22" x14ac:dyDescent="0.2">
      <c r="A101">
        <v>98</v>
      </c>
      <c r="B101" t="s">
        <v>46</v>
      </c>
      <c r="C101">
        <v>1999</v>
      </c>
      <c r="D101">
        <v>15</v>
      </c>
      <c r="E101">
        <v>25</v>
      </c>
      <c r="G101">
        <v>6</v>
      </c>
      <c r="H101">
        <v>66</v>
      </c>
      <c r="I101">
        <v>554</v>
      </c>
      <c r="J101">
        <v>6.2</v>
      </c>
      <c r="K101">
        <v>16</v>
      </c>
      <c r="L101">
        <v>10</v>
      </c>
      <c r="M101">
        <v>16</v>
      </c>
      <c r="N101">
        <v>0</v>
      </c>
      <c r="O101">
        <v>0</v>
      </c>
      <c r="R101">
        <v>2.6</v>
      </c>
      <c r="S101">
        <v>1.62</v>
      </c>
      <c r="T101">
        <v>4.22</v>
      </c>
      <c r="U101">
        <v>2.6</v>
      </c>
      <c r="V101">
        <v>4.22</v>
      </c>
    </row>
    <row r="102" spans="1:22" x14ac:dyDescent="0.2">
      <c r="A102">
        <v>99</v>
      </c>
      <c r="B102" t="s">
        <v>48</v>
      </c>
      <c r="C102">
        <v>1999</v>
      </c>
      <c r="D102">
        <v>15</v>
      </c>
      <c r="E102">
        <v>25.9</v>
      </c>
      <c r="G102">
        <v>3</v>
      </c>
      <c r="H102">
        <v>33</v>
      </c>
      <c r="I102">
        <v>270</v>
      </c>
      <c r="J102">
        <v>3</v>
      </c>
      <c r="K102">
        <v>3</v>
      </c>
      <c r="L102">
        <v>3</v>
      </c>
      <c r="M102">
        <v>3</v>
      </c>
      <c r="N102">
        <v>0</v>
      </c>
      <c r="O102">
        <v>0</v>
      </c>
      <c r="R102">
        <v>1</v>
      </c>
      <c r="S102">
        <v>1</v>
      </c>
      <c r="T102">
        <v>2</v>
      </c>
      <c r="U102">
        <v>1</v>
      </c>
      <c r="V102">
        <v>2</v>
      </c>
    </row>
    <row r="103" spans="1:22" x14ac:dyDescent="0.2">
      <c r="A103">
        <v>100</v>
      </c>
      <c r="B103" t="s">
        <v>50</v>
      </c>
      <c r="C103">
        <v>1999</v>
      </c>
      <c r="D103">
        <v>14</v>
      </c>
      <c r="E103">
        <v>26.6</v>
      </c>
      <c r="G103">
        <v>6</v>
      </c>
      <c r="H103">
        <v>66</v>
      </c>
      <c r="I103">
        <v>570</v>
      </c>
      <c r="J103">
        <v>6.3</v>
      </c>
      <c r="K103">
        <v>19</v>
      </c>
      <c r="L103">
        <v>9</v>
      </c>
      <c r="M103">
        <v>18</v>
      </c>
      <c r="N103">
        <v>1</v>
      </c>
      <c r="O103">
        <v>1</v>
      </c>
      <c r="R103">
        <v>3</v>
      </c>
      <c r="S103">
        <v>1.42</v>
      </c>
      <c r="T103">
        <v>4.42</v>
      </c>
      <c r="U103">
        <v>2.84</v>
      </c>
      <c r="V103">
        <v>4.26</v>
      </c>
    </row>
    <row r="104" spans="1:22" x14ac:dyDescent="0.2">
      <c r="A104">
        <v>101</v>
      </c>
      <c r="B104" t="s">
        <v>76</v>
      </c>
      <c r="C104">
        <v>1999</v>
      </c>
      <c r="D104">
        <v>17</v>
      </c>
      <c r="E104">
        <v>25.5</v>
      </c>
      <c r="G104">
        <v>3</v>
      </c>
      <c r="H104">
        <v>33</v>
      </c>
      <c r="I104">
        <v>270</v>
      </c>
      <c r="J104">
        <v>3</v>
      </c>
      <c r="K104">
        <v>1</v>
      </c>
      <c r="L104">
        <v>0</v>
      </c>
      <c r="M104">
        <v>1</v>
      </c>
      <c r="N104">
        <v>0</v>
      </c>
      <c r="O104">
        <v>0</v>
      </c>
      <c r="R104">
        <v>0.33</v>
      </c>
      <c r="S104">
        <v>0</v>
      </c>
      <c r="T104">
        <v>0.33</v>
      </c>
      <c r="U104">
        <v>0.33</v>
      </c>
      <c r="V104">
        <v>0.33</v>
      </c>
    </row>
    <row r="105" spans="1:22" x14ac:dyDescent="0.2">
      <c r="A105">
        <v>102</v>
      </c>
      <c r="B105" t="s">
        <v>53</v>
      </c>
      <c r="C105">
        <v>1999</v>
      </c>
      <c r="D105">
        <v>18</v>
      </c>
      <c r="E105">
        <v>24.4</v>
      </c>
      <c r="G105">
        <v>4</v>
      </c>
      <c r="H105">
        <v>44</v>
      </c>
      <c r="I105">
        <v>360</v>
      </c>
      <c r="J105">
        <v>4</v>
      </c>
      <c r="K105">
        <v>11</v>
      </c>
      <c r="L105">
        <v>4</v>
      </c>
      <c r="M105">
        <v>11</v>
      </c>
      <c r="N105">
        <v>0</v>
      </c>
      <c r="O105">
        <v>0</v>
      </c>
      <c r="R105">
        <v>2.75</v>
      </c>
      <c r="S105">
        <v>1</v>
      </c>
      <c r="T105">
        <v>3.75</v>
      </c>
      <c r="U105">
        <v>2.75</v>
      </c>
      <c r="V105">
        <v>3.75</v>
      </c>
    </row>
    <row r="106" spans="1:22" x14ac:dyDescent="0.2">
      <c r="A106">
        <v>103</v>
      </c>
      <c r="B106" t="s">
        <v>77</v>
      </c>
      <c r="C106">
        <v>1999</v>
      </c>
      <c r="D106">
        <v>16</v>
      </c>
      <c r="E106">
        <v>23.6</v>
      </c>
      <c r="G106">
        <v>3</v>
      </c>
      <c r="H106">
        <v>33</v>
      </c>
      <c r="I106">
        <v>270</v>
      </c>
      <c r="J106">
        <v>3</v>
      </c>
      <c r="K106">
        <v>1</v>
      </c>
      <c r="L106">
        <v>0</v>
      </c>
      <c r="M106">
        <v>1</v>
      </c>
      <c r="N106">
        <v>0</v>
      </c>
      <c r="O106">
        <v>0</v>
      </c>
      <c r="R106">
        <v>0.33</v>
      </c>
      <c r="S106">
        <v>0</v>
      </c>
      <c r="T106">
        <v>0.33</v>
      </c>
      <c r="U106">
        <v>0.33</v>
      </c>
      <c r="V106">
        <v>0.33</v>
      </c>
    </row>
    <row r="107" spans="1:22" x14ac:dyDescent="0.2">
      <c r="A107">
        <v>104</v>
      </c>
      <c r="B107" t="s">
        <v>54</v>
      </c>
      <c r="C107">
        <v>1999</v>
      </c>
      <c r="D107">
        <v>17</v>
      </c>
      <c r="E107">
        <v>26.7</v>
      </c>
      <c r="G107">
        <v>3</v>
      </c>
      <c r="H107">
        <v>33</v>
      </c>
      <c r="I107">
        <v>270</v>
      </c>
      <c r="J107">
        <v>3</v>
      </c>
      <c r="K107">
        <v>3</v>
      </c>
      <c r="L107">
        <v>1</v>
      </c>
      <c r="M107">
        <v>3</v>
      </c>
      <c r="N107">
        <v>0</v>
      </c>
      <c r="O107">
        <v>0</v>
      </c>
      <c r="R107">
        <v>1</v>
      </c>
      <c r="S107">
        <v>0.33</v>
      </c>
      <c r="T107">
        <v>1.33</v>
      </c>
      <c r="U107">
        <v>1</v>
      </c>
      <c r="V107">
        <v>1.33</v>
      </c>
    </row>
    <row r="108" spans="1:22" x14ac:dyDescent="0.2">
      <c r="A108">
        <v>105</v>
      </c>
      <c r="B108" t="s">
        <v>56</v>
      </c>
      <c r="C108">
        <v>1999</v>
      </c>
      <c r="D108">
        <v>15</v>
      </c>
      <c r="E108">
        <v>23</v>
      </c>
      <c r="G108">
        <v>3</v>
      </c>
      <c r="H108">
        <v>33</v>
      </c>
      <c r="I108">
        <v>270</v>
      </c>
      <c r="J108">
        <v>3</v>
      </c>
      <c r="K108">
        <v>1</v>
      </c>
      <c r="L108">
        <v>1</v>
      </c>
      <c r="M108">
        <v>1</v>
      </c>
      <c r="N108">
        <v>0</v>
      </c>
      <c r="O108">
        <v>0</v>
      </c>
      <c r="R108">
        <v>0.33</v>
      </c>
      <c r="S108">
        <v>0.33</v>
      </c>
      <c r="T108">
        <v>0.67</v>
      </c>
      <c r="U108">
        <v>0.33</v>
      </c>
      <c r="V108">
        <v>0.67</v>
      </c>
    </row>
    <row r="109" spans="1:22" x14ac:dyDescent="0.2">
      <c r="A109">
        <v>106</v>
      </c>
      <c r="B109" t="s">
        <v>75</v>
      </c>
      <c r="C109">
        <v>1999</v>
      </c>
      <c r="D109">
        <v>16</v>
      </c>
      <c r="E109">
        <v>24.5</v>
      </c>
      <c r="G109">
        <v>3</v>
      </c>
      <c r="H109">
        <v>33</v>
      </c>
      <c r="I109">
        <v>270</v>
      </c>
      <c r="J109">
        <v>3</v>
      </c>
      <c r="K109">
        <v>4</v>
      </c>
      <c r="L109">
        <v>2</v>
      </c>
      <c r="M109">
        <v>4</v>
      </c>
      <c r="N109">
        <v>0</v>
      </c>
      <c r="O109">
        <v>0</v>
      </c>
      <c r="R109">
        <v>1.33</v>
      </c>
      <c r="S109">
        <v>0.67</v>
      </c>
      <c r="T109">
        <v>2</v>
      </c>
      <c r="U109">
        <v>1.33</v>
      </c>
      <c r="V109">
        <v>2</v>
      </c>
    </row>
    <row r="110" spans="1:22" x14ac:dyDescent="0.2">
      <c r="A110">
        <v>107</v>
      </c>
      <c r="B110" t="s">
        <v>72</v>
      </c>
      <c r="C110">
        <v>1999</v>
      </c>
      <c r="D110">
        <v>15</v>
      </c>
      <c r="E110">
        <v>21.5</v>
      </c>
      <c r="G110">
        <v>3</v>
      </c>
      <c r="H110">
        <v>33</v>
      </c>
      <c r="I110">
        <v>270</v>
      </c>
      <c r="J110">
        <v>3</v>
      </c>
      <c r="K110">
        <v>1</v>
      </c>
      <c r="L110">
        <v>0</v>
      </c>
      <c r="M110">
        <v>1</v>
      </c>
      <c r="N110">
        <v>0</v>
      </c>
      <c r="O110">
        <v>0</v>
      </c>
      <c r="R110">
        <v>0.33</v>
      </c>
      <c r="S110">
        <v>0</v>
      </c>
      <c r="T110">
        <v>0.33</v>
      </c>
      <c r="U110">
        <v>0.33</v>
      </c>
      <c r="V110">
        <v>0.33</v>
      </c>
    </row>
    <row r="111" spans="1:22" x14ac:dyDescent="0.2">
      <c r="A111">
        <v>108</v>
      </c>
      <c r="B111" t="s">
        <v>60</v>
      </c>
      <c r="C111">
        <v>1999</v>
      </c>
      <c r="D111">
        <v>16</v>
      </c>
      <c r="E111">
        <v>23.5</v>
      </c>
      <c r="G111">
        <v>4</v>
      </c>
      <c r="H111">
        <v>44</v>
      </c>
      <c r="I111">
        <v>374</v>
      </c>
      <c r="J111">
        <v>4.2</v>
      </c>
      <c r="K111">
        <v>8</v>
      </c>
      <c r="L111">
        <v>3</v>
      </c>
      <c r="M111">
        <v>8</v>
      </c>
      <c r="N111">
        <v>0</v>
      </c>
      <c r="O111">
        <v>0</v>
      </c>
      <c r="R111">
        <v>1.93</v>
      </c>
      <c r="S111">
        <v>0.72</v>
      </c>
      <c r="T111">
        <v>2.65</v>
      </c>
      <c r="U111">
        <v>1.93</v>
      </c>
      <c r="V111">
        <v>2.65</v>
      </c>
    </row>
    <row r="112" spans="1:22" x14ac:dyDescent="0.2">
      <c r="A112">
        <v>109</v>
      </c>
      <c r="B112" t="s">
        <v>61</v>
      </c>
      <c r="C112">
        <v>1999</v>
      </c>
      <c r="D112">
        <v>19</v>
      </c>
      <c r="E112">
        <v>25.1</v>
      </c>
      <c r="G112">
        <v>6</v>
      </c>
      <c r="H112">
        <v>66</v>
      </c>
      <c r="I112">
        <v>540</v>
      </c>
      <c r="J112">
        <v>6</v>
      </c>
      <c r="K112">
        <v>15</v>
      </c>
      <c r="L112">
        <v>10</v>
      </c>
      <c r="M112">
        <v>15</v>
      </c>
      <c r="N112">
        <v>0</v>
      </c>
      <c r="O112">
        <v>0</v>
      </c>
      <c r="R112">
        <v>2.5</v>
      </c>
      <c r="S112">
        <v>1.67</v>
      </c>
      <c r="T112">
        <v>4.17</v>
      </c>
      <c r="U112">
        <v>2.5</v>
      </c>
      <c r="V112">
        <v>4.17</v>
      </c>
    </row>
    <row r="113" spans="1:22" x14ac:dyDescent="0.2">
      <c r="A113">
        <v>110</v>
      </c>
      <c r="B113" t="s">
        <v>78</v>
      </c>
      <c r="C113">
        <v>1999</v>
      </c>
      <c r="D113">
        <v>15</v>
      </c>
      <c r="E113">
        <v>25.6</v>
      </c>
      <c r="G113">
        <v>4</v>
      </c>
      <c r="H113">
        <v>44</v>
      </c>
      <c r="I113">
        <v>360</v>
      </c>
      <c r="J113">
        <v>4</v>
      </c>
      <c r="K113">
        <v>10</v>
      </c>
      <c r="L113">
        <v>9</v>
      </c>
      <c r="M113">
        <v>10</v>
      </c>
      <c r="N113">
        <v>0</v>
      </c>
      <c r="O113">
        <v>0</v>
      </c>
      <c r="R113">
        <v>2.5</v>
      </c>
      <c r="S113">
        <v>2.25</v>
      </c>
      <c r="T113">
        <v>4.75</v>
      </c>
      <c r="U113">
        <v>2.5</v>
      </c>
      <c r="V113">
        <v>4.75</v>
      </c>
    </row>
    <row r="114" spans="1:22" x14ac:dyDescent="0.2">
      <c r="A114">
        <v>111</v>
      </c>
      <c r="B114" t="s">
        <v>65</v>
      </c>
      <c r="C114">
        <v>1999</v>
      </c>
      <c r="D114">
        <v>17</v>
      </c>
      <c r="E114">
        <v>24.6</v>
      </c>
      <c r="G114">
        <v>4</v>
      </c>
      <c r="H114">
        <v>44</v>
      </c>
      <c r="I114">
        <v>360</v>
      </c>
      <c r="J114">
        <v>4</v>
      </c>
      <c r="K114">
        <v>7</v>
      </c>
      <c r="L114">
        <v>5</v>
      </c>
      <c r="M114">
        <v>7</v>
      </c>
      <c r="N114">
        <v>0</v>
      </c>
      <c r="O114">
        <v>0</v>
      </c>
      <c r="R114">
        <v>1.75</v>
      </c>
      <c r="S114">
        <v>1.25</v>
      </c>
      <c r="T114">
        <v>3</v>
      </c>
      <c r="U114">
        <v>1.75</v>
      </c>
      <c r="V114">
        <v>3</v>
      </c>
    </row>
    <row r="115" spans="1:22" x14ac:dyDescent="0.2">
      <c r="A115">
        <v>112</v>
      </c>
      <c r="B115" t="s">
        <v>67</v>
      </c>
      <c r="C115">
        <v>1999</v>
      </c>
      <c r="D115">
        <v>18</v>
      </c>
      <c r="E115">
        <v>27.4</v>
      </c>
      <c r="G115">
        <v>6</v>
      </c>
      <c r="H115">
        <v>66</v>
      </c>
      <c r="I115">
        <v>570</v>
      </c>
      <c r="J115">
        <v>6.3</v>
      </c>
      <c r="K115">
        <v>17</v>
      </c>
      <c r="L115">
        <v>15</v>
      </c>
      <c r="M115">
        <v>16</v>
      </c>
      <c r="N115">
        <v>1</v>
      </c>
      <c r="O115">
        <v>1</v>
      </c>
      <c r="R115">
        <v>2.68</v>
      </c>
      <c r="S115">
        <v>2.37</v>
      </c>
      <c r="T115">
        <v>5.05</v>
      </c>
      <c r="U115">
        <v>2.5299999999999998</v>
      </c>
      <c r="V115">
        <v>4.8899999999999997</v>
      </c>
    </row>
    <row r="116" spans="1:22" x14ac:dyDescent="0.2">
      <c r="A116">
        <v>113</v>
      </c>
      <c r="B116" t="s">
        <v>45</v>
      </c>
      <c r="C116">
        <v>1995</v>
      </c>
      <c r="D116">
        <v>17</v>
      </c>
      <c r="E116">
        <v>25</v>
      </c>
      <c r="G116">
        <v>3</v>
      </c>
      <c r="H116">
        <v>33</v>
      </c>
      <c r="I116">
        <v>270</v>
      </c>
      <c r="J116">
        <v>3</v>
      </c>
      <c r="K116">
        <v>3</v>
      </c>
      <c r="L116">
        <v>0</v>
      </c>
      <c r="M116">
        <v>3</v>
      </c>
      <c r="N116">
        <v>0</v>
      </c>
      <c r="O116">
        <v>0</v>
      </c>
      <c r="R116">
        <v>1</v>
      </c>
      <c r="S116">
        <v>0</v>
      </c>
      <c r="T116">
        <v>1</v>
      </c>
      <c r="U116">
        <v>1</v>
      </c>
      <c r="V116">
        <v>1</v>
      </c>
    </row>
    <row r="117" spans="1:22" x14ac:dyDescent="0.2">
      <c r="A117">
        <v>114</v>
      </c>
      <c r="B117" t="s">
        <v>46</v>
      </c>
      <c r="C117">
        <v>1995</v>
      </c>
      <c r="D117">
        <v>16</v>
      </c>
      <c r="E117">
        <v>27.9</v>
      </c>
      <c r="G117">
        <v>3</v>
      </c>
      <c r="H117">
        <v>33</v>
      </c>
      <c r="I117">
        <v>270</v>
      </c>
      <c r="J117">
        <v>3</v>
      </c>
      <c r="K117">
        <v>3</v>
      </c>
      <c r="L117">
        <v>1</v>
      </c>
      <c r="M117">
        <v>3</v>
      </c>
      <c r="N117">
        <v>0</v>
      </c>
      <c r="O117">
        <v>0</v>
      </c>
      <c r="R117">
        <v>1</v>
      </c>
      <c r="S117">
        <v>0.33</v>
      </c>
      <c r="T117">
        <v>1.33</v>
      </c>
      <c r="U117">
        <v>1</v>
      </c>
      <c r="V117">
        <v>1.33</v>
      </c>
    </row>
    <row r="118" spans="1:22" x14ac:dyDescent="0.2">
      <c r="A118">
        <v>115</v>
      </c>
      <c r="B118" t="s">
        <v>48</v>
      </c>
      <c r="C118">
        <v>1995</v>
      </c>
      <c r="D118">
        <v>15</v>
      </c>
      <c r="E118">
        <v>26.2</v>
      </c>
      <c r="G118">
        <v>3</v>
      </c>
      <c r="H118">
        <v>33</v>
      </c>
      <c r="I118">
        <v>270</v>
      </c>
      <c r="J118">
        <v>3</v>
      </c>
      <c r="K118">
        <v>5</v>
      </c>
      <c r="L118">
        <v>0</v>
      </c>
      <c r="M118">
        <v>5</v>
      </c>
      <c r="N118">
        <v>0</v>
      </c>
      <c r="O118">
        <v>0</v>
      </c>
      <c r="R118">
        <v>1.67</v>
      </c>
      <c r="S118">
        <v>0</v>
      </c>
      <c r="T118">
        <v>1.67</v>
      </c>
      <c r="U118">
        <v>1.67</v>
      </c>
      <c r="V118">
        <v>1.67</v>
      </c>
    </row>
    <row r="119" spans="1:22" x14ac:dyDescent="0.2">
      <c r="A119">
        <v>116</v>
      </c>
      <c r="B119" t="s">
        <v>50</v>
      </c>
      <c r="C119">
        <v>1995</v>
      </c>
      <c r="D119">
        <v>16</v>
      </c>
      <c r="E119">
        <v>24.3</v>
      </c>
      <c r="G119">
        <v>6</v>
      </c>
      <c r="H119">
        <v>66</v>
      </c>
      <c r="I119">
        <v>570</v>
      </c>
      <c r="J119">
        <v>6.3</v>
      </c>
      <c r="K119">
        <v>11</v>
      </c>
      <c r="L119">
        <v>0</v>
      </c>
      <c r="M119">
        <v>11</v>
      </c>
      <c r="N119">
        <v>0</v>
      </c>
      <c r="O119">
        <v>0</v>
      </c>
      <c r="R119">
        <v>1.74</v>
      </c>
      <c r="S119">
        <v>0</v>
      </c>
      <c r="T119">
        <v>1.74</v>
      </c>
      <c r="U119">
        <v>1.74</v>
      </c>
      <c r="V119">
        <v>1.74</v>
      </c>
    </row>
    <row r="120" spans="1:22" x14ac:dyDescent="0.2">
      <c r="A120">
        <v>117</v>
      </c>
      <c r="B120" t="s">
        <v>76</v>
      </c>
      <c r="C120">
        <v>1995</v>
      </c>
      <c r="D120">
        <v>17</v>
      </c>
      <c r="E120">
        <v>21.3</v>
      </c>
      <c r="G120">
        <v>4</v>
      </c>
      <c r="H120">
        <v>44</v>
      </c>
      <c r="I120">
        <v>360</v>
      </c>
      <c r="J120">
        <v>4</v>
      </c>
      <c r="K120">
        <v>7</v>
      </c>
      <c r="L120">
        <v>0</v>
      </c>
      <c r="M120">
        <v>7</v>
      </c>
      <c r="N120">
        <v>0</v>
      </c>
      <c r="O120">
        <v>0</v>
      </c>
      <c r="R120">
        <v>1.75</v>
      </c>
      <c r="S120">
        <v>0</v>
      </c>
      <c r="T120">
        <v>1.75</v>
      </c>
      <c r="U120">
        <v>1.75</v>
      </c>
      <c r="V120">
        <v>1.75</v>
      </c>
    </row>
    <row r="121" spans="1:22" x14ac:dyDescent="0.2">
      <c r="A121">
        <v>118</v>
      </c>
      <c r="B121" t="s">
        <v>51</v>
      </c>
      <c r="C121">
        <v>1995</v>
      </c>
      <c r="D121">
        <v>16</v>
      </c>
      <c r="E121">
        <v>27.8</v>
      </c>
      <c r="G121">
        <v>4</v>
      </c>
      <c r="H121">
        <v>44</v>
      </c>
      <c r="I121">
        <v>360</v>
      </c>
      <c r="J121">
        <v>4</v>
      </c>
      <c r="K121">
        <v>6</v>
      </c>
      <c r="L121">
        <v>0</v>
      </c>
      <c r="M121">
        <v>6</v>
      </c>
      <c r="N121">
        <v>0</v>
      </c>
      <c r="O121">
        <v>0</v>
      </c>
      <c r="R121">
        <v>1.5</v>
      </c>
      <c r="S121">
        <v>0</v>
      </c>
      <c r="T121">
        <v>1.5</v>
      </c>
      <c r="U121">
        <v>1.5</v>
      </c>
      <c r="V121">
        <v>1.5</v>
      </c>
    </row>
    <row r="122" spans="1:22" x14ac:dyDescent="0.2">
      <c r="A122">
        <v>119</v>
      </c>
      <c r="B122" t="s">
        <v>53</v>
      </c>
      <c r="C122">
        <v>1995</v>
      </c>
      <c r="D122">
        <v>17</v>
      </c>
      <c r="E122">
        <v>25.3</v>
      </c>
      <c r="G122">
        <v>6</v>
      </c>
      <c r="H122">
        <v>66</v>
      </c>
      <c r="I122">
        <v>540</v>
      </c>
      <c r="J122">
        <v>6</v>
      </c>
      <c r="K122">
        <v>13</v>
      </c>
      <c r="L122">
        <v>0</v>
      </c>
      <c r="M122">
        <v>13</v>
      </c>
      <c r="N122">
        <v>0</v>
      </c>
      <c r="O122">
        <v>0</v>
      </c>
      <c r="R122">
        <v>2.17</v>
      </c>
      <c r="S122">
        <v>0</v>
      </c>
      <c r="T122">
        <v>2.17</v>
      </c>
      <c r="U122">
        <v>2.17</v>
      </c>
      <c r="V122">
        <v>2.17</v>
      </c>
    </row>
    <row r="123" spans="1:22" x14ac:dyDescent="0.2">
      <c r="A123">
        <v>120</v>
      </c>
      <c r="B123" t="s">
        <v>56</v>
      </c>
      <c r="C123">
        <v>1995</v>
      </c>
      <c r="D123">
        <v>14</v>
      </c>
      <c r="E123">
        <v>22.6</v>
      </c>
      <c r="G123">
        <v>4</v>
      </c>
      <c r="H123">
        <v>44</v>
      </c>
      <c r="I123">
        <v>360</v>
      </c>
      <c r="J123">
        <v>4</v>
      </c>
      <c r="K123">
        <v>2</v>
      </c>
      <c r="L123">
        <v>0</v>
      </c>
      <c r="M123">
        <v>2</v>
      </c>
      <c r="N123">
        <v>0</v>
      </c>
      <c r="O123">
        <v>0</v>
      </c>
      <c r="R123">
        <v>0.5</v>
      </c>
      <c r="S123">
        <v>0</v>
      </c>
      <c r="T123">
        <v>0.5</v>
      </c>
      <c r="U123">
        <v>0.5</v>
      </c>
      <c r="V123">
        <v>0.5</v>
      </c>
    </row>
    <row r="124" spans="1:22" x14ac:dyDescent="0.2">
      <c r="A124">
        <v>121</v>
      </c>
      <c r="B124" t="s">
        <v>60</v>
      </c>
      <c r="C124">
        <v>1995</v>
      </c>
      <c r="D124">
        <v>16</v>
      </c>
      <c r="E124">
        <v>20.6</v>
      </c>
      <c r="G124">
        <v>3</v>
      </c>
      <c r="H124">
        <v>33</v>
      </c>
      <c r="I124">
        <v>270</v>
      </c>
      <c r="J124">
        <v>3</v>
      </c>
      <c r="K124">
        <v>5</v>
      </c>
      <c r="L124">
        <v>0</v>
      </c>
      <c r="M124">
        <v>5</v>
      </c>
      <c r="N124">
        <v>0</v>
      </c>
      <c r="O124">
        <v>0</v>
      </c>
      <c r="R124">
        <v>1.67</v>
      </c>
      <c r="S124">
        <v>0</v>
      </c>
      <c r="T124">
        <v>1.67</v>
      </c>
      <c r="U124">
        <v>1.67</v>
      </c>
      <c r="V124">
        <v>1.67</v>
      </c>
    </row>
    <row r="125" spans="1:22" x14ac:dyDescent="0.2">
      <c r="A125">
        <v>122</v>
      </c>
      <c r="B125" t="s">
        <v>61</v>
      </c>
      <c r="C125">
        <v>1995</v>
      </c>
      <c r="D125">
        <v>17</v>
      </c>
      <c r="E125">
        <v>24.6</v>
      </c>
      <c r="G125">
        <v>6</v>
      </c>
      <c r="H125">
        <v>66</v>
      </c>
      <c r="I125">
        <v>540</v>
      </c>
      <c r="J125">
        <v>6</v>
      </c>
      <c r="K125">
        <v>23</v>
      </c>
      <c r="L125">
        <v>0</v>
      </c>
      <c r="M125">
        <v>23</v>
      </c>
      <c r="N125">
        <v>0</v>
      </c>
      <c r="O125">
        <v>0</v>
      </c>
      <c r="R125">
        <v>3.83</v>
      </c>
      <c r="S125">
        <v>0</v>
      </c>
      <c r="T125">
        <v>3.83</v>
      </c>
      <c r="U125">
        <v>3.83</v>
      </c>
      <c r="V125">
        <v>3.83</v>
      </c>
    </row>
    <row r="126" spans="1:22" x14ac:dyDescent="0.2">
      <c r="A126">
        <v>123</v>
      </c>
      <c r="B126" t="s">
        <v>65</v>
      </c>
      <c r="C126">
        <v>1995</v>
      </c>
      <c r="D126">
        <v>18</v>
      </c>
      <c r="E126">
        <v>27.5</v>
      </c>
      <c r="G126">
        <v>4</v>
      </c>
      <c r="H126">
        <v>44</v>
      </c>
      <c r="I126">
        <v>390</v>
      </c>
      <c r="J126">
        <v>4.3</v>
      </c>
      <c r="K126">
        <v>6</v>
      </c>
      <c r="L126">
        <v>0</v>
      </c>
      <c r="M126">
        <v>6</v>
      </c>
      <c r="N126">
        <v>0</v>
      </c>
      <c r="O126">
        <v>0</v>
      </c>
      <c r="R126">
        <v>1.38</v>
      </c>
      <c r="S126">
        <v>0</v>
      </c>
      <c r="T126">
        <v>1.38</v>
      </c>
      <c r="U126">
        <v>1.38</v>
      </c>
      <c r="V126">
        <v>1.38</v>
      </c>
    </row>
    <row r="127" spans="1:22" x14ac:dyDescent="0.2">
      <c r="A127">
        <v>124</v>
      </c>
      <c r="B127" t="s">
        <v>67</v>
      </c>
      <c r="C127">
        <v>1995</v>
      </c>
      <c r="D127">
        <v>18</v>
      </c>
      <c r="E127">
        <v>24.1</v>
      </c>
      <c r="G127">
        <v>6</v>
      </c>
      <c r="H127">
        <v>66</v>
      </c>
      <c r="I127">
        <v>540</v>
      </c>
      <c r="J127">
        <v>6</v>
      </c>
      <c r="K127">
        <v>15</v>
      </c>
      <c r="L127">
        <v>4</v>
      </c>
      <c r="M127">
        <v>15</v>
      </c>
      <c r="N127">
        <v>0</v>
      </c>
      <c r="O127">
        <v>0</v>
      </c>
      <c r="R127">
        <v>2.5</v>
      </c>
      <c r="S127">
        <v>0.67</v>
      </c>
      <c r="T127">
        <v>3.17</v>
      </c>
      <c r="U127">
        <v>2.5</v>
      </c>
      <c r="V127">
        <v>3.17</v>
      </c>
    </row>
    <row r="128" spans="1:22" x14ac:dyDescent="0.2">
      <c r="A128">
        <v>125</v>
      </c>
      <c r="B128" t="s">
        <v>46</v>
      </c>
      <c r="C128">
        <v>1991</v>
      </c>
      <c r="D128">
        <v>17</v>
      </c>
      <c r="E128">
        <v>25.7</v>
      </c>
      <c r="G128">
        <v>3</v>
      </c>
      <c r="H128">
        <v>33</v>
      </c>
      <c r="I128">
        <v>240</v>
      </c>
      <c r="J128">
        <v>2.7</v>
      </c>
      <c r="K128">
        <v>1</v>
      </c>
      <c r="L128">
        <v>0</v>
      </c>
      <c r="M128">
        <v>1</v>
      </c>
      <c r="N128">
        <v>0</v>
      </c>
      <c r="O128">
        <v>0</v>
      </c>
      <c r="R128">
        <v>0.37</v>
      </c>
      <c r="S128">
        <v>0</v>
      </c>
      <c r="T128">
        <v>0.37</v>
      </c>
      <c r="U128">
        <v>0.37</v>
      </c>
      <c r="V128">
        <v>0.37</v>
      </c>
    </row>
    <row r="129" spans="1:22" x14ac:dyDescent="0.2">
      <c r="A129">
        <v>126</v>
      </c>
      <c r="B129" t="s">
        <v>50</v>
      </c>
      <c r="C129">
        <v>1991</v>
      </c>
      <c r="D129">
        <v>15</v>
      </c>
      <c r="E129">
        <v>22.1</v>
      </c>
      <c r="G129">
        <v>4</v>
      </c>
      <c r="H129">
        <v>44</v>
      </c>
      <c r="I129">
        <v>320</v>
      </c>
      <c r="J129">
        <v>3.6</v>
      </c>
      <c r="K129">
        <v>10</v>
      </c>
      <c r="L129">
        <v>3</v>
      </c>
      <c r="M129">
        <v>10</v>
      </c>
      <c r="N129">
        <v>0</v>
      </c>
      <c r="O129">
        <v>0</v>
      </c>
      <c r="R129">
        <v>2.81</v>
      </c>
      <c r="S129">
        <v>0.84</v>
      </c>
      <c r="T129">
        <v>3.66</v>
      </c>
      <c r="U129">
        <v>2.81</v>
      </c>
      <c r="V129">
        <v>3.66</v>
      </c>
    </row>
    <row r="130" spans="1:22" x14ac:dyDescent="0.2">
      <c r="A130">
        <v>127</v>
      </c>
      <c r="B130" t="s">
        <v>79</v>
      </c>
      <c r="C130">
        <v>1991</v>
      </c>
      <c r="D130">
        <v>16</v>
      </c>
      <c r="E130">
        <v>21.2</v>
      </c>
      <c r="G130">
        <v>4</v>
      </c>
      <c r="H130">
        <v>44</v>
      </c>
      <c r="I130">
        <v>320</v>
      </c>
      <c r="J130">
        <v>3.6</v>
      </c>
      <c r="K130">
        <v>2</v>
      </c>
      <c r="L130">
        <v>1</v>
      </c>
      <c r="M130">
        <v>2</v>
      </c>
      <c r="N130">
        <v>0</v>
      </c>
      <c r="O130">
        <v>0</v>
      </c>
      <c r="R130">
        <v>0.56000000000000005</v>
      </c>
      <c r="S130">
        <v>0.28000000000000003</v>
      </c>
      <c r="T130">
        <v>0.84</v>
      </c>
      <c r="U130">
        <v>0.56000000000000005</v>
      </c>
      <c r="V130">
        <v>0.84</v>
      </c>
    </row>
    <row r="131" spans="1:22" x14ac:dyDescent="0.2">
      <c r="A131">
        <v>128</v>
      </c>
      <c r="B131" t="s">
        <v>76</v>
      </c>
      <c r="C131">
        <v>1991</v>
      </c>
      <c r="D131">
        <v>15</v>
      </c>
      <c r="E131">
        <v>23.8</v>
      </c>
      <c r="G131">
        <v>4</v>
      </c>
      <c r="H131">
        <v>44</v>
      </c>
      <c r="I131">
        <v>340</v>
      </c>
      <c r="J131">
        <v>3.8</v>
      </c>
      <c r="K131">
        <v>7</v>
      </c>
      <c r="L131">
        <v>5</v>
      </c>
      <c r="M131">
        <v>5</v>
      </c>
      <c r="N131">
        <v>2</v>
      </c>
      <c r="O131">
        <v>2</v>
      </c>
      <c r="R131">
        <v>1.85</v>
      </c>
      <c r="S131">
        <v>1.32</v>
      </c>
      <c r="T131">
        <v>3.18</v>
      </c>
      <c r="U131">
        <v>1.32</v>
      </c>
      <c r="V131">
        <v>2.65</v>
      </c>
    </row>
    <row r="132" spans="1:22" x14ac:dyDescent="0.2">
      <c r="A132">
        <v>129</v>
      </c>
      <c r="B132" t="s">
        <v>53</v>
      </c>
      <c r="C132">
        <v>1991</v>
      </c>
      <c r="D132">
        <v>18</v>
      </c>
      <c r="E132">
        <v>23.8</v>
      </c>
      <c r="G132">
        <v>6</v>
      </c>
      <c r="H132">
        <v>66</v>
      </c>
      <c r="I132">
        <v>500</v>
      </c>
      <c r="J132">
        <v>5.6</v>
      </c>
      <c r="K132">
        <v>13</v>
      </c>
      <c r="L132">
        <v>9</v>
      </c>
      <c r="M132">
        <v>12</v>
      </c>
      <c r="N132">
        <v>1</v>
      </c>
      <c r="O132">
        <v>1</v>
      </c>
      <c r="R132">
        <v>2.34</v>
      </c>
      <c r="S132">
        <v>1.62</v>
      </c>
      <c r="T132">
        <v>3.96</v>
      </c>
      <c r="U132">
        <v>2.16</v>
      </c>
      <c r="V132">
        <v>3.78</v>
      </c>
    </row>
    <row r="133" spans="1:22" x14ac:dyDescent="0.2">
      <c r="A133">
        <v>130</v>
      </c>
      <c r="B133" t="s">
        <v>54</v>
      </c>
      <c r="C133">
        <v>1991</v>
      </c>
      <c r="D133">
        <v>17</v>
      </c>
      <c r="E133">
        <v>24.2</v>
      </c>
      <c r="G133">
        <v>4</v>
      </c>
      <c r="H133">
        <v>44</v>
      </c>
      <c r="I133">
        <v>340</v>
      </c>
      <c r="J133">
        <v>3.8</v>
      </c>
      <c r="K133">
        <v>8</v>
      </c>
      <c r="L133">
        <v>5</v>
      </c>
      <c r="M133">
        <v>8</v>
      </c>
      <c r="N133">
        <v>0</v>
      </c>
      <c r="O133">
        <v>0</v>
      </c>
      <c r="R133">
        <v>2.12</v>
      </c>
      <c r="S133">
        <v>1.32</v>
      </c>
      <c r="T133">
        <v>3.44</v>
      </c>
      <c r="U133">
        <v>2.12</v>
      </c>
      <c r="V133">
        <v>3.44</v>
      </c>
    </row>
    <row r="134" spans="1:22" x14ac:dyDescent="0.2">
      <c r="A134">
        <v>131</v>
      </c>
      <c r="B134" t="s">
        <v>56</v>
      </c>
      <c r="C134">
        <v>1991</v>
      </c>
      <c r="D134">
        <v>13</v>
      </c>
      <c r="E134">
        <v>24.3</v>
      </c>
      <c r="G134">
        <v>3</v>
      </c>
      <c r="H134">
        <v>33</v>
      </c>
      <c r="I134">
        <v>240</v>
      </c>
      <c r="J134">
        <v>2.7</v>
      </c>
      <c r="K134">
        <v>0</v>
      </c>
      <c r="L134">
        <v>0</v>
      </c>
      <c r="M134">
        <v>0</v>
      </c>
      <c r="N134">
        <v>0</v>
      </c>
      <c r="O134">
        <v>0</v>
      </c>
      <c r="R134">
        <v>0</v>
      </c>
      <c r="S134">
        <v>0</v>
      </c>
      <c r="T134">
        <v>0</v>
      </c>
      <c r="U134">
        <v>0</v>
      </c>
      <c r="V134">
        <v>0</v>
      </c>
    </row>
    <row r="135" spans="1:22" x14ac:dyDescent="0.2">
      <c r="A135">
        <v>132</v>
      </c>
      <c r="B135" t="s">
        <v>59</v>
      </c>
      <c r="C135">
        <v>1991</v>
      </c>
      <c r="D135">
        <v>15</v>
      </c>
      <c r="E135">
        <v>25.5</v>
      </c>
      <c r="G135">
        <v>3</v>
      </c>
      <c r="H135">
        <v>33</v>
      </c>
      <c r="I135">
        <v>240</v>
      </c>
      <c r="J135">
        <v>2.7</v>
      </c>
      <c r="K135">
        <v>1</v>
      </c>
      <c r="L135">
        <v>1</v>
      </c>
      <c r="M135">
        <v>1</v>
      </c>
      <c r="N135">
        <v>0</v>
      </c>
      <c r="O135">
        <v>0</v>
      </c>
      <c r="R135">
        <v>0.37</v>
      </c>
      <c r="S135">
        <v>0.37</v>
      </c>
      <c r="T135">
        <v>0.75</v>
      </c>
      <c r="U135">
        <v>0.37</v>
      </c>
      <c r="V135">
        <v>0.75</v>
      </c>
    </row>
    <row r="136" spans="1:22" x14ac:dyDescent="0.2">
      <c r="A136">
        <v>133</v>
      </c>
      <c r="B136" t="s">
        <v>60</v>
      </c>
      <c r="C136">
        <v>1991</v>
      </c>
      <c r="D136">
        <v>17</v>
      </c>
      <c r="E136">
        <v>18.2</v>
      </c>
      <c r="G136">
        <v>3</v>
      </c>
      <c r="H136">
        <v>33</v>
      </c>
      <c r="I136">
        <v>240</v>
      </c>
      <c r="J136">
        <v>2.7</v>
      </c>
      <c r="K136">
        <v>0</v>
      </c>
      <c r="L136">
        <v>0</v>
      </c>
      <c r="M136">
        <v>0</v>
      </c>
      <c r="N136">
        <v>0</v>
      </c>
      <c r="O136">
        <v>0</v>
      </c>
      <c r="R136">
        <v>0</v>
      </c>
      <c r="S136">
        <v>0</v>
      </c>
      <c r="T136">
        <v>0</v>
      </c>
      <c r="U136">
        <v>0</v>
      </c>
      <c r="V136">
        <v>0</v>
      </c>
    </row>
    <row r="137" spans="1:22" x14ac:dyDescent="0.2">
      <c r="A137">
        <v>134</v>
      </c>
      <c r="B137" t="s">
        <v>61</v>
      </c>
      <c r="C137">
        <v>1991</v>
      </c>
      <c r="D137">
        <v>15</v>
      </c>
      <c r="E137">
        <v>24.1</v>
      </c>
      <c r="G137">
        <v>6</v>
      </c>
      <c r="H137">
        <v>66</v>
      </c>
      <c r="I137">
        <v>500</v>
      </c>
      <c r="J137">
        <v>5.6</v>
      </c>
      <c r="K137">
        <v>13</v>
      </c>
      <c r="L137">
        <v>6</v>
      </c>
      <c r="M137">
        <v>12</v>
      </c>
      <c r="N137">
        <v>1</v>
      </c>
      <c r="O137">
        <v>1</v>
      </c>
      <c r="R137">
        <v>2.34</v>
      </c>
      <c r="S137">
        <v>1.08</v>
      </c>
      <c r="T137">
        <v>3.42</v>
      </c>
      <c r="U137">
        <v>2.16</v>
      </c>
      <c r="V137">
        <v>3.24</v>
      </c>
    </row>
    <row r="138" spans="1:22" x14ac:dyDescent="0.2">
      <c r="A138">
        <v>135</v>
      </c>
      <c r="B138" t="s">
        <v>65</v>
      </c>
      <c r="C138">
        <v>1991</v>
      </c>
      <c r="D138">
        <v>18</v>
      </c>
      <c r="E138">
        <v>25.4</v>
      </c>
      <c r="G138">
        <v>6</v>
      </c>
      <c r="H138">
        <v>66</v>
      </c>
      <c r="I138">
        <v>480</v>
      </c>
      <c r="J138">
        <v>5.3</v>
      </c>
      <c r="K138">
        <v>17</v>
      </c>
      <c r="L138">
        <v>11</v>
      </c>
      <c r="M138">
        <v>16</v>
      </c>
      <c r="N138">
        <v>1</v>
      </c>
      <c r="O138">
        <v>1</v>
      </c>
      <c r="R138">
        <v>3.19</v>
      </c>
      <c r="S138">
        <v>2.06</v>
      </c>
      <c r="T138">
        <v>5.25</v>
      </c>
      <c r="U138">
        <v>3</v>
      </c>
      <c r="V138">
        <v>5.0599999999999996</v>
      </c>
    </row>
    <row r="139" spans="1:22" x14ac:dyDescent="0.2">
      <c r="A139">
        <v>136</v>
      </c>
      <c r="B139" t="s">
        <v>67</v>
      </c>
      <c r="C139">
        <v>1991</v>
      </c>
      <c r="D139">
        <v>16</v>
      </c>
      <c r="E139">
        <v>23</v>
      </c>
      <c r="G139">
        <v>6</v>
      </c>
      <c r="H139">
        <v>66</v>
      </c>
      <c r="I139">
        <v>480</v>
      </c>
      <c r="J139">
        <v>5.3</v>
      </c>
      <c r="K139">
        <v>25</v>
      </c>
      <c r="L139">
        <v>11</v>
      </c>
      <c r="M139">
        <v>24</v>
      </c>
      <c r="N139">
        <v>1</v>
      </c>
      <c r="O139">
        <v>1</v>
      </c>
      <c r="R139">
        <v>4.6900000000000004</v>
      </c>
      <c r="S139">
        <v>2.06</v>
      </c>
      <c r="T139">
        <v>6.75</v>
      </c>
      <c r="U139">
        <v>4.5</v>
      </c>
      <c r="V139">
        <v>6.56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9A0406-2CE0-974B-A965-9344DF73EFE8}">
  <sheetPr codeName="Sheet3"/>
  <dimension ref="A1:P162"/>
  <sheetViews>
    <sheetView zoomScale="140" zoomScaleNormal="140" workbookViewId="0">
      <selection activeCell="G23" sqref="G23"/>
    </sheetView>
  </sheetViews>
  <sheetFormatPr baseColWidth="10" defaultColWidth="11" defaultRowHeight="16" x14ac:dyDescent="0.2"/>
  <sheetData>
    <row r="1" spans="1:16" x14ac:dyDescent="0.2">
      <c r="A1" s="12" t="s">
        <v>80</v>
      </c>
    </row>
    <row r="2" spans="1:16" ht="17" thickBot="1" x14ac:dyDescent="0.25"/>
    <row r="3" spans="1:16" x14ac:dyDescent="0.2">
      <c r="B3" s="3">
        <v>1</v>
      </c>
      <c r="C3" s="4">
        <v>2</v>
      </c>
      <c r="D3" s="5">
        <v>3</v>
      </c>
    </row>
    <row r="4" spans="1:16" x14ac:dyDescent="0.2">
      <c r="B4" s="6">
        <v>4</v>
      </c>
      <c r="C4">
        <v>5</v>
      </c>
      <c r="D4" s="7">
        <v>6</v>
      </c>
    </row>
    <row r="5" spans="1:16" ht="17" thickBot="1" x14ac:dyDescent="0.25">
      <c r="B5" s="8">
        <v>7</v>
      </c>
      <c r="C5" s="9">
        <v>8</v>
      </c>
      <c r="D5" s="10">
        <v>9</v>
      </c>
    </row>
    <row r="7" spans="1:16" x14ac:dyDescent="0.2">
      <c r="A7" s="11" t="s">
        <v>81</v>
      </c>
    </row>
    <row r="9" spans="1:16" x14ac:dyDescent="0.2">
      <c r="B9" s="2">
        <f>B3</f>
        <v>1</v>
      </c>
      <c r="C9" s="2"/>
      <c r="D9" s="2"/>
      <c r="F9" s="2">
        <f>B$3</f>
        <v>1</v>
      </c>
      <c r="G9" s="2"/>
      <c r="H9" s="2"/>
      <c r="J9" s="2">
        <f>$B3</f>
        <v>1</v>
      </c>
      <c r="K9" s="2"/>
      <c r="L9" s="2"/>
      <c r="N9" s="2">
        <f>$B$3</f>
        <v>1</v>
      </c>
      <c r="O9" s="2"/>
      <c r="P9" s="2"/>
    </row>
    <row r="10" spans="1:16" x14ac:dyDescent="0.2">
      <c r="B10" s="2"/>
      <c r="C10" s="2"/>
      <c r="D10" s="2"/>
      <c r="F10" s="2"/>
      <c r="G10" s="2"/>
      <c r="H10" s="2"/>
      <c r="J10" s="2"/>
      <c r="K10" s="2"/>
      <c r="L10" s="2"/>
      <c r="N10" s="2"/>
      <c r="O10" s="2"/>
      <c r="P10" s="2"/>
    </row>
    <row r="11" spans="1:16" x14ac:dyDescent="0.2">
      <c r="B11" s="2"/>
      <c r="C11" s="2"/>
      <c r="D11" s="2"/>
      <c r="F11" s="2"/>
      <c r="G11" s="2"/>
      <c r="H11" s="2"/>
      <c r="J11" s="2"/>
      <c r="K11" s="2"/>
      <c r="L11" s="2"/>
      <c r="N11" s="2"/>
      <c r="O11" s="2"/>
      <c r="P11" s="2"/>
    </row>
    <row r="13" spans="1:16" s="1" customFormat="1" x14ac:dyDescent="0.2"/>
    <row r="14" spans="1:16" x14ac:dyDescent="0.2">
      <c r="A14" s="12" t="s">
        <v>82</v>
      </c>
    </row>
    <row r="16" spans="1:16" x14ac:dyDescent="0.2">
      <c r="A16" s="11" t="s">
        <v>83</v>
      </c>
      <c r="C16" s="11" t="s">
        <v>84</v>
      </c>
      <c r="E16" s="11" t="s">
        <v>84</v>
      </c>
      <c r="G16" s="11" t="s">
        <v>85</v>
      </c>
      <c r="I16" s="11" t="s">
        <v>86</v>
      </c>
    </row>
    <row r="18" spans="1:9" x14ac:dyDescent="0.2">
      <c r="A18" s="2" t="str" cm="1">
        <f t="array" ref="A18:A153">IF(matches_played&gt;6,squad,"")</f>
        <v/>
      </c>
      <c r="C18" s="2" t="str" cm="1">
        <f t="array" ref="C18:C153">_xlfn.IFS(matches_played&gt;6,squad,year=2019,"bla")</f>
        <v>bla</v>
      </c>
      <c r="E18" s="2" t="str" cm="1">
        <f t="array" ref="E18:E153">_xlfn.IFS(matches_played&gt;6,squad,year=2019,"bla",TRUE,"")</f>
        <v>bla</v>
      </c>
      <c r="G18" s="2">
        <f>_xlfn.MAXIFS(matches_played,squad,"Australia")</f>
        <v>5</v>
      </c>
      <c r="I18" s="117">
        <f>_xlfn.MINIFS(matches_played,squad,"Australia",year,"&gt;2010")</f>
        <v>4</v>
      </c>
    </row>
    <row r="19" spans="1:9" x14ac:dyDescent="0.2">
      <c r="A19" s="2" t="str">
        <v/>
      </c>
      <c r="C19" s="2" t="str">
        <v>bla</v>
      </c>
      <c r="E19" s="2" t="str">
        <v>bla</v>
      </c>
    </row>
    <row r="20" spans="1:9" x14ac:dyDescent="0.2">
      <c r="A20" s="2" t="str">
        <v/>
      </c>
      <c r="C20" s="2" t="str">
        <v>bla</v>
      </c>
      <c r="E20" s="2" t="str">
        <v>bla</v>
      </c>
    </row>
    <row r="21" spans="1:9" x14ac:dyDescent="0.2">
      <c r="A21" s="2" t="str">
        <v/>
      </c>
      <c r="C21" s="2" t="str">
        <v>bla</v>
      </c>
      <c r="E21" s="2" t="str">
        <v>bla</v>
      </c>
    </row>
    <row r="22" spans="1:9" x14ac:dyDescent="0.2">
      <c r="A22" s="2" t="str">
        <v/>
      </c>
      <c r="C22" s="2" t="str">
        <v>bla</v>
      </c>
      <c r="E22" s="2" t="str">
        <v>bla</v>
      </c>
    </row>
    <row r="23" spans="1:9" x14ac:dyDescent="0.2">
      <c r="A23" s="2" t="str">
        <v/>
      </c>
      <c r="C23" s="2" t="str">
        <v>bla</v>
      </c>
      <c r="E23" s="2" t="str">
        <v>bla</v>
      </c>
    </row>
    <row r="24" spans="1:9" x14ac:dyDescent="0.2">
      <c r="A24" s="2" t="str">
        <v/>
      </c>
      <c r="C24" s="2" t="str">
        <v>bla</v>
      </c>
      <c r="E24" s="2" t="str">
        <v>bla</v>
      </c>
    </row>
    <row r="25" spans="1:9" x14ac:dyDescent="0.2">
      <c r="A25" s="2" t="str">
        <v>England</v>
      </c>
      <c r="C25" s="2" t="str">
        <v>England</v>
      </c>
      <c r="E25" s="2" t="str">
        <v>England</v>
      </c>
    </row>
    <row r="26" spans="1:9" x14ac:dyDescent="0.2">
      <c r="A26" s="2" t="str">
        <v/>
      </c>
      <c r="C26" s="2" t="str">
        <v>bla</v>
      </c>
      <c r="E26" s="2" t="str">
        <v>bla</v>
      </c>
    </row>
    <row r="27" spans="1:9" x14ac:dyDescent="0.2">
      <c r="A27" s="2" t="str">
        <v/>
      </c>
      <c r="C27" s="2" t="str">
        <v>bla</v>
      </c>
      <c r="E27" s="2" t="str">
        <v>bla</v>
      </c>
    </row>
    <row r="28" spans="1:9" x14ac:dyDescent="0.2">
      <c r="A28" s="2" t="str">
        <v/>
      </c>
      <c r="C28" s="2" t="str">
        <v>bla</v>
      </c>
      <c r="E28" s="2" t="str">
        <v>bla</v>
      </c>
    </row>
    <row r="29" spans="1:9" x14ac:dyDescent="0.2">
      <c r="A29" s="2" t="str">
        <v/>
      </c>
      <c r="C29" s="2" t="str">
        <v>bla</v>
      </c>
      <c r="E29" s="2" t="str">
        <v>bla</v>
      </c>
    </row>
    <row r="30" spans="1:9" x14ac:dyDescent="0.2">
      <c r="A30" s="2" t="str">
        <v/>
      </c>
      <c r="C30" s="2" t="str">
        <v>bla</v>
      </c>
      <c r="E30" s="2" t="str">
        <v>bla</v>
      </c>
    </row>
    <row r="31" spans="1:9" x14ac:dyDescent="0.2">
      <c r="A31" s="2" t="str">
        <v/>
      </c>
      <c r="C31" s="2" t="str">
        <v>bla</v>
      </c>
      <c r="E31" s="2" t="str">
        <v>bla</v>
      </c>
    </row>
    <row r="32" spans="1:9" x14ac:dyDescent="0.2">
      <c r="A32" s="2" t="str">
        <v>Netherlands</v>
      </c>
      <c r="C32" s="2" t="str">
        <v>Netherlands</v>
      </c>
      <c r="E32" s="2" t="str">
        <v>Netherlands</v>
      </c>
    </row>
    <row r="33" spans="1:5" x14ac:dyDescent="0.2">
      <c r="A33" s="2" t="str">
        <v/>
      </c>
      <c r="C33" s="2" t="str">
        <v>bla</v>
      </c>
      <c r="E33" s="2" t="str">
        <v>bla</v>
      </c>
    </row>
    <row r="34" spans="1:5" x14ac:dyDescent="0.2">
      <c r="A34" s="2" t="str">
        <v/>
      </c>
      <c r="C34" s="2" t="str">
        <v>bla</v>
      </c>
      <c r="E34" s="2" t="str">
        <v>bla</v>
      </c>
    </row>
    <row r="35" spans="1:5" x14ac:dyDescent="0.2">
      <c r="A35" s="2" t="str">
        <v/>
      </c>
      <c r="C35" s="2" t="str">
        <v>bla</v>
      </c>
      <c r="E35" s="2" t="str">
        <v>bla</v>
      </c>
    </row>
    <row r="36" spans="1:5" x14ac:dyDescent="0.2">
      <c r="A36" s="2" t="str">
        <v/>
      </c>
      <c r="C36" s="2" t="str">
        <v>bla</v>
      </c>
      <c r="E36" s="2" t="str">
        <v>bla</v>
      </c>
    </row>
    <row r="37" spans="1:5" x14ac:dyDescent="0.2">
      <c r="A37" s="2" t="str">
        <v/>
      </c>
      <c r="C37" s="2" t="str">
        <v>bla</v>
      </c>
      <c r="E37" s="2" t="str">
        <v>bla</v>
      </c>
    </row>
    <row r="38" spans="1:5" x14ac:dyDescent="0.2">
      <c r="A38" s="2" t="str">
        <v/>
      </c>
      <c r="C38" s="2" t="str">
        <v>bla</v>
      </c>
      <c r="E38" s="2" t="str">
        <v>bla</v>
      </c>
    </row>
    <row r="39" spans="1:5" x14ac:dyDescent="0.2">
      <c r="A39" s="2" t="str">
        <v>Sweden</v>
      </c>
      <c r="C39" s="2" t="str">
        <v>Sweden</v>
      </c>
      <c r="E39" s="2" t="str">
        <v>Sweden</v>
      </c>
    </row>
    <row r="40" spans="1:5" x14ac:dyDescent="0.2">
      <c r="A40" s="2" t="str">
        <v/>
      </c>
      <c r="C40" s="2" t="str">
        <v>bla</v>
      </c>
      <c r="E40" s="2" t="str">
        <v>bla</v>
      </c>
    </row>
    <row r="41" spans="1:5" x14ac:dyDescent="0.2">
      <c r="A41" s="2" t="str">
        <v>USA</v>
      </c>
      <c r="C41" s="2" t="str">
        <v>USA</v>
      </c>
      <c r="E41" s="2" t="str">
        <v>USA</v>
      </c>
    </row>
    <row r="42" spans="1:5" x14ac:dyDescent="0.2">
      <c r="A42" s="2" t="str">
        <v/>
      </c>
      <c r="C42" s="2" t="e">
        <v>#N/A</v>
      </c>
      <c r="E42" s="2" t="str">
        <v/>
      </c>
    </row>
    <row r="43" spans="1:5" x14ac:dyDescent="0.2">
      <c r="A43" s="2" t="str">
        <v/>
      </c>
      <c r="C43" s="2" t="e">
        <v>#N/A</v>
      </c>
      <c r="E43" s="2" t="str">
        <v/>
      </c>
    </row>
    <row r="44" spans="1:5" x14ac:dyDescent="0.2">
      <c r="A44" s="2" t="str">
        <v/>
      </c>
      <c r="C44" s="2" t="e">
        <v>#N/A</v>
      </c>
      <c r="E44" s="2" t="str">
        <v/>
      </c>
    </row>
    <row r="45" spans="1:5" x14ac:dyDescent="0.2">
      <c r="A45" s="2" t="str">
        <v/>
      </c>
      <c r="C45" s="2" t="e">
        <v>#N/A</v>
      </c>
      <c r="E45" s="2" t="str">
        <v/>
      </c>
    </row>
    <row r="46" spans="1:5" x14ac:dyDescent="0.2">
      <c r="A46" s="2" t="str">
        <v/>
      </c>
      <c r="C46" s="2" t="e">
        <v>#N/A</v>
      </c>
      <c r="E46" s="2" t="str">
        <v/>
      </c>
    </row>
    <row r="47" spans="1:5" x14ac:dyDescent="0.2">
      <c r="A47" s="2" t="str">
        <v/>
      </c>
      <c r="C47" s="2" t="e">
        <v>#N/A</v>
      </c>
      <c r="E47" s="2" t="str">
        <v/>
      </c>
    </row>
    <row r="48" spans="1:5" x14ac:dyDescent="0.2">
      <c r="A48" s="2" t="str">
        <v/>
      </c>
      <c r="C48" s="2" t="e">
        <v>#N/A</v>
      </c>
      <c r="E48" s="2" t="str">
        <v/>
      </c>
    </row>
    <row r="49" spans="1:5" x14ac:dyDescent="0.2">
      <c r="A49" s="2" t="str">
        <v/>
      </c>
      <c r="C49" s="2" t="e">
        <v>#N/A</v>
      </c>
      <c r="E49" s="2" t="str">
        <v/>
      </c>
    </row>
    <row r="50" spans="1:5" x14ac:dyDescent="0.2">
      <c r="A50" s="2" t="str">
        <v/>
      </c>
      <c r="C50" s="2" t="e">
        <v>#N/A</v>
      </c>
      <c r="E50" s="2" t="str">
        <v/>
      </c>
    </row>
    <row r="51" spans="1:5" x14ac:dyDescent="0.2">
      <c r="A51" s="2" t="str">
        <v>England</v>
      </c>
      <c r="C51" s="2" t="str">
        <v>England</v>
      </c>
      <c r="E51" s="2" t="str">
        <v>England</v>
      </c>
    </row>
    <row r="52" spans="1:5" x14ac:dyDescent="0.2">
      <c r="A52" s="2" t="str">
        <v/>
      </c>
      <c r="C52" s="2" t="e">
        <v>#N/A</v>
      </c>
      <c r="E52" s="2" t="str">
        <v/>
      </c>
    </row>
    <row r="53" spans="1:5" x14ac:dyDescent="0.2">
      <c r="A53" s="2" t="str">
        <v>Germany</v>
      </c>
      <c r="C53" s="2" t="str">
        <v>Germany</v>
      </c>
      <c r="E53" s="2" t="str">
        <v>Germany</v>
      </c>
    </row>
    <row r="54" spans="1:5" x14ac:dyDescent="0.2">
      <c r="A54" s="2" t="str">
        <v>Japan</v>
      </c>
      <c r="C54" s="2" t="str">
        <v>Japan</v>
      </c>
      <c r="E54" s="2" t="str">
        <v>Japan</v>
      </c>
    </row>
    <row r="55" spans="1:5" x14ac:dyDescent="0.2">
      <c r="A55" s="2" t="str">
        <v/>
      </c>
      <c r="C55" s="2" t="e">
        <v>#N/A</v>
      </c>
      <c r="E55" s="2" t="str">
        <v/>
      </c>
    </row>
    <row r="56" spans="1:5" x14ac:dyDescent="0.2">
      <c r="A56" s="2" t="str">
        <v/>
      </c>
      <c r="C56" s="2" t="e">
        <v>#N/A</v>
      </c>
      <c r="E56" s="2" t="str">
        <v/>
      </c>
    </row>
    <row r="57" spans="1:5" hidden="1" x14ac:dyDescent="0.2">
      <c r="A57" s="2" t="str">
        <v/>
      </c>
      <c r="C57" s="2" t="e">
        <v>#N/A</v>
      </c>
      <c r="E57" s="2" t="str">
        <v/>
      </c>
    </row>
    <row r="58" spans="1:5" hidden="1" x14ac:dyDescent="0.2">
      <c r="A58" s="2" t="str">
        <v/>
      </c>
      <c r="C58" s="2" t="e">
        <v>#N/A</v>
      </c>
      <c r="E58" s="2" t="str">
        <v/>
      </c>
    </row>
    <row r="59" spans="1:5" hidden="1" x14ac:dyDescent="0.2">
      <c r="A59" s="2" t="str">
        <v/>
      </c>
      <c r="C59" s="2" t="e">
        <v>#N/A</v>
      </c>
      <c r="E59" s="2" t="str">
        <v/>
      </c>
    </row>
    <row r="60" spans="1:5" hidden="1" x14ac:dyDescent="0.2">
      <c r="A60" s="2" t="str">
        <v/>
      </c>
      <c r="C60" s="2" t="e">
        <v>#N/A</v>
      </c>
      <c r="E60" s="2" t="str">
        <v/>
      </c>
    </row>
    <row r="61" spans="1:5" hidden="1" x14ac:dyDescent="0.2">
      <c r="A61" s="2" t="str">
        <v/>
      </c>
      <c r="C61" s="2" t="e">
        <v>#N/A</v>
      </c>
      <c r="E61" s="2" t="str">
        <v/>
      </c>
    </row>
    <row r="62" spans="1:5" hidden="1" x14ac:dyDescent="0.2">
      <c r="A62" s="2" t="str">
        <v/>
      </c>
      <c r="C62" s="2" t="e">
        <v>#N/A</v>
      </c>
      <c r="E62" s="2" t="str">
        <v/>
      </c>
    </row>
    <row r="63" spans="1:5" hidden="1" x14ac:dyDescent="0.2">
      <c r="A63" s="2" t="str">
        <v/>
      </c>
      <c r="C63" s="2" t="e">
        <v>#N/A</v>
      </c>
      <c r="E63" s="2" t="str">
        <v/>
      </c>
    </row>
    <row r="64" spans="1:5" hidden="1" x14ac:dyDescent="0.2">
      <c r="A64" s="2" t="str">
        <v/>
      </c>
      <c r="C64" s="2" t="e">
        <v>#N/A</v>
      </c>
      <c r="E64" s="2" t="str">
        <v/>
      </c>
    </row>
    <row r="65" spans="1:5" hidden="1" x14ac:dyDescent="0.2">
      <c r="A65" s="2" t="str">
        <v>USA</v>
      </c>
      <c r="C65" s="2" t="str">
        <v>USA</v>
      </c>
      <c r="E65" s="2" t="str">
        <v>USA</v>
      </c>
    </row>
    <row r="66" spans="1:5" hidden="1" x14ac:dyDescent="0.2">
      <c r="A66" s="2" t="str">
        <v/>
      </c>
      <c r="C66" s="2" t="e">
        <v>#N/A</v>
      </c>
      <c r="E66" s="2" t="str">
        <v/>
      </c>
    </row>
    <row r="67" spans="1:5" hidden="1" x14ac:dyDescent="0.2">
      <c r="A67" s="2" t="str">
        <v/>
      </c>
      <c r="C67" s="2" t="e">
        <v>#N/A</v>
      </c>
      <c r="E67" s="2" t="str">
        <v/>
      </c>
    </row>
    <row r="68" spans="1:5" hidden="1" x14ac:dyDescent="0.2">
      <c r="A68" s="2" t="str">
        <v/>
      </c>
      <c r="C68" s="2" t="e">
        <v>#N/A</v>
      </c>
      <c r="E68" s="2" t="str">
        <v/>
      </c>
    </row>
    <row r="69" spans="1:5" hidden="1" x14ac:dyDescent="0.2">
      <c r="A69" s="2" t="str">
        <v/>
      </c>
      <c r="C69" s="2" t="e">
        <v>#N/A</v>
      </c>
      <c r="E69" s="2" t="str">
        <v/>
      </c>
    </row>
    <row r="70" spans="1:5" hidden="1" x14ac:dyDescent="0.2">
      <c r="A70" s="2" t="str">
        <v/>
      </c>
      <c r="C70" s="2" t="e">
        <v>#N/A</v>
      </c>
      <c r="E70" s="2" t="str">
        <v/>
      </c>
    </row>
    <row r="71" spans="1:5" hidden="1" x14ac:dyDescent="0.2">
      <c r="A71" s="2" t="str">
        <v/>
      </c>
      <c r="C71" s="2" t="e">
        <v>#N/A</v>
      </c>
      <c r="E71" s="2" t="str">
        <v/>
      </c>
    </row>
    <row r="72" spans="1:5" hidden="1" x14ac:dyDescent="0.2">
      <c r="A72" s="2" t="str">
        <v/>
      </c>
      <c r="C72" s="2" t="e">
        <v>#N/A</v>
      </c>
      <c r="E72" s="2" t="str">
        <v/>
      </c>
    </row>
    <row r="73" spans="1:5" hidden="1" x14ac:dyDescent="0.2">
      <c r="A73" s="2" t="str">
        <v/>
      </c>
      <c r="C73" s="2" t="e">
        <v>#N/A</v>
      </c>
      <c r="E73" s="2" t="str">
        <v/>
      </c>
    </row>
    <row r="74" spans="1:5" hidden="1" x14ac:dyDescent="0.2">
      <c r="A74" s="2" t="str">
        <v/>
      </c>
      <c r="C74" s="2" t="e">
        <v>#N/A</v>
      </c>
      <c r="E74" s="2" t="str">
        <v/>
      </c>
    </row>
    <row r="75" spans="1:5" hidden="1" x14ac:dyDescent="0.2">
      <c r="A75" s="2" t="str">
        <v/>
      </c>
      <c r="C75" s="2" t="e">
        <v>#N/A</v>
      </c>
      <c r="E75" s="2" t="str">
        <v/>
      </c>
    </row>
    <row r="76" spans="1:5" hidden="1" x14ac:dyDescent="0.2">
      <c r="A76" s="2" t="str">
        <v/>
      </c>
      <c r="C76" s="2" t="e">
        <v>#N/A</v>
      </c>
      <c r="E76" s="2" t="str">
        <v/>
      </c>
    </row>
    <row r="77" spans="1:5" hidden="1" x14ac:dyDescent="0.2">
      <c r="A77" s="2" t="str">
        <v/>
      </c>
      <c r="C77" s="2" t="e">
        <v>#N/A</v>
      </c>
      <c r="E77" s="2" t="str">
        <v/>
      </c>
    </row>
    <row r="78" spans="1:5" hidden="1" x14ac:dyDescent="0.2">
      <c r="A78" s="2" t="str">
        <v/>
      </c>
      <c r="C78" s="2" t="e">
        <v>#N/A</v>
      </c>
      <c r="E78" s="2" t="str">
        <v/>
      </c>
    </row>
    <row r="79" spans="1:5" hidden="1" x14ac:dyDescent="0.2">
      <c r="A79" s="2" t="str">
        <v/>
      </c>
      <c r="C79" s="2" t="e">
        <v>#N/A</v>
      </c>
      <c r="E79" s="2" t="str">
        <v/>
      </c>
    </row>
    <row r="80" spans="1:5" hidden="1" x14ac:dyDescent="0.2">
      <c r="A80" s="2" t="str">
        <v/>
      </c>
      <c r="C80" s="2" t="e">
        <v>#N/A</v>
      </c>
      <c r="E80" s="2" t="str">
        <v/>
      </c>
    </row>
    <row r="81" spans="1:5" hidden="1" x14ac:dyDescent="0.2">
      <c r="A81" s="2" t="str">
        <v/>
      </c>
      <c r="C81" s="2" t="e">
        <v>#N/A</v>
      </c>
      <c r="E81" s="2" t="str">
        <v/>
      </c>
    </row>
    <row r="82" spans="1:5" hidden="1" x14ac:dyDescent="0.2">
      <c r="A82" s="2" t="str">
        <v/>
      </c>
      <c r="C82" s="2" t="e">
        <v>#N/A</v>
      </c>
      <c r="E82" s="2" t="str">
        <v/>
      </c>
    </row>
    <row r="83" spans="1:5" hidden="1" x14ac:dyDescent="0.2">
      <c r="A83" s="2" t="str">
        <v/>
      </c>
      <c r="C83" s="2" t="e">
        <v>#N/A</v>
      </c>
      <c r="E83" s="2" t="str">
        <v/>
      </c>
    </row>
    <row r="84" spans="1:5" hidden="1" x14ac:dyDescent="0.2">
      <c r="A84" s="2" t="str">
        <v/>
      </c>
      <c r="C84" s="2" t="e">
        <v>#N/A</v>
      </c>
      <c r="E84" s="2" t="str">
        <v/>
      </c>
    </row>
    <row r="85" spans="1:5" hidden="1" x14ac:dyDescent="0.2">
      <c r="A85" s="2" t="str">
        <v/>
      </c>
      <c r="C85" s="2" t="e">
        <v>#N/A</v>
      </c>
      <c r="E85" s="2" t="str">
        <v/>
      </c>
    </row>
    <row r="86" spans="1:5" hidden="1" x14ac:dyDescent="0.2">
      <c r="A86" s="2" t="str">
        <v/>
      </c>
      <c r="C86" s="2" t="e">
        <v>#N/A</v>
      </c>
      <c r="E86" s="2" t="str">
        <v/>
      </c>
    </row>
    <row r="87" spans="1:5" hidden="1" x14ac:dyDescent="0.2">
      <c r="A87" s="2" t="str">
        <v/>
      </c>
      <c r="C87" s="2" t="e">
        <v>#N/A</v>
      </c>
      <c r="E87" s="2" t="str">
        <v/>
      </c>
    </row>
    <row r="88" spans="1:5" hidden="1" x14ac:dyDescent="0.2">
      <c r="A88" s="2" t="str">
        <v/>
      </c>
      <c r="C88" s="2" t="e">
        <v>#N/A</v>
      </c>
      <c r="E88" s="2" t="str">
        <v/>
      </c>
    </row>
    <row r="89" spans="1:5" hidden="1" x14ac:dyDescent="0.2">
      <c r="A89" s="2" t="str">
        <v/>
      </c>
      <c r="C89" s="2" t="e">
        <v>#N/A</v>
      </c>
      <c r="E89" s="2" t="str">
        <v/>
      </c>
    </row>
    <row r="90" spans="1:5" hidden="1" x14ac:dyDescent="0.2">
      <c r="A90" s="2" t="str">
        <v/>
      </c>
      <c r="C90" s="2" t="e">
        <v>#N/A</v>
      </c>
      <c r="E90" s="2" t="str">
        <v/>
      </c>
    </row>
    <row r="91" spans="1:5" hidden="1" x14ac:dyDescent="0.2">
      <c r="A91" s="2" t="str">
        <v/>
      </c>
      <c r="C91" s="2" t="e">
        <v>#N/A</v>
      </c>
      <c r="E91" s="2" t="str">
        <v/>
      </c>
    </row>
    <row r="92" spans="1:5" hidden="1" x14ac:dyDescent="0.2">
      <c r="A92" s="2" t="str">
        <v/>
      </c>
      <c r="C92" s="2" t="e">
        <v>#N/A</v>
      </c>
      <c r="E92" s="2" t="str">
        <v/>
      </c>
    </row>
    <row r="93" spans="1:5" hidden="1" x14ac:dyDescent="0.2">
      <c r="A93" s="2" t="str">
        <v/>
      </c>
      <c r="C93" s="2" t="e">
        <v>#N/A</v>
      </c>
      <c r="E93" s="2" t="str">
        <v/>
      </c>
    </row>
    <row r="94" spans="1:5" hidden="1" x14ac:dyDescent="0.2">
      <c r="A94" s="2" t="str">
        <v/>
      </c>
      <c r="C94" s="2" t="e">
        <v>#N/A</v>
      </c>
      <c r="E94" s="2" t="str">
        <v/>
      </c>
    </row>
    <row r="95" spans="1:5" hidden="1" x14ac:dyDescent="0.2">
      <c r="A95" s="2" t="str">
        <v/>
      </c>
      <c r="C95" s="2" t="e">
        <v>#N/A</v>
      </c>
      <c r="E95" s="2" t="str">
        <v/>
      </c>
    </row>
    <row r="96" spans="1:5" hidden="1" x14ac:dyDescent="0.2">
      <c r="A96" s="2" t="str">
        <v/>
      </c>
      <c r="C96" s="2" t="e">
        <v>#N/A</v>
      </c>
      <c r="E96" s="2" t="str">
        <v/>
      </c>
    </row>
    <row r="97" spans="1:5" hidden="1" x14ac:dyDescent="0.2">
      <c r="A97" s="2" t="str">
        <v/>
      </c>
      <c r="C97" s="2" t="e">
        <v>#N/A</v>
      </c>
      <c r="E97" s="2" t="str">
        <v/>
      </c>
    </row>
    <row r="98" spans="1:5" hidden="1" x14ac:dyDescent="0.2">
      <c r="A98" s="2" t="str">
        <v/>
      </c>
      <c r="C98" s="2" t="e">
        <v>#N/A</v>
      </c>
      <c r="E98" s="2" t="str">
        <v/>
      </c>
    </row>
    <row r="99" spans="1:5" hidden="1" x14ac:dyDescent="0.2">
      <c r="A99" s="2" t="str">
        <v/>
      </c>
      <c r="C99" s="2" t="e">
        <v>#N/A</v>
      </c>
      <c r="E99" s="2" t="str">
        <v/>
      </c>
    </row>
    <row r="100" spans="1:5" hidden="1" x14ac:dyDescent="0.2">
      <c r="A100" s="2" t="str">
        <v/>
      </c>
      <c r="C100" s="2" t="e">
        <v>#N/A</v>
      </c>
      <c r="E100" s="2" t="str">
        <v/>
      </c>
    </row>
    <row r="101" spans="1:5" hidden="1" x14ac:dyDescent="0.2">
      <c r="A101" s="2" t="str">
        <v/>
      </c>
      <c r="C101" s="2" t="e">
        <v>#N/A</v>
      </c>
      <c r="E101" s="2" t="str">
        <v/>
      </c>
    </row>
    <row r="102" spans="1:5" hidden="1" x14ac:dyDescent="0.2">
      <c r="A102" s="2" t="str">
        <v/>
      </c>
      <c r="C102" s="2" t="e">
        <v>#N/A</v>
      </c>
      <c r="E102" s="2" t="str">
        <v/>
      </c>
    </row>
    <row r="103" spans="1:5" hidden="1" x14ac:dyDescent="0.2">
      <c r="A103" s="2" t="str">
        <v/>
      </c>
      <c r="C103" s="2" t="e">
        <v>#N/A</v>
      </c>
      <c r="E103" s="2" t="str">
        <v/>
      </c>
    </row>
    <row r="104" spans="1:5" hidden="1" x14ac:dyDescent="0.2">
      <c r="A104" s="2" t="str">
        <v/>
      </c>
      <c r="C104" s="2" t="e">
        <v>#N/A</v>
      </c>
      <c r="E104" s="2" t="str">
        <v/>
      </c>
    </row>
    <row r="105" spans="1:5" hidden="1" x14ac:dyDescent="0.2">
      <c r="A105" s="2" t="str">
        <v/>
      </c>
      <c r="C105" s="2" t="e">
        <v>#N/A</v>
      </c>
      <c r="E105" s="2" t="str">
        <v/>
      </c>
    </row>
    <row r="106" spans="1:5" hidden="1" x14ac:dyDescent="0.2">
      <c r="A106" s="2" t="str">
        <v/>
      </c>
      <c r="C106" s="2" t="e">
        <v>#N/A</v>
      </c>
      <c r="E106" s="2" t="str">
        <v/>
      </c>
    </row>
    <row r="107" spans="1:5" hidden="1" x14ac:dyDescent="0.2">
      <c r="A107" s="2" t="str">
        <v/>
      </c>
      <c r="C107" s="2" t="e">
        <v>#N/A</v>
      </c>
      <c r="E107" s="2" t="str">
        <v/>
      </c>
    </row>
    <row r="108" spans="1:5" hidden="1" x14ac:dyDescent="0.2">
      <c r="A108" s="2" t="str">
        <v/>
      </c>
      <c r="C108" s="2" t="e">
        <v>#N/A</v>
      </c>
      <c r="E108" s="2" t="str">
        <v/>
      </c>
    </row>
    <row r="109" spans="1:5" hidden="1" x14ac:dyDescent="0.2">
      <c r="A109" s="2" t="str">
        <v/>
      </c>
      <c r="C109" s="2" t="e">
        <v>#N/A</v>
      </c>
      <c r="E109" s="2" t="str">
        <v/>
      </c>
    </row>
    <row r="110" spans="1:5" hidden="1" x14ac:dyDescent="0.2">
      <c r="A110" s="2" t="str">
        <v/>
      </c>
      <c r="C110" s="2" t="e">
        <v>#N/A</v>
      </c>
      <c r="E110" s="2" t="str">
        <v/>
      </c>
    </row>
    <row r="111" spans="1:5" hidden="1" x14ac:dyDescent="0.2">
      <c r="A111" s="2" t="str">
        <v/>
      </c>
      <c r="C111" s="2" t="e">
        <v>#N/A</v>
      </c>
      <c r="E111" s="2" t="str">
        <v/>
      </c>
    </row>
    <row r="112" spans="1:5" hidden="1" x14ac:dyDescent="0.2">
      <c r="A112" s="2" t="str">
        <v/>
      </c>
      <c r="C112" s="2" t="e">
        <v>#N/A</v>
      </c>
      <c r="E112" s="2" t="str">
        <v/>
      </c>
    </row>
    <row r="113" spans="1:5" hidden="1" x14ac:dyDescent="0.2">
      <c r="A113" s="2" t="str">
        <v/>
      </c>
      <c r="C113" s="2" t="e">
        <v>#N/A</v>
      </c>
      <c r="E113" s="2" t="str">
        <v/>
      </c>
    </row>
    <row r="114" spans="1:5" hidden="1" x14ac:dyDescent="0.2">
      <c r="A114" s="2" t="str">
        <v/>
      </c>
      <c r="C114" s="2" t="e">
        <v>#N/A</v>
      </c>
      <c r="E114" s="2" t="str">
        <v/>
      </c>
    </row>
    <row r="115" spans="1:5" hidden="1" x14ac:dyDescent="0.2">
      <c r="A115" s="2" t="str">
        <v/>
      </c>
      <c r="C115" s="2" t="e">
        <v>#N/A</v>
      </c>
      <c r="E115" s="2" t="str">
        <v/>
      </c>
    </row>
    <row r="116" spans="1:5" hidden="1" x14ac:dyDescent="0.2">
      <c r="A116" s="2" t="str">
        <v/>
      </c>
      <c r="C116" s="2" t="e">
        <v>#N/A</v>
      </c>
      <c r="E116" s="2" t="str">
        <v/>
      </c>
    </row>
    <row r="117" spans="1:5" hidden="1" x14ac:dyDescent="0.2">
      <c r="A117" s="2" t="str">
        <v/>
      </c>
      <c r="C117" s="2" t="e">
        <v>#N/A</v>
      </c>
      <c r="E117" s="2" t="str">
        <v/>
      </c>
    </row>
    <row r="118" spans="1:5" hidden="1" x14ac:dyDescent="0.2">
      <c r="A118" s="2" t="str">
        <v/>
      </c>
      <c r="C118" s="2" t="e">
        <v>#N/A</v>
      </c>
      <c r="E118" s="2" t="str">
        <v/>
      </c>
    </row>
    <row r="119" spans="1:5" hidden="1" x14ac:dyDescent="0.2">
      <c r="A119" s="2" t="str">
        <v/>
      </c>
      <c r="C119" s="2" t="e">
        <v>#N/A</v>
      </c>
      <c r="E119" s="2" t="str">
        <v/>
      </c>
    </row>
    <row r="120" spans="1:5" hidden="1" x14ac:dyDescent="0.2">
      <c r="A120" s="2" t="str">
        <v/>
      </c>
      <c r="C120" s="2" t="e">
        <v>#N/A</v>
      </c>
      <c r="E120" s="2" t="str">
        <v/>
      </c>
    </row>
    <row r="121" spans="1:5" hidden="1" x14ac:dyDescent="0.2">
      <c r="A121" s="2" t="str">
        <v/>
      </c>
      <c r="C121" s="2" t="e">
        <v>#N/A</v>
      </c>
      <c r="E121" s="2" t="str">
        <v/>
      </c>
    </row>
    <row r="122" spans="1:5" hidden="1" x14ac:dyDescent="0.2">
      <c r="A122" s="2" t="str">
        <v/>
      </c>
      <c r="C122" s="2" t="e">
        <v>#N/A</v>
      </c>
      <c r="E122" s="2" t="str">
        <v/>
      </c>
    </row>
    <row r="123" spans="1:5" hidden="1" x14ac:dyDescent="0.2">
      <c r="A123" s="2" t="str">
        <v/>
      </c>
      <c r="C123" s="2" t="e">
        <v>#N/A</v>
      </c>
      <c r="E123" s="2" t="str">
        <v/>
      </c>
    </row>
    <row r="124" spans="1:5" hidden="1" x14ac:dyDescent="0.2">
      <c r="A124" s="2" t="str">
        <v/>
      </c>
      <c r="C124" s="2" t="e">
        <v>#N/A</v>
      </c>
      <c r="E124" s="2" t="str">
        <v/>
      </c>
    </row>
    <row r="125" spans="1:5" hidden="1" x14ac:dyDescent="0.2">
      <c r="A125" s="2" t="str">
        <v/>
      </c>
      <c r="C125" s="2" t="e">
        <v>#N/A</v>
      </c>
      <c r="E125" s="2" t="str">
        <v/>
      </c>
    </row>
    <row r="126" spans="1:5" hidden="1" x14ac:dyDescent="0.2">
      <c r="A126" s="2" t="str">
        <v/>
      </c>
      <c r="C126" s="2" t="e">
        <v>#N/A</v>
      </c>
      <c r="E126" s="2" t="str">
        <v/>
      </c>
    </row>
    <row r="127" spans="1:5" hidden="1" x14ac:dyDescent="0.2">
      <c r="A127" s="2" t="str">
        <v/>
      </c>
      <c r="C127" s="2" t="e">
        <v>#N/A</v>
      </c>
      <c r="E127" s="2" t="str">
        <v/>
      </c>
    </row>
    <row r="128" spans="1:5" hidden="1" x14ac:dyDescent="0.2">
      <c r="A128" s="2" t="str">
        <v/>
      </c>
      <c r="C128" s="2" t="e">
        <v>#N/A</v>
      </c>
      <c r="E128" s="2" t="str">
        <v/>
      </c>
    </row>
    <row r="129" spans="1:5" hidden="1" x14ac:dyDescent="0.2">
      <c r="A129" s="2" t="str">
        <v/>
      </c>
      <c r="C129" s="2" t="e">
        <v>#N/A</v>
      </c>
      <c r="E129" s="2" t="str">
        <v/>
      </c>
    </row>
    <row r="130" spans="1:5" hidden="1" x14ac:dyDescent="0.2">
      <c r="A130" s="2" t="str">
        <v/>
      </c>
      <c r="C130" s="2" t="e">
        <v>#N/A</v>
      </c>
      <c r="E130" s="2" t="str">
        <v/>
      </c>
    </row>
    <row r="131" spans="1:5" hidden="1" x14ac:dyDescent="0.2">
      <c r="A131" s="2" t="str">
        <v/>
      </c>
      <c r="C131" s="2" t="e">
        <v>#N/A</v>
      </c>
      <c r="E131" s="2" t="str">
        <v/>
      </c>
    </row>
    <row r="132" spans="1:5" hidden="1" x14ac:dyDescent="0.2">
      <c r="A132" s="2" t="str">
        <v/>
      </c>
      <c r="C132" s="2" t="e">
        <v>#N/A</v>
      </c>
      <c r="E132" s="2" t="str">
        <v/>
      </c>
    </row>
    <row r="133" spans="1:5" hidden="1" x14ac:dyDescent="0.2">
      <c r="A133" s="2" t="str">
        <v/>
      </c>
      <c r="C133" s="2" t="e">
        <v>#N/A</v>
      </c>
      <c r="E133" s="2" t="str">
        <v/>
      </c>
    </row>
    <row r="134" spans="1:5" hidden="1" x14ac:dyDescent="0.2">
      <c r="A134" s="2" t="str">
        <v/>
      </c>
      <c r="C134" s="2" t="e">
        <v>#N/A</v>
      </c>
      <c r="E134" s="2" t="str">
        <v/>
      </c>
    </row>
    <row r="135" spans="1:5" hidden="1" x14ac:dyDescent="0.2">
      <c r="A135" s="2" t="str">
        <v/>
      </c>
      <c r="C135" s="2" t="e">
        <v>#N/A</v>
      </c>
      <c r="E135" s="2" t="str">
        <v/>
      </c>
    </row>
    <row r="136" spans="1:5" hidden="1" x14ac:dyDescent="0.2">
      <c r="A136" s="2" t="str">
        <v/>
      </c>
      <c r="C136" s="2" t="e">
        <v>#N/A</v>
      </c>
      <c r="E136" s="2" t="str">
        <v/>
      </c>
    </row>
    <row r="137" spans="1:5" hidden="1" x14ac:dyDescent="0.2">
      <c r="A137" s="2" t="str">
        <v/>
      </c>
      <c r="C137" s="2" t="e">
        <v>#N/A</v>
      </c>
      <c r="E137" s="2" t="str">
        <v/>
      </c>
    </row>
    <row r="138" spans="1:5" hidden="1" x14ac:dyDescent="0.2">
      <c r="A138" s="2" t="str">
        <v/>
      </c>
      <c r="C138" s="2" t="e">
        <v>#N/A</v>
      </c>
      <c r="E138" s="2" t="str">
        <v/>
      </c>
    </row>
    <row r="139" spans="1:5" hidden="1" x14ac:dyDescent="0.2">
      <c r="A139" s="2" t="str">
        <v/>
      </c>
      <c r="C139" s="2" t="e">
        <v>#N/A</v>
      </c>
      <c r="E139" s="2" t="str">
        <v/>
      </c>
    </row>
    <row r="140" spans="1:5" hidden="1" x14ac:dyDescent="0.2">
      <c r="A140" s="2" t="str">
        <v/>
      </c>
      <c r="C140" s="2" t="e">
        <v>#N/A</v>
      </c>
      <c r="E140" s="2" t="str">
        <v/>
      </c>
    </row>
    <row r="141" spans="1:5" hidden="1" x14ac:dyDescent="0.2">
      <c r="A141" s="2" t="str">
        <v/>
      </c>
      <c r="C141" s="2" t="e">
        <v>#N/A</v>
      </c>
      <c r="E141" s="2" t="str">
        <v/>
      </c>
    </row>
    <row r="142" spans="1:5" hidden="1" x14ac:dyDescent="0.2">
      <c r="A142" s="2" t="str">
        <v/>
      </c>
      <c r="C142" s="2" t="e">
        <v>#N/A</v>
      </c>
      <c r="E142" s="2" t="str">
        <v/>
      </c>
    </row>
    <row r="143" spans="1:5" hidden="1" x14ac:dyDescent="0.2">
      <c r="A143" s="2" t="str">
        <v/>
      </c>
      <c r="C143" s="2" t="e">
        <v>#N/A</v>
      </c>
      <c r="E143" s="2" t="str">
        <v/>
      </c>
    </row>
    <row r="144" spans="1:5" hidden="1" x14ac:dyDescent="0.2">
      <c r="A144" s="2" t="str">
        <v/>
      </c>
      <c r="C144" s="2" t="e">
        <v>#N/A</v>
      </c>
      <c r="E144" s="2" t="str">
        <v/>
      </c>
    </row>
    <row r="145" spans="1:9" hidden="1" x14ac:dyDescent="0.2">
      <c r="A145" s="2" t="str">
        <v/>
      </c>
      <c r="C145" s="2" t="e">
        <v>#N/A</v>
      </c>
      <c r="E145" s="2" t="str">
        <v/>
      </c>
    </row>
    <row r="146" spans="1:9" hidden="1" x14ac:dyDescent="0.2">
      <c r="A146" s="2" t="str">
        <v/>
      </c>
      <c r="C146" s="2" t="e">
        <v>#N/A</v>
      </c>
      <c r="E146" s="2" t="str">
        <v/>
      </c>
    </row>
    <row r="147" spans="1:9" hidden="1" x14ac:dyDescent="0.2">
      <c r="A147" s="2" t="str">
        <v/>
      </c>
      <c r="C147" s="2" t="e">
        <v>#N/A</v>
      </c>
      <c r="E147" s="2" t="str">
        <v/>
      </c>
    </row>
    <row r="148" spans="1:9" hidden="1" x14ac:dyDescent="0.2">
      <c r="A148" s="2" t="str">
        <v/>
      </c>
      <c r="C148" s="2" t="e">
        <v>#N/A</v>
      </c>
      <c r="E148" s="2" t="str">
        <v/>
      </c>
    </row>
    <row r="149" spans="1:9" hidden="1" x14ac:dyDescent="0.2">
      <c r="A149" s="2" t="str">
        <v/>
      </c>
      <c r="C149" s="2" t="e">
        <v>#N/A</v>
      </c>
      <c r="E149" s="2" t="str">
        <v/>
      </c>
    </row>
    <row r="150" spans="1:9" hidden="1" x14ac:dyDescent="0.2">
      <c r="A150" s="2" t="str">
        <v/>
      </c>
      <c r="C150" s="2" t="e">
        <v>#N/A</v>
      </c>
      <c r="E150" s="2" t="str">
        <v/>
      </c>
    </row>
    <row r="151" spans="1:9" hidden="1" x14ac:dyDescent="0.2">
      <c r="A151" s="2" t="str">
        <v/>
      </c>
      <c r="C151" s="2" t="e">
        <v>#N/A</v>
      </c>
      <c r="E151" s="2" t="str">
        <v/>
      </c>
    </row>
    <row r="152" spans="1:9" hidden="1" x14ac:dyDescent="0.2">
      <c r="A152" s="2" t="str">
        <v/>
      </c>
      <c r="C152" s="2" t="e">
        <v>#N/A</v>
      </c>
      <c r="E152" s="2" t="str">
        <v/>
      </c>
    </row>
    <row r="153" spans="1:9" hidden="1" x14ac:dyDescent="0.2">
      <c r="A153" s="2" t="str">
        <v/>
      </c>
      <c r="C153" s="2" t="e">
        <v>#N/A</v>
      </c>
      <c r="E153" s="2" t="str">
        <v/>
      </c>
    </row>
    <row r="155" spans="1:9" s="1" customFormat="1" x14ac:dyDescent="0.2"/>
    <row r="156" spans="1:9" x14ac:dyDescent="0.2">
      <c r="A156" s="12" t="s">
        <v>307</v>
      </c>
    </row>
    <row r="158" spans="1:9" x14ac:dyDescent="0.2">
      <c r="A158" t="s">
        <v>87</v>
      </c>
    </row>
    <row r="160" spans="1:9" x14ac:dyDescent="0.2">
      <c r="A160" s="2" cm="1">
        <f t="array" ref="A160:C162">TRANSPOSE(B3:D5)</f>
        <v>1</v>
      </c>
      <c r="B160" s="2">
        <v>4</v>
      </c>
      <c r="C160" s="2">
        <v>7</v>
      </c>
      <c r="E160" s="2" cm="1">
        <f t="array" ref="E160:E162">TRANSPOSE(B3:D3)</f>
        <v>1</v>
      </c>
      <c r="G160" s="2" cm="1">
        <f t="array" ref="G160:I160">TRANSPOSE(B3:B5)</f>
        <v>1</v>
      </c>
      <c r="H160" s="2">
        <v>4</v>
      </c>
      <c r="I160" s="2">
        <v>7</v>
      </c>
    </row>
    <row r="161" spans="1:5" x14ac:dyDescent="0.2">
      <c r="A161" s="2">
        <v>2</v>
      </c>
      <c r="B161" s="2">
        <v>5</v>
      </c>
      <c r="C161" s="2">
        <v>8</v>
      </c>
      <c r="E161" s="2">
        <v>2</v>
      </c>
    </row>
    <row r="162" spans="1:5" x14ac:dyDescent="0.2">
      <c r="A162" s="2">
        <v>3</v>
      </c>
      <c r="B162" s="2">
        <v>6</v>
      </c>
      <c r="C162" s="2">
        <v>9</v>
      </c>
      <c r="E162" s="2">
        <v>3</v>
      </c>
    </row>
  </sheetData>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EEDE5D-C871-8D4D-9790-B15AEBF21742}">
  <sheetPr codeName="Sheet4"/>
  <dimension ref="A1:C40"/>
  <sheetViews>
    <sheetView topLeftCell="B4" workbookViewId="0">
      <selection activeCell="B4" sqref="B4"/>
    </sheetView>
  </sheetViews>
  <sheetFormatPr baseColWidth="10" defaultColWidth="11" defaultRowHeight="16" x14ac:dyDescent="0.2"/>
  <cols>
    <col min="1" max="1" width="13" bestFit="1" customWidth="1"/>
    <col min="2" max="2" width="21.1640625" bestFit="1" customWidth="1"/>
    <col min="3" max="3" width="11.83203125" bestFit="1" customWidth="1"/>
    <col min="4" max="4" width="11.1640625" bestFit="1" customWidth="1"/>
  </cols>
  <sheetData>
    <row r="1" spans="1:3" x14ac:dyDescent="0.2">
      <c r="A1" s="62" t="s">
        <v>24</v>
      </c>
      <c r="B1" t="s">
        <v>88</v>
      </c>
    </row>
    <row r="3" spans="1:3" x14ac:dyDescent="0.2">
      <c r="A3" s="62" t="s">
        <v>89</v>
      </c>
      <c r="B3" t="s">
        <v>90</v>
      </c>
      <c r="C3" t="s">
        <v>91</v>
      </c>
    </row>
    <row r="4" spans="1:3" x14ac:dyDescent="0.2">
      <c r="A4" s="63" t="s">
        <v>44</v>
      </c>
      <c r="B4">
        <v>9</v>
      </c>
      <c r="C4">
        <v>4</v>
      </c>
    </row>
    <row r="5" spans="1:3" x14ac:dyDescent="0.2">
      <c r="A5" s="63" t="s">
        <v>45</v>
      </c>
      <c r="B5">
        <v>26</v>
      </c>
      <c r="C5">
        <v>37</v>
      </c>
    </row>
    <row r="6" spans="1:3" x14ac:dyDescent="0.2">
      <c r="A6" s="63" t="s">
        <v>46</v>
      </c>
      <c r="B6">
        <v>34</v>
      </c>
      <c r="C6">
        <v>65</v>
      </c>
    </row>
    <row r="7" spans="1:3" x14ac:dyDescent="0.2">
      <c r="A7" s="63" t="s">
        <v>70</v>
      </c>
      <c r="B7">
        <v>3</v>
      </c>
      <c r="C7">
        <v>3</v>
      </c>
    </row>
    <row r="8" spans="1:3" x14ac:dyDescent="0.2">
      <c r="A8" s="63" t="s">
        <v>47</v>
      </c>
      <c r="B8">
        <v>8</v>
      </c>
      <c r="C8">
        <v>12</v>
      </c>
    </row>
    <row r="9" spans="1:3" x14ac:dyDescent="0.2">
      <c r="A9" s="63" t="s">
        <v>48</v>
      </c>
      <c r="B9">
        <v>27</v>
      </c>
      <c r="C9">
        <v>34</v>
      </c>
    </row>
    <row r="10" spans="1:3" x14ac:dyDescent="0.2">
      <c r="A10" s="63" t="s">
        <v>49</v>
      </c>
      <c r="B10">
        <v>3</v>
      </c>
      <c r="C10">
        <v>1</v>
      </c>
    </row>
    <row r="11" spans="1:3" x14ac:dyDescent="0.2">
      <c r="A11" s="63" t="s">
        <v>50</v>
      </c>
      <c r="B11">
        <v>33</v>
      </c>
      <c r="C11">
        <v>53</v>
      </c>
    </row>
    <row r="12" spans="1:3" x14ac:dyDescent="0.2">
      <c r="A12" s="63" t="s">
        <v>79</v>
      </c>
      <c r="B12">
        <v>4</v>
      </c>
      <c r="C12">
        <v>2</v>
      </c>
    </row>
    <row r="13" spans="1:3" x14ac:dyDescent="0.2">
      <c r="A13" s="63" t="s">
        <v>68</v>
      </c>
      <c r="B13">
        <v>7</v>
      </c>
      <c r="C13">
        <v>4</v>
      </c>
    </row>
    <row r="14" spans="1:3" x14ac:dyDescent="0.2">
      <c r="A14" s="63" t="s">
        <v>69</v>
      </c>
      <c r="B14">
        <v>3</v>
      </c>
      <c r="C14">
        <v>3</v>
      </c>
    </row>
    <row r="15" spans="1:3" x14ac:dyDescent="0.2">
      <c r="A15" s="63" t="s">
        <v>76</v>
      </c>
      <c r="B15">
        <v>14</v>
      </c>
      <c r="C15">
        <v>19</v>
      </c>
    </row>
    <row r="16" spans="1:3" x14ac:dyDescent="0.2">
      <c r="A16" s="63" t="s">
        <v>71</v>
      </c>
      <c r="B16">
        <v>3</v>
      </c>
      <c r="C16">
        <v>1</v>
      </c>
    </row>
    <row r="17" spans="1:3" x14ac:dyDescent="0.2">
      <c r="A17" s="63" t="s">
        <v>51</v>
      </c>
      <c r="B17">
        <v>26</v>
      </c>
      <c r="C17">
        <v>42</v>
      </c>
    </row>
    <row r="18" spans="1:3" x14ac:dyDescent="0.2">
      <c r="A18" s="63" t="s">
        <v>74</v>
      </c>
      <c r="B18">
        <v>3</v>
      </c>
      <c r="C18">
        <v>2</v>
      </c>
    </row>
    <row r="19" spans="1:3" x14ac:dyDescent="0.2">
      <c r="A19" s="63" t="s">
        <v>52</v>
      </c>
      <c r="B19">
        <v>19</v>
      </c>
      <c r="C19">
        <v>31</v>
      </c>
    </row>
    <row r="20" spans="1:3" x14ac:dyDescent="0.2">
      <c r="A20" s="63" t="s">
        <v>53</v>
      </c>
      <c r="B20">
        <v>44</v>
      </c>
      <c r="C20">
        <v>119</v>
      </c>
    </row>
    <row r="21" spans="1:3" x14ac:dyDescent="0.2">
      <c r="A21" s="63" t="s">
        <v>77</v>
      </c>
      <c r="B21">
        <v>9</v>
      </c>
      <c r="C21">
        <v>6</v>
      </c>
    </row>
    <row r="22" spans="1:3" x14ac:dyDescent="0.2">
      <c r="A22" s="63" t="s">
        <v>54</v>
      </c>
      <c r="B22">
        <v>12</v>
      </c>
      <c r="C22">
        <v>20</v>
      </c>
    </row>
    <row r="23" spans="1:3" x14ac:dyDescent="0.2">
      <c r="A23" s="63" t="s">
        <v>55</v>
      </c>
      <c r="B23">
        <v>3</v>
      </c>
      <c r="C23">
        <v>1</v>
      </c>
    </row>
    <row r="24" spans="1:3" x14ac:dyDescent="0.2">
      <c r="A24" s="63" t="s">
        <v>56</v>
      </c>
      <c r="B24">
        <v>33</v>
      </c>
      <c r="C24">
        <v>37</v>
      </c>
    </row>
    <row r="25" spans="1:3" x14ac:dyDescent="0.2">
      <c r="A25" s="63" t="s">
        <v>75</v>
      </c>
      <c r="B25">
        <v>13</v>
      </c>
      <c r="C25">
        <v>12</v>
      </c>
    </row>
    <row r="26" spans="1:3" x14ac:dyDescent="0.2">
      <c r="A26" s="63" t="s">
        <v>57</v>
      </c>
      <c r="B26">
        <v>10</v>
      </c>
      <c r="C26">
        <v>6</v>
      </c>
    </row>
    <row r="27" spans="1:3" x14ac:dyDescent="0.2">
      <c r="A27" s="63" t="s">
        <v>72</v>
      </c>
      <c r="B27">
        <v>9</v>
      </c>
      <c r="C27">
        <v>6</v>
      </c>
    </row>
    <row r="28" spans="1:3" x14ac:dyDescent="0.2">
      <c r="A28" s="63" t="s">
        <v>58</v>
      </c>
      <c r="B28">
        <v>11</v>
      </c>
      <c r="C28">
        <v>14</v>
      </c>
    </row>
    <row r="29" spans="1:3" x14ac:dyDescent="0.2">
      <c r="A29" s="63" t="s">
        <v>59</v>
      </c>
      <c r="B29">
        <v>15</v>
      </c>
      <c r="C29">
        <v>7</v>
      </c>
    </row>
    <row r="30" spans="1:3" x14ac:dyDescent="0.2">
      <c r="A30" s="63" t="s">
        <v>60</v>
      </c>
      <c r="B30">
        <v>26</v>
      </c>
      <c r="C30">
        <v>19</v>
      </c>
    </row>
    <row r="31" spans="1:3" x14ac:dyDescent="0.2">
      <c r="A31" s="63" t="s">
        <v>61</v>
      </c>
      <c r="B31">
        <v>40</v>
      </c>
      <c r="C31">
        <v>89</v>
      </c>
    </row>
    <row r="32" spans="1:3" x14ac:dyDescent="0.2">
      <c r="A32" s="63" t="s">
        <v>78</v>
      </c>
      <c r="B32">
        <v>8</v>
      </c>
      <c r="C32">
        <v>15</v>
      </c>
    </row>
    <row r="33" spans="1:3" x14ac:dyDescent="0.2">
      <c r="A33" s="63" t="s">
        <v>62</v>
      </c>
      <c r="B33">
        <v>3</v>
      </c>
      <c r="C33">
        <v>5</v>
      </c>
    </row>
    <row r="34" spans="1:3" x14ac:dyDescent="0.2">
      <c r="A34" s="63" t="s">
        <v>63</v>
      </c>
      <c r="B34">
        <v>3</v>
      </c>
      <c r="C34">
        <v>1</v>
      </c>
    </row>
    <row r="35" spans="1:3" x14ac:dyDescent="0.2">
      <c r="A35" s="63" t="s">
        <v>64</v>
      </c>
      <c r="B35">
        <v>7</v>
      </c>
      <c r="C35">
        <v>6</v>
      </c>
    </row>
    <row r="36" spans="1:3" x14ac:dyDescent="0.2">
      <c r="A36" s="63" t="s">
        <v>65</v>
      </c>
      <c r="B36">
        <v>40</v>
      </c>
      <c r="C36">
        <v>69</v>
      </c>
    </row>
    <row r="37" spans="1:3" x14ac:dyDescent="0.2">
      <c r="A37" s="63" t="s">
        <v>73</v>
      </c>
      <c r="B37">
        <v>4</v>
      </c>
      <c r="C37">
        <v>9</v>
      </c>
    </row>
    <row r="38" spans="1:3" x14ac:dyDescent="0.2">
      <c r="A38" s="63" t="s">
        <v>66</v>
      </c>
      <c r="B38">
        <v>6</v>
      </c>
      <c r="C38">
        <v>4</v>
      </c>
    </row>
    <row r="39" spans="1:3" x14ac:dyDescent="0.2">
      <c r="A39" s="63" t="s">
        <v>67</v>
      </c>
      <c r="B39">
        <v>50</v>
      </c>
      <c r="C39">
        <v>135</v>
      </c>
    </row>
    <row r="40" spans="1:3" x14ac:dyDescent="0.2">
      <c r="A40" s="63" t="s">
        <v>92</v>
      </c>
      <c r="B40">
        <v>568</v>
      </c>
      <c r="C40">
        <v>893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A2A8B6-DC99-EA49-B083-2DA33E72998A}">
  <sheetPr codeName="Sheet5"/>
  <dimension ref="A1:D11"/>
  <sheetViews>
    <sheetView workbookViewId="0">
      <selection activeCell="C9" sqref="C9"/>
    </sheetView>
  </sheetViews>
  <sheetFormatPr baseColWidth="10" defaultColWidth="11" defaultRowHeight="16" x14ac:dyDescent="0.2"/>
  <cols>
    <col min="1" max="1" width="13" bestFit="1" customWidth="1"/>
    <col min="2" max="2" width="21.1640625" bestFit="1" customWidth="1"/>
    <col min="3" max="3" width="11.83203125" bestFit="1" customWidth="1"/>
    <col min="4" max="4" width="18.83203125" bestFit="1" customWidth="1"/>
  </cols>
  <sheetData>
    <row r="1" spans="1:4" x14ac:dyDescent="0.2">
      <c r="A1" s="62" t="s">
        <v>23</v>
      </c>
      <c r="B1" t="s">
        <v>45</v>
      </c>
    </row>
    <row r="3" spans="1:4" x14ac:dyDescent="0.2">
      <c r="A3" s="62" t="s">
        <v>89</v>
      </c>
      <c r="B3" t="s">
        <v>90</v>
      </c>
      <c r="C3" t="s">
        <v>91</v>
      </c>
      <c r="D3" t="s">
        <v>93</v>
      </c>
    </row>
    <row r="4" spans="1:4" x14ac:dyDescent="0.2">
      <c r="A4" s="63">
        <v>1995</v>
      </c>
      <c r="B4">
        <v>3</v>
      </c>
      <c r="C4">
        <v>3</v>
      </c>
    </row>
    <row r="5" spans="1:4" x14ac:dyDescent="0.2">
      <c r="A5" s="63">
        <v>1999</v>
      </c>
      <c r="B5">
        <v>3</v>
      </c>
      <c r="C5">
        <v>3</v>
      </c>
    </row>
    <row r="6" spans="1:4" x14ac:dyDescent="0.2">
      <c r="A6" s="63">
        <v>2003</v>
      </c>
      <c r="B6">
        <v>3</v>
      </c>
      <c r="C6">
        <v>3</v>
      </c>
      <c r="D6">
        <v>49</v>
      </c>
    </row>
    <row r="7" spans="1:4" x14ac:dyDescent="0.2">
      <c r="A7" s="63">
        <v>2007</v>
      </c>
      <c r="B7">
        <v>4</v>
      </c>
      <c r="C7">
        <v>9</v>
      </c>
      <c r="D7">
        <v>48.3</v>
      </c>
    </row>
    <row r="8" spans="1:4" x14ac:dyDescent="0.2">
      <c r="A8" s="63">
        <v>2011</v>
      </c>
      <c r="B8">
        <v>4</v>
      </c>
      <c r="C8">
        <v>6</v>
      </c>
      <c r="D8">
        <v>53.5</v>
      </c>
    </row>
    <row r="9" spans="1:4" x14ac:dyDescent="0.2">
      <c r="A9" s="63">
        <v>2015</v>
      </c>
      <c r="B9">
        <v>5</v>
      </c>
      <c r="C9">
        <v>5</v>
      </c>
      <c r="D9">
        <v>46.2</v>
      </c>
    </row>
    <row r="10" spans="1:4" x14ac:dyDescent="0.2">
      <c r="A10" s="63">
        <v>2019</v>
      </c>
      <c r="B10">
        <v>4</v>
      </c>
      <c r="C10">
        <v>8</v>
      </c>
      <c r="D10">
        <v>61.3</v>
      </c>
    </row>
    <row r="11" spans="1:4" x14ac:dyDescent="0.2">
      <c r="A11" s="63" t="s">
        <v>92</v>
      </c>
      <c r="B11">
        <v>26</v>
      </c>
      <c r="C11">
        <v>37</v>
      </c>
      <c r="D11">
        <v>51.660000000000004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B98F99-263A-E34D-8128-C80B9EDEAD11}">
  <sheetPr codeName="Sheet6"/>
  <dimension ref="A1:T210"/>
  <sheetViews>
    <sheetView topLeftCell="A176" workbookViewId="0">
      <selection activeCell="I206" sqref="I206"/>
    </sheetView>
  </sheetViews>
  <sheetFormatPr baseColWidth="10" defaultColWidth="11" defaultRowHeight="16" x14ac:dyDescent="0.2"/>
  <cols>
    <col min="2" max="2" width="15.33203125" customWidth="1"/>
    <col min="9" max="9" width="11.5" customWidth="1"/>
    <col min="15" max="15" width="11.5" customWidth="1"/>
  </cols>
  <sheetData>
    <row r="1" spans="1:12" x14ac:dyDescent="0.2">
      <c r="A1" s="12" t="s">
        <v>94</v>
      </c>
    </row>
    <row r="3" spans="1:12" x14ac:dyDescent="0.2">
      <c r="A3" t="s">
        <v>95</v>
      </c>
      <c r="B3" s="2" cm="1">
        <f t="array" ref="B3:B6">LEN(A3:A6)</f>
        <v>5</v>
      </c>
      <c r="C3" s="64" t="s">
        <v>96</v>
      </c>
    </row>
    <row r="4" spans="1:12" x14ac:dyDescent="0.2">
      <c r="A4" t="s">
        <v>97</v>
      </c>
      <c r="B4" s="2">
        <v>6</v>
      </c>
    </row>
    <row r="5" spans="1:12" x14ac:dyDescent="0.2">
      <c r="A5" t="s">
        <v>98</v>
      </c>
      <c r="B5" s="2">
        <v>2</v>
      </c>
    </row>
    <row r="6" spans="1:12" x14ac:dyDescent="0.2">
      <c r="A6" t="s">
        <v>99</v>
      </c>
      <c r="B6" s="2">
        <v>9</v>
      </c>
    </row>
    <row r="7" spans="1:12" ht="17" thickBot="1" x14ac:dyDescent="0.25">
      <c r="B7" s="65" cm="1">
        <f t="array" ref="B7">SUM(LEN(_xlfn.ANCHORARRAY(B3)))</f>
        <v>4</v>
      </c>
      <c r="C7">
        <f>SUM(_xlfn.ANCHORARRAY(B3))</f>
        <v>22</v>
      </c>
    </row>
    <row r="8" spans="1:12" s="66" customFormat="1" ht="17" thickTop="1" x14ac:dyDescent="0.2">
      <c r="B8" s="118" t="s">
        <v>308</v>
      </c>
      <c r="C8" s="118" t="s">
        <v>309</v>
      </c>
    </row>
    <row r="10" spans="1:12" x14ac:dyDescent="0.2">
      <c r="A10" s="12" t="s">
        <v>100</v>
      </c>
    </row>
    <row r="11" spans="1:12" x14ac:dyDescent="0.2">
      <c r="H11" s="67" t="s">
        <v>101</v>
      </c>
      <c r="K11" s="67" t="s">
        <v>102</v>
      </c>
    </row>
    <row r="12" spans="1:12" x14ac:dyDescent="0.2">
      <c r="A12" s="2" cm="1">
        <f t="array" ref="A12:A147">IF(matches_played=7,1,0)</f>
        <v>0</v>
      </c>
      <c r="B12" t="str">
        <f ca="1">_xlfn.FORMULATEXT(A12)</f>
        <v>=IF(matches_played=7,1,0)</v>
      </c>
      <c r="H12" s="2" cm="1">
        <f t="array" ref="H12:H29">IF(Fire&gt;Water,1,0)</f>
        <v>0</v>
      </c>
      <c r="I12" t="str">
        <f ca="1">_xlfn.FORMULATEXT(H12)</f>
        <v>=IF(Fire&gt;Water,1,0)</v>
      </c>
      <c r="K12" s="2" t="str" cm="1">
        <f t="array" ref="K12:K29">IF(Fire&gt;Water,Attacking,"")</f>
        <v/>
      </c>
      <c r="L12" t="str">
        <f ca="1">_xlfn.FORMULATEXT(K12)</f>
        <v>=IF(Fire&gt;Water,Attacking,"")</v>
      </c>
    </row>
    <row r="13" spans="1:12" x14ac:dyDescent="0.2">
      <c r="A13" s="2">
        <v>0</v>
      </c>
      <c r="H13" s="2">
        <v>0</v>
      </c>
      <c r="K13" s="2" t="str">
        <v/>
      </c>
    </row>
    <row r="14" spans="1:12" x14ac:dyDescent="0.2">
      <c r="A14" s="2">
        <v>0</v>
      </c>
      <c r="B14">
        <v>1</v>
      </c>
      <c r="C14" s="2" cm="1">
        <f t="array" ref="C14">SUM(IF(matches_played=B14,1,0))</f>
        <v>0</v>
      </c>
      <c r="D14" t="str" cm="1">
        <f t="array" aca="1" ref="D14:D20" ca="1">_xlfn.FORMULATEXT(C14:C20)</f>
        <v>=SUM(IF(matches_played=B14,1,0))</v>
      </c>
      <c r="H14" s="2">
        <v>1</v>
      </c>
      <c r="K14" s="2" t="str">
        <v>Water</v>
      </c>
    </row>
    <row r="15" spans="1:12" x14ac:dyDescent="0.2">
      <c r="A15" s="2">
        <v>0</v>
      </c>
      <c r="B15">
        <v>2</v>
      </c>
      <c r="C15" s="2" cm="1">
        <f t="array" ref="C15">SUM(IF(matches_played=B15,1,0))</f>
        <v>0</v>
      </c>
      <c r="D15" t="str">
        <f ca="1"/>
        <v>=SUM(IF(matches_played=B15,1,0))</v>
      </c>
      <c r="H15" s="2">
        <v>0</v>
      </c>
      <c r="K15" s="2" t="str">
        <v/>
      </c>
    </row>
    <row r="16" spans="1:12" x14ac:dyDescent="0.2">
      <c r="A16" s="2">
        <v>0</v>
      </c>
      <c r="B16">
        <v>3</v>
      </c>
      <c r="C16" s="2" cm="1">
        <f t="array" ref="C16">SUM(IF(matches_played=B16,1,0))</f>
        <v>56</v>
      </c>
      <c r="D16" t="str">
        <f ca="1"/>
        <v>=SUM(IF(matches_played=B16,1,0))</v>
      </c>
      <c r="H16" s="2">
        <v>0</v>
      </c>
      <c r="K16" s="2" t="str">
        <v/>
      </c>
    </row>
    <row r="17" spans="1:13" x14ac:dyDescent="0.2">
      <c r="A17" s="2">
        <v>0</v>
      </c>
      <c r="B17">
        <v>4</v>
      </c>
      <c r="C17" s="2" cm="1">
        <f t="array" ref="C17">SUM(IF(matches_played=B17,1,0))</f>
        <v>40</v>
      </c>
      <c r="D17" t="str">
        <f ca="1"/>
        <v>=SUM(IF(matches_played=B17,1,0))</v>
      </c>
      <c r="H17" s="2">
        <v>0</v>
      </c>
      <c r="K17" s="2" t="str">
        <v/>
      </c>
    </row>
    <row r="18" spans="1:13" x14ac:dyDescent="0.2">
      <c r="A18" s="2">
        <v>0</v>
      </c>
      <c r="B18">
        <v>5</v>
      </c>
      <c r="C18" s="2" cm="1">
        <f t="array" ref="C18">SUM(IF(matches_played=B18,1,0))</f>
        <v>8</v>
      </c>
      <c r="D18" t="str">
        <f ca="1"/>
        <v>=SUM(IF(matches_played=B18,1,0))</v>
      </c>
      <c r="H18" s="2">
        <v>0</v>
      </c>
      <c r="K18" s="2" t="str">
        <v/>
      </c>
    </row>
    <row r="19" spans="1:13" x14ac:dyDescent="0.2">
      <c r="A19" s="2">
        <v>1</v>
      </c>
      <c r="B19">
        <v>6</v>
      </c>
      <c r="C19" s="2" cm="1">
        <f t="array" ref="C19">SUM(IF(matches_played=B19,1,0))</f>
        <v>24</v>
      </c>
      <c r="D19" t="str">
        <f ca="1"/>
        <v>=SUM(IF(matches_played=B19,1,0))</v>
      </c>
      <c r="H19" s="2">
        <v>0</v>
      </c>
      <c r="K19" s="2" t="str">
        <v/>
      </c>
    </row>
    <row r="20" spans="1:13" x14ac:dyDescent="0.2">
      <c r="A20" s="2">
        <v>0</v>
      </c>
      <c r="B20">
        <v>7</v>
      </c>
      <c r="C20" s="2" cm="1">
        <f t="array" ref="C20">SUM(IF(matches_played=B20,1,0))</f>
        <v>8</v>
      </c>
      <c r="D20" t="str">
        <f ca="1"/>
        <v>=SUM(IF(matches_played=B20,1,0))</v>
      </c>
      <c r="H20" s="2">
        <v>1</v>
      </c>
      <c r="K20" s="2" t="str">
        <v>Ground</v>
      </c>
    </row>
    <row r="21" spans="1:13" x14ac:dyDescent="0.2">
      <c r="A21" s="2">
        <v>0</v>
      </c>
      <c r="H21" s="2">
        <v>0</v>
      </c>
      <c r="K21" s="2" t="str">
        <v/>
      </c>
    </row>
    <row r="22" spans="1:13" x14ac:dyDescent="0.2">
      <c r="A22" s="2">
        <v>0</v>
      </c>
      <c r="H22" s="2">
        <v>0</v>
      </c>
      <c r="K22" s="2" t="str">
        <v/>
      </c>
    </row>
    <row r="23" spans="1:13" x14ac:dyDescent="0.2">
      <c r="A23" s="2">
        <v>0</v>
      </c>
      <c r="H23" s="2">
        <v>0</v>
      </c>
      <c r="K23" s="2" t="str">
        <v/>
      </c>
    </row>
    <row r="24" spans="1:13" x14ac:dyDescent="0.2">
      <c r="A24" s="2">
        <v>0</v>
      </c>
      <c r="H24" s="2">
        <v>1</v>
      </c>
      <c r="K24" s="2" t="str">
        <v>Rock</v>
      </c>
    </row>
    <row r="25" spans="1:13" x14ac:dyDescent="0.2">
      <c r="A25" s="2">
        <v>0</v>
      </c>
      <c r="H25" s="2">
        <v>0</v>
      </c>
      <c r="K25" s="2" t="str">
        <v/>
      </c>
    </row>
    <row r="26" spans="1:13" x14ac:dyDescent="0.2">
      <c r="A26" s="2">
        <v>1</v>
      </c>
      <c r="H26" s="2">
        <v>0</v>
      </c>
      <c r="K26" s="2" t="str">
        <v/>
      </c>
    </row>
    <row r="27" spans="1:13" x14ac:dyDescent="0.2">
      <c r="A27" s="2">
        <v>0</v>
      </c>
      <c r="H27" s="2">
        <v>0</v>
      </c>
      <c r="K27" s="2" t="str">
        <v/>
      </c>
    </row>
    <row r="28" spans="1:13" x14ac:dyDescent="0.2">
      <c r="A28" s="2">
        <v>0</v>
      </c>
      <c r="H28" s="2">
        <v>0</v>
      </c>
      <c r="K28" s="2" t="str">
        <v/>
      </c>
    </row>
    <row r="29" spans="1:13" x14ac:dyDescent="0.2">
      <c r="A29" s="2">
        <v>0</v>
      </c>
      <c r="H29" s="2">
        <v>0</v>
      </c>
      <c r="K29" s="2" t="str">
        <v/>
      </c>
    </row>
    <row r="30" spans="1:13" ht="17" thickBot="1" x14ac:dyDescent="0.25">
      <c r="A30" s="2">
        <v>0</v>
      </c>
    </row>
    <row r="31" spans="1:13" x14ac:dyDescent="0.2">
      <c r="A31" s="2">
        <v>0</v>
      </c>
      <c r="C31" s="3" t="s">
        <v>103</v>
      </c>
      <c r="D31" s="4" t="s">
        <v>104</v>
      </c>
      <c r="E31" s="4" t="s">
        <v>105</v>
      </c>
      <c r="F31" s="5" t="s">
        <v>106</v>
      </c>
      <c r="I31" t="str">
        <f ca="1">_xlfn.FORMULATEXT(I32)</f>
        <v>=VLOOKUP(H32,lossratios,{2,4},FALSE)</v>
      </c>
      <c r="M31" t="str">
        <f ca="1">_xlfn.FORMULATEXT(M32)</f>
        <v>=AVERAGE(VLOOKUP(H32,lossratios,{2,4},FALSE))</v>
      </c>
    </row>
    <row r="32" spans="1:13" x14ac:dyDescent="0.2">
      <c r="A32" s="2">
        <v>0</v>
      </c>
      <c r="C32" s="6" t="s">
        <v>107</v>
      </c>
      <c r="D32" s="68">
        <v>0.92900000000000005</v>
      </c>
      <c r="E32" s="68">
        <v>0.76500000000000001</v>
      </c>
      <c r="F32" s="69">
        <v>0.94099999999999995</v>
      </c>
      <c r="H32" t="str" cm="1">
        <f t="array" ref="H32:H35">C32:C35</f>
        <v>Motor</v>
      </c>
      <c r="I32" s="2" cm="1">
        <f t="array" ref="I32:J32">VLOOKUP(H32,lossratios,{2,4},FALSE)</f>
        <v>0.92900000000000005</v>
      </c>
      <c r="J32" s="2">
        <v>0.94099999999999995</v>
      </c>
      <c r="M32" s="2" cm="1">
        <f t="array" ref="M32">AVERAGE(VLOOKUP(H32,lossratios,{2,4},FALSE))</f>
        <v>0.93500000000000005</v>
      </c>
    </row>
    <row r="33" spans="1:13" x14ac:dyDescent="0.2">
      <c r="A33" s="2">
        <v>1</v>
      </c>
      <c r="C33" s="6" t="s">
        <v>108</v>
      </c>
      <c r="D33" s="68">
        <v>0.61199999999999999</v>
      </c>
      <c r="E33" s="68">
        <v>0.76100000000000001</v>
      </c>
      <c r="F33" s="69">
        <v>1.093</v>
      </c>
      <c r="H33" t="str">
        <v>Liability</v>
      </c>
      <c r="I33" s="2" cm="1">
        <f t="array" ref="I33:J33">VLOOKUP(H33,lossratios,{2,4},FALSE)</f>
        <v>0.61199999999999999</v>
      </c>
      <c r="J33" s="2">
        <v>1.093</v>
      </c>
      <c r="M33" s="2" cm="1">
        <f t="array" ref="M33">AVERAGE(VLOOKUP(H33,lossratios,{2,4},FALSE))</f>
        <v>0.85250000000000004</v>
      </c>
    </row>
    <row r="34" spans="1:13" x14ac:dyDescent="0.2">
      <c r="A34" s="2">
        <v>0</v>
      </c>
      <c r="C34" s="6" t="s">
        <v>109</v>
      </c>
      <c r="D34" s="68">
        <v>0.871</v>
      </c>
      <c r="E34" s="68">
        <v>0.92800000000000005</v>
      </c>
      <c r="F34" s="69">
        <v>0.65900000000000003</v>
      </c>
      <c r="H34" t="str">
        <v>Life</v>
      </c>
      <c r="I34" s="2" cm="1">
        <f t="array" ref="I34:J34">VLOOKUP(H34,lossratios,{2,4},FALSE)</f>
        <v>0.871</v>
      </c>
      <c r="J34" s="2">
        <v>0.65900000000000003</v>
      </c>
      <c r="M34" s="2" cm="1">
        <f t="array" ref="M34">AVERAGE(VLOOKUP(H34,lossratios,{2,4},FALSE))</f>
        <v>0.76500000000000001</v>
      </c>
    </row>
    <row r="35" spans="1:13" ht="17" thickBot="1" x14ac:dyDescent="0.25">
      <c r="A35" s="2">
        <v>1</v>
      </c>
      <c r="C35" s="8" t="s">
        <v>110</v>
      </c>
      <c r="D35" s="70">
        <v>1.0489999999999999</v>
      </c>
      <c r="E35" s="70">
        <v>0.67500000000000004</v>
      </c>
      <c r="F35" s="71">
        <v>0.96699999999999997</v>
      </c>
      <c r="H35" t="str">
        <v>Property</v>
      </c>
      <c r="I35" s="2" cm="1">
        <f t="array" ref="I35:J35">VLOOKUP(H35,lossratios,{2,4},FALSE)</f>
        <v>1.0489999999999999</v>
      </c>
      <c r="J35" s="2">
        <v>0.96699999999999997</v>
      </c>
      <c r="M35" s="2" cm="1">
        <f t="array" ref="M35">AVERAGE(VLOOKUP(H35,lossratios,{2,4},FALSE))</f>
        <v>1.008</v>
      </c>
    </row>
    <row r="36" spans="1:13" x14ac:dyDescent="0.2">
      <c r="A36" s="2">
        <v>0</v>
      </c>
    </row>
    <row r="37" spans="1:13" x14ac:dyDescent="0.2">
      <c r="A37" s="2">
        <v>0</v>
      </c>
      <c r="H37" t="str">
        <f>C32</f>
        <v>Motor</v>
      </c>
      <c r="I37" s="2" cm="1">
        <f t="array" ref="I37:I38">VLOOKUP(H37,lossratios,{2;4},FALSE)</f>
        <v>0.92900000000000005</v>
      </c>
      <c r="J37" t="str">
        <f ca="1">_xlfn.FORMULATEXT(I37)</f>
        <v>=VLOOKUP(H37,lossratios,{2;4},FALSE)</v>
      </c>
    </row>
    <row r="38" spans="1:13" x14ac:dyDescent="0.2">
      <c r="A38" s="2">
        <v>0</v>
      </c>
      <c r="I38" s="2">
        <v>0.94099999999999995</v>
      </c>
    </row>
    <row r="39" spans="1:13" x14ac:dyDescent="0.2">
      <c r="A39" s="2">
        <v>0</v>
      </c>
    </row>
    <row r="40" spans="1:13" x14ac:dyDescent="0.2">
      <c r="A40" s="2">
        <v>0</v>
      </c>
    </row>
    <row r="41" spans="1:13" hidden="1" x14ac:dyDescent="0.2">
      <c r="A41" s="2">
        <v>0</v>
      </c>
    </row>
    <row r="42" spans="1:13" hidden="1" x14ac:dyDescent="0.2">
      <c r="A42" s="2">
        <v>0</v>
      </c>
    </row>
    <row r="43" spans="1:13" hidden="1" x14ac:dyDescent="0.2">
      <c r="A43" s="2">
        <v>0</v>
      </c>
    </row>
    <row r="44" spans="1:13" hidden="1" x14ac:dyDescent="0.2">
      <c r="A44" s="2">
        <v>0</v>
      </c>
    </row>
    <row r="45" spans="1:13" hidden="1" x14ac:dyDescent="0.2">
      <c r="A45" s="2">
        <v>1</v>
      </c>
    </row>
    <row r="46" spans="1:13" hidden="1" x14ac:dyDescent="0.2">
      <c r="A46" s="2">
        <v>0</v>
      </c>
    </row>
    <row r="47" spans="1:13" hidden="1" x14ac:dyDescent="0.2">
      <c r="A47" s="2">
        <v>1</v>
      </c>
    </row>
    <row r="48" spans="1:13" hidden="1" x14ac:dyDescent="0.2">
      <c r="A48" s="2">
        <v>1</v>
      </c>
    </row>
    <row r="49" spans="1:1" hidden="1" x14ac:dyDescent="0.2">
      <c r="A49" s="2">
        <v>0</v>
      </c>
    </row>
    <row r="50" spans="1:1" hidden="1" x14ac:dyDescent="0.2">
      <c r="A50" s="2">
        <v>0</v>
      </c>
    </row>
    <row r="51" spans="1:1" hidden="1" x14ac:dyDescent="0.2">
      <c r="A51" s="2">
        <v>0</v>
      </c>
    </row>
    <row r="52" spans="1:1" hidden="1" x14ac:dyDescent="0.2">
      <c r="A52" s="2">
        <v>0</v>
      </c>
    </row>
    <row r="53" spans="1:1" hidden="1" x14ac:dyDescent="0.2">
      <c r="A53" s="2">
        <v>0</v>
      </c>
    </row>
    <row r="54" spans="1:1" hidden="1" x14ac:dyDescent="0.2">
      <c r="A54" s="2">
        <v>0</v>
      </c>
    </row>
    <row r="55" spans="1:1" hidden="1" x14ac:dyDescent="0.2">
      <c r="A55" s="2">
        <v>0</v>
      </c>
    </row>
    <row r="56" spans="1:1" hidden="1" x14ac:dyDescent="0.2">
      <c r="A56" s="2">
        <v>0</v>
      </c>
    </row>
    <row r="57" spans="1:1" hidden="1" x14ac:dyDescent="0.2">
      <c r="A57" s="2">
        <v>0</v>
      </c>
    </row>
    <row r="58" spans="1:1" hidden="1" x14ac:dyDescent="0.2">
      <c r="A58" s="2">
        <v>0</v>
      </c>
    </row>
    <row r="59" spans="1:1" hidden="1" x14ac:dyDescent="0.2">
      <c r="A59" s="2">
        <v>1</v>
      </c>
    </row>
    <row r="60" spans="1:1" hidden="1" x14ac:dyDescent="0.2">
      <c r="A60" s="2">
        <v>0</v>
      </c>
    </row>
    <row r="61" spans="1:1" hidden="1" x14ac:dyDescent="0.2">
      <c r="A61" s="2">
        <v>0</v>
      </c>
    </row>
    <row r="62" spans="1:1" hidden="1" x14ac:dyDescent="0.2">
      <c r="A62" s="2">
        <v>0</v>
      </c>
    </row>
    <row r="63" spans="1:1" hidden="1" x14ac:dyDescent="0.2">
      <c r="A63" s="2">
        <v>0</v>
      </c>
    </row>
    <row r="64" spans="1:1" hidden="1" x14ac:dyDescent="0.2">
      <c r="A64" s="2">
        <v>0</v>
      </c>
    </row>
    <row r="65" spans="1:1" hidden="1" x14ac:dyDescent="0.2">
      <c r="A65" s="2">
        <v>0</v>
      </c>
    </row>
    <row r="66" spans="1:1" hidden="1" x14ac:dyDescent="0.2">
      <c r="A66" s="2">
        <v>0</v>
      </c>
    </row>
    <row r="67" spans="1:1" hidden="1" x14ac:dyDescent="0.2">
      <c r="A67" s="2">
        <v>0</v>
      </c>
    </row>
    <row r="68" spans="1:1" hidden="1" x14ac:dyDescent="0.2">
      <c r="A68" s="2">
        <v>0</v>
      </c>
    </row>
    <row r="69" spans="1:1" hidden="1" x14ac:dyDescent="0.2">
      <c r="A69" s="2">
        <v>0</v>
      </c>
    </row>
    <row r="70" spans="1:1" hidden="1" x14ac:dyDescent="0.2">
      <c r="A70" s="2">
        <v>0</v>
      </c>
    </row>
    <row r="71" spans="1:1" hidden="1" x14ac:dyDescent="0.2">
      <c r="A71" s="2">
        <v>0</v>
      </c>
    </row>
    <row r="72" spans="1:1" hidden="1" x14ac:dyDescent="0.2">
      <c r="A72" s="2">
        <v>0</v>
      </c>
    </row>
    <row r="73" spans="1:1" hidden="1" x14ac:dyDescent="0.2">
      <c r="A73" s="2">
        <v>0</v>
      </c>
    </row>
    <row r="74" spans="1:1" hidden="1" x14ac:dyDescent="0.2">
      <c r="A74" s="2">
        <v>0</v>
      </c>
    </row>
    <row r="75" spans="1:1" hidden="1" x14ac:dyDescent="0.2">
      <c r="A75" s="2">
        <v>0</v>
      </c>
    </row>
    <row r="76" spans="1:1" hidden="1" x14ac:dyDescent="0.2">
      <c r="A76" s="2">
        <v>0</v>
      </c>
    </row>
    <row r="77" spans="1:1" hidden="1" x14ac:dyDescent="0.2">
      <c r="A77" s="2">
        <v>0</v>
      </c>
    </row>
    <row r="78" spans="1:1" hidden="1" x14ac:dyDescent="0.2">
      <c r="A78" s="2">
        <v>0</v>
      </c>
    </row>
    <row r="79" spans="1:1" hidden="1" x14ac:dyDescent="0.2">
      <c r="A79" s="2">
        <v>0</v>
      </c>
    </row>
    <row r="80" spans="1:1" hidden="1" x14ac:dyDescent="0.2">
      <c r="A80" s="2">
        <v>0</v>
      </c>
    </row>
    <row r="81" spans="1:1" hidden="1" x14ac:dyDescent="0.2">
      <c r="A81" s="2">
        <v>0</v>
      </c>
    </row>
    <row r="82" spans="1:1" hidden="1" x14ac:dyDescent="0.2">
      <c r="A82" s="2">
        <v>0</v>
      </c>
    </row>
    <row r="83" spans="1:1" hidden="1" x14ac:dyDescent="0.2">
      <c r="A83" s="2">
        <v>0</v>
      </c>
    </row>
    <row r="84" spans="1:1" hidden="1" x14ac:dyDescent="0.2">
      <c r="A84" s="2">
        <v>0</v>
      </c>
    </row>
    <row r="85" spans="1:1" hidden="1" x14ac:dyDescent="0.2">
      <c r="A85" s="2">
        <v>0</v>
      </c>
    </row>
    <row r="86" spans="1:1" hidden="1" x14ac:dyDescent="0.2">
      <c r="A86" s="2">
        <v>0</v>
      </c>
    </row>
    <row r="87" spans="1:1" hidden="1" x14ac:dyDescent="0.2">
      <c r="A87" s="2">
        <v>0</v>
      </c>
    </row>
    <row r="88" spans="1:1" hidden="1" x14ac:dyDescent="0.2">
      <c r="A88" s="2">
        <v>0</v>
      </c>
    </row>
    <row r="89" spans="1:1" hidden="1" x14ac:dyDescent="0.2">
      <c r="A89" s="2">
        <v>0</v>
      </c>
    </row>
    <row r="90" spans="1:1" hidden="1" x14ac:dyDescent="0.2">
      <c r="A90" s="2">
        <v>0</v>
      </c>
    </row>
    <row r="91" spans="1:1" hidden="1" x14ac:dyDescent="0.2">
      <c r="A91" s="2">
        <v>0</v>
      </c>
    </row>
    <row r="92" spans="1:1" hidden="1" x14ac:dyDescent="0.2">
      <c r="A92" s="2">
        <v>0</v>
      </c>
    </row>
    <row r="93" spans="1:1" hidden="1" x14ac:dyDescent="0.2">
      <c r="A93" s="2">
        <v>0</v>
      </c>
    </row>
    <row r="94" spans="1:1" hidden="1" x14ac:dyDescent="0.2">
      <c r="A94" s="2">
        <v>0</v>
      </c>
    </row>
    <row r="95" spans="1:1" hidden="1" x14ac:dyDescent="0.2">
      <c r="A95" s="2">
        <v>0</v>
      </c>
    </row>
    <row r="96" spans="1:1" hidden="1" x14ac:dyDescent="0.2">
      <c r="A96" s="2">
        <v>0</v>
      </c>
    </row>
    <row r="97" spans="1:1" hidden="1" x14ac:dyDescent="0.2">
      <c r="A97" s="2">
        <v>0</v>
      </c>
    </row>
    <row r="98" spans="1:1" hidden="1" x14ac:dyDescent="0.2">
      <c r="A98" s="2">
        <v>0</v>
      </c>
    </row>
    <row r="99" spans="1:1" hidden="1" x14ac:dyDescent="0.2">
      <c r="A99" s="2">
        <v>0</v>
      </c>
    </row>
    <row r="100" spans="1:1" hidden="1" x14ac:dyDescent="0.2">
      <c r="A100" s="2">
        <v>0</v>
      </c>
    </row>
    <row r="101" spans="1:1" hidden="1" x14ac:dyDescent="0.2">
      <c r="A101" s="2">
        <v>0</v>
      </c>
    </row>
    <row r="102" spans="1:1" hidden="1" x14ac:dyDescent="0.2">
      <c r="A102" s="2">
        <v>0</v>
      </c>
    </row>
    <row r="103" spans="1:1" hidden="1" x14ac:dyDescent="0.2">
      <c r="A103" s="2">
        <v>0</v>
      </c>
    </row>
    <row r="104" spans="1:1" hidden="1" x14ac:dyDescent="0.2">
      <c r="A104" s="2">
        <v>0</v>
      </c>
    </row>
    <row r="105" spans="1:1" hidden="1" x14ac:dyDescent="0.2">
      <c r="A105" s="2">
        <v>0</v>
      </c>
    </row>
    <row r="106" spans="1:1" hidden="1" x14ac:dyDescent="0.2">
      <c r="A106" s="2">
        <v>0</v>
      </c>
    </row>
    <row r="107" spans="1:1" hidden="1" x14ac:dyDescent="0.2">
      <c r="A107" s="2">
        <v>0</v>
      </c>
    </row>
    <row r="108" spans="1:1" hidden="1" x14ac:dyDescent="0.2">
      <c r="A108" s="2">
        <v>0</v>
      </c>
    </row>
    <row r="109" spans="1:1" hidden="1" x14ac:dyDescent="0.2">
      <c r="A109" s="2">
        <v>0</v>
      </c>
    </row>
    <row r="110" spans="1:1" hidden="1" x14ac:dyDescent="0.2">
      <c r="A110" s="2">
        <v>0</v>
      </c>
    </row>
    <row r="111" spans="1:1" hidden="1" x14ac:dyDescent="0.2">
      <c r="A111" s="2">
        <v>0</v>
      </c>
    </row>
    <row r="112" spans="1:1" hidden="1" x14ac:dyDescent="0.2">
      <c r="A112" s="2">
        <v>0</v>
      </c>
    </row>
    <row r="113" spans="1:1" hidden="1" x14ac:dyDescent="0.2">
      <c r="A113" s="2">
        <v>0</v>
      </c>
    </row>
    <row r="114" spans="1:1" hidden="1" x14ac:dyDescent="0.2">
      <c r="A114" s="2">
        <v>0</v>
      </c>
    </row>
    <row r="115" spans="1:1" hidden="1" x14ac:dyDescent="0.2">
      <c r="A115" s="2">
        <v>0</v>
      </c>
    </row>
    <row r="116" spans="1:1" hidden="1" x14ac:dyDescent="0.2">
      <c r="A116" s="2">
        <v>0</v>
      </c>
    </row>
    <row r="117" spans="1:1" hidden="1" x14ac:dyDescent="0.2">
      <c r="A117" s="2">
        <v>0</v>
      </c>
    </row>
    <row r="118" spans="1:1" hidden="1" x14ac:dyDescent="0.2">
      <c r="A118" s="2">
        <v>0</v>
      </c>
    </row>
    <row r="119" spans="1:1" hidden="1" x14ac:dyDescent="0.2">
      <c r="A119" s="2">
        <v>0</v>
      </c>
    </row>
    <row r="120" spans="1:1" hidden="1" x14ac:dyDescent="0.2">
      <c r="A120" s="2">
        <v>0</v>
      </c>
    </row>
    <row r="121" spans="1:1" hidden="1" x14ac:dyDescent="0.2">
      <c r="A121" s="2">
        <v>0</v>
      </c>
    </row>
    <row r="122" spans="1:1" hidden="1" x14ac:dyDescent="0.2">
      <c r="A122" s="2">
        <v>0</v>
      </c>
    </row>
    <row r="123" spans="1:1" hidden="1" x14ac:dyDescent="0.2">
      <c r="A123" s="2">
        <v>0</v>
      </c>
    </row>
    <row r="124" spans="1:1" hidden="1" x14ac:dyDescent="0.2">
      <c r="A124" s="2">
        <v>0</v>
      </c>
    </row>
    <row r="125" spans="1:1" hidden="1" x14ac:dyDescent="0.2">
      <c r="A125" s="2">
        <v>0</v>
      </c>
    </row>
    <row r="126" spans="1:1" hidden="1" x14ac:dyDescent="0.2">
      <c r="A126" s="2">
        <v>0</v>
      </c>
    </row>
    <row r="127" spans="1:1" hidden="1" x14ac:dyDescent="0.2">
      <c r="A127" s="2">
        <v>0</v>
      </c>
    </row>
    <row r="128" spans="1:1" hidden="1" x14ac:dyDescent="0.2">
      <c r="A128" s="2">
        <v>0</v>
      </c>
    </row>
    <row r="129" spans="1:1" hidden="1" x14ac:dyDescent="0.2">
      <c r="A129" s="2">
        <v>0</v>
      </c>
    </row>
    <row r="130" spans="1:1" hidden="1" x14ac:dyDescent="0.2">
      <c r="A130" s="2">
        <v>0</v>
      </c>
    </row>
    <row r="131" spans="1:1" hidden="1" x14ac:dyDescent="0.2">
      <c r="A131" s="2">
        <v>0</v>
      </c>
    </row>
    <row r="132" spans="1:1" hidden="1" x14ac:dyDescent="0.2">
      <c r="A132" s="2">
        <v>0</v>
      </c>
    </row>
    <row r="133" spans="1:1" hidden="1" x14ac:dyDescent="0.2">
      <c r="A133" s="2">
        <v>0</v>
      </c>
    </row>
    <row r="134" spans="1:1" hidden="1" x14ac:dyDescent="0.2">
      <c r="A134" s="2">
        <v>0</v>
      </c>
    </row>
    <row r="135" spans="1:1" hidden="1" x14ac:dyDescent="0.2">
      <c r="A135" s="2">
        <v>0</v>
      </c>
    </row>
    <row r="136" spans="1:1" hidden="1" x14ac:dyDescent="0.2">
      <c r="A136" s="2">
        <v>0</v>
      </c>
    </row>
    <row r="137" spans="1:1" hidden="1" x14ac:dyDescent="0.2">
      <c r="A137" s="2">
        <v>0</v>
      </c>
    </row>
    <row r="138" spans="1:1" hidden="1" x14ac:dyDescent="0.2">
      <c r="A138" s="2">
        <v>0</v>
      </c>
    </row>
    <row r="139" spans="1:1" hidden="1" x14ac:dyDescent="0.2">
      <c r="A139" s="2">
        <v>0</v>
      </c>
    </row>
    <row r="140" spans="1:1" hidden="1" x14ac:dyDescent="0.2">
      <c r="A140" s="2">
        <v>0</v>
      </c>
    </row>
    <row r="141" spans="1:1" hidden="1" x14ac:dyDescent="0.2">
      <c r="A141" s="2">
        <v>0</v>
      </c>
    </row>
    <row r="142" spans="1:1" hidden="1" x14ac:dyDescent="0.2">
      <c r="A142" s="2">
        <v>0</v>
      </c>
    </row>
    <row r="143" spans="1:1" hidden="1" x14ac:dyDescent="0.2">
      <c r="A143" s="2">
        <v>0</v>
      </c>
    </row>
    <row r="144" spans="1:1" x14ac:dyDescent="0.2">
      <c r="A144" s="2">
        <v>0</v>
      </c>
    </row>
    <row r="145" spans="1:12" x14ac:dyDescent="0.2">
      <c r="A145" s="2">
        <v>0</v>
      </c>
    </row>
    <row r="146" spans="1:12" x14ac:dyDescent="0.2">
      <c r="A146" s="2">
        <v>0</v>
      </c>
    </row>
    <row r="147" spans="1:12" x14ac:dyDescent="0.2">
      <c r="A147" s="2">
        <v>0</v>
      </c>
    </row>
    <row r="149" spans="1:12" s="1" customFormat="1" x14ac:dyDescent="0.2"/>
    <row r="150" spans="1:12" x14ac:dyDescent="0.2">
      <c r="A150" s="12" t="s">
        <v>111</v>
      </c>
    </row>
    <row r="152" spans="1:12" x14ac:dyDescent="0.2">
      <c r="A152" s="2">
        <f>H12</f>
        <v>0</v>
      </c>
      <c r="B152" t="str">
        <f ca="1">_xlfn.FORMULATEXT(A152)</f>
        <v>=H12</v>
      </c>
      <c r="C152" s="2" cm="1">
        <f t="array" ref="C152:C169">_xlfn.ANCHORARRAY(H12)</f>
        <v>0</v>
      </c>
      <c r="D152" t="str">
        <f ca="1">_xlfn.FORMULATEXT(C152)</f>
        <v>=H12#</v>
      </c>
      <c r="E152" s="2">
        <f>SUM(H12)</f>
        <v>0</v>
      </c>
      <c r="F152" t="str">
        <f ca="1">_xlfn.FORMULATEXT(E152)</f>
        <v>=SUM(H12)</v>
      </c>
      <c r="H152" s="2" cm="1">
        <f t="array" ref="H152:H156">_xlfn.SEQUENCE(5)</f>
        <v>1</v>
      </c>
      <c r="I152" t="str">
        <f ca="1">_xlfn.FORMULATEXT(H152)</f>
        <v>=SEQUENCE(5)</v>
      </c>
      <c r="K152" s="2">
        <f>SUM(H152:H156)</f>
        <v>15</v>
      </c>
      <c r="L152" t="str">
        <f ca="1">_xlfn.FORMULATEXT(K152)</f>
        <v>=SUM(H152:H156)</v>
      </c>
    </row>
    <row r="153" spans="1:12" x14ac:dyDescent="0.2">
      <c r="C153" s="2">
        <v>0</v>
      </c>
      <c r="E153" s="2">
        <f>SUM(_xlfn.ANCHORARRAY(H12))</f>
        <v>3</v>
      </c>
      <c r="F153" t="str">
        <f ca="1">_xlfn.FORMULATEXT(E153)</f>
        <v>=SUM(H12#)</v>
      </c>
      <c r="H153" s="2">
        <v>2</v>
      </c>
      <c r="K153" s="2">
        <f>SUM(_xlfn.ANCHORARRAY(H152))</f>
        <v>15</v>
      </c>
      <c r="L153" t="str">
        <f ca="1">_xlfn.FORMULATEXT(K153)</f>
        <v>=SUM(H152#)</v>
      </c>
    </row>
    <row r="154" spans="1:12" x14ac:dyDescent="0.2">
      <c r="C154" s="2">
        <v>1</v>
      </c>
      <c r="H154" s="2">
        <v>3</v>
      </c>
    </row>
    <row r="155" spans="1:12" x14ac:dyDescent="0.2">
      <c r="C155" s="2">
        <v>0</v>
      </c>
      <c r="H155" s="2">
        <v>4</v>
      </c>
      <c r="J155" s="12" t="s">
        <v>112</v>
      </c>
    </row>
    <row r="156" spans="1:12" x14ac:dyDescent="0.2">
      <c r="C156" s="2">
        <v>0</v>
      </c>
      <c r="H156" s="2">
        <v>5</v>
      </c>
    </row>
    <row r="157" spans="1:12" x14ac:dyDescent="0.2">
      <c r="C157" s="2">
        <v>0</v>
      </c>
    </row>
    <row r="158" spans="1:12" x14ac:dyDescent="0.2">
      <c r="C158" s="2">
        <v>0</v>
      </c>
    </row>
    <row r="159" spans="1:12" x14ac:dyDescent="0.2">
      <c r="C159" s="2">
        <v>0</v>
      </c>
    </row>
    <row r="160" spans="1:12" x14ac:dyDescent="0.2">
      <c r="C160" s="2">
        <v>1</v>
      </c>
    </row>
    <row r="161" spans="1:7" x14ac:dyDescent="0.2">
      <c r="C161" s="2">
        <v>0</v>
      </c>
    </row>
    <row r="162" spans="1:7" x14ac:dyDescent="0.2">
      <c r="C162" s="2">
        <v>0</v>
      </c>
    </row>
    <row r="163" spans="1:7" x14ac:dyDescent="0.2">
      <c r="C163" s="2">
        <v>0</v>
      </c>
    </row>
    <row r="164" spans="1:7" x14ac:dyDescent="0.2">
      <c r="C164" s="2">
        <v>1</v>
      </c>
    </row>
    <row r="165" spans="1:7" x14ac:dyDescent="0.2">
      <c r="C165" s="2">
        <v>0</v>
      </c>
    </row>
    <row r="166" spans="1:7" x14ac:dyDescent="0.2">
      <c r="C166" s="2">
        <v>0</v>
      </c>
    </row>
    <row r="167" spans="1:7" x14ac:dyDescent="0.2">
      <c r="C167" s="2">
        <v>0</v>
      </c>
    </row>
    <row r="168" spans="1:7" x14ac:dyDescent="0.2">
      <c r="C168" s="2">
        <v>0</v>
      </c>
    </row>
    <row r="169" spans="1:7" x14ac:dyDescent="0.2">
      <c r="C169" s="2">
        <v>0</v>
      </c>
    </row>
    <row r="171" spans="1:7" s="1" customFormat="1" x14ac:dyDescent="0.2"/>
    <row r="172" spans="1:7" x14ac:dyDescent="0.2">
      <c r="A172" s="12" t="s">
        <v>113</v>
      </c>
    </row>
    <row r="174" spans="1:7" x14ac:dyDescent="0.2">
      <c r="A174" s="67" t="s">
        <v>114</v>
      </c>
    </row>
    <row r="176" spans="1:7" x14ac:dyDescent="0.2">
      <c r="A176" s="2" t="str" cm="1">
        <f t="array" ref="A176:A182">_xlfn.UNIQUE(IF(matches_played=7,squad,""))</f>
        <v/>
      </c>
      <c r="B176" t="str">
        <f ca="1">_xlfn.FORMULATEXT(A176)</f>
        <v>=UNIQUE(IF(matches_played=7,squad,""))</v>
      </c>
      <c r="F176" s="2" t="str" cm="1">
        <f t="array" ref="F176:F181">_xlfn.UNIQUE(_xlfn._xlws.FILTER(squad,matches_played=7))</f>
        <v>England</v>
      </c>
      <c r="G176" t="str">
        <f ca="1">_xlfn.FORMULATEXT(F176)</f>
        <v>=UNIQUE(FILTER(squad,matches_played=7))</v>
      </c>
    </row>
    <row r="177" spans="1:18" x14ac:dyDescent="0.2">
      <c r="A177" s="2" t="str">
        <v>England</v>
      </c>
      <c r="F177" s="2" t="str">
        <v>Netherlands</v>
      </c>
    </row>
    <row r="178" spans="1:18" x14ac:dyDescent="0.2">
      <c r="A178" s="2" t="str">
        <v>Netherlands</v>
      </c>
      <c r="F178" s="2" t="str">
        <v>Sweden</v>
      </c>
    </row>
    <row r="179" spans="1:18" x14ac:dyDescent="0.2">
      <c r="A179" s="2" t="str">
        <v>Sweden</v>
      </c>
      <c r="F179" s="2" t="str">
        <v>USA</v>
      </c>
    </row>
    <row r="180" spans="1:18" x14ac:dyDescent="0.2">
      <c r="A180" s="2" t="str">
        <v>USA</v>
      </c>
      <c r="F180" s="2" t="str">
        <v>Germany</v>
      </c>
    </row>
    <row r="181" spans="1:18" x14ac:dyDescent="0.2">
      <c r="A181" s="2" t="str">
        <v>Germany</v>
      </c>
      <c r="F181" s="2" t="str">
        <v>Japan</v>
      </c>
    </row>
    <row r="182" spans="1:18" x14ac:dyDescent="0.2">
      <c r="A182" s="2" t="str">
        <v>Japan</v>
      </c>
    </row>
    <row r="183" spans="1:18" s="72" customFormat="1" x14ac:dyDescent="0.2"/>
    <row r="185" spans="1:18" x14ac:dyDescent="0.2">
      <c r="A185" s="12" t="s">
        <v>115</v>
      </c>
      <c r="H185" s="12" t="s">
        <v>116</v>
      </c>
    </row>
    <row r="186" spans="1:18" x14ac:dyDescent="0.2">
      <c r="H186" s="67" t="s">
        <v>117</v>
      </c>
    </row>
    <row r="187" spans="1:18" x14ac:dyDescent="0.2">
      <c r="B187" s="73" t="str" cm="1">
        <f t="array" ref="B187:E191">lossratios</f>
        <v>Loss ratios</v>
      </c>
      <c r="C187" s="74" t="str">
        <v>NSW</v>
      </c>
      <c r="D187" s="74" t="str">
        <v>VIC</v>
      </c>
      <c r="E187" s="75" t="str">
        <v>ACT</v>
      </c>
      <c r="H187" t="str">
        <f ca="1">_xlfn.FORMULATEXT(H188)</f>
        <v>=VLOOKUP(products,B188:E191,4, FALSE)</v>
      </c>
      <c r="M187" s="67" t="s">
        <v>118</v>
      </c>
    </row>
    <row r="188" spans="1:18" x14ac:dyDescent="0.2">
      <c r="B188" s="76" t="str">
        <v>Motor</v>
      </c>
      <c r="C188">
        <v>0.92900000000000005</v>
      </c>
      <c r="D188">
        <v>0.76500000000000001</v>
      </c>
      <c r="E188" s="77">
        <v>0.94099999999999995</v>
      </c>
      <c r="H188" s="2" cm="1">
        <f t="array" ref="H188:H192">VLOOKUP(products,B188:E191,4, FALSE)</f>
        <v>0.94099999999999995</v>
      </c>
      <c r="M188" s="67" t="s">
        <v>119</v>
      </c>
    </row>
    <row r="189" spans="1:18" x14ac:dyDescent="0.2">
      <c r="B189" s="76" t="str">
        <v>Liability</v>
      </c>
      <c r="C189">
        <v>0.61199999999999999</v>
      </c>
      <c r="D189">
        <v>0.76100000000000001</v>
      </c>
      <c r="E189" s="77">
        <v>1.093</v>
      </c>
      <c r="H189" s="2">
        <v>0.65900000000000003</v>
      </c>
      <c r="I189" t="s">
        <v>120</v>
      </c>
      <c r="M189" t="str">
        <f ca="1">_xlfn.FORMULATEXT(M190)</f>
        <v>=VLOOKUP(E197,B188:E191,{2,4;1,3;4,2},FALSE)</v>
      </c>
    </row>
    <row r="190" spans="1:18" x14ac:dyDescent="0.2">
      <c r="B190" s="76" t="str">
        <v>Life</v>
      </c>
      <c r="C190">
        <v>0.871</v>
      </c>
      <c r="D190">
        <v>0.92800000000000005</v>
      </c>
      <c r="E190" s="77">
        <v>0.65900000000000003</v>
      </c>
      <c r="H190" s="2">
        <v>1.093</v>
      </c>
      <c r="I190" t="s">
        <v>121</v>
      </c>
      <c r="M190" s="2" cm="1">
        <f t="array" ref="M190:N192">VLOOKUP(E197,B188:E191,{2,4;1,3;4,2},FALSE)</f>
        <v>0.92900000000000005</v>
      </c>
      <c r="N190" s="2">
        <v>0.94099999999999995</v>
      </c>
      <c r="O190" t="s">
        <v>122</v>
      </c>
      <c r="P190" s="67"/>
      <c r="Q190" s="67"/>
      <c r="R190" s="67"/>
    </row>
    <row r="191" spans="1:18" x14ac:dyDescent="0.2">
      <c r="B191" s="78" t="str">
        <v>Property</v>
      </c>
      <c r="C191" s="72">
        <v>1.0489999999999999</v>
      </c>
      <c r="D191" s="72">
        <v>0.67500000000000004</v>
      </c>
      <c r="E191" s="79">
        <v>0.96699999999999997</v>
      </c>
      <c r="H191" s="2">
        <v>0.96699999999999997</v>
      </c>
      <c r="I191" t="s">
        <v>123</v>
      </c>
      <c r="M191" s="2" t="str">
        <v>Motor</v>
      </c>
      <c r="N191" s="2">
        <v>0.76500000000000001</v>
      </c>
      <c r="O191" t="s">
        <v>124</v>
      </c>
      <c r="P191" s="67"/>
      <c r="Q191" s="67"/>
      <c r="R191" s="67"/>
    </row>
    <row r="192" spans="1:18" x14ac:dyDescent="0.2">
      <c r="H192" t="e">
        <v>#N/A</v>
      </c>
      <c r="I192" t="s">
        <v>125</v>
      </c>
      <c r="M192" s="2">
        <v>0.94099999999999995</v>
      </c>
      <c r="N192" s="2">
        <v>0.92900000000000005</v>
      </c>
      <c r="O192" t="s">
        <v>126</v>
      </c>
      <c r="P192" s="67"/>
      <c r="Q192" s="67"/>
      <c r="R192" s="67"/>
    </row>
    <row r="195" spans="5:20" x14ac:dyDescent="0.2">
      <c r="H195" s="83" t="s">
        <v>127</v>
      </c>
    </row>
    <row r="196" spans="5:20" x14ac:dyDescent="0.2">
      <c r="E196" s="80" t="s">
        <v>128</v>
      </c>
      <c r="H196" s="67" t="s">
        <v>129</v>
      </c>
      <c r="N196" s="84" t="s">
        <v>130</v>
      </c>
      <c r="R196" s="67" t="s">
        <v>131</v>
      </c>
    </row>
    <row r="197" spans="5:20" x14ac:dyDescent="0.2">
      <c r="E197" s="81" t="s">
        <v>107</v>
      </c>
      <c r="H197" t="str">
        <f ca="1">_xlfn.FORMULATEXT(H198)</f>
        <v>=XLOOKUP(products,loss_ratios,E188:E191,"No such product")</v>
      </c>
      <c r="N197" s="86" t="str">
        <f ca="1">_xlfn.FORMULATEXT(N198)</f>
        <v>=MATCH(B188,products,0)</v>
      </c>
      <c r="T197" s="86" t="str">
        <f ca="1">_xlfn.FORMULATEXT(T198)</f>
        <v>=INDEX(C$188:C$191,MATCH(B188,loss_ratios,0))</v>
      </c>
    </row>
    <row r="198" spans="5:20" x14ac:dyDescent="0.2">
      <c r="E198" s="81" t="s">
        <v>109</v>
      </c>
      <c r="H198" s="2" cm="1">
        <f t="array" ref="H198:H202">_xlfn.XLOOKUP(products,loss_ratios,E188:E191,"No such product")</f>
        <v>0.94099999999999995</v>
      </c>
      <c r="N198" s="2">
        <f>MATCH(B188,products,0)</f>
        <v>1</v>
      </c>
      <c r="T198" s="2">
        <f>INDEX(C$188:C$191,MATCH(B188,loss_ratios,0))</f>
        <v>0.92900000000000005</v>
      </c>
    </row>
    <row r="199" spans="5:20" x14ac:dyDescent="0.2">
      <c r="E199" s="81" t="s">
        <v>108</v>
      </c>
      <c r="H199" s="2">
        <v>0.65900000000000003</v>
      </c>
      <c r="I199" t="s">
        <v>132</v>
      </c>
      <c r="N199" s="2">
        <f>MATCH(B189,products,0)</f>
        <v>3</v>
      </c>
      <c r="T199" s="2">
        <f>INDEX(C$188:C$191,MATCH(B189,B$188:B$191,0))</f>
        <v>0.61199999999999999</v>
      </c>
    </row>
    <row r="200" spans="5:20" x14ac:dyDescent="0.2">
      <c r="E200" s="81" t="s">
        <v>110</v>
      </c>
      <c r="H200" s="2">
        <v>1.093</v>
      </c>
      <c r="I200" t="s">
        <v>133</v>
      </c>
      <c r="N200" s="2">
        <f>MATCH(B190,products,0)</f>
        <v>2</v>
      </c>
      <c r="T200" s="2">
        <f>INDEX(C$188:C$191,MATCH(B190,B$188:B$191,0))</f>
        <v>0.871</v>
      </c>
    </row>
    <row r="201" spans="5:20" x14ac:dyDescent="0.2">
      <c r="E201" s="82" t="s">
        <v>134</v>
      </c>
      <c r="H201" s="2">
        <v>0.96699999999999997</v>
      </c>
      <c r="N201" s="2">
        <f>MATCH(B191,products,0)</f>
        <v>4</v>
      </c>
      <c r="T201" s="2">
        <f>INDEX(C$188:C$191,MATCH(B191,B$188:B$191,0))</f>
        <v>1.0489999999999999</v>
      </c>
    </row>
    <row r="202" spans="5:20" x14ac:dyDescent="0.2">
      <c r="H202" s="2" t="str">
        <v>No such product</v>
      </c>
    </row>
    <row r="203" spans="5:20" x14ac:dyDescent="0.2">
      <c r="N203" s="12" t="s">
        <v>135</v>
      </c>
      <c r="O203" s="67" t="s">
        <v>136</v>
      </c>
    </row>
    <row r="204" spans="5:20" x14ac:dyDescent="0.2">
      <c r="H204" t="s">
        <v>137</v>
      </c>
      <c r="N204" t="str">
        <f ca="1">_xlfn.FORMULATEXT(N205)</f>
        <v>=INDEX(products,2)</v>
      </c>
    </row>
    <row r="205" spans="5:20" x14ac:dyDescent="0.2">
      <c r="H205" s="67" t="s">
        <v>138</v>
      </c>
      <c r="J205" s="67" t="s">
        <v>139</v>
      </c>
      <c r="N205" s="2" t="str">
        <f>INDEX(products,2)</f>
        <v>Life</v>
      </c>
    </row>
    <row r="206" spans="5:20" x14ac:dyDescent="0.2">
      <c r="H206" s="2">
        <f>_xlfn.XLOOKUP("Argentina",squad, goals,,0,1)</f>
        <v>2</v>
      </c>
      <c r="I206" t="str">
        <f ca="1">_xlfn.FORMULATEXT(H206)</f>
        <v>=XLOOKUP("Argentina",squad, goals,,0,1)</v>
      </c>
    </row>
    <row r="207" spans="5:20" x14ac:dyDescent="0.2">
      <c r="H207" s="2">
        <f>_xlfn.XLOOKUP("Argentina",squad, goals,,0,-1)</f>
        <v>1</v>
      </c>
      <c r="I207" t="str">
        <f ca="1">_xlfn.FORMULATEXT(H207)</f>
        <v>=XLOOKUP("Argentina",squad, goals,,0,-1)</v>
      </c>
    </row>
    <row r="208" spans="5:20" x14ac:dyDescent="0.2">
      <c r="N208" s="85" t="s">
        <v>140</v>
      </c>
      <c r="R208" s="67" t="s">
        <v>141</v>
      </c>
    </row>
    <row r="209" spans="8:18" x14ac:dyDescent="0.2">
      <c r="H209" t="s">
        <v>142</v>
      </c>
      <c r="N209" s="2">
        <f>_xlfn.XMATCH("Argentina",squad,0,1)</f>
        <v>1</v>
      </c>
      <c r="O209" s="86" t="str">
        <f ca="1">_xlfn.FORMULATEXT(N209)</f>
        <v>=XMATCH("Argentina",squad,0,1)</v>
      </c>
      <c r="R209" t="str">
        <f ca="1">_xlfn.FORMULATEXT(R210)</f>
        <v>=INDEX(goals, XMATCH("Argentina",squad,0,-1))</v>
      </c>
    </row>
    <row r="210" spans="8:18" x14ac:dyDescent="0.2">
      <c r="H210" t="s">
        <v>143</v>
      </c>
      <c r="N210" s="2">
        <f>_xlfn.XMATCH("Argentina",squad,0,-1)</f>
        <v>81</v>
      </c>
      <c r="O210" s="86" t="str">
        <f ca="1">_xlfn.FORMULATEXT(N210)</f>
        <v>=XMATCH("Argentina",squad,0,-1)</v>
      </c>
      <c r="R210" s="2" cm="1">
        <f t="array" ref="R210">INDEX(goals, _xlfn.XMATCH("Argentina",squad,0,-1))</f>
        <v>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0A466A-6204-486C-B2AF-D5C5F6CCDC89}">
  <sheetPr codeName="Sheet7"/>
  <dimension ref="A2:U70"/>
  <sheetViews>
    <sheetView topLeftCell="A29" workbookViewId="0">
      <selection activeCell="K66" sqref="K66"/>
    </sheetView>
  </sheetViews>
  <sheetFormatPr baseColWidth="10" defaultColWidth="8.83203125" defaultRowHeight="16" x14ac:dyDescent="0.2"/>
  <cols>
    <col min="10" max="10" width="11.1640625" customWidth="1"/>
    <col min="11" max="11" width="9.83203125" customWidth="1"/>
    <col min="13" max="13" width="9" customWidth="1"/>
    <col min="14" max="14" width="12.6640625" customWidth="1"/>
  </cols>
  <sheetData>
    <row r="2" spans="1:12" x14ac:dyDescent="0.2">
      <c r="A2" s="12" t="s">
        <v>144</v>
      </c>
    </row>
    <row r="3" spans="1:12" x14ac:dyDescent="0.2">
      <c r="F3" s="12" t="s">
        <v>145</v>
      </c>
    </row>
    <row r="4" spans="1:12" x14ac:dyDescent="0.2">
      <c r="B4" s="73" t="s">
        <v>146</v>
      </c>
      <c r="C4" s="75" t="s">
        <v>147</v>
      </c>
      <c r="F4" t="s">
        <v>148</v>
      </c>
    </row>
    <row r="5" spans="1:12" x14ac:dyDescent="0.2">
      <c r="B5" s="76" t="s">
        <v>149</v>
      </c>
      <c r="C5" s="77">
        <v>624</v>
      </c>
      <c r="F5" s="98">
        <v>5</v>
      </c>
    </row>
    <row r="6" spans="1:12" x14ac:dyDescent="0.2">
      <c r="B6" s="76" t="s">
        <v>150</v>
      </c>
      <c r="C6" s="77">
        <v>390</v>
      </c>
      <c r="F6" s="2" t="str" cm="1">
        <f t="array" aca="1" ref="F6:G6" ca="1">OFFSET(monthly_profit, F5,0,1,2)</f>
        <v>May</v>
      </c>
      <c r="G6" s="2">
        <f ca="1"/>
        <v>439</v>
      </c>
      <c r="H6" t="str">
        <f ca="1">_xlfn.FORMULATEXT(F6)</f>
        <v>=OFFSET(monthly_profit, F5,0,1,2)</v>
      </c>
    </row>
    <row r="7" spans="1:12" x14ac:dyDescent="0.2">
      <c r="B7" s="76" t="s">
        <v>151</v>
      </c>
      <c r="C7" s="77">
        <v>1000</v>
      </c>
    </row>
    <row r="8" spans="1:12" x14ac:dyDescent="0.2">
      <c r="B8" s="76" t="s">
        <v>152</v>
      </c>
      <c r="C8" s="77">
        <v>250</v>
      </c>
    </row>
    <row r="9" spans="1:12" x14ac:dyDescent="0.2">
      <c r="B9" s="76" t="s">
        <v>153</v>
      </c>
      <c r="C9" s="77">
        <v>439</v>
      </c>
      <c r="F9" t="s">
        <v>154</v>
      </c>
      <c r="G9" t="s">
        <v>155</v>
      </c>
    </row>
    <row r="10" spans="1:12" x14ac:dyDescent="0.2">
      <c r="B10" s="76" t="s">
        <v>156</v>
      </c>
      <c r="C10" s="77">
        <v>109</v>
      </c>
      <c r="F10" s="98">
        <v>3</v>
      </c>
      <c r="G10" s="98">
        <v>7</v>
      </c>
      <c r="H10" s="67" t="s">
        <v>157</v>
      </c>
    </row>
    <row r="11" spans="1:12" x14ac:dyDescent="0.2">
      <c r="B11" s="76" t="s">
        <v>158</v>
      </c>
      <c r="C11" s="77">
        <v>530</v>
      </c>
      <c r="F11" s="2" t="str" cm="1">
        <f t="array" aca="1" ref="F11:G15" ca="1">OFFSET(monthly_profit, F10, 0,G10-F10+1,2)</f>
        <v>Mar</v>
      </c>
      <c r="G11" s="2">
        <f ca="1"/>
        <v>1000</v>
      </c>
      <c r="H11" t="str">
        <f ca="1">_xlfn.FORMULATEXT(F11)</f>
        <v>=OFFSET(monthly_profit, F10, 0,G10-F10+1,2)</v>
      </c>
      <c r="L11" s="67" t="s">
        <v>159</v>
      </c>
    </row>
    <row r="12" spans="1:12" x14ac:dyDescent="0.2">
      <c r="B12" s="76" t="s">
        <v>160</v>
      </c>
      <c r="C12" s="77">
        <v>123</v>
      </c>
      <c r="F12" s="2" t="str">
        <f ca="1"/>
        <v>Apr</v>
      </c>
      <c r="G12" s="2">
        <f ca="1"/>
        <v>250</v>
      </c>
    </row>
    <row r="13" spans="1:12" x14ac:dyDescent="0.2">
      <c r="B13" s="76" t="s">
        <v>161</v>
      </c>
      <c r="C13" s="77">
        <v>5345</v>
      </c>
      <c r="F13" s="2" t="str">
        <f ca="1"/>
        <v>May</v>
      </c>
      <c r="G13" s="2">
        <f ca="1"/>
        <v>439</v>
      </c>
      <c r="I13" t="s">
        <v>162</v>
      </c>
    </row>
    <row r="14" spans="1:12" x14ac:dyDescent="0.2">
      <c r="B14" s="76" t="s">
        <v>163</v>
      </c>
      <c r="C14" s="77">
        <v>312</v>
      </c>
      <c r="F14" s="2" t="str">
        <f ca="1"/>
        <v>Jun</v>
      </c>
      <c r="G14" s="2">
        <f ca="1"/>
        <v>109</v>
      </c>
      <c r="I14" t="s">
        <v>164</v>
      </c>
    </row>
    <row r="15" spans="1:12" x14ac:dyDescent="0.2">
      <c r="B15" s="76" t="s">
        <v>165</v>
      </c>
      <c r="C15" s="77">
        <v>98</v>
      </c>
      <c r="F15" s="2" t="str">
        <f ca="1"/>
        <v>Jul</v>
      </c>
      <c r="G15" s="2">
        <f ca="1"/>
        <v>530</v>
      </c>
      <c r="I15" t="s">
        <v>311</v>
      </c>
    </row>
    <row r="16" spans="1:12" x14ac:dyDescent="0.2">
      <c r="B16" s="78" t="s">
        <v>166</v>
      </c>
      <c r="C16" s="79">
        <v>672</v>
      </c>
      <c r="F16" s="2"/>
      <c r="G16" s="2"/>
      <c r="I16" t="s">
        <v>310</v>
      </c>
    </row>
    <row r="17" spans="6:14" x14ac:dyDescent="0.2">
      <c r="F17" s="2"/>
      <c r="G17" s="2"/>
      <c r="I17" t="s">
        <v>167</v>
      </c>
    </row>
    <row r="18" spans="6:14" x14ac:dyDescent="0.2">
      <c r="F18" s="2"/>
      <c r="G18" s="2"/>
    </row>
    <row r="19" spans="6:14" x14ac:dyDescent="0.2">
      <c r="F19" s="2"/>
      <c r="G19" s="2"/>
    </row>
    <row r="20" spans="6:14" x14ac:dyDescent="0.2">
      <c r="F20" s="2"/>
      <c r="G20" s="2"/>
    </row>
    <row r="21" spans="6:14" x14ac:dyDescent="0.2">
      <c r="F21" s="2"/>
      <c r="G21" s="2"/>
    </row>
    <row r="22" spans="6:14" x14ac:dyDescent="0.2">
      <c r="F22" s="2"/>
      <c r="G22" s="2"/>
    </row>
    <row r="23" spans="6:14" s="72" customFormat="1" x14ac:dyDescent="0.2"/>
    <row r="27" spans="6:14" x14ac:dyDescent="0.2">
      <c r="I27" s="12" t="s">
        <v>168</v>
      </c>
      <c r="J27" s="67" t="s">
        <v>312</v>
      </c>
    </row>
    <row r="28" spans="6:14" x14ac:dyDescent="0.2">
      <c r="I28" s="86" t="s">
        <v>169</v>
      </c>
    </row>
    <row r="29" spans="6:14" x14ac:dyDescent="0.2">
      <c r="I29" s="2" t="str">
        <f>ADDRESS(26,2)</f>
        <v>$B$26</v>
      </c>
      <c r="J29" t="str">
        <f ca="1">_xlfn.FORMULATEXT(I29)</f>
        <v>=ADDRESS(26,2)</v>
      </c>
      <c r="L29" s="11" t="s">
        <v>170</v>
      </c>
    </row>
    <row r="30" spans="6:14" x14ac:dyDescent="0.2">
      <c r="N30" s="11"/>
    </row>
    <row r="31" spans="6:14" x14ac:dyDescent="0.2">
      <c r="I31" s="12" t="s">
        <v>171</v>
      </c>
      <c r="J31" s="67" t="s">
        <v>172</v>
      </c>
    </row>
    <row r="32" spans="6:14" x14ac:dyDescent="0.2">
      <c r="I32" t="s">
        <v>173</v>
      </c>
    </row>
    <row r="33" spans="1:21" x14ac:dyDescent="0.2">
      <c r="I33" s="2" cm="1">
        <f t="array" aca="1" ref="I33" ca="1">INDIRECT(I29)</f>
        <v>0</v>
      </c>
      <c r="J33" t="str">
        <f ca="1">_xlfn.FORMULATEXT(I33)</f>
        <v>=INDIRECT(I29)</v>
      </c>
    </row>
    <row r="35" spans="1:21" x14ac:dyDescent="0.2">
      <c r="I35" s="12" t="s">
        <v>174</v>
      </c>
      <c r="K35" s="67" t="s">
        <v>175</v>
      </c>
      <c r="P35" s="12" t="s">
        <v>176</v>
      </c>
    </row>
    <row r="36" spans="1:21" x14ac:dyDescent="0.2">
      <c r="I36" s="72" t="s">
        <v>154</v>
      </c>
      <c r="J36" s="72" t="s">
        <v>177</v>
      </c>
      <c r="K36" s="72" t="s">
        <v>178</v>
      </c>
      <c r="L36" s="72" t="s">
        <v>179</v>
      </c>
      <c r="M36" s="72"/>
      <c r="P36" s="72" t="s">
        <v>154</v>
      </c>
      <c r="Q36" s="72" t="s">
        <v>177</v>
      </c>
      <c r="R36" s="72" t="s">
        <v>178</v>
      </c>
      <c r="S36" s="72" t="s">
        <v>179</v>
      </c>
      <c r="T36" s="72"/>
    </row>
    <row r="37" spans="1:21" x14ac:dyDescent="0.2">
      <c r="I37" s="98" t="s">
        <v>150</v>
      </c>
      <c r="J37" s="98" t="s">
        <v>153</v>
      </c>
      <c r="K37" s="98">
        <v>1</v>
      </c>
      <c r="L37" s="98">
        <v>3</v>
      </c>
      <c r="M37" s="67" t="s">
        <v>180</v>
      </c>
      <c r="N37" s="96" t="s">
        <v>181</v>
      </c>
      <c r="O37" s="97" t="s">
        <v>182</v>
      </c>
      <c r="P37" s="98" t="s">
        <v>151</v>
      </c>
      <c r="Q37" s="98" t="s">
        <v>156</v>
      </c>
      <c r="R37" s="98">
        <v>2</v>
      </c>
      <c r="S37" s="98">
        <v>4</v>
      </c>
    </row>
    <row r="38" spans="1:21" x14ac:dyDescent="0.2">
      <c r="A38" s="73"/>
      <c r="B38" s="74" t="s">
        <v>149</v>
      </c>
      <c r="C38" s="74" t="s">
        <v>150</v>
      </c>
      <c r="D38" s="74" t="s">
        <v>151</v>
      </c>
      <c r="E38" s="74" t="s">
        <v>152</v>
      </c>
      <c r="F38" s="74" t="s">
        <v>153</v>
      </c>
      <c r="G38" s="75" t="s">
        <v>156</v>
      </c>
      <c r="I38" s="87" t="str" cm="1">
        <f t="array" aca="1" ref="I38:L38" ca="1">INDIRECT(ADDRESS(38,MATCH(I37,A38:G38,0))):INDIRECT(ADDRESS(38,MATCH(J37,A38:G38,0)))</f>
        <v>Feb</v>
      </c>
      <c r="J38" s="87" t="str">
        <f ca="1"/>
        <v>Mar</v>
      </c>
      <c r="K38" s="87" t="str">
        <f ca="1"/>
        <v>Apr</v>
      </c>
      <c r="L38" s="87" t="str">
        <f ca="1"/>
        <v>May</v>
      </c>
      <c r="M38" s="93"/>
      <c r="N38" s="88"/>
      <c r="P38" s="87" t="str" cm="1">
        <f t="array" aca="1" ref="P38:S38" ca="1">OFFSET(B38:G38,0,MATCH(P37,B38:G38,0)-1,1,MATCH(Q37,B38:G38,0)-MATCH(P37,B38:G38,0)+1)</f>
        <v>Mar</v>
      </c>
      <c r="Q38" s="87" t="str">
        <f ca="1"/>
        <v>Apr</v>
      </c>
      <c r="R38" s="87" t="str">
        <f ca="1"/>
        <v>May</v>
      </c>
      <c r="S38" s="87" t="str">
        <f ca="1"/>
        <v>Jun</v>
      </c>
      <c r="T38" s="93"/>
      <c r="U38" s="88"/>
    </row>
    <row r="39" spans="1:21" x14ac:dyDescent="0.2">
      <c r="A39" s="76" t="s">
        <v>183</v>
      </c>
      <c r="B39">
        <v>3</v>
      </c>
      <c r="C39">
        <v>2</v>
      </c>
      <c r="D39">
        <v>7</v>
      </c>
      <c r="E39">
        <v>8</v>
      </c>
      <c r="F39">
        <v>6</v>
      </c>
      <c r="G39" s="77">
        <v>8</v>
      </c>
      <c r="I39" s="87" cm="1">
        <f t="array" aca="1" ref="I39:L41" ca="1">INDIRECT(ADDRESS(38+K37,MATCH(I37,A38:G38,0))):INDIRECT(ADDRESS(38+L37,MATCH(J37,A38:G38,0)))</f>
        <v>2</v>
      </c>
      <c r="J39" s="87">
        <f ca="1"/>
        <v>7</v>
      </c>
      <c r="K39" s="87">
        <f ca="1"/>
        <v>8</v>
      </c>
      <c r="L39" s="87">
        <f ca="1"/>
        <v>6</v>
      </c>
      <c r="M39" s="93"/>
      <c r="N39" s="88"/>
      <c r="P39" s="87" cm="1">
        <f t="array" aca="1" ref="P39:S41" ca="1">OFFSET(B39:G42,R37-1,MATCH(P37,B38:G38,0)-1,S37-R37+1,MATCH(Q37,B38:G38,0)-MATCH(P37,B38:G38,0)+1)</f>
        <v>9</v>
      </c>
      <c r="Q39" s="87">
        <f ca="1"/>
        <v>4</v>
      </c>
      <c r="R39" s="87">
        <f ca="1"/>
        <v>5</v>
      </c>
      <c r="S39" s="87">
        <f ca="1"/>
        <v>9</v>
      </c>
      <c r="T39" s="93"/>
      <c r="U39" s="88"/>
    </row>
    <row r="40" spans="1:21" x14ac:dyDescent="0.2">
      <c r="A40" s="76" t="s">
        <v>184</v>
      </c>
      <c r="B40">
        <v>2</v>
      </c>
      <c r="C40">
        <v>3</v>
      </c>
      <c r="D40">
        <v>9</v>
      </c>
      <c r="E40">
        <v>4</v>
      </c>
      <c r="F40">
        <v>5</v>
      </c>
      <c r="G40" s="77">
        <v>9</v>
      </c>
      <c r="I40" s="89">
        <f ca="1"/>
        <v>3</v>
      </c>
      <c r="J40" s="89">
        <f ca="1"/>
        <v>9</v>
      </c>
      <c r="K40" s="89">
        <f ca="1"/>
        <v>4</v>
      </c>
      <c r="L40" s="89">
        <f ca="1"/>
        <v>5</v>
      </c>
      <c r="M40" s="94"/>
      <c r="N40" s="90"/>
      <c r="P40" s="89">
        <f ca="1"/>
        <v>0</v>
      </c>
      <c r="Q40" s="89">
        <f ca="1"/>
        <v>23</v>
      </c>
      <c r="R40" s="89">
        <f ca="1"/>
        <v>10</v>
      </c>
      <c r="S40" s="89">
        <f ca="1"/>
        <v>7</v>
      </c>
      <c r="T40" s="94"/>
      <c r="U40" s="90"/>
    </row>
    <row r="41" spans="1:21" x14ac:dyDescent="0.2">
      <c r="A41" s="76" t="s">
        <v>185</v>
      </c>
      <c r="B41">
        <v>1</v>
      </c>
      <c r="C41">
        <v>7</v>
      </c>
      <c r="D41">
        <v>0</v>
      </c>
      <c r="E41">
        <v>23</v>
      </c>
      <c r="F41">
        <v>10</v>
      </c>
      <c r="G41" s="77">
        <v>7</v>
      </c>
      <c r="I41" s="89">
        <f ca="1"/>
        <v>7</v>
      </c>
      <c r="J41" s="89">
        <f ca="1"/>
        <v>0</v>
      </c>
      <c r="K41" s="89">
        <f ca="1"/>
        <v>23</v>
      </c>
      <c r="L41" s="89">
        <f ca="1"/>
        <v>10</v>
      </c>
      <c r="M41" s="94"/>
      <c r="N41" s="90"/>
      <c r="P41" s="89">
        <f ca="1"/>
        <v>2</v>
      </c>
      <c r="Q41" s="89">
        <f ca="1"/>
        <v>1</v>
      </c>
      <c r="R41" s="89">
        <f ca="1"/>
        <v>2</v>
      </c>
      <c r="S41" s="89">
        <f ca="1"/>
        <v>4</v>
      </c>
      <c r="T41" s="94"/>
      <c r="U41" s="90"/>
    </row>
    <row r="42" spans="1:21" x14ac:dyDescent="0.2">
      <c r="A42" s="78" t="s">
        <v>186</v>
      </c>
      <c r="B42" s="72">
        <v>4</v>
      </c>
      <c r="C42" s="72">
        <v>6</v>
      </c>
      <c r="D42" s="72">
        <v>2</v>
      </c>
      <c r="E42" s="72">
        <v>1</v>
      </c>
      <c r="F42" s="72">
        <v>2</v>
      </c>
      <c r="G42" s="79">
        <v>4</v>
      </c>
      <c r="I42" s="91"/>
      <c r="J42" s="91"/>
      <c r="K42" s="91"/>
      <c r="L42" s="91"/>
      <c r="M42" s="95"/>
      <c r="N42" s="92"/>
      <c r="P42" s="91"/>
      <c r="Q42" s="91"/>
      <c r="R42" s="91"/>
      <c r="S42" s="91"/>
      <c r="T42" s="95"/>
      <c r="U42" s="92"/>
    </row>
    <row r="44" spans="1:21" x14ac:dyDescent="0.2">
      <c r="D44" t="s">
        <v>187</v>
      </c>
      <c r="F44" t="str">
        <f ca="1">_xlfn.FORMULATEXT(I38)</f>
        <v>=INDIRECT(ADDRESS(38,MATCH(I37,A38:G38,0))):INDIRECT(ADDRESS(38,MATCH(J37,A38:G38,0)))</v>
      </c>
      <c r="P44" t="str">
        <f ca="1">_xlfn.FORMULATEXT(P38)</f>
        <v>=OFFSET(B38:G38,0,MATCH(P37,B38:G38,0)-1,1,MATCH(Q37,B38:G38,0)-MATCH(P37,B38:G38,0)+1)</v>
      </c>
    </row>
    <row r="45" spans="1:21" x14ac:dyDescent="0.2">
      <c r="D45" t="s">
        <v>188</v>
      </c>
      <c r="F45" t="str">
        <f ca="1">_xlfn.FORMULATEXT(I39)</f>
        <v>=INDIRECT(ADDRESS(38+K37,MATCH(I37,A38:G38,0))):INDIRECT(ADDRESS(38+L37,MATCH(J37,A38:G38,0)))</v>
      </c>
      <c r="P45" t="str">
        <f ca="1">_xlfn.FORMULATEXT(P39)</f>
        <v>=OFFSET(B39:G42,R37-1,MATCH(P37,B38:G38,0)-1,S37-R37+1,MATCH(Q37,B38:G38,0)-MATCH(P37,B38:G38,0)+1)</v>
      </c>
    </row>
    <row r="46" spans="1:21" x14ac:dyDescent="0.2">
      <c r="F46" s="67"/>
    </row>
    <row r="47" spans="1:21" x14ac:dyDescent="0.2">
      <c r="F47" s="67"/>
      <c r="P47" s="67" t="s">
        <v>189</v>
      </c>
    </row>
    <row r="48" spans="1:21" x14ac:dyDescent="0.2">
      <c r="B48" s="100" t="s">
        <v>190</v>
      </c>
      <c r="C48" s="74"/>
      <c r="D48" s="74"/>
      <c r="E48" s="74"/>
      <c r="F48" s="99"/>
      <c r="G48" s="74"/>
      <c r="H48" s="74"/>
      <c r="I48" s="74"/>
      <c r="J48" s="74"/>
      <c r="K48" s="74"/>
      <c r="L48" s="74"/>
      <c r="M48" s="74"/>
      <c r="N48" s="74"/>
      <c r="O48" s="74"/>
      <c r="P48" s="75"/>
    </row>
    <row r="49" spans="2:16" x14ac:dyDescent="0.2">
      <c r="B49" s="76" t="s">
        <v>191</v>
      </c>
      <c r="D49" t="s">
        <v>192</v>
      </c>
      <c r="H49" t="s">
        <v>193</v>
      </c>
      <c r="P49" s="77"/>
    </row>
    <row r="50" spans="2:16" x14ac:dyDescent="0.2">
      <c r="B50" s="76"/>
      <c r="D50" t="s">
        <v>194</v>
      </c>
      <c r="H50" t="s">
        <v>195</v>
      </c>
      <c r="P50" s="77"/>
    </row>
    <row r="51" spans="2:16" x14ac:dyDescent="0.2">
      <c r="B51" s="76"/>
      <c r="D51" t="s">
        <v>196</v>
      </c>
      <c r="H51" t="s">
        <v>197</v>
      </c>
      <c r="P51" s="77"/>
    </row>
    <row r="52" spans="2:16" x14ac:dyDescent="0.2">
      <c r="B52" s="76"/>
      <c r="P52" s="77"/>
    </row>
    <row r="53" spans="2:16" x14ac:dyDescent="0.2">
      <c r="B53" s="76"/>
      <c r="H53" t="s">
        <v>198</v>
      </c>
      <c r="P53" s="77"/>
    </row>
    <row r="54" spans="2:16" x14ac:dyDescent="0.2">
      <c r="B54" s="76"/>
      <c r="H54" t="s">
        <v>199</v>
      </c>
      <c r="P54" s="77"/>
    </row>
    <row r="55" spans="2:16" x14ac:dyDescent="0.2">
      <c r="B55" s="76"/>
      <c r="P55" s="77"/>
    </row>
    <row r="56" spans="2:16" x14ac:dyDescent="0.2">
      <c r="B56" s="76" t="s">
        <v>200</v>
      </c>
      <c r="D56" t="s">
        <v>192</v>
      </c>
      <c r="H56" t="s">
        <v>201</v>
      </c>
      <c r="P56" s="77"/>
    </row>
    <row r="57" spans="2:16" x14ac:dyDescent="0.2">
      <c r="B57" s="76"/>
      <c r="D57" t="s">
        <v>202</v>
      </c>
      <c r="H57" t="s">
        <v>203</v>
      </c>
      <c r="P57" s="77"/>
    </row>
    <row r="58" spans="2:16" x14ac:dyDescent="0.2">
      <c r="B58" s="76"/>
      <c r="D58" t="s">
        <v>196</v>
      </c>
      <c r="H58" t="s">
        <v>204</v>
      </c>
      <c r="P58" s="77"/>
    </row>
    <row r="59" spans="2:16" x14ac:dyDescent="0.2">
      <c r="B59" s="76"/>
      <c r="P59" s="77"/>
    </row>
    <row r="60" spans="2:16" x14ac:dyDescent="0.2">
      <c r="B60" s="78"/>
      <c r="C60" s="72"/>
      <c r="D60" s="72"/>
      <c r="E60" s="72"/>
      <c r="F60" s="72"/>
      <c r="G60" s="72"/>
      <c r="H60" s="72" t="s">
        <v>205</v>
      </c>
      <c r="I60" s="72"/>
      <c r="J60" s="72"/>
      <c r="K60" s="72"/>
      <c r="L60" s="72"/>
      <c r="M60" s="72"/>
      <c r="N60" s="72"/>
      <c r="O60" s="72"/>
      <c r="P60" s="79"/>
    </row>
    <row r="62" spans="2:16" x14ac:dyDescent="0.2">
      <c r="B62" s="100" t="s">
        <v>206</v>
      </c>
      <c r="C62" s="74"/>
      <c r="D62" s="74"/>
      <c r="E62" s="74"/>
      <c r="F62" s="74"/>
      <c r="G62" s="74"/>
      <c r="H62" s="74"/>
      <c r="I62" s="74"/>
      <c r="J62" s="74"/>
      <c r="K62" s="74"/>
      <c r="L62" s="74"/>
      <c r="M62" s="74"/>
      <c r="N62" s="74"/>
      <c r="O62" s="74"/>
      <c r="P62" s="75"/>
    </row>
    <row r="63" spans="2:16" x14ac:dyDescent="0.2">
      <c r="B63" s="76"/>
      <c r="P63" s="77"/>
    </row>
    <row r="64" spans="2:16" x14ac:dyDescent="0.2">
      <c r="B64" s="73">
        <v>1</v>
      </c>
      <c r="C64" s="74">
        <v>4</v>
      </c>
      <c r="D64" s="75">
        <v>7</v>
      </c>
      <c r="F64" t="s">
        <v>207</v>
      </c>
      <c r="G64" t="s">
        <v>313</v>
      </c>
      <c r="I64" s="2" t="e" cm="1">
        <f t="array" aca="1" ref="I64:I65" ca="1">INDIRECT(G64:G65)</f>
        <v>#VALUE!</v>
      </c>
      <c r="J64" t="str">
        <f ca="1">_xlfn.FORMULATEXT(I64)</f>
        <v>=INDIRECT(G64:G65)</v>
      </c>
      <c r="P64" s="77"/>
    </row>
    <row r="65" spans="2:16" x14ac:dyDescent="0.2">
      <c r="B65" s="76">
        <v>2</v>
      </c>
      <c r="C65">
        <v>5</v>
      </c>
      <c r="D65" s="77">
        <v>8</v>
      </c>
      <c r="F65" t="s">
        <v>208</v>
      </c>
      <c r="G65" t="s">
        <v>314</v>
      </c>
      <c r="I65" s="2" t="e">
        <f ca="1"/>
        <v>#VALUE!</v>
      </c>
      <c r="P65" s="77"/>
    </row>
    <row r="66" spans="2:16" x14ac:dyDescent="0.2">
      <c r="B66" s="78">
        <v>3</v>
      </c>
      <c r="C66" s="72">
        <v>6</v>
      </c>
      <c r="D66" s="79">
        <v>9</v>
      </c>
      <c r="P66" s="77"/>
    </row>
    <row r="67" spans="2:16" x14ac:dyDescent="0.2">
      <c r="B67" s="76"/>
      <c r="I67" s="2" cm="1">
        <f t="array" aca="1" ref="I67:K69" ca="1">INDIRECT(G64):INDIRECT(G65)</f>
        <v>1</v>
      </c>
      <c r="J67" s="2">
        <f ca="1"/>
        <v>4</v>
      </c>
      <c r="K67" s="2">
        <f ca="1"/>
        <v>7</v>
      </c>
      <c r="L67" t="str">
        <f ca="1">_xlfn.FORMULATEXT(I67)</f>
        <v>=INDIRECT(G64):INDIRECT(G65)</v>
      </c>
      <c r="P67" s="77"/>
    </row>
    <row r="68" spans="2:16" x14ac:dyDescent="0.2">
      <c r="B68" s="76"/>
      <c r="I68" s="2">
        <f ca="1"/>
        <v>2</v>
      </c>
      <c r="J68" s="2">
        <f ca="1"/>
        <v>5</v>
      </c>
      <c r="K68" s="2">
        <f ca="1"/>
        <v>8</v>
      </c>
      <c r="P68" s="77"/>
    </row>
    <row r="69" spans="2:16" x14ac:dyDescent="0.2">
      <c r="B69" s="76"/>
      <c r="I69" s="2">
        <f ca="1"/>
        <v>3</v>
      </c>
      <c r="J69" s="2">
        <f ca="1"/>
        <v>6</v>
      </c>
      <c r="K69" s="2">
        <f ca="1"/>
        <v>9</v>
      </c>
      <c r="P69" s="77"/>
    </row>
    <row r="70" spans="2:16" x14ac:dyDescent="0.2">
      <c r="B70" s="78"/>
      <c r="C70" s="72"/>
      <c r="D70" s="72"/>
      <c r="E70" s="72"/>
      <c r="F70" s="72"/>
      <c r="G70" s="72"/>
      <c r="H70" s="72"/>
      <c r="I70" s="72"/>
      <c r="J70" s="72"/>
      <c r="K70" s="72"/>
      <c r="L70" s="72"/>
      <c r="M70" s="72"/>
      <c r="N70" s="72"/>
      <c r="O70" s="72"/>
      <c r="P70" s="79"/>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6A4AF6-7209-AE46-8F0B-1636B36F7A00}">
  <sheetPr codeName="Sheet8"/>
  <dimension ref="A1:W201"/>
  <sheetViews>
    <sheetView tabSelected="1" workbookViewId="0">
      <selection activeCell="G179" sqref="G179"/>
    </sheetView>
  </sheetViews>
  <sheetFormatPr baseColWidth="10" defaultColWidth="10.83203125" defaultRowHeight="16" x14ac:dyDescent="0.2"/>
  <cols>
    <col min="1" max="3" width="11" style="17" bestFit="1" customWidth="1"/>
    <col min="4" max="6" width="11.6640625" style="17" bestFit="1" customWidth="1"/>
    <col min="7" max="20" width="11" style="17" bestFit="1" customWidth="1"/>
    <col min="21" max="16384" width="10.83203125" style="17"/>
  </cols>
  <sheetData>
    <row r="1" spans="1:20" x14ac:dyDescent="0.2">
      <c r="A1" s="16" t="s">
        <v>209</v>
      </c>
      <c r="C1" s="18"/>
      <c r="D1" s="18"/>
      <c r="E1" s="18"/>
      <c r="F1" s="18"/>
      <c r="G1" s="18"/>
      <c r="H1" s="18"/>
      <c r="I1" s="18"/>
      <c r="J1" s="18"/>
      <c r="K1" s="18"/>
      <c r="L1" s="18"/>
      <c r="M1" s="18"/>
      <c r="N1" s="18"/>
      <c r="O1" s="18"/>
      <c r="P1" s="18"/>
      <c r="Q1" s="18"/>
      <c r="R1" s="18"/>
      <c r="S1" s="18"/>
    </row>
    <row r="2" spans="1:20" x14ac:dyDescent="0.2">
      <c r="A2" s="16" t="s">
        <v>210</v>
      </c>
      <c r="C2" s="18"/>
      <c r="D2" s="18"/>
      <c r="E2" s="18"/>
      <c r="F2" s="18"/>
      <c r="G2" s="18"/>
      <c r="H2" s="18"/>
      <c r="I2" s="18"/>
      <c r="J2" s="18"/>
      <c r="K2" s="18"/>
      <c r="L2" s="18"/>
      <c r="M2" s="18"/>
      <c r="N2" s="18"/>
      <c r="O2" s="18"/>
      <c r="P2" s="18"/>
      <c r="Q2" s="18"/>
      <c r="R2" s="18"/>
      <c r="S2" s="18"/>
    </row>
    <row r="3" spans="1:20" hidden="1" x14ac:dyDescent="0.2"/>
    <row r="4" spans="1:20" s="22" customFormat="1" hidden="1" x14ac:dyDescent="0.2">
      <c r="A4" s="19" t="s">
        <v>211</v>
      </c>
      <c r="B4" s="20"/>
      <c r="C4" s="16" t="s">
        <v>212</v>
      </c>
      <c r="D4" s="21"/>
      <c r="E4" s="21"/>
      <c r="F4" s="21"/>
      <c r="G4" s="21"/>
      <c r="H4" s="21"/>
      <c r="I4" s="21"/>
      <c r="J4" s="21"/>
      <c r="K4" s="21"/>
      <c r="L4" s="21"/>
      <c r="M4" s="21"/>
      <c r="N4" s="21"/>
      <c r="O4" s="21"/>
      <c r="P4" s="21"/>
      <c r="Q4" s="21"/>
      <c r="R4" s="21"/>
      <c r="S4" s="21"/>
      <c r="T4" s="21"/>
    </row>
    <row r="5" spans="1:20" s="22" customFormat="1" hidden="1" x14ac:dyDescent="0.2">
      <c r="A5" s="23" t="s">
        <v>213</v>
      </c>
      <c r="B5" s="24"/>
      <c r="C5" s="21">
        <v>0</v>
      </c>
      <c r="D5" s="21">
        <f t="shared" ref="D5:T5" si="0">C5+1</f>
        <v>1</v>
      </c>
      <c r="E5" s="21">
        <f t="shared" si="0"/>
        <v>2</v>
      </c>
      <c r="F5" s="21">
        <f t="shared" si="0"/>
        <v>3</v>
      </c>
      <c r="G5" s="21">
        <f t="shared" si="0"/>
        <v>4</v>
      </c>
      <c r="H5" s="21">
        <f t="shared" si="0"/>
        <v>5</v>
      </c>
      <c r="I5" s="21">
        <f t="shared" si="0"/>
        <v>6</v>
      </c>
      <c r="J5" s="21">
        <f t="shared" si="0"/>
        <v>7</v>
      </c>
      <c r="K5" s="21">
        <f t="shared" si="0"/>
        <v>8</v>
      </c>
      <c r="L5" s="21">
        <f t="shared" si="0"/>
        <v>9</v>
      </c>
      <c r="M5" s="21">
        <f t="shared" si="0"/>
        <v>10</v>
      </c>
      <c r="N5" s="21">
        <f t="shared" si="0"/>
        <v>11</v>
      </c>
      <c r="O5" s="21">
        <f t="shared" si="0"/>
        <v>12</v>
      </c>
      <c r="P5" s="21">
        <f t="shared" si="0"/>
        <v>13</v>
      </c>
      <c r="Q5" s="21">
        <f t="shared" si="0"/>
        <v>14</v>
      </c>
      <c r="R5" s="21">
        <f t="shared" si="0"/>
        <v>15</v>
      </c>
      <c r="S5" s="21">
        <f t="shared" si="0"/>
        <v>16</v>
      </c>
      <c r="T5" s="21">
        <f t="shared" si="0"/>
        <v>17</v>
      </c>
    </row>
    <row r="6" spans="1:20" hidden="1" x14ac:dyDescent="0.2">
      <c r="C6" s="25" t="s">
        <v>214</v>
      </c>
      <c r="D6" s="25" t="s">
        <v>214</v>
      </c>
      <c r="E6" s="25" t="s">
        <v>214</v>
      </c>
      <c r="F6" s="25" t="s">
        <v>214</v>
      </c>
      <c r="G6" s="25" t="s">
        <v>214</v>
      </c>
      <c r="H6" s="25" t="s">
        <v>214</v>
      </c>
      <c r="I6" s="25" t="s">
        <v>214</v>
      </c>
      <c r="J6" s="25" t="s">
        <v>214</v>
      </c>
      <c r="K6" s="25" t="s">
        <v>214</v>
      </c>
      <c r="L6" s="25" t="s">
        <v>214</v>
      </c>
      <c r="M6" s="25" t="s">
        <v>214</v>
      </c>
      <c r="N6" s="25" t="s">
        <v>214</v>
      </c>
      <c r="O6" s="25" t="s">
        <v>214</v>
      </c>
      <c r="P6" s="25" t="s">
        <v>214</v>
      </c>
      <c r="Q6" s="25" t="s">
        <v>214</v>
      </c>
      <c r="R6" s="25" t="s">
        <v>214</v>
      </c>
      <c r="S6" s="25" t="s">
        <v>214</v>
      </c>
      <c r="T6" s="25" t="s">
        <v>214</v>
      </c>
    </row>
    <row r="7" spans="1:20" hidden="1" x14ac:dyDescent="0.2"/>
    <row r="8" spans="1:20" hidden="1" x14ac:dyDescent="0.2">
      <c r="A8" s="18">
        <v>1978</v>
      </c>
      <c r="B8" s="26"/>
      <c r="C8" s="26">
        <v>9268</v>
      </c>
      <c r="D8" s="26">
        <v>18263</v>
      </c>
      <c r="E8" s="26">
        <v>20182</v>
      </c>
      <c r="F8" s="26">
        <v>22383</v>
      </c>
      <c r="G8" s="26">
        <v>22782</v>
      </c>
      <c r="H8" s="26">
        <v>26348</v>
      </c>
      <c r="I8" s="26">
        <v>26172</v>
      </c>
      <c r="J8" s="26">
        <v>26184</v>
      </c>
      <c r="K8" s="26">
        <v>25455</v>
      </c>
      <c r="L8" s="26">
        <v>25740</v>
      </c>
      <c r="M8" s="26">
        <v>25711</v>
      </c>
      <c r="N8" s="26">
        <v>25452</v>
      </c>
      <c r="O8" s="26">
        <v>25460</v>
      </c>
      <c r="P8" s="26">
        <v>25422</v>
      </c>
      <c r="Q8" s="26">
        <v>25386</v>
      </c>
      <c r="R8" s="26">
        <v>25520</v>
      </c>
      <c r="S8" s="26">
        <v>25646</v>
      </c>
      <c r="T8" s="26">
        <v>25469</v>
      </c>
    </row>
    <row r="9" spans="1:20" hidden="1" x14ac:dyDescent="0.2">
      <c r="A9" s="18">
        <f>A8+1</f>
        <v>1979</v>
      </c>
      <c r="B9" s="26"/>
      <c r="C9" s="26">
        <v>9848</v>
      </c>
      <c r="D9" s="26">
        <v>16123</v>
      </c>
      <c r="E9" s="26">
        <v>17099</v>
      </c>
      <c r="F9" s="26">
        <v>18544</v>
      </c>
      <c r="G9" s="26">
        <v>20534</v>
      </c>
      <c r="H9" s="26">
        <v>21554</v>
      </c>
      <c r="I9" s="26">
        <v>23219</v>
      </c>
      <c r="J9" s="26">
        <v>22381</v>
      </c>
      <c r="K9" s="26">
        <v>21584</v>
      </c>
      <c r="L9" s="26">
        <v>21408</v>
      </c>
      <c r="M9" s="26">
        <v>20857</v>
      </c>
      <c r="N9" s="26">
        <v>21163</v>
      </c>
      <c r="O9" s="26">
        <v>20482</v>
      </c>
      <c r="P9" s="26">
        <v>19971</v>
      </c>
      <c r="Q9" s="26">
        <v>19958</v>
      </c>
      <c r="R9" s="26">
        <v>19947</v>
      </c>
      <c r="S9" s="26">
        <v>19991</v>
      </c>
      <c r="T9" s="26"/>
    </row>
    <row r="10" spans="1:20" hidden="1" x14ac:dyDescent="0.2">
      <c r="A10" s="18">
        <f t="shared" ref="A10:A25" si="1">A9+1</f>
        <v>1980</v>
      </c>
      <c r="B10" s="26"/>
      <c r="C10" s="26">
        <v>13990</v>
      </c>
      <c r="D10" s="26">
        <v>22484</v>
      </c>
      <c r="E10" s="26">
        <v>24950</v>
      </c>
      <c r="F10" s="26">
        <v>33255</v>
      </c>
      <c r="G10" s="26">
        <v>33295</v>
      </c>
      <c r="H10" s="26">
        <v>34308</v>
      </c>
      <c r="I10" s="26">
        <v>34022</v>
      </c>
      <c r="J10" s="26">
        <v>34023</v>
      </c>
      <c r="K10" s="26">
        <v>33842</v>
      </c>
      <c r="L10" s="26">
        <v>33933</v>
      </c>
      <c r="M10" s="26">
        <v>33570</v>
      </c>
      <c r="N10" s="26">
        <v>31881</v>
      </c>
      <c r="O10" s="26">
        <v>32203</v>
      </c>
      <c r="P10" s="26">
        <v>32345</v>
      </c>
      <c r="Q10" s="26">
        <v>32250</v>
      </c>
      <c r="R10" s="26">
        <v>32168</v>
      </c>
      <c r="S10" s="26"/>
      <c r="T10" s="26"/>
    </row>
    <row r="11" spans="1:20" hidden="1" x14ac:dyDescent="0.2">
      <c r="A11" s="18">
        <f t="shared" si="1"/>
        <v>1981</v>
      </c>
      <c r="B11" s="26"/>
      <c r="C11" s="26">
        <v>16550</v>
      </c>
      <c r="D11" s="26">
        <v>28056</v>
      </c>
      <c r="E11" s="26">
        <v>39995</v>
      </c>
      <c r="F11" s="26">
        <v>42459</v>
      </c>
      <c r="G11" s="26">
        <v>42797</v>
      </c>
      <c r="H11" s="26">
        <v>42755</v>
      </c>
      <c r="I11" s="26">
        <v>42435</v>
      </c>
      <c r="J11" s="26">
        <v>42302</v>
      </c>
      <c r="K11" s="26">
        <v>42095</v>
      </c>
      <c r="L11" s="26">
        <v>41606</v>
      </c>
      <c r="M11" s="26">
        <v>40440</v>
      </c>
      <c r="N11" s="26">
        <v>40432</v>
      </c>
      <c r="O11" s="26">
        <v>40326</v>
      </c>
      <c r="P11" s="26">
        <v>40337</v>
      </c>
      <c r="Q11" s="26">
        <v>40096</v>
      </c>
      <c r="R11" s="26"/>
      <c r="S11" s="26"/>
      <c r="T11" s="26"/>
    </row>
    <row r="12" spans="1:20" hidden="1" x14ac:dyDescent="0.2">
      <c r="A12" s="18">
        <f t="shared" si="1"/>
        <v>1982</v>
      </c>
      <c r="B12" s="26"/>
      <c r="C12" s="26">
        <v>11100</v>
      </c>
      <c r="D12" s="26">
        <v>31620</v>
      </c>
      <c r="E12" s="26">
        <v>40852</v>
      </c>
      <c r="F12" s="26">
        <v>38831</v>
      </c>
      <c r="G12" s="26">
        <v>39516</v>
      </c>
      <c r="H12" s="26">
        <v>39870</v>
      </c>
      <c r="I12" s="26">
        <v>40358</v>
      </c>
      <c r="J12" s="26">
        <v>40355</v>
      </c>
      <c r="K12" s="26">
        <v>40116</v>
      </c>
      <c r="L12" s="26">
        <v>39888</v>
      </c>
      <c r="M12" s="26">
        <v>39898</v>
      </c>
      <c r="N12" s="26">
        <v>40147</v>
      </c>
      <c r="O12" s="26">
        <v>39827</v>
      </c>
      <c r="P12" s="26">
        <v>40200</v>
      </c>
      <c r="Q12" s="26"/>
      <c r="R12" s="26"/>
      <c r="S12" s="26"/>
      <c r="T12" s="26"/>
    </row>
    <row r="13" spans="1:20" hidden="1" x14ac:dyDescent="0.2">
      <c r="A13" s="18">
        <f t="shared" si="1"/>
        <v>1983</v>
      </c>
      <c r="B13" s="26"/>
      <c r="C13" s="26">
        <v>15677</v>
      </c>
      <c r="D13" s="26">
        <v>33074</v>
      </c>
      <c r="E13" s="26">
        <v>35592</v>
      </c>
      <c r="F13" s="26">
        <v>35721</v>
      </c>
      <c r="G13" s="26">
        <v>38652</v>
      </c>
      <c r="H13" s="26">
        <v>39418</v>
      </c>
      <c r="I13" s="26">
        <v>39223</v>
      </c>
      <c r="J13" s="26">
        <v>39696</v>
      </c>
      <c r="K13" s="26">
        <v>37769</v>
      </c>
      <c r="L13" s="26">
        <v>37894</v>
      </c>
      <c r="M13" s="26">
        <v>37369</v>
      </c>
      <c r="N13" s="26">
        <v>37345</v>
      </c>
      <c r="O13" s="26">
        <v>37075</v>
      </c>
      <c r="P13" s="26"/>
      <c r="Q13" s="26"/>
      <c r="R13" s="26"/>
      <c r="S13" s="26"/>
      <c r="T13" s="26"/>
    </row>
    <row r="14" spans="1:20" hidden="1" x14ac:dyDescent="0.2">
      <c r="A14" s="18">
        <f t="shared" si="1"/>
        <v>1984</v>
      </c>
      <c r="B14" s="26"/>
      <c r="C14" s="26">
        <v>20375</v>
      </c>
      <c r="D14" s="26">
        <v>33555</v>
      </c>
      <c r="E14" s="26">
        <v>41756</v>
      </c>
      <c r="F14" s="26">
        <v>45125</v>
      </c>
      <c r="G14" s="26">
        <v>47284</v>
      </c>
      <c r="H14" s="26">
        <v>51710</v>
      </c>
      <c r="I14" s="26">
        <v>52147</v>
      </c>
      <c r="J14" s="26">
        <v>51187</v>
      </c>
      <c r="K14" s="26">
        <v>51950</v>
      </c>
      <c r="L14" s="26">
        <v>50967</v>
      </c>
      <c r="M14" s="26">
        <v>51461</v>
      </c>
      <c r="N14" s="26">
        <v>51382</v>
      </c>
      <c r="O14" s="26"/>
      <c r="P14" s="26"/>
      <c r="Q14" s="26"/>
      <c r="R14" s="26"/>
      <c r="S14" s="26"/>
      <c r="T14" s="26"/>
    </row>
    <row r="15" spans="1:20" hidden="1" x14ac:dyDescent="0.2">
      <c r="A15" s="18">
        <f t="shared" si="1"/>
        <v>1985</v>
      </c>
      <c r="B15" s="26"/>
      <c r="C15" s="26">
        <v>9800</v>
      </c>
      <c r="D15" s="26">
        <v>24663</v>
      </c>
      <c r="E15" s="26">
        <v>36061</v>
      </c>
      <c r="F15" s="26">
        <v>37927</v>
      </c>
      <c r="G15" s="26">
        <v>40042</v>
      </c>
      <c r="H15" s="26">
        <v>40562</v>
      </c>
      <c r="I15" s="26">
        <v>40362</v>
      </c>
      <c r="J15" s="26">
        <v>40884</v>
      </c>
      <c r="K15" s="26">
        <v>40597</v>
      </c>
      <c r="L15" s="26">
        <v>41304</v>
      </c>
      <c r="M15" s="26">
        <v>42378</v>
      </c>
      <c r="N15" s="26"/>
      <c r="O15" s="26"/>
      <c r="P15" s="26"/>
      <c r="Q15" s="26"/>
      <c r="R15" s="26"/>
      <c r="S15" s="26"/>
      <c r="T15" s="26"/>
    </row>
    <row r="16" spans="1:20" hidden="1" x14ac:dyDescent="0.2">
      <c r="A16" s="18">
        <f t="shared" si="1"/>
        <v>1986</v>
      </c>
      <c r="B16" s="26"/>
      <c r="C16" s="26">
        <v>11380</v>
      </c>
      <c r="D16" s="26">
        <v>26843</v>
      </c>
      <c r="E16" s="26">
        <v>34931</v>
      </c>
      <c r="F16" s="26">
        <v>37805</v>
      </c>
      <c r="G16" s="26">
        <v>41277</v>
      </c>
      <c r="H16" s="26">
        <v>44901</v>
      </c>
      <c r="I16" s="26">
        <v>45867</v>
      </c>
      <c r="J16" s="26">
        <v>45404</v>
      </c>
      <c r="K16" s="26">
        <v>45347</v>
      </c>
      <c r="L16" s="26">
        <v>44383</v>
      </c>
      <c r="M16" s="26"/>
      <c r="N16" s="26"/>
      <c r="O16" s="26"/>
      <c r="P16" s="26"/>
      <c r="Q16" s="26"/>
      <c r="R16" s="26"/>
      <c r="S16" s="26"/>
      <c r="T16" s="26"/>
    </row>
    <row r="17" spans="1:20" hidden="1" x14ac:dyDescent="0.2">
      <c r="A17" s="18">
        <f t="shared" si="1"/>
        <v>1987</v>
      </c>
      <c r="B17" s="26"/>
      <c r="C17" s="26">
        <v>10226</v>
      </c>
      <c r="D17" s="26">
        <v>20511</v>
      </c>
      <c r="E17" s="26">
        <v>26882</v>
      </c>
      <c r="F17" s="26">
        <v>32326</v>
      </c>
      <c r="G17" s="26">
        <v>35257</v>
      </c>
      <c r="H17" s="26">
        <v>40557</v>
      </c>
      <c r="I17" s="26">
        <v>43753</v>
      </c>
      <c r="J17" s="26">
        <v>44609</v>
      </c>
      <c r="K17" s="26">
        <v>44196</v>
      </c>
      <c r="L17" s="26"/>
      <c r="M17" s="26"/>
      <c r="N17" s="26"/>
      <c r="O17" s="26"/>
      <c r="P17" s="26"/>
      <c r="Q17" s="26"/>
      <c r="R17" s="26"/>
      <c r="S17" s="26"/>
      <c r="T17" s="26"/>
    </row>
    <row r="18" spans="1:20" hidden="1" x14ac:dyDescent="0.2">
      <c r="A18" s="18">
        <f t="shared" si="1"/>
        <v>1988</v>
      </c>
      <c r="B18" s="26"/>
      <c r="C18" s="26">
        <v>8170</v>
      </c>
      <c r="D18" s="26">
        <v>18567</v>
      </c>
      <c r="E18" s="26">
        <v>26472</v>
      </c>
      <c r="F18" s="26">
        <v>33002</v>
      </c>
      <c r="G18" s="26">
        <v>36321</v>
      </c>
      <c r="H18" s="26">
        <v>37047</v>
      </c>
      <c r="I18" s="26">
        <v>39675</v>
      </c>
      <c r="J18" s="26">
        <v>40398</v>
      </c>
      <c r="K18" s="26"/>
      <c r="L18" s="26"/>
      <c r="M18" s="26"/>
      <c r="N18" s="26"/>
      <c r="O18" s="26"/>
      <c r="P18" s="26"/>
      <c r="Q18" s="26"/>
      <c r="R18" s="26"/>
      <c r="S18" s="26"/>
      <c r="T18" s="26"/>
    </row>
    <row r="19" spans="1:20" hidden="1" x14ac:dyDescent="0.2">
      <c r="A19" s="18">
        <f t="shared" si="1"/>
        <v>1989</v>
      </c>
      <c r="B19" s="26"/>
      <c r="C19" s="26">
        <v>10433</v>
      </c>
      <c r="D19" s="26">
        <v>19484</v>
      </c>
      <c r="E19" s="26">
        <v>32103</v>
      </c>
      <c r="F19" s="26">
        <v>38936</v>
      </c>
      <c r="G19" s="26">
        <v>45851</v>
      </c>
      <c r="H19" s="26">
        <v>45133</v>
      </c>
      <c r="I19" s="26">
        <v>45501</v>
      </c>
      <c r="J19" s="26"/>
      <c r="K19" s="26"/>
      <c r="L19" s="26"/>
      <c r="M19" s="26"/>
      <c r="N19" s="26"/>
      <c r="O19" s="26"/>
      <c r="P19" s="26"/>
      <c r="Q19" s="26"/>
      <c r="R19" s="26"/>
      <c r="S19" s="26"/>
      <c r="T19" s="26"/>
    </row>
    <row r="20" spans="1:20" hidden="1" x14ac:dyDescent="0.2">
      <c r="A20" s="18">
        <f t="shared" si="1"/>
        <v>1990</v>
      </c>
      <c r="B20" s="26"/>
      <c r="C20" s="26">
        <v>9661</v>
      </c>
      <c r="D20" s="26">
        <v>23808</v>
      </c>
      <c r="E20" s="26">
        <v>32966</v>
      </c>
      <c r="F20" s="26">
        <v>42907</v>
      </c>
      <c r="G20" s="26">
        <v>46930</v>
      </c>
      <c r="H20" s="26">
        <v>49300</v>
      </c>
      <c r="I20" s="26"/>
      <c r="J20" s="26"/>
      <c r="K20" s="26"/>
      <c r="L20" s="26"/>
      <c r="M20" s="26"/>
      <c r="N20" s="26"/>
      <c r="O20" s="26"/>
      <c r="P20" s="26"/>
      <c r="Q20" s="26"/>
      <c r="R20" s="26"/>
      <c r="S20" s="26"/>
      <c r="T20" s="26"/>
    </row>
    <row r="21" spans="1:20" hidden="1" x14ac:dyDescent="0.2">
      <c r="A21" s="18">
        <f t="shared" si="1"/>
        <v>1991</v>
      </c>
      <c r="B21" s="26"/>
      <c r="C21" s="26">
        <v>14275</v>
      </c>
      <c r="D21" s="26">
        <v>25551</v>
      </c>
      <c r="E21" s="26">
        <v>33754</v>
      </c>
      <c r="F21" s="26">
        <v>38674</v>
      </c>
      <c r="G21" s="26">
        <v>41132</v>
      </c>
      <c r="H21" s="26"/>
      <c r="I21" s="26"/>
      <c r="J21" s="26"/>
      <c r="K21" s="26"/>
      <c r="L21" s="26"/>
      <c r="M21" s="26"/>
      <c r="N21" s="26"/>
      <c r="O21" s="26"/>
      <c r="P21" s="26"/>
      <c r="Q21" s="26"/>
      <c r="R21" s="26"/>
      <c r="S21" s="26"/>
      <c r="T21" s="26"/>
    </row>
    <row r="22" spans="1:20" hidden="1" x14ac:dyDescent="0.2">
      <c r="A22" s="18">
        <f t="shared" si="1"/>
        <v>1992</v>
      </c>
      <c r="B22" s="26"/>
      <c r="C22" s="26">
        <v>13245</v>
      </c>
      <c r="D22" s="26">
        <v>29206</v>
      </c>
      <c r="E22" s="26">
        <v>36987</v>
      </c>
      <c r="F22" s="26">
        <v>44075</v>
      </c>
      <c r="G22" s="26"/>
      <c r="H22" s="26"/>
      <c r="I22" s="26"/>
      <c r="J22" s="26"/>
      <c r="K22" s="26"/>
      <c r="L22" s="26"/>
      <c r="M22" s="26"/>
      <c r="N22" s="26"/>
      <c r="O22" s="26"/>
      <c r="P22" s="26"/>
      <c r="Q22" s="26"/>
      <c r="R22" s="26"/>
      <c r="S22" s="26"/>
      <c r="T22" s="26"/>
    </row>
    <row r="23" spans="1:20" hidden="1" x14ac:dyDescent="0.2">
      <c r="A23" s="18">
        <f t="shared" si="1"/>
        <v>1993</v>
      </c>
      <c r="B23" s="26"/>
      <c r="C23" s="26">
        <v>14711</v>
      </c>
      <c r="D23" s="26">
        <v>27082</v>
      </c>
      <c r="E23" s="26">
        <v>34230</v>
      </c>
      <c r="F23" s="26"/>
      <c r="G23" s="26"/>
      <c r="H23" s="26"/>
      <c r="I23" s="26"/>
      <c r="J23" s="26"/>
      <c r="K23" s="26"/>
      <c r="L23" s="26"/>
      <c r="M23" s="26"/>
      <c r="N23" s="26"/>
      <c r="O23" s="26"/>
      <c r="P23" s="26"/>
      <c r="Q23" s="26"/>
      <c r="R23" s="26"/>
      <c r="S23" s="26"/>
      <c r="T23" s="26"/>
    </row>
    <row r="24" spans="1:20" hidden="1" x14ac:dyDescent="0.2">
      <c r="A24" s="18">
        <f t="shared" si="1"/>
        <v>1994</v>
      </c>
      <c r="B24" s="26"/>
      <c r="C24" s="26">
        <v>12476</v>
      </c>
      <c r="D24" s="26">
        <v>23126</v>
      </c>
      <c r="E24" s="26"/>
      <c r="F24" s="26"/>
      <c r="G24" s="26"/>
      <c r="H24" s="26"/>
      <c r="I24" s="26"/>
      <c r="J24" s="26"/>
      <c r="K24" s="26"/>
      <c r="L24" s="26"/>
      <c r="M24" s="26"/>
      <c r="N24" s="26"/>
      <c r="O24" s="26"/>
      <c r="P24" s="26"/>
      <c r="Q24" s="26"/>
      <c r="R24" s="26"/>
      <c r="S24" s="26"/>
      <c r="T24" s="26"/>
    </row>
    <row r="25" spans="1:20" hidden="1" x14ac:dyDescent="0.2">
      <c r="A25" s="18">
        <f t="shared" si="1"/>
        <v>1995</v>
      </c>
      <c r="B25" s="26"/>
      <c r="C25" s="26">
        <v>9715</v>
      </c>
      <c r="D25" s="26"/>
      <c r="E25" s="26"/>
      <c r="F25" s="26"/>
      <c r="G25" s="26"/>
      <c r="H25" s="26"/>
      <c r="I25" s="26"/>
      <c r="J25" s="26"/>
      <c r="K25" s="26"/>
      <c r="L25" s="26"/>
      <c r="M25" s="26"/>
      <c r="N25" s="26"/>
      <c r="O25" s="26"/>
      <c r="P25" s="26"/>
      <c r="Q25" s="26"/>
      <c r="R25" s="26"/>
      <c r="S25" s="26"/>
      <c r="T25" s="26"/>
    </row>
    <row r="27" spans="1:20" x14ac:dyDescent="0.2">
      <c r="A27" s="19" t="s">
        <v>211</v>
      </c>
      <c r="B27" s="20" t="s">
        <v>215</v>
      </c>
      <c r="C27" s="16" t="s">
        <v>216</v>
      </c>
      <c r="D27" s="21"/>
      <c r="E27" s="21"/>
      <c r="F27" s="21"/>
      <c r="G27" s="21"/>
      <c r="H27" s="21"/>
      <c r="I27" s="21"/>
      <c r="J27" s="21"/>
      <c r="K27" s="21"/>
      <c r="L27" s="21"/>
      <c r="M27" s="21"/>
      <c r="N27" s="21"/>
      <c r="O27" s="21"/>
      <c r="P27" s="21"/>
      <c r="Q27" s="21"/>
      <c r="R27" s="21"/>
      <c r="S27" s="21"/>
      <c r="T27" s="21"/>
    </row>
    <row r="28" spans="1:20" x14ac:dyDescent="0.2">
      <c r="A28" s="23" t="s">
        <v>213</v>
      </c>
      <c r="B28" s="24" t="s">
        <v>217</v>
      </c>
      <c r="C28" s="21">
        <v>0</v>
      </c>
      <c r="D28" s="21">
        <f t="shared" ref="D28:T28" si="2">C28+1</f>
        <v>1</v>
      </c>
      <c r="E28" s="21">
        <f t="shared" si="2"/>
        <v>2</v>
      </c>
      <c r="F28" s="21">
        <f t="shared" si="2"/>
        <v>3</v>
      </c>
      <c r="G28" s="21">
        <f t="shared" si="2"/>
        <v>4</v>
      </c>
      <c r="H28" s="21">
        <f t="shared" si="2"/>
        <v>5</v>
      </c>
      <c r="I28" s="21">
        <f t="shared" si="2"/>
        <v>6</v>
      </c>
      <c r="J28" s="21">
        <f t="shared" si="2"/>
        <v>7</v>
      </c>
      <c r="K28" s="21">
        <f t="shared" si="2"/>
        <v>8</v>
      </c>
      <c r="L28" s="21">
        <f t="shared" si="2"/>
        <v>9</v>
      </c>
      <c r="M28" s="21">
        <f t="shared" si="2"/>
        <v>10</v>
      </c>
      <c r="N28" s="21">
        <f t="shared" si="2"/>
        <v>11</v>
      </c>
      <c r="O28" s="21">
        <f t="shared" si="2"/>
        <v>12</v>
      </c>
      <c r="P28" s="21">
        <f t="shared" si="2"/>
        <v>13</v>
      </c>
      <c r="Q28" s="21">
        <f t="shared" si="2"/>
        <v>14</v>
      </c>
      <c r="R28" s="21">
        <f t="shared" si="2"/>
        <v>15</v>
      </c>
      <c r="S28" s="21">
        <f t="shared" si="2"/>
        <v>16</v>
      </c>
      <c r="T28" s="21">
        <f t="shared" si="2"/>
        <v>17</v>
      </c>
    </row>
    <row r="29" spans="1:20" x14ac:dyDescent="0.2">
      <c r="C29" s="25" t="s">
        <v>214</v>
      </c>
      <c r="D29" s="25" t="s">
        <v>214</v>
      </c>
      <c r="E29" s="25" t="s">
        <v>214</v>
      </c>
      <c r="F29" s="25" t="s">
        <v>214</v>
      </c>
      <c r="G29" s="25" t="s">
        <v>214</v>
      </c>
      <c r="H29" s="25" t="s">
        <v>214</v>
      </c>
      <c r="I29" s="25" t="s">
        <v>214</v>
      </c>
      <c r="J29" s="25" t="s">
        <v>214</v>
      </c>
      <c r="K29" s="25" t="s">
        <v>214</v>
      </c>
      <c r="L29" s="25" t="s">
        <v>214</v>
      </c>
      <c r="M29" s="25" t="s">
        <v>214</v>
      </c>
      <c r="N29" s="25" t="s">
        <v>214</v>
      </c>
      <c r="O29" s="25" t="s">
        <v>214</v>
      </c>
      <c r="P29" s="25" t="s">
        <v>214</v>
      </c>
      <c r="Q29" s="25" t="s">
        <v>214</v>
      </c>
      <c r="R29" s="25" t="s">
        <v>214</v>
      </c>
      <c r="S29" s="25" t="s">
        <v>214</v>
      </c>
      <c r="T29" s="25" t="s">
        <v>214</v>
      </c>
    </row>
    <row r="31" spans="1:20" x14ac:dyDescent="0.2">
      <c r="A31" s="18">
        <f t="shared" ref="A31:A48" si="3">A8</f>
        <v>1978</v>
      </c>
      <c r="B31" s="27">
        <v>1</v>
      </c>
      <c r="C31" s="26">
        <f t="shared" ref="C31:C48" si="4">C8*B31</f>
        <v>9268</v>
      </c>
      <c r="D31" s="26">
        <f t="shared" ref="D31:D47" si="5">D8*B32</f>
        <v>18263</v>
      </c>
      <c r="E31" s="26">
        <f t="shared" ref="E31:E45" si="6">E8*B33</f>
        <v>20182</v>
      </c>
      <c r="F31" s="26">
        <f t="shared" ref="F31:F45" si="7">F8*B34</f>
        <v>22383</v>
      </c>
      <c r="G31" s="26">
        <f t="shared" ref="G31:G44" si="8">G8*B35</f>
        <v>22782</v>
      </c>
      <c r="H31" s="26">
        <f t="shared" ref="H31:H43" si="9">H8*B36</f>
        <v>26348</v>
      </c>
      <c r="I31" s="26">
        <f t="shared" ref="I31:I42" si="10">I8*B37</f>
        <v>26172</v>
      </c>
      <c r="J31" s="26">
        <f t="shared" ref="J31:J41" si="11">J8*B38</f>
        <v>26184</v>
      </c>
      <c r="K31" s="26">
        <f t="shared" ref="K31:K40" si="12">K8*B39</f>
        <v>25455</v>
      </c>
      <c r="L31" s="26">
        <f t="shared" ref="L31:L39" si="13">L8*B40</f>
        <v>25740</v>
      </c>
      <c r="M31" s="26">
        <f t="shared" ref="M31:M38" si="14">M8*B41</f>
        <v>25711</v>
      </c>
      <c r="N31" s="26">
        <f t="shared" ref="N31:N37" si="15">N8*B42</f>
        <v>25452</v>
      </c>
      <c r="O31" s="26">
        <f t="shared" ref="O31:O36" si="16">O8*B43</f>
        <v>25460</v>
      </c>
      <c r="P31" s="26">
        <f>P8*B44</f>
        <v>25422</v>
      </c>
      <c r="Q31" s="26">
        <f>Q8*B45</f>
        <v>25386</v>
      </c>
      <c r="R31" s="26">
        <f>R8*B46</f>
        <v>25520</v>
      </c>
      <c r="S31" s="26">
        <f>S8*B47</f>
        <v>25646</v>
      </c>
      <c r="T31" s="26">
        <f>T8*B48</f>
        <v>25469</v>
      </c>
    </row>
    <row r="32" spans="1:20" x14ac:dyDescent="0.2">
      <c r="A32" s="18">
        <f t="shared" si="3"/>
        <v>1979</v>
      </c>
      <c r="B32" s="27">
        <f>B31</f>
        <v>1</v>
      </c>
      <c r="C32" s="26">
        <f t="shared" si="4"/>
        <v>9848</v>
      </c>
      <c r="D32" s="26">
        <f t="shared" si="5"/>
        <v>16123</v>
      </c>
      <c r="E32" s="26">
        <f t="shared" si="6"/>
        <v>17099</v>
      </c>
      <c r="F32" s="26">
        <f t="shared" si="7"/>
        <v>18544</v>
      </c>
      <c r="G32" s="26">
        <f t="shared" si="8"/>
        <v>20534</v>
      </c>
      <c r="H32" s="26">
        <f t="shared" si="9"/>
        <v>21554</v>
      </c>
      <c r="I32" s="26">
        <f t="shared" si="10"/>
        <v>23219</v>
      </c>
      <c r="J32" s="26">
        <f t="shared" si="11"/>
        <v>22381</v>
      </c>
      <c r="K32" s="26">
        <f t="shared" si="12"/>
        <v>21584</v>
      </c>
      <c r="L32" s="26">
        <f t="shared" si="13"/>
        <v>21408</v>
      </c>
      <c r="M32" s="26">
        <f t="shared" si="14"/>
        <v>20857</v>
      </c>
      <c r="N32" s="26">
        <f t="shared" si="15"/>
        <v>21163</v>
      </c>
      <c r="O32" s="26">
        <f t="shared" si="16"/>
        <v>20482</v>
      </c>
      <c r="P32" s="26">
        <f>P9*B45</f>
        <v>19971</v>
      </c>
      <c r="Q32" s="26">
        <f>Q9*B46</f>
        <v>19958</v>
      </c>
      <c r="R32" s="26">
        <f>R9*B47</f>
        <v>19947</v>
      </c>
      <c r="S32" s="26">
        <f>S9*B48</f>
        <v>19991</v>
      </c>
      <c r="T32" s="26"/>
    </row>
    <row r="33" spans="1:20" x14ac:dyDescent="0.2">
      <c r="A33" s="18">
        <f t="shared" si="3"/>
        <v>1980</v>
      </c>
      <c r="B33" s="27">
        <f t="shared" ref="B33:B48" si="17">B32</f>
        <v>1</v>
      </c>
      <c r="C33" s="26">
        <f t="shared" si="4"/>
        <v>13990</v>
      </c>
      <c r="D33" s="26">
        <f t="shared" si="5"/>
        <v>22484</v>
      </c>
      <c r="E33" s="26">
        <f t="shared" si="6"/>
        <v>24950</v>
      </c>
      <c r="F33" s="26">
        <f t="shared" si="7"/>
        <v>33255</v>
      </c>
      <c r="G33" s="26">
        <f t="shared" si="8"/>
        <v>33295</v>
      </c>
      <c r="H33" s="26">
        <f t="shared" si="9"/>
        <v>34308</v>
      </c>
      <c r="I33" s="26">
        <f t="shared" si="10"/>
        <v>34022</v>
      </c>
      <c r="J33" s="26">
        <f t="shared" si="11"/>
        <v>34023</v>
      </c>
      <c r="K33" s="26">
        <f t="shared" si="12"/>
        <v>33842</v>
      </c>
      <c r="L33" s="26">
        <f t="shared" si="13"/>
        <v>33933</v>
      </c>
      <c r="M33" s="26">
        <f t="shared" si="14"/>
        <v>33570</v>
      </c>
      <c r="N33" s="26">
        <f t="shared" si="15"/>
        <v>31881</v>
      </c>
      <c r="O33" s="26">
        <f t="shared" si="16"/>
        <v>32203</v>
      </c>
      <c r="P33" s="26">
        <f>P10*B46</f>
        <v>32345</v>
      </c>
      <c r="Q33" s="26">
        <f>Q10*B47</f>
        <v>32250</v>
      </c>
      <c r="R33" s="26">
        <f>R10*B48</f>
        <v>32168</v>
      </c>
      <c r="S33" s="26"/>
      <c r="T33" s="26"/>
    </row>
    <row r="34" spans="1:20" x14ac:dyDescent="0.2">
      <c r="A34" s="18">
        <f t="shared" si="3"/>
        <v>1981</v>
      </c>
      <c r="B34" s="27">
        <f t="shared" si="17"/>
        <v>1</v>
      </c>
      <c r="C34" s="26">
        <f t="shared" si="4"/>
        <v>16550</v>
      </c>
      <c r="D34" s="26">
        <f t="shared" si="5"/>
        <v>28056</v>
      </c>
      <c r="E34" s="26">
        <f t="shared" si="6"/>
        <v>39995</v>
      </c>
      <c r="F34" s="26">
        <f t="shared" si="7"/>
        <v>42459</v>
      </c>
      <c r="G34" s="26">
        <f t="shared" si="8"/>
        <v>42797</v>
      </c>
      <c r="H34" s="26">
        <f t="shared" si="9"/>
        <v>42755</v>
      </c>
      <c r="I34" s="26">
        <f t="shared" si="10"/>
        <v>42435</v>
      </c>
      <c r="J34" s="26">
        <f t="shared" si="11"/>
        <v>42302</v>
      </c>
      <c r="K34" s="26">
        <f t="shared" si="12"/>
        <v>42095</v>
      </c>
      <c r="L34" s="26">
        <f t="shared" si="13"/>
        <v>41606</v>
      </c>
      <c r="M34" s="26">
        <f t="shared" si="14"/>
        <v>40440</v>
      </c>
      <c r="N34" s="26">
        <f t="shared" si="15"/>
        <v>40432</v>
      </c>
      <c r="O34" s="26">
        <f t="shared" si="16"/>
        <v>40326</v>
      </c>
      <c r="P34" s="26">
        <f>P11*B47</f>
        <v>40337</v>
      </c>
      <c r="Q34" s="26">
        <f>Q11*B48</f>
        <v>40096</v>
      </c>
      <c r="R34" s="26"/>
      <c r="S34" s="26"/>
      <c r="T34" s="26"/>
    </row>
    <row r="35" spans="1:20" x14ac:dyDescent="0.2">
      <c r="A35" s="18">
        <f t="shared" si="3"/>
        <v>1982</v>
      </c>
      <c r="B35" s="27">
        <f t="shared" si="17"/>
        <v>1</v>
      </c>
      <c r="C35" s="26">
        <f t="shared" si="4"/>
        <v>11100</v>
      </c>
      <c r="D35" s="26">
        <f t="shared" si="5"/>
        <v>31620</v>
      </c>
      <c r="E35" s="26">
        <f t="shared" si="6"/>
        <v>40852</v>
      </c>
      <c r="F35" s="26">
        <f t="shared" si="7"/>
        <v>38831</v>
      </c>
      <c r="G35" s="26">
        <f t="shared" si="8"/>
        <v>39516</v>
      </c>
      <c r="H35" s="26">
        <f t="shared" si="9"/>
        <v>39870</v>
      </c>
      <c r="I35" s="26">
        <f t="shared" si="10"/>
        <v>40358</v>
      </c>
      <c r="J35" s="26">
        <f t="shared" si="11"/>
        <v>40355</v>
      </c>
      <c r="K35" s="26">
        <f t="shared" si="12"/>
        <v>40116</v>
      </c>
      <c r="L35" s="26">
        <f t="shared" si="13"/>
        <v>39888</v>
      </c>
      <c r="M35" s="26">
        <f t="shared" si="14"/>
        <v>39898</v>
      </c>
      <c r="N35" s="26">
        <f t="shared" si="15"/>
        <v>40147</v>
      </c>
      <c r="O35" s="26">
        <f t="shared" si="16"/>
        <v>39827</v>
      </c>
      <c r="P35" s="26">
        <f>P12*B48</f>
        <v>40200</v>
      </c>
      <c r="Q35" s="26"/>
      <c r="R35" s="26"/>
      <c r="S35" s="26"/>
      <c r="T35" s="26"/>
    </row>
    <row r="36" spans="1:20" x14ac:dyDescent="0.2">
      <c r="A36" s="18">
        <f t="shared" si="3"/>
        <v>1983</v>
      </c>
      <c r="B36" s="27">
        <f t="shared" si="17"/>
        <v>1</v>
      </c>
      <c r="C36" s="26">
        <f t="shared" si="4"/>
        <v>15677</v>
      </c>
      <c r="D36" s="26">
        <f t="shared" si="5"/>
        <v>33074</v>
      </c>
      <c r="E36" s="26">
        <f t="shared" si="6"/>
        <v>35592</v>
      </c>
      <c r="F36" s="26">
        <f t="shared" si="7"/>
        <v>35721</v>
      </c>
      <c r="G36" s="26">
        <f t="shared" si="8"/>
        <v>38652</v>
      </c>
      <c r="H36" s="26">
        <f t="shared" si="9"/>
        <v>39418</v>
      </c>
      <c r="I36" s="26">
        <f t="shared" si="10"/>
        <v>39223</v>
      </c>
      <c r="J36" s="26">
        <f t="shared" si="11"/>
        <v>39696</v>
      </c>
      <c r="K36" s="26">
        <f t="shared" si="12"/>
        <v>37769</v>
      </c>
      <c r="L36" s="26">
        <f t="shared" si="13"/>
        <v>37894</v>
      </c>
      <c r="M36" s="26">
        <f t="shared" si="14"/>
        <v>37369</v>
      </c>
      <c r="N36" s="26">
        <f t="shared" si="15"/>
        <v>37345</v>
      </c>
      <c r="O36" s="26">
        <f t="shared" si="16"/>
        <v>37075</v>
      </c>
      <c r="P36" s="26"/>
      <c r="Q36" s="26"/>
      <c r="R36" s="26"/>
      <c r="S36" s="26"/>
      <c r="T36" s="26"/>
    </row>
    <row r="37" spans="1:20" x14ac:dyDescent="0.2">
      <c r="A37" s="18">
        <f t="shared" si="3"/>
        <v>1984</v>
      </c>
      <c r="B37" s="27">
        <f t="shared" si="17"/>
        <v>1</v>
      </c>
      <c r="C37" s="26">
        <f t="shared" si="4"/>
        <v>20375</v>
      </c>
      <c r="D37" s="26">
        <f t="shared" si="5"/>
        <v>33555</v>
      </c>
      <c r="E37" s="26">
        <f t="shared" si="6"/>
        <v>41756</v>
      </c>
      <c r="F37" s="26">
        <f t="shared" si="7"/>
        <v>45125</v>
      </c>
      <c r="G37" s="26">
        <f t="shared" si="8"/>
        <v>47284</v>
      </c>
      <c r="H37" s="26">
        <f t="shared" si="9"/>
        <v>51710</v>
      </c>
      <c r="I37" s="26">
        <f t="shared" si="10"/>
        <v>52147</v>
      </c>
      <c r="J37" s="26">
        <f t="shared" si="11"/>
        <v>51187</v>
      </c>
      <c r="K37" s="26">
        <f t="shared" si="12"/>
        <v>51950</v>
      </c>
      <c r="L37" s="26">
        <f t="shared" si="13"/>
        <v>50967</v>
      </c>
      <c r="M37" s="26">
        <f t="shared" si="14"/>
        <v>51461</v>
      </c>
      <c r="N37" s="26">
        <f t="shared" si="15"/>
        <v>51382</v>
      </c>
      <c r="O37" s="26"/>
      <c r="P37" s="26"/>
      <c r="Q37" s="26"/>
      <c r="R37" s="26"/>
      <c r="S37" s="26"/>
      <c r="T37" s="26"/>
    </row>
    <row r="38" spans="1:20" x14ac:dyDescent="0.2">
      <c r="A38" s="18">
        <f t="shared" si="3"/>
        <v>1985</v>
      </c>
      <c r="B38" s="27">
        <f t="shared" si="17"/>
        <v>1</v>
      </c>
      <c r="C38" s="26">
        <f t="shared" si="4"/>
        <v>9800</v>
      </c>
      <c r="D38" s="26">
        <f t="shared" si="5"/>
        <v>24663</v>
      </c>
      <c r="E38" s="26">
        <f t="shared" si="6"/>
        <v>36061</v>
      </c>
      <c r="F38" s="26">
        <f t="shared" si="7"/>
        <v>37927</v>
      </c>
      <c r="G38" s="26">
        <f t="shared" si="8"/>
        <v>40042</v>
      </c>
      <c r="H38" s="26">
        <f t="shared" si="9"/>
        <v>40562</v>
      </c>
      <c r="I38" s="26">
        <f t="shared" si="10"/>
        <v>40362</v>
      </c>
      <c r="J38" s="26">
        <f t="shared" si="11"/>
        <v>40884</v>
      </c>
      <c r="K38" s="26">
        <f t="shared" si="12"/>
        <v>40597</v>
      </c>
      <c r="L38" s="26">
        <f t="shared" si="13"/>
        <v>41304</v>
      </c>
      <c r="M38" s="26">
        <f t="shared" si="14"/>
        <v>42378</v>
      </c>
      <c r="N38" s="26"/>
      <c r="O38" s="26"/>
      <c r="P38" s="26"/>
      <c r="Q38" s="26"/>
      <c r="R38" s="26"/>
      <c r="S38" s="26"/>
      <c r="T38" s="26"/>
    </row>
    <row r="39" spans="1:20" x14ac:dyDescent="0.2">
      <c r="A39" s="18">
        <f t="shared" si="3"/>
        <v>1986</v>
      </c>
      <c r="B39" s="27">
        <f t="shared" si="17"/>
        <v>1</v>
      </c>
      <c r="C39" s="26">
        <f t="shared" si="4"/>
        <v>11380</v>
      </c>
      <c r="D39" s="26">
        <f t="shared" si="5"/>
        <v>26843</v>
      </c>
      <c r="E39" s="26">
        <f t="shared" si="6"/>
        <v>34931</v>
      </c>
      <c r="F39" s="26">
        <f t="shared" si="7"/>
        <v>37805</v>
      </c>
      <c r="G39" s="26">
        <f t="shared" si="8"/>
        <v>41277</v>
      </c>
      <c r="H39" s="26">
        <f t="shared" si="9"/>
        <v>44901</v>
      </c>
      <c r="I39" s="26">
        <f t="shared" si="10"/>
        <v>45867</v>
      </c>
      <c r="J39" s="26">
        <f t="shared" si="11"/>
        <v>45404</v>
      </c>
      <c r="K39" s="26">
        <f t="shared" si="12"/>
        <v>45347</v>
      </c>
      <c r="L39" s="26">
        <f t="shared" si="13"/>
        <v>44383</v>
      </c>
      <c r="M39" s="26"/>
      <c r="N39" s="26"/>
      <c r="O39" s="26"/>
      <c r="P39" s="26"/>
      <c r="Q39" s="26"/>
      <c r="R39" s="26"/>
      <c r="S39" s="26"/>
      <c r="T39" s="26"/>
    </row>
    <row r="40" spans="1:20" x14ac:dyDescent="0.2">
      <c r="A40" s="18">
        <f t="shared" si="3"/>
        <v>1987</v>
      </c>
      <c r="B40" s="27">
        <f t="shared" si="17"/>
        <v>1</v>
      </c>
      <c r="C40" s="26">
        <f t="shared" si="4"/>
        <v>10226</v>
      </c>
      <c r="D40" s="26">
        <f t="shared" si="5"/>
        <v>20511</v>
      </c>
      <c r="E40" s="26">
        <f>E17*B42</f>
        <v>26882</v>
      </c>
      <c r="F40" s="26">
        <f t="shared" si="7"/>
        <v>32326</v>
      </c>
      <c r="G40" s="26">
        <f t="shared" si="8"/>
        <v>35257</v>
      </c>
      <c r="H40" s="26">
        <f t="shared" si="9"/>
        <v>40557</v>
      </c>
      <c r="I40" s="26">
        <f t="shared" si="10"/>
        <v>43753</v>
      </c>
      <c r="J40" s="26">
        <f t="shared" si="11"/>
        <v>44609</v>
      </c>
      <c r="K40" s="26">
        <f t="shared" si="12"/>
        <v>44196</v>
      </c>
      <c r="L40" s="26"/>
      <c r="M40" s="26"/>
      <c r="N40" s="26"/>
      <c r="O40" s="26"/>
      <c r="P40" s="26"/>
      <c r="Q40" s="26"/>
      <c r="R40" s="26"/>
      <c r="S40" s="26"/>
      <c r="T40" s="26"/>
    </row>
    <row r="41" spans="1:20" x14ac:dyDescent="0.2">
      <c r="A41" s="18">
        <f t="shared" si="3"/>
        <v>1988</v>
      </c>
      <c r="B41" s="27">
        <f t="shared" si="17"/>
        <v>1</v>
      </c>
      <c r="C41" s="26">
        <f t="shared" si="4"/>
        <v>8170</v>
      </c>
      <c r="D41" s="26">
        <f t="shared" si="5"/>
        <v>18567</v>
      </c>
      <c r="E41" s="26">
        <f t="shared" si="6"/>
        <v>26472</v>
      </c>
      <c r="F41" s="26">
        <f t="shared" si="7"/>
        <v>33002</v>
      </c>
      <c r="G41" s="26">
        <f t="shared" si="8"/>
        <v>36321</v>
      </c>
      <c r="H41" s="26">
        <f t="shared" si="9"/>
        <v>37047</v>
      </c>
      <c r="I41" s="26">
        <f t="shared" si="10"/>
        <v>39675</v>
      </c>
      <c r="J41" s="26">
        <f t="shared" si="11"/>
        <v>40398</v>
      </c>
      <c r="K41" s="26"/>
      <c r="L41" s="26"/>
      <c r="M41" s="26"/>
      <c r="N41" s="26"/>
      <c r="O41" s="26"/>
      <c r="P41" s="26"/>
      <c r="Q41" s="26"/>
      <c r="R41" s="26"/>
      <c r="S41" s="26"/>
      <c r="T41" s="26"/>
    </row>
    <row r="42" spans="1:20" x14ac:dyDescent="0.2">
      <c r="A42" s="18">
        <f t="shared" si="3"/>
        <v>1989</v>
      </c>
      <c r="B42" s="27">
        <f t="shared" si="17"/>
        <v>1</v>
      </c>
      <c r="C42" s="26">
        <f t="shared" si="4"/>
        <v>10433</v>
      </c>
      <c r="D42" s="26">
        <f t="shared" si="5"/>
        <v>19484</v>
      </c>
      <c r="E42" s="26">
        <f t="shared" si="6"/>
        <v>32103</v>
      </c>
      <c r="F42" s="26">
        <f t="shared" si="7"/>
        <v>38936</v>
      </c>
      <c r="G42" s="26">
        <f t="shared" si="8"/>
        <v>45851</v>
      </c>
      <c r="H42" s="26">
        <f t="shared" si="9"/>
        <v>45133</v>
      </c>
      <c r="I42" s="26">
        <f t="shared" si="10"/>
        <v>45501</v>
      </c>
      <c r="J42" s="26"/>
      <c r="K42" s="26"/>
      <c r="L42" s="26"/>
      <c r="M42" s="26"/>
      <c r="N42" s="26"/>
      <c r="O42" s="26"/>
      <c r="P42" s="26"/>
      <c r="Q42" s="26"/>
      <c r="R42" s="26"/>
      <c r="S42" s="26"/>
      <c r="T42" s="26"/>
    </row>
    <row r="43" spans="1:20" x14ac:dyDescent="0.2">
      <c r="A43" s="18">
        <f t="shared" si="3"/>
        <v>1990</v>
      </c>
      <c r="B43" s="27">
        <f t="shared" si="17"/>
        <v>1</v>
      </c>
      <c r="C43" s="26">
        <f t="shared" si="4"/>
        <v>9661</v>
      </c>
      <c r="D43" s="26">
        <f t="shared" si="5"/>
        <v>23808</v>
      </c>
      <c r="E43" s="26">
        <f t="shared" si="6"/>
        <v>32966</v>
      </c>
      <c r="F43" s="26">
        <f t="shared" si="7"/>
        <v>42907</v>
      </c>
      <c r="G43" s="26">
        <f t="shared" si="8"/>
        <v>46930</v>
      </c>
      <c r="H43" s="26">
        <f t="shared" si="9"/>
        <v>49300</v>
      </c>
      <c r="I43" s="26"/>
      <c r="J43" s="26"/>
      <c r="K43" s="26"/>
      <c r="L43" s="26"/>
      <c r="M43" s="26"/>
      <c r="N43" s="26"/>
      <c r="O43" s="26"/>
      <c r="P43" s="26"/>
      <c r="Q43" s="26"/>
      <c r="R43" s="26"/>
      <c r="S43" s="26"/>
      <c r="T43" s="26"/>
    </row>
    <row r="44" spans="1:20" x14ac:dyDescent="0.2">
      <c r="A44" s="18">
        <f t="shared" si="3"/>
        <v>1991</v>
      </c>
      <c r="B44" s="27">
        <f t="shared" si="17"/>
        <v>1</v>
      </c>
      <c r="C44" s="26">
        <f t="shared" si="4"/>
        <v>14275</v>
      </c>
      <c r="D44" s="26">
        <f t="shared" si="5"/>
        <v>25551</v>
      </c>
      <c r="E44" s="26">
        <f t="shared" si="6"/>
        <v>33754</v>
      </c>
      <c r="F44" s="26">
        <f t="shared" si="7"/>
        <v>38674</v>
      </c>
      <c r="G44" s="26">
        <f t="shared" si="8"/>
        <v>41132</v>
      </c>
      <c r="H44" s="26"/>
      <c r="I44" s="26"/>
      <c r="J44" s="26"/>
      <c r="K44" s="26"/>
      <c r="L44" s="26"/>
      <c r="M44" s="26"/>
      <c r="N44" s="26"/>
      <c r="O44" s="26"/>
      <c r="P44" s="26"/>
      <c r="Q44" s="26"/>
      <c r="R44" s="26"/>
      <c r="S44" s="26"/>
      <c r="T44" s="26"/>
    </row>
    <row r="45" spans="1:20" x14ac:dyDescent="0.2">
      <c r="A45" s="18">
        <f t="shared" si="3"/>
        <v>1992</v>
      </c>
      <c r="B45" s="27">
        <f t="shared" si="17"/>
        <v>1</v>
      </c>
      <c r="C45" s="26">
        <f t="shared" si="4"/>
        <v>13245</v>
      </c>
      <c r="D45" s="26">
        <f t="shared" si="5"/>
        <v>29206</v>
      </c>
      <c r="E45" s="26">
        <f t="shared" si="6"/>
        <v>36987</v>
      </c>
      <c r="F45" s="26">
        <f t="shared" si="7"/>
        <v>44075</v>
      </c>
      <c r="G45" s="26"/>
      <c r="H45" s="26"/>
      <c r="I45" s="26"/>
      <c r="J45" s="26"/>
      <c r="K45" s="26"/>
      <c r="L45" s="26"/>
      <c r="M45" s="26"/>
      <c r="N45" s="26"/>
      <c r="O45" s="26"/>
      <c r="P45" s="26"/>
      <c r="Q45" s="26"/>
      <c r="R45" s="26"/>
      <c r="S45" s="26"/>
      <c r="T45" s="26"/>
    </row>
    <row r="46" spans="1:20" x14ac:dyDescent="0.2">
      <c r="A46" s="18">
        <f t="shared" si="3"/>
        <v>1993</v>
      </c>
      <c r="B46" s="27">
        <f t="shared" si="17"/>
        <v>1</v>
      </c>
      <c r="C46" s="26">
        <f t="shared" si="4"/>
        <v>14711</v>
      </c>
      <c r="D46" s="26">
        <f t="shared" si="5"/>
        <v>27082</v>
      </c>
      <c r="E46" s="26">
        <f>E23*B48</f>
        <v>34230</v>
      </c>
      <c r="F46" s="26"/>
      <c r="G46" s="26"/>
      <c r="H46" s="26"/>
      <c r="I46" s="26"/>
      <c r="J46" s="26"/>
      <c r="K46" s="26"/>
      <c r="L46" s="26"/>
      <c r="M46" s="26"/>
      <c r="N46" s="26"/>
      <c r="O46" s="26"/>
      <c r="P46" s="26"/>
      <c r="Q46" s="26"/>
      <c r="R46" s="26"/>
      <c r="S46" s="26"/>
      <c r="T46" s="26"/>
    </row>
    <row r="47" spans="1:20" x14ac:dyDescent="0.2">
      <c r="A47" s="18">
        <f t="shared" si="3"/>
        <v>1994</v>
      </c>
      <c r="B47" s="27">
        <f t="shared" si="17"/>
        <v>1</v>
      </c>
      <c r="C47" s="26">
        <f t="shared" si="4"/>
        <v>12476</v>
      </c>
      <c r="D47" s="26">
        <f t="shared" si="5"/>
        <v>23126</v>
      </c>
      <c r="E47" s="26"/>
      <c r="F47" s="26"/>
      <c r="G47" s="26"/>
      <c r="H47" s="26"/>
      <c r="I47" s="26"/>
      <c r="J47" s="26"/>
      <c r="K47" s="26"/>
      <c r="L47" s="26"/>
      <c r="M47" s="26"/>
      <c r="N47" s="26"/>
      <c r="O47" s="26"/>
      <c r="P47" s="26"/>
      <c r="Q47" s="26"/>
      <c r="R47" s="26"/>
      <c r="S47" s="26"/>
      <c r="T47" s="26"/>
    </row>
    <row r="48" spans="1:20" x14ac:dyDescent="0.2">
      <c r="A48" s="18">
        <f t="shared" si="3"/>
        <v>1995</v>
      </c>
      <c r="B48" s="27">
        <f t="shared" si="17"/>
        <v>1</v>
      </c>
      <c r="C48" s="26">
        <f t="shared" si="4"/>
        <v>9715</v>
      </c>
      <c r="D48" s="26"/>
      <c r="E48" s="26"/>
      <c r="F48" s="26"/>
      <c r="G48" s="26"/>
      <c r="H48" s="26"/>
      <c r="I48" s="26"/>
      <c r="J48" s="26"/>
      <c r="K48" s="26"/>
      <c r="L48" s="26"/>
      <c r="M48" s="26"/>
      <c r="N48" s="26"/>
      <c r="O48" s="26"/>
      <c r="P48" s="26"/>
      <c r="Q48" s="26"/>
      <c r="R48" s="26"/>
      <c r="S48" s="26"/>
      <c r="T48" s="26"/>
    </row>
    <row r="51" spans="1:16" x14ac:dyDescent="0.2">
      <c r="A51" s="22" t="s">
        <v>218</v>
      </c>
    </row>
    <row r="52" spans="1:16" x14ac:dyDescent="0.2">
      <c r="A52" s="22" t="s">
        <v>219</v>
      </c>
    </row>
    <row r="54" spans="1:16" x14ac:dyDescent="0.2">
      <c r="A54" s="19" t="s">
        <v>211</v>
      </c>
      <c r="B54" s="22" t="s">
        <v>220</v>
      </c>
      <c r="C54" s="22"/>
      <c r="D54" s="22"/>
      <c r="E54" s="22"/>
      <c r="F54" s="22"/>
      <c r="G54" s="22"/>
      <c r="H54" s="22"/>
      <c r="I54" s="22"/>
      <c r="J54" s="22"/>
      <c r="K54" s="22"/>
      <c r="L54" s="22"/>
      <c r="N54" s="28"/>
      <c r="O54" s="22" t="s">
        <v>221</v>
      </c>
      <c r="P54" s="22"/>
    </row>
    <row r="55" spans="1:16" x14ac:dyDescent="0.2">
      <c r="A55" s="19" t="s">
        <v>213</v>
      </c>
      <c r="B55" s="22">
        <v>0</v>
      </c>
      <c r="C55" s="22">
        <v>1</v>
      </c>
      <c r="D55" s="22">
        <v>2</v>
      </c>
      <c r="E55" s="22">
        <v>3</v>
      </c>
      <c r="F55" s="22">
        <v>4</v>
      </c>
      <c r="G55" s="22">
        <v>5</v>
      </c>
      <c r="H55" s="22">
        <v>6</v>
      </c>
      <c r="I55" s="22">
        <v>7</v>
      </c>
      <c r="J55" s="22">
        <v>8</v>
      </c>
      <c r="K55" s="22">
        <v>9</v>
      </c>
      <c r="L55" s="22">
        <v>10</v>
      </c>
      <c r="M55" s="29" t="s">
        <v>222</v>
      </c>
      <c r="N55" s="28" t="s">
        <v>223</v>
      </c>
      <c r="O55" s="22" t="s">
        <v>224</v>
      </c>
      <c r="P55" s="22" t="s">
        <v>225</v>
      </c>
    </row>
    <row r="56" spans="1:16" x14ac:dyDescent="0.2">
      <c r="A56" s="30"/>
      <c r="N56" s="31"/>
    </row>
    <row r="57" spans="1:16" x14ac:dyDescent="0.2">
      <c r="A57" s="18">
        <v>1978</v>
      </c>
      <c r="B57" s="32">
        <v>368</v>
      </c>
      <c r="C57" s="32">
        <v>191</v>
      </c>
      <c r="D57" s="32">
        <v>28</v>
      </c>
      <c r="E57" s="32">
        <v>8</v>
      </c>
      <c r="F57" s="32">
        <v>6</v>
      </c>
      <c r="G57" s="32">
        <v>5</v>
      </c>
      <c r="H57" s="32">
        <v>3</v>
      </c>
      <c r="I57" s="32">
        <v>1</v>
      </c>
      <c r="J57" s="32">
        <v>0</v>
      </c>
      <c r="K57" s="32">
        <v>0</v>
      </c>
      <c r="L57" s="32">
        <v>1</v>
      </c>
      <c r="M57" s="33">
        <v>0.14487865899107327</v>
      </c>
      <c r="N57" s="34">
        <f>SUM(B57:L57)</f>
        <v>611</v>
      </c>
      <c r="O57" s="33">
        <f>P57-N57</f>
        <v>0.1448786589910469</v>
      </c>
      <c r="P57" s="33">
        <f>SUM(B57:M57)</f>
        <v>611.14487865899105</v>
      </c>
    </row>
    <row r="58" spans="1:16" x14ac:dyDescent="0.2">
      <c r="A58" s="18">
        <v>1979</v>
      </c>
      <c r="B58" s="32">
        <v>393</v>
      </c>
      <c r="C58" s="32">
        <v>151</v>
      </c>
      <c r="D58" s="32">
        <v>25</v>
      </c>
      <c r="E58" s="32">
        <v>6</v>
      </c>
      <c r="F58" s="32">
        <v>4</v>
      </c>
      <c r="G58" s="32">
        <v>5</v>
      </c>
      <c r="H58" s="32">
        <v>4</v>
      </c>
      <c r="I58" s="32">
        <v>1</v>
      </c>
      <c r="J58" s="32">
        <v>2</v>
      </c>
      <c r="K58" s="32">
        <v>1</v>
      </c>
      <c r="L58" s="32">
        <v>0</v>
      </c>
      <c r="M58" s="33">
        <v>0.15325834520642714</v>
      </c>
      <c r="N58" s="34">
        <f t="shared" ref="N58:N64" si="18">SUM(B58:L58)</f>
        <v>592</v>
      </c>
      <c r="O58" s="33">
        <f t="shared" ref="O58:O74" si="19">P58-N58</f>
        <v>0.15325834520638182</v>
      </c>
      <c r="P58" s="33">
        <f t="shared" ref="P58:P73" si="20">SUM(B58:M58)</f>
        <v>592.15325834520638</v>
      </c>
    </row>
    <row r="59" spans="1:16" x14ac:dyDescent="0.2">
      <c r="A59" s="18">
        <v>1980</v>
      </c>
      <c r="B59" s="32">
        <v>517</v>
      </c>
      <c r="C59" s="32">
        <v>185</v>
      </c>
      <c r="D59" s="32">
        <v>29</v>
      </c>
      <c r="E59" s="32">
        <v>17</v>
      </c>
      <c r="F59" s="32">
        <v>11</v>
      </c>
      <c r="G59" s="32">
        <v>10</v>
      </c>
      <c r="H59" s="32">
        <v>8</v>
      </c>
      <c r="I59" s="32">
        <v>1</v>
      </c>
      <c r="J59" s="32">
        <v>0</v>
      </c>
      <c r="K59" s="32">
        <v>0</v>
      </c>
      <c r="L59" s="32">
        <v>1</v>
      </c>
      <c r="M59" s="33">
        <v>0.20039964907477475</v>
      </c>
      <c r="N59" s="34">
        <f t="shared" si="18"/>
        <v>779</v>
      </c>
      <c r="O59" s="33">
        <f t="shared" si="19"/>
        <v>0.20039964907482499</v>
      </c>
      <c r="P59" s="33">
        <f t="shared" si="20"/>
        <v>779.20039964907482</v>
      </c>
    </row>
    <row r="60" spans="1:16" x14ac:dyDescent="0.2">
      <c r="A60" s="18">
        <v>1981</v>
      </c>
      <c r="B60" s="32">
        <v>578</v>
      </c>
      <c r="C60" s="32">
        <v>254</v>
      </c>
      <c r="D60" s="32">
        <v>49</v>
      </c>
      <c r="E60" s="32">
        <v>22</v>
      </c>
      <c r="F60" s="32">
        <v>17</v>
      </c>
      <c r="G60" s="32">
        <v>6</v>
      </c>
      <c r="H60" s="32">
        <v>3</v>
      </c>
      <c r="I60" s="32">
        <v>0</v>
      </c>
      <c r="J60" s="32">
        <v>1</v>
      </c>
      <c r="K60" s="32">
        <v>0</v>
      </c>
      <c r="L60" s="32">
        <v>0</v>
      </c>
      <c r="M60" s="33">
        <v>0.20852822821165981</v>
      </c>
      <c r="N60" s="34">
        <f t="shared" si="18"/>
        <v>930</v>
      </c>
      <c r="O60" s="33">
        <f t="shared" si="19"/>
        <v>0.20852822821166228</v>
      </c>
      <c r="P60" s="33">
        <f t="shared" si="20"/>
        <v>930.20852822821166</v>
      </c>
    </row>
    <row r="61" spans="1:16" x14ac:dyDescent="0.2">
      <c r="A61" s="18">
        <v>1982</v>
      </c>
      <c r="B61" s="32">
        <v>622</v>
      </c>
      <c r="C61" s="32">
        <v>206</v>
      </c>
      <c r="D61" s="32">
        <v>39</v>
      </c>
      <c r="E61" s="32">
        <v>16</v>
      </c>
      <c r="F61" s="32">
        <v>3</v>
      </c>
      <c r="G61" s="32">
        <v>7</v>
      </c>
      <c r="H61" s="32">
        <v>0</v>
      </c>
      <c r="I61" s="32">
        <v>1</v>
      </c>
      <c r="J61" s="32">
        <v>0</v>
      </c>
      <c r="K61" s="32">
        <v>0</v>
      </c>
      <c r="L61" s="32">
        <v>0</v>
      </c>
      <c r="M61" s="33">
        <v>0.21629634718751709</v>
      </c>
      <c r="N61" s="34">
        <f t="shared" si="18"/>
        <v>894</v>
      </c>
      <c r="O61" s="33">
        <f t="shared" si="19"/>
        <v>0.21629634718749458</v>
      </c>
      <c r="P61" s="33">
        <f t="shared" si="20"/>
        <v>894.21629634718749</v>
      </c>
    </row>
    <row r="62" spans="1:16" x14ac:dyDescent="0.2">
      <c r="A62" s="18">
        <v>1983</v>
      </c>
      <c r="B62" s="32">
        <v>660</v>
      </c>
      <c r="C62" s="32">
        <v>243</v>
      </c>
      <c r="D62" s="32">
        <v>28</v>
      </c>
      <c r="E62" s="32">
        <v>12</v>
      </c>
      <c r="F62" s="32">
        <v>12</v>
      </c>
      <c r="G62" s="32">
        <v>4</v>
      </c>
      <c r="H62" s="32">
        <v>4</v>
      </c>
      <c r="I62" s="32">
        <v>1</v>
      </c>
      <c r="J62" s="32">
        <v>0</v>
      </c>
      <c r="K62" s="32">
        <v>0</v>
      </c>
      <c r="L62" s="32">
        <v>0</v>
      </c>
      <c r="M62" s="33">
        <v>0.22433379875560297</v>
      </c>
      <c r="N62" s="34">
        <f t="shared" si="18"/>
        <v>964</v>
      </c>
      <c r="O62" s="33">
        <f t="shared" si="19"/>
        <v>0.22433379875565151</v>
      </c>
      <c r="P62" s="33">
        <f t="shared" si="20"/>
        <v>964.22433379875565</v>
      </c>
    </row>
    <row r="63" spans="1:16" x14ac:dyDescent="0.2">
      <c r="A63" s="18">
        <v>1984</v>
      </c>
      <c r="B63" s="32">
        <v>666</v>
      </c>
      <c r="C63" s="32">
        <v>234</v>
      </c>
      <c r="D63" s="32">
        <v>53</v>
      </c>
      <c r="E63" s="32">
        <v>10</v>
      </c>
      <c r="F63" s="32">
        <v>8</v>
      </c>
      <c r="G63" s="32">
        <v>4</v>
      </c>
      <c r="H63" s="32">
        <v>6</v>
      </c>
      <c r="I63" s="32">
        <v>1</v>
      </c>
      <c r="J63" s="32">
        <v>0</v>
      </c>
      <c r="K63" s="32">
        <v>0</v>
      </c>
      <c r="L63" s="32">
        <v>0</v>
      </c>
      <c r="M63" s="33">
        <v>0.23147820014945716</v>
      </c>
      <c r="N63" s="34">
        <f t="shared" si="18"/>
        <v>982</v>
      </c>
      <c r="O63" s="33">
        <f t="shared" si="19"/>
        <v>0.23147820014946774</v>
      </c>
      <c r="P63" s="33">
        <f t="shared" si="20"/>
        <v>982.23147820014947</v>
      </c>
    </row>
    <row r="64" spans="1:16" x14ac:dyDescent="0.2">
      <c r="A64" s="18">
        <v>1985</v>
      </c>
      <c r="B64" s="32">
        <v>573</v>
      </c>
      <c r="C64" s="32">
        <v>266</v>
      </c>
      <c r="D64" s="32">
        <v>62</v>
      </c>
      <c r="E64" s="32">
        <v>12</v>
      </c>
      <c r="F64" s="32">
        <v>5</v>
      </c>
      <c r="G64" s="32">
        <v>7</v>
      </c>
      <c r="H64" s="32">
        <v>6</v>
      </c>
      <c r="I64" s="32">
        <v>5</v>
      </c>
      <c r="J64" s="32">
        <v>1</v>
      </c>
      <c r="K64" s="32">
        <v>0</v>
      </c>
      <c r="L64" s="32">
        <v>1</v>
      </c>
      <c r="M64" s="33">
        <v>0.23755134634565006</v>
      </c>
      <c r="N64" s="34">
        <f t="shared" si="18"/>
        <v>938</v>
      </c>
      <c r="O64" s="33">
        <f t="shared" si="19"/>
        <v>0.23755134634564001</v>
      </c>
      <c r="P64" s="33">
        <f t="shared" si="20"/>
        <v>938.23755134634564</v>
      </c>
    </row>
    <row r="65" spans="1:16" x14ac:dyDescent="0.2">
      <c r="A65" s="18">
        <v>1986</v>
      </c>
      <c r="B65" s="32">
        <v>582</v>
      </c>
      <c r="C65" s="32">
        <v>281</v>
      </c>
      <c r="D65" s="32">
        <v>32</v>
      </c>
      <c r="E65" s="32">
        <v>27</v>
      </c>
      <c r="F65" s="32">
        <v>12</v>
      </c>
      <c r="G65" s="32">
        <v>13</v>
      </c>
      <c r="H65" s="32">
        <v>6</v>
      </c>
      <c r="I65" s="32">
        <v>2</v>
      </c>
      <c r="J65" s="32">
        <v>1</v>
      </c>
      <c r="K65" s="32">
        <v>0</v>
      </c>
      <c r="L65" s="33">
        <v>0.21468404966480767</v>
      </c>
      <c r="M65" s="33">
        <v>0.24969763873803585</v>
      </c>
      <c r="N65" s="34">
        <f>SUM(B65:K65)</f>
        <v>956</v>
      </c>
      <c r="O65" s="33">
        <f t="shared" si="19"/>
        <v>0.46438168840279559</v>
      </c>
      <c r="P65" s="33">
        <f t="shared" si="20"/>
        <v>956.4643816884028</v>
      </c>
    </row>
    <row r="66" spans="1:16" x14ac:dyDescent="0.2">
      <c r="A66" s="18">
        <v>1987</v>
      </c>
      <c r="B66" s="32">
        <v>545</v>
      </c>
      <c r="C66" s="32">
        <v>220</v>
      </c>
      <c r="D66" s="32">
        <v>43</v>
      </c>
      <c r="E66" s="32">
        <v>18</v>
      </c>
      <c r="F66" s="32">
        <v>12</v>
      </c>
      <c r="G66" s="32">
        <v>9</v>
      </c>
      <c r="H66" s="32">
        <v>5</v>
      </c>
      <c r="I66" s="32">
        <v>2</v>
      </c>
      <c r="J66" s="32">
        <v>0</v>
      </c>
      <c r="K66" s="33">
        <v>0.40648186269287712</v>
      </c>
      <c r="L66" s="33">
        <v>0.21856495171748125</v>
      </c>
      <c r="M66" s="33">
        <v>0.25421149097922091</v>
      </c>
      <c r="N66" s="34">
        <f>SUM(B66:J66)</f>
        <v>854</v>
      </c>
      <c r="O66" s="33">
        <f t="shared" si="19"/>
        <v>0.87925830538949867</v>
      </c>
      <c r="P66" s="33">
        <f t="shared" si="20"/>
        <v>854.8792583053895</v>
      </c>
    </row>
    <row r="67" spans="1:16" x14ac:dyDescent="0.2">
      <c r="A67" s="18">
        <v>1988</v>
      </c>
      <c r="B67" s="32">
        <v>509</v>
      </c>
      <c r="C67" s="32">
        <v>266</v>
      </c>
      <c r="D67" s="32">
        <v>49</v>
      </c>
      <c r="E67" s="32">
        <v>22</v>
      </c>
      <c r="F67" s="32">
        <v>15</v>
      </c>
      <c r="G67" s="32">
        <v>4</v>
      </c>
      <c r="H67" s="32">
        <v>8</v>
      </c>
      <c r="I67" s="32">
        <v>0</v>
      </c>
      <c r="J67" s="33">
        <v>0.79048358868418134</v>
      </c>
      <c r="K67" s="33">
        <v>0.42504235305760646</v>
      </c>
      <c r="L67" s="33">
        <v>0.22854491159452234</v>
      </c>
      <c r="M67" s="33">
        <v>0.26581911818714943</v>
      </c>
      <c r="N67" s="34">
        <f>SUM(B67:I67)</f>
        <v>873</v>
      </c>
      <c r="O67" s="33">
        <f t="shared" si="19"/>
        <v>1.7098899715234666</v>
      </c>
      <c r="P67" s="33">
        <f t="shared" si="20"/>
        <v>874.70988997152347</v>
      </c>
    </row>
    <row r="68" spans="1:16" x14ac:dyDescent="0.2">
      <c r="A68" s="18">
        <v>1989</v>
      </c>
      <c r="B68" s="32">
        <v>589</v>
      </c>
      <c r="C68" s="32">
        <v>210</v>
      </c>
      <c r="D68" s="32">
        <v>29</v>
      </c>
      <c r="E68" s="32">
        <v>17</v>
      </c>
      <c r="F68" s="32">
        <v>12</v>
      </c>
      <c r="G68" s="32">
        <v>4</v>
      </c>
      <c r="H68" s="32">
        <v>9</v>
      </c>
      <c r="I68" s="33">
        <v>1.5641547328870478</v>
      </c>
      <c r="J68" s="33">
        <v>0.84104466902237041</v>
      </c>
      <c r="K68" s="33">
        <v>0.45222900293588064</v>
      </c>
      <c r="L68" s="33">
        <v>0.24316315010248418</v>
      </c>
      <c r="M68" s="33">
        <v>0.28282149746798829</v>
      </c>
      <c r="N68" s="34">
        <f>SUM(B68:H68)</f>
        <v>870</v>
      </c>
      <c r="O68" s="33">
        <f t="shared" si="19"/>
        <v>3.3834130524157899</v>
      </c>
      <c r="P68" s="33">
        <f t="shared" si="20"/>
        <v>873.38341305241579</v>
      </c>
    </row>
    <row r="69" spans="1:16" x14ac:dyDescent="0.2">
      <c r="A69" s="18">
        <v>1990</v>
      </c>
      <c r="B69" s="32">
        <v>564</v>
      </c>
      <c r="C69" s="32">
        <v>196</v>
      </c>
      <c r="D69" s="32">
        <v>23</v>
      </c>
      <c r="E69" s="32">
        <v>12</v>
      </c>
      <c r="F69" s="32">
        <v>9</v>
      </c>
      <c r="G69" s="32">
        <v>5</v>
      </c>
      <c r="H69" s="33">
        <v>3.1846264643077506</v>
      </c>
      <c r="I69" s="33">
        <v>1.7123709402393308</v>
      </c>
      <c r="J69" s="33">
        <v>0.92074039760688609</v>
      </c>
      <c r="K69" s="33">
        <v>0.49508132838717661</v>
      </c>
      <c r="L69" s="33">
        <v>0.26620480903702048</v>
      </c>
      <c r="M69" s="33">
        <v>0.30962110292327893</v>
      </c>
      <c r="N69" s="34">
        <f>SUM(B69:G69)</f>
        <v>809</v>
      </c>
      <c r="O69" s="33">
        <f t="shared" si="19"/>
        <v>6.88864504250148</v>
      </c>
      <c r="P69" s="33">
        <f t="shared" si="20"/>
        <v>815.88864504250148</v>
      </c>
    </row>
    <row r="70" spans="1:16" x14ac:dyDescent="0.2">
      <c r="A70" s="18">
        <v>1991</v>
      </c>
      <c r="B70" s="32">
        <v>607</v>
      </c>
      <c r="C70" s="32">
        <v>203</v>
      </c>
      <c r="D70" s="32">
        <v>29</v>
      </c>
      <c r="E70" s="32">
        <v>9</v>
      </c>
      <c r="F70" s="32">
        <v>7</v>
      </c>
      <c r="G70" s="33">
        <v>6.2107402830831058</v>
      </c>
      <c r="H70" s="33">
        <v>3.3395097658453574</v>
      </c>
      <c r="I70" s="33">
        <v>1.795651559694641</v>
      </c>
      <c r="J70" s="33">
        <v>0.96552031582922693</v>
      </c>
      <c r="K70" s="33">
        <v>0.5191594523146239</v>
      </c>
      <c r="L70" s="33">
        <v>0.27915159578609194</v>
      </c>
      <c r="M70" s="33">
        <v>0.32467942740306904</v>
      </c>
      <c r="N70" s="34">
        <f>SUM(B70:F70)</f>
        <v>855</v>
      </c>
      <c r="O70" s="33">
        <f t="shared" si="19"/>
        <v>13.434412399956159</v>
      </c>
      <c r="P70" s="33">
        <f t="shared" si="20"/>
        <v>868.43441239995616</v>
      </c>
    </row>
    <row r="71" spans="1:16" x14ac:dyDescent="0.2">
      <c r="A71" s="18">
        <v>1992</v>
      </c>
      <c r="B71" s="32">
        <v>674</v>
      </c>
      <c r="C71" s="32">
        <v>169</v>
      </c>
      <c r="D71" s="32">
        <v>20</v>
      </c>
      <c r="E71" s="32">
        <v>12</v>
      </c>
      <c r="F71" s="33">
        <v>10.071386460640293</v>
      </c>
      <c r="G71" s="33">
        <v>6.3102556094219953</v>
      </c>
      <c r="H71" s="33">
        <v>3.3930190721458029</v>
      </c>
      <c r="I71" s="33">
        <v>1.8244234681643414</v>
      </c>
      <c r="J71" s="33">
        <v>0.98099094653299146</v>
      </c>
      <c r="K71" s="33">
        <v>0.52747799728095146</v>
      </c>
      <c r="L71" s="33">
        <v>0.28362447033670579</v>
      </c>
      <c r="M71" s="33">
        <v>0.32988179905295889</v>
      </c>
      <c r="N71" s="34">
        <f>SUM(B71:E71)</f>
        <v>875</v>
      </c>
      <c r="O71" s="33">
        <f t="shared" si="19"/>
        <v>23.721059823575956</v>
      </c>
      <c r="P71" s="33">
        <f t="shared" si="20"/>
        <v>898.72105982357596</v>
      </c>
    </row>
    <row r="72" spans="1:16" x14ac:dyDescent="0.2">
      <c r="A72" s="18">
        <v>1993</v>
      </c>
      <c r="B72" s="32">
        <v>619</v>
      </c>
      <c r="C72" s="32">
        <v>190</v>
      </c>
      <c r="D72" s="32">
        <v>41</v>
      </c>
      <c r="E72" s="33">
        <v>11.785714285714286</v>
      </c>
      <c r="F72" s="33">
        <v>10.513130206872798</v>
      </c>
      <c r="G72" s="33">
        <v>6.5870314002711057</v>
      </c>
      <c r="H72" s="33">
        <v>3.5418411793924682</v>
      </c>
      <c r="I72" s="33">
        <v>1.9044449886065404</v>
      </c>
      <c r="J72" s="33">
        <v>1.024018449988966</v>
      </c>
      <c r="K72" s="33">
        <v>0.55061384927955426</v>
      </c>
      <c r="L72" s="33">
        <v>0.29606459827136367</v>
      </c>
      <c r="M72" s="33">
        <v>0.34435083192118099</v>
      </c>
      <c r="N72" s="34">
        <f>SUM(B72:D72)</f>
        <v>850</v>
      </c>
      <c r="O72" s="33">
        <f t="shared" si="19"/>
        <v>36.547209790318334</v>
      </c>
      <c r="P72" s="33">
        <f t="shared" si="20"/>
        <v>886.54720979031833</v>
      </c>
    </row>
    <row r="73" spans="1:16" x14ac:dyDescent="0.2">
      <c r="A73" s="18">
        <v>1994</v>
      </c>
      <c r="B73" s="32">
        <v>660</v>
      </c>
      <c r="C73" s="32">
        <v>161</v>
      </c>
      <c r="D73" s="33">
        <v>31.609727616993325</v>
      </c>
      <c r="E73" s="33">
        <v>12.007712244237869</v>
      </c>
      <c r="F73" s="33">
        <v>10.71115752936163</v>
      </c>
      <c r="G73" s="33">
        <v>6.7111059780303366</v>
      </c>
      <c r="H73" s="33">
        <v>3.60855597428555</v>
      </c>
      <c r="I73" s="33">
        <v>1.9403174770566964</v>
      </c>
      <c r="J73" s="33">
        <v>1.0433070565067386</v>
      </c>
      <c r="K73" s="33">
        <v>0.56098531659257378</v>
      </c>
      <c r="L73" s="33">
        <v>0.30164132742107802</v>
      </c>
      <c r="M73" s="33">
        <v>0.35083708976259681</v>
      </c>
      <c r="N73" s="34">
        <f>SUM(B73:C73)</f>
        <v>821</v>
      </c>
      <c r="O73" s="33">
        <f t="shared" si="19"/>
        <v>68.845347610248382</v>
      </c>
      <c r="P73" s="33">
        <f t="shared" si="20"/>
        <v>889.84534761024838</v>
      </c>
    </row>
    <row r="74" spans="1:16" x14ac:dyDescent="0.2">
      <c r="A74" s="18">
        <v>1995</v>
      </c>
      <c r="B74" s="32">
        <v>660</v>
      </c>
      <c r="C74" s="33">
        <v>180.73999442900237</v>
      </c>
      <c r="D74" s="33">
        <v>32.101075260097794</v>
      </c>
      <c r="E74" s="33">
        <v>12.194362416671217</v>
      </c>
      <c r="F74" s="33">
        <v>10.877653807682712</v>
      </c>
      <c r="G74" s="33">
        <v>6.8154246910823533</v>
      </c>
      <c r="H74" s="33">
        <v>3.6646480575347127</v>
      </c>
      <c r="I74" s="33">
        <v>1.9704781424941831</v>
      </c>
      <c r="J74" s="33">
        <v>1.059524420650467</v>
      </c>
      <c r="K74" s="33">
        <v>0.56970537949421651</v>
      </c>
      <c r="L74" s="33">
        <v>0.30633009782388188</v>
      </c>
      <c r="M74" s="33">
        <v>0.35629056849095542</v>
      </c>
      <c r="N74" s="34">
        <f>SUM(B74)</f>
        <v>660</v>
      </c>
      <c r="O74" s="33">
        <f t="shared" si="19"/>
        <v>250.65548727102475</v>
      </c>
      <c r="P74" s="33">
        <f>SUM(B74:M74)</f>
        <v>910.65548727102475</v>
      </c>
    </row>
    <row r="75" spans="1:16" x14ac:dyDescent="0.2">
      <c r="O75" s="22"/>
      <c r="P75" s="22"/>
    </row>
    <row r="76" spans="1:16" ht="17" thickBot="1" x14ac:dyDescent="0.25">
      <c r="O76" s="35">
        <f>SUM(O57:O74)</f>
        <v>408.14582952927879</v>
      </c>
      <c r="P76" s="22"/>
    </row>
    <row r="77" spans="1:16" ht="17" thickTop="1" x14ac:dyDescent="0.2"/>
    <row r="78" spans="1:16" x14ac:dyDescent="0.2">
      <c r="A78" s="22"/>
    </row>
    <row r="79" spans="1:16" x14ac:dyDescent="0.2">
      <c r="A79" s="22" t="s">
        <v>226</v>
      </c>
    </row>
    <row r="81" spans="1:19" x14ac:dyDescent="0.2">
      <c r="A81" s="19" t="s">
        <v>211</v>
      </c>
      <c r="B81" s="22" t="s">
        <v>220</v>
      </c>
      <c r="C81" s="22"/>
      <c r="D81" s="22"/>
      <c r="E81" s="22"/>
      <c r="F81" s="22"/>
      <c r="G81" s="22"/>
      <c r="H81" s="22"/>
      <c r="I81" s="22"/>
      <c r="J81" s="22"/>
      <c r="K81" s="22"/>
      <c r="L81" s="22"/>
    </row>
    <row r="82" spans="1:19" x14ac:dyDescent="0.2">
      <c r="A82" s="19" t="s">
        <v>213</v>
      </c>
      <c r="B82" s="22">
        <v>0</v>
      </c>
      <c r="C82" s="22">
        <v>1</v>
      </c>
      <c r="D82" s="22">
        <v>2</v>
      </c>
      <c r="E82" s="22">
        <v>3</v>
      </c>
      <c r="F82" s="22">
        <v>4</v>
      </c>
      <c r="G82" s="22">
        <v>5</v>
      </c>
      <c r="H82" s="22">
        <v>6</v>
      </c>
      <c r="I82" s="22">
        <v>7</v>
      </c>
      <c r="J82" s="22">
        <v>8</v>
      </c>
      <c r="K82" s="22">
        <v>9</v>
      </c>
      <c r="L82" s="22">
        <v>10</v>
      </c>
      <c r="M82" s="22">
        <v>11</v>
      </c>
      <c r="N82" s="22">
        <v>12</v>
      </c>
      <c r="O82" s="22">
        <v>13</v>
      </c>
      <c r="P82" s="22">
        <v>14</v>
      </c>
      <c r="Q82" s="22">
        <v>15</v>
      </c>
      <c r="R82" s="22">
        <v>16</v>
      </c>
      <c r="S82" s="22">
        <v>17</v>
      </c>
    </row>
    <row r="83" spans="1:19" x14ac:dyDescent="0.2">
      <c r="A83" s="30"/>
    </row>
    <row r="84" spans="1:19" x14ac:dyDescent="0.2">
      <c r="A84" s="18">
        <v>1978</v>
      </c>
      <c r="B84" s="32">
        <f>SUM($B57:B57)</f>
        <v>368</v>
      </c>
      <c r="C84" s="32">
        <f>SUM($B57:C57)</f>
        <v>559</v>
      </c>
      <c r="D84" s="32">
        <f>SUM($B57:D57)</f>
        <v>587</v>
      </c>
      <c r="E84" s="32">
        <f>SUM($B57:E57)</f>
        <v>595</v>
      </c>
      <c r="F84" s="32">
        <f>SUM($B57:F57)</f>
        <v>601</v>
      </c>
      <c r="G84" s="32">
        <f>SUM($B57:G57)</f>
        <v>606</v>
      </c>
      <c r="H84" s="32">
        <f>SUM($B57:H57)</f>
        <v>609</v>
      </c>
      <c r="I84" s="32">
        <f>SUM($B57:I57)</f>
        <v>610</v>
      </c>
      <c r="J84" s="32">
        <f>SUM($B57:J57)</f>
        <v>610</v>
      </c>
      <c r="K84" s="32">
        <f>SUM($B57:K57)</f>
        <v>610</v>
      </c>
      <c r="L84" s="32">
        <f>SUM($B57:L57)</f>
        <v>611</v>
      </c>
      <c r="M84" s="32">
        <f>SUM($B57:M57)</f>
        <v>611.14487865899105</v>
      </c>
      <c r="N84" s="32">
        <f>M84</f>
        <v>611.14487865899105</v>
      </c>
      <c r="O84" s="32">
        <f t="shared" ref="O84:S88" si="21">N84</f>
        <v>611.14487865899105</v>
      </c>
      <c r="P84" s="32">
        <f t="shared" si="21"/>
        <v>611.14487865899105</v>
      </c>
      <c r="Q84" s="32">
        <f t="shared" si="21"/>
        <v>611.14487865899105</v>
      </c>
      <c r="R84" s="32">
        <f t="shared" si="21"/>
        <v>611.14487865899105</v>
      </c>
      <c r="S84" s="32">
        <f t="shared" si="21"/>
        <v>611.14487865899105</v>
      </c>
    </row>
    <row r="85" spans="1:19" x14ac:dyDescent="0.2">
      <c r="A85" s="18">
        <v>1979</v>
      </c>
      <c r="B85" s="32">
        <v>393</v>
      </c>
      <c r="C85" s="32">
        <f>SUM($B58:C58)</f>
        <v>544</v>
      </c>
      <c r="D85" s="32">
        <f>SUM($B58:D58)</f>
        <v>569</v>
      </c>
      <c r="E85" s="32">
        <f>SUM($B58:E58)</f>
        <v>575</v>
      </c>
      <c r="F85" s="32">
        <f>SUM($B58:F58)</f>
        <v>579</v>
      </c>
      <c r="G85" s="32">
        <f>SUM($B58:G58)</f>
        <v>584</v>
      </c>
      <c r="H85" s="32">
        <f>SUM($B58:H58)</f>
        <v>588</v>
      </c>
      <c r="I85" s="32">
        <f>SUM($B58:I58)</f>
        <v>589</v>
      </c>
      <c r="J85" s="32">
        <f>SUM($B58:J58)</f>
        <v>591</v>
      </c>
      <c r="K85" s="32">
        <f>SUM($B58:K58)</f>
        <v>592</v>
      </c>
      <c r="L85" s="32">
        <f>SUM($B58:L58)</f>
        <v>592</v>
      </c>
      <c r="M85" s="32">
        <f>SUM($B58:M58)</f>
        <v>592.15325834520638</v>
      </c>
      <c r="N85" s="32">
        <f t="shared" ref="N85:N89" si="22">M85</f>
        <v>592.15325834520638</v>
      </c>
      <c r="O85" s="32">
        <f t="shared" si="21"/>
        <v>592.15325834520638</v>
      </c>
      <c r="P85" s="32">
        <f t="shared" si="21"/>
        <v>592.15325834520638</v>
      </c>
      <c r="Q85" s="32">
        <f t="shared" si="21"/>
        <v>592.15325834520638</v>
      </c>
      <c r="R85" s="32">
        <f t="shared" si="21"/>
        <v>592.15325834520638</v>
      </c>
    </row>
    <row r="86" spans="1:19" x14ac:dyDescent="0.2">
      <c r="A86" s="18">
        <v>1980</v>
      </c>
      <c r="B86" s="32">
        <v>517</v>
      </c>
      <c r="C86" s="32">
        <f>SUM($B59:C59)</f>
        <v>702</v>
      </c>
      <c r="D86" s="32">
        <f>SUM($B59:D59)</f>
        <v>731</v>
      </c>
      <c r="E86" s="32">
        <f>SUM($B59:E59)</f>
        <v>748</v>
      </c>
      <c r="F86" s="32">
        <f>SUM($B59:F59)</f>
        <v>759</v>
      </c>
      <c r="G86" s="32">
        <f>SUM($B59:G59)</f>
        <v>769</v>
      </c>
      <c r="H86" s="32">
        <f>SUM($B59:H59)</f>
        <v>777</v>
      </c>
      <c r="I86" s="32">
        <f>SUM($B59:I59)</f>
        <v>778</v>
      </c>
      <c r="J86" s="32">
        <f>SUM($B59:J59)</f>
        <v>778</v>
      </c>
      <c r="K86" s="32">
        <f>SUM($B59:K59)</f>
        <v>778</v>
      </c>
      <c r="L86" s="32">
        <f>SUM($B59:L59)</f>
        <v>779</v>
      </c>
      <c r="M86" s="32">
        <f>SUM($B59:M59)</f>
        <v>779.20039964907482</v>
      </c>
      <c r="N86" s="32">
        <f t="shared" si="22"/>
        <v>779.20039964907482</v>
      </c>
      <c r="O86" s="32">
        <f t="shared" si="21"/>
        <v>779.20039964907482</v>
      </c>
      <c r="P86" s="32">
        <f t="shared" si="21"/>
        <v>779.20039964907482</v>
      </c>
      <c r="Q86" s="32">
        <f t="shared" si="21"/>
        <v>779.20039964907482</v>
      </c>
    </row>
    <row r="87" spans="1:19" x14ac:dyDescent="0.2">
      <c r="A87" s="18">
        <v>1981</v>
      </c>
      <c r="B87" s="32">
        <v>578</v>
      </c>
      <c r="C87" s="32">
        <f>SUM($B60:C60)</f>
        <v>832</v>
      </c>
      <c r="D87" s="32">
        <f>SUM($B60:D60)</f>
        <v>881</v>
      </c>
      <c r="E87" s="32">
        <f>SUM($B60:E60)</f>
        <v>903</v>
      </c>
      <c r="F87" s="32">
        <f>SUM($B60:F60)</f>
        <v>920</v>
      </c>
      <c r="G87" s="32">
        <f>SUM($B60:G60)</f>
        <v>926</v>
      </c>
      <c r="H87" s="32">
        <f>SUM($B60:H60)</f>
        <v>929</v>
      </c>
      <c r="I87" s="32">
        <f>SUM($B60:I60)</f>
        <v>929</v>
      </c>
      <c r="J87" s="32">
        <f>SUM($B60:J60)</f>
        <v>930</v>
      </c>
      <c r="K87" s="32">
        <f>SUM($B60:K60)</f>
        <v>930</v>
      </c>
      <c r="L87" s="32">
        <f>SUM($B60:L60)</f>
        <v>930</v>
      </c>
      <c r="M87" s="32">
        <f>SUM($B60:M60)</f>
        <v>930.20852822821166</v>
      </c>
      <c r="N87" s="32">
        <f t="shared" si="22"/>
        <v>930.20852822821166</v>
      </c>
      <c r="O87" s="32">
        <f t="shared" si="21"/>
        <v>930.20852822821166</v>
      </c>
      <c r="P87" s="32">
        <f t="shared" si="21"/>
        <v>930.20852822821166</v>
      </c>
    </row>
    <row r="88" spans="1:19" x14ac:dyDescent="0.2">
      <c r="A88" s="18">
        <v>1982</v>
      </c>
      <c r="B88" s="32">
        <v>622</v>
      </c>
      <c r="C88" s="32">
        <f>SUM($B61:C61)</f>
        <v>828</v>
      </c>
      <c r="D88" s="32">
        <f>SUM($B61:D61)</f>
        <v>867</v>
      </c>
      <c r="E88" s="32">
        <f>SUM($B61:E61)</f>
        <v>883</v>
      </c>
      <c r="F88" s="32">
        <f>SUM($B61:F61)</f>
        <v>886</v>
      </c>
      <c r="G88" s="32">
        <f>SUM($B61:G61)</f>
        <v>893</v>
      </c>
      <c r="H88" s="32">
        <f>SUM($B61:H61)</f>
        <v>893</v>
      </c>
      <c r="I88" s="32">
        <f>SUM($B61:I61)</f>
        <v>894</v>
      </c>
      <c r="J88" s="32">
        <f>SUM($B61:J61)</f>
        <v>894</v>
      </c>
      <c r="K88" s="32">
        <f>SUM($B61:K61)</f>
        <v>894</v>
      </c>
      <c r="L88" s="32">
        <f>SUM($B61:L61)</f>
        <v>894</v>
      </c>
      <c r="M88" s="32">
        <f>SUM($B61:M61)</f>
        <v>894.21629634718749</v>
      </c>
      <c r="N88" s="32">
        <f t="shared" si="22"/>
        <v>894.21629634718749</v>
      </c>
      <c r="O88" s="32">
        <f t="shared" si="21"/>
        <v>894.21629634718749</v>
      </c>
    </row>
    <row r="89" spans="1:19" x14ac:dyDescent="0.2">
      <c r="A89" s="18">
        <v>1983</v>
      </c>
      <c r="B89" s="32">
        <v>660</v>
      </c>
      <c r="C89" s="32">
        <f>SUM($B62:C62)</f>
        <v>903</v>
      </c>
      <c r="D89" s="32">
        <f>SUM($B62:D62)</f>
        <v>931</v>
      </c>
      <c r="E89" s="32">
        <f>SUM($B62:E62)</f>
        <v>943</v>
      </c>
      <c r="F89" s="32">
        <f>SUM($B62:F62)</f>
        <v>955</v>
      </c>
      <c r="G89" s="32">
        <f>SUM($B62:G62)</f>
        <v>959</v>
      </c>
      <c r="H89" s="32">
        <f>SUM($B62:H62)</f>
        <v>963</v>
      </c>
      <c r="I89" s="32">
        <f>SUM($B62:I62)</f>
        <v>964</v>
      </c>
      <c r="J89" s="32">
        <f>SUM($B62:J62)</f>
        <v>964</v>
      </c>
      <c r="K89" s="32">
        <f>SUM($B62:K62)</f>
        <v>964</v>
      </c>
      <c r="L89" s="32">
        <f>SUM($B62:L62)</f>
        <v>964</v>
      </c>
      <c r="M89" s="32">
        <f>SUM($B62:M62)</f>
        <v>964.22433379875565</v>
      </c>
      <c r="N89" s="32">
        <f t="shared" si="22"/>
        <v>964.22433379875565</v>
      </c>
    </row>
    <row r="90" spans="1:19" x14ac:dyDescent="0.2">
      <c r="A90" s="18">
        <v>1984</v>
      </c>
      <c r="B90" s="32">
        <v>666</v>
      </c>
      <c r="C90" s="32">
        <f>SUM($B63:C63)</f>
        <v>900</v>
      </c>
      <c r="D90" s="32">
        <f>SUM($B63:D63)</f>
        <v>953</v>
      </c>
      <c r="E90" s="32">
        <f>SUM($B63:E63)</f>
        <v>963</v>
      </c>
      <c r="F90" s="32">
        <f>SUM($B63:F63)</f>
        <v>971</v>
      </c>
      <c r="G90" s="32">
        <f>SUM($B63:G63)</f>
        <v>975</v>
      </c>
      <c r="H90" s="32">
        <f>SUM($B63:H63)</f>
        <v>981</v>
      </c>
      <c r="I90" s="32">
        <f>SUM($B63:I63)</f>
        <v>982</v>
      </c>
      <c r="J90" s="32">
        <f>SUM($B63:J63)</f>
        <v>982</v>
      </c>
      <c r="K90" s="32">
        <f>SUM($B63:K63)</f>
        <v>982</v>
      </c>
      <c r="L90" s="32">
        <f>SUM($B63:L63)</f>
        <v>982</v>
      </c>
      <c r="M90" s="32">
        <f>SUM($B63:M63)</f>
        <v>982.23147820014947</v>
      </c>
    </row>
    <row r="91" spans="1:19" x14ac:dyDescent="0.2">
      <c r="A91" s="18">
        <v>1985</v>
      </c>
      <c r="B91" s="32">
        <v>573</v>
      </c>
      <c r="C91" s="32">
        <f>SUM($B64:C64)</f>
        <v>839</v>
      </c>
      <c r="D91" s="32">
        <f>SUM($B64:D64)</f>
        <v>901</v>
      </c>
      <c r="E91" s="32">
        <f>SUM($B64:E64)</f>
        <v>913</v>
      </c>
      <c r="F91" s="32">
        <f>SUM($B64:F64)</f>
        <v>918</v>
      </c>
      <c r="G91" s="32">
        <f>SUM($B64:G64)</f>
        <v>925</v>
      </c>
      <c r="H91" s="32">
        <f>SUM($B64:H64)</f>
        <v>931</v>
      </c>
      <c r="I91" s="32">
        <f>SUM($B64:I64)</f>
        <v>936</v>
      </c>
      <c r="J91" s="32">
        <f>SUM($B64:J64)</f>
        <v>937</v>
      </c>
      <c r="K91" s="32">
        <f>SUM($B64:K64)</f>
        <v>937</v>
      </c>
      <c r="L91" s="32">
        <f>SUM($B64:L64)</f>
        <v>938</v>
      </c>
    </row>
    <row r="92" spans="1:19" x14ac:dyDescent="0.2">
      <c r="A92" s="18">
        <v>1986</v>
      </c>
      <c r="B92" s="32">
        <v>582</v>
      </c>
      <c r="C92" s="32">
        <f>SUM($B65:C65)</f>
        <v>863</v>
      </c>
      <c r="D92" s="32">
        <f>SUM($B65:D65)</f>
        <v>895</v>
      </c>
      <c r="E92" s="32">
        <f>SUM($B65:E65)</f>
        <v>922</v>
      </c>
      <c r="F92" s="32">
        <f>SUM($B65:F65)</f>
        <v>934</v>
      </c>
      <c r="G92" s="32">
        <f>SUM($B65:G65)</f>
        <v>947</v>
      </c>
      <c r="H92" s="32">
        <f>SUM($B65:H65)</f>
        <v>953</v>
      </c>
      <c r="I92" s="32">
        <f>SUM($B65:I65)</f>
        <v>955</v>
      </c>
      <c r="J92" s="32">
        <f>SUM($B65:J65)</f>
        <v>956</v>
      </c>
      <c r="K92" s="32">
        <f>SUM($B65:K65)</f>
        <v>956</v>
      </c>
      <c r="L92" s="33"/>
    </row>
    <row r="93" spans="1:19" x14ac:dyDescent="0.2">
      <c r="A93" s="18">
        <v>1987</v>
      </c>
      <c r="B93" s="32">
        <v>545</v>
      </c>
      <c r="C93" s="32">
        <f>SUM($B66:C66)</f>
        <v>765</v>
      </c>
      <c r="D93" s="32">
        <f>SUM($B66:D66)</f>
        <v>808</v>
      </c>
      <c r="E93" s="32">
        <f>SUM($B66:E66)</f>
        <v>826</v>
      </c>
      <c r="F93" s="32">
        <f>SUM($B66:F66)</f>
        <v>838</v>
      </c>
      <c r="G93" s="32">
        <f>SUM($B66:G66)</f>
        <v>847</v>
      </c>
      <c r="H93" s="32">
        <f>SUM($B66:H66)</f>
        <v>852</v>
      </c>
      <c r="I93" s="32">
        <f>SUM($B66:I66)</f>
        <v>854</v>
      </c>
      <c r="J93" s="32">
        <f>SUM($B66:J66)</f>
        <v>854</v>
      </c>
      <c r="K93" s="33"/>
      <c r="L93" s="33"/>
    </row>
    <row r="94" spans="1:19" x14ac:dyDescent="0.2">
      <c r="A94" s="18">
        <v>1988</v>
      </c>
      <c r="B94" s="32">
        <v>509</v>
      </c>
      <c r="C94" s="32">
        <f>SUM($B67:C67)</f>
        <v>775</v>
      </c>
      <c r="D94" s="32">
        <f>SUM($B67:D67)</f>
        <v>824</v>
      </c>
      <c r="E94" s="32">
        <f>SUM($B67:E67)</f>
        <v>846</v>
      </c>
      <c r="F94" s="32">
        <f>SUM($B67:F67)</f>
        <v>861</v>
      </c>
      <c r="G94" s="32">
        <f>SUM($B67:G67)</f>
        <v>865</v>
      </c>
      <c r="H94" s="32">
        <f>SUM($B67:H67)</f>
        <v>873</v>
      </c>
      <c r="I94" s="32">
        <f>SUM($B67:I67)</f>
        <v>873</v>
      </c>
      <c r="J94" s="33"/>
      <c r="K94" s="33"/>
      <c r="L94" s="33"/>
    </row>
    <row r="95" spans="1:19" x14ac:dyDescent="0.2">
      <c r="A95" s="18">
        <v>1989</v>
      </c>
      <c r="B95" s="32">
        <v>589</v>
      </c>
      <c r="C95" s="32">
        <f>SUM($B68:C68)</f>
        <v>799</v>
      </c>
      <c r="D95" s="32">
        <f>SUM($B68:D68)</f>
        <v>828</v>
      </c>
      <c r="E95" s="32">
        <f>SUM($B68:E68)</f>
        <v>845</v>
      </c>
      <c r="F95" s="32">
        <f>SUM($B68:F68)</f>
        <v>857</v>
      </c>
      <c r="G95" s="32">
        <f>SUM($B68:G68)</f>
        <v>861</v>
      </c>
      <c r="H95" s="32">
        <f>SUM($B68:H68)</f>
        <v>870</v>
      </c>
      <c r="I95" s="33"/>
      <c r="J95" s="33"/>
      <c r="K95" s="33"/>
      <c r="L95" s="33"/>
    </row>
    <row r="96" spans="1:19" x14ac:dyDescent="0.2">
      <c r="A96" s="18">
        <v>1990</v>
      </c>
      <c r="B96" s="32">
        <v>564</v>
      </c>
      <c r="C96" s="32">
        <f>SUM($B69:C69)</f>
        <v>760</v>
      </c>
      <c r="D96" s="32">
        <f>SUM($B69:D69)</f>
        <v>783</v>
      </c>
      <c r="E96" s="32">
        <f>SUM($B69:E69)</f>
        <v>795</v>
      </c>
      <c r="F96" s="32">
        <f>SUM($B69:F69)</f>
        <v>804</v>
      </c>
      <c r="G96" s="32">
        <f>SUM($B69:G69)</f>
        <v>809</v>
      </c>
      <c r="H96" s="33"/>
      <c r="I96" s="33"/>
      <c r="J96" s="33"/>
      <c r="K96" s="33"/>
      <c r="L96" s="33"/>
    </row>
    <row r="97" spans="1:19" x14ac:dyDescent="0.2">
      <c r="A97" s="18">
        <v>1991</v>
      </c>
      <c r="B97" s="32">
        <v>607</v>
      </c>
      <c r="C97" s="32">
        <f>SUM($B70:C70)</f>
        <v>810</v>
      </c>
      <c r="D97" s="32">
        <f>SUM($B70:D70)</f>
        <v>839</v>
      </c>
      <c r="E97" s="32">
        <f>SUM($B70:E70)</f>
        <v>848</v>
      </c>
      <c r="F97" s="32">
        <f>SUM($B70:F70)</f>
        <v>855</v>
      </c>
      <c r="G97" s="33"/>
      <c r="H97" s="33"/>
      <c r="I97" s="33"/>
      <c r="J97" s="33"/>
      <c r="K97" s="33"/>
      <c r="L97" s="33"/>
    </row>
    <row r="98" spans="1:19" x14ac:dyDescent="0.2">
      <c r="A98" s="18">
        <v>1992</v>
      </c>
      <c r="B98" s="32">
        <v>674</v>
      </c>
      <c r="C98" s="32">
        <f>SUM($B71:C71)</f>
        <v>843</v>
      </c>
      <c r="D98" s="32">
        <f>SUM($B71:D71)</f>
        <v>863</v>
      </c>
      <c r="E98" s="32">
        <f>SUM($B71:E71)</f>
        <v>875</v>
      </c>
      <c r="F98" s="33"/>
      <c r="G98" s="33"/>
      <c r="H98" s="33"/>
      <c r="I98" s="33"/>
      <c r="J98" s="33"/>
      <c r="K98" s="33"/>
      <c r="L98" s="33"/>
    </row>
    <row r="99" spans="1:19" x14ac:dyDescent="0.2">
      <c r="A99" s="18">
        <v>1993</v>
      </c>
      <c r="B99" s="32">
        <v>619</v>
      </c>
      <c r="C99" s="32">
        <f>SUM($B72:C72)</f>
        <v>809</v>
      </c>
      <c r="D99" s="32">
        <f>SUM($B72:D72)</f>
        <v>850</v>
      </c>
      <c r="E99" s="33"/>
      <c r="F99" s="33"/>
      <c r="G99" s="33"/>
      <c r="H99" s="33"/>
      <c r="I99" s="33"/>
      <c r="J99" s="33"/>
      <c r="K99" s="33"/>
      <c r="L99" s="33"/>
    </row>
    <row r="100" spans="1:19" x14ac:dyDescent="0.2">
      <c r="A100" s="18">
        <v>1994</v>
      </c>
      <c r="B100" s="32">
        <v>660</v>
      </c>
      <c r="C100" s="32">
        <f>SUM($B73:C73)</f>
        <v>821</v>
      </c>
      <c r="D100" s="33"/>
      <c r="E100" s="33"/>
      <c r="F100" s="33"/>
      <c r="G100" s="33"/>
      <c r="H100" s="33"/>
      <c r="I100" s="33"/>
      <c r="J100" s="33"/>
      <c r="K100" s="33"/>
      <c r="L100" s="33"/>
    </row>
    <row r="101" spans="1:19" x14ac:dyDescent="0.2">
      <c r="A101" s="18">
        <v>1995</v>
      </c>
      <c r="B101" s="32">
        <v>660</v>
      </c>
      <c r="C101" s="33"/>
      <c r="D101" s="33"/>
      <c r="E101" s="33"/>
      <c r="F101" s="33"/>
      <c r="G101" s="33"/>
      <c r="H101" s="33"/>
      <c r="I101" s="33"/>
      <c r="J101" s="33"/>
      <c r="K101" s="33"/>
      <c r="L101" s="33"/>
    </row>
    <row r="103" spans="1:19" x14ac:dyDescent="0.2">
      <c r="A103" s="19" t="s">
        <v>211</v>
      </c>
      <c r="B103" s="16" t="s">
        <v>227</v>
      </c>
      <c r="C103" s="21"/>
      <c r="D103" s="21"/>
      <c r="E103" s="21"/>
      <c r="F103" s="21"/>
      <c r="G103" s="21"/>
      <c r="H103" s="21"/>
      <c r="I103" s="21"/>
      <c r="J103" s="21"/>
      <c r="K103" s="21"/>
      <c r="L103" s="21"/>
      <c r="M103" s="21"/>
      <c r="N103" s="21"/>
      <c r="O103" s="21"/>
      <c r="P103" s="21"/>
      <c r="Q103" s="21"/>
      <c r="R103" s="21"/>
      <c r="S103" s="21"/>
    </row>
    <row r="104" spans="1:19" x14ac:dyDescent="0.2">
      <c r="A104" s="23" t="s">
        <v>213</v>
      </c>
      <c r="B104" s="21">
        <v>0</v>
      </c>
      <c r="C104" s="21">
        <f t="shared" ref="C104:S104" si="23">B104+1</f>
        <v>1</v>
      </c>
      <c r="D104" s="21">
        <f t="shared" si="23"/>
        <v>2</v>
      </c>
      <c r="E104" s="21">
        <f t="shared" si="23"/>
        <v>3</v>
      </c>
      <c r="F104" s="21">
        <f t="shared" si="23"/>
        <v>4</v>
      </c>
      <c r="G104" s="21">
        <f t="shared" si="23"/>
        <v>5</v>
      </c>
      <c r="H104" s="21">
        <f t="shared" si="23"/>
        <v>6</v>
      </c>
      <c r="I104" s="21">
        <f t="shared" si="23"/>
        <v>7</v>
      </c>
      <c r="J104" s="21">
        <f t="shared" si="23"/>
        <v>8</v>
      </c>
      <c r="K104" s="21">
        <f t="shared" si="23"/>
        <v>9</v>
      </c>
      <c r="L104" s="21">
        <f t="shared" si="23"/>
        <v>10</v>
      </c>
      <c r="M104" s="21">
        <f t="shared" si="23"/>
        <v>11</v>
      </c>
      <c r="N104" s="21">
        <f t="shared" si="23"/>
        <v>12</v>
      </c>
      <c r="O104" s="21">
        <f t="shared" si="23"/>
        <v>13</v>
      </c>
      <c r="P104" s="21">
        <f t="shared" si="23"/>
        <v>14</v>
      </c>
      <c r="Q104" s="21">
        <f t="shared" si="23"/>
        <v>15</v>
      </c>
      <c r="R104" s="21">
        <f t="shared" si="23"/>
        <v>16</v>
      </c>
      <c r="S104" s="21">
        <f t="shared" si="23"/>
        <v>17</v>
      </c>
    </row>
    <row r="105" spans="1:19" x14ac:dyDescent="0.2">
      <c r="B105" s="25" t="s">
        <v>214</v>
      </c>
      <c r="C105" s="25" t="s">
        <v>214</v>
      </c>
      <c r="D105" s="25" t="s">
        <v>214</v>
      </c>
      <c r="E105" s="25" t="s">
        <v>214</v>
      </c>
      <c r="F105" s="25" t="s">
        <v>214</v>
      </c>
      <c r="G105" s="25" t="s">
        <v>214</v>
      </c>
      <c r="H105" s="25" t="s">
        <v>214</v>
      </c>
      <c r="I105" s="25" t="s">
        <v>214</v>
      </c>
      <c r="J105" s="25" t="s">
        <v>214</v>
      </c>
      <c r="K105" s="25" t="s">
        <v>214</v>
      </c>
      <c r="L105" s="25" t="s">
        <v>214</v>
      </c>
      <c r="M105" s="25" t="s">
        <v>214</v>
      </c>
      <c r="N105" s="25" t="s">
        <v>214</v>
      </c>
      <c r="O105" s="25" t="s">
        <v>214</v>
      </c>
      <c r="P105" s="25" t="s">
        <v>214</v>
      </c>
      <c r="Q105" s="25" t="s">
        <v>214</v>
      </c>
      <c r="R105" s="25" t="s">
        <v>214</v>
      </c>
      <c r="S105" s="25" t="s">
        <v>214</v>
      </c>
    </row>
    <row r="107" spans="1:19" x14ac:dyDescent="0.2">
      <c r="A107" s="18">
        <f>A84</f>
        <v>1978</v>
      </c>
      <c r="B107" s="26">
        <f t="shared" ref="B107:S119" si="24">C31/B84</f>
        <v>25.184782608695652</v>
      </c>
      <c r="C107" s="26">
        <f t="shared" si="24"/>
        <v>32.670840787119857</v>
      </c>
      <c r="D107" s="26">
        <f t="shared" si="24"/>
        <v>34.381601362862007</v>
      </c>
      <c r="E107" s="26">
        <f t="shared" si="24"/>
        <v>37.618487394957981</v>
      </c>
      <c r="F107" s="26">
        <f t="shared" si="24"/>
        <v>37.906821963394343</v>
      </c>
      <c r="G107" s="26">
        <f t="shared" si="24"/>
        <v>43.478547854785475</v>
      </c>
      <c r="H107" s="26">
        <f t="shared" si="24"/>
        <v>42.975369458128078</v>
      </c>
      <c r="I107" s="26">
        <f t="shared" si="24"/>
        <v>42.924590163934425</v>
      </c>
      <c r="J107" s="26">
        <f t="shared" si="24"/>
        <v>41.729508196721312</v>
      </c>
      <c r="K107" s="26">
        <f t="shared" si="24"/>
        <v>42.196721311475407</v>
      </c>
      <c r="L107" s="26">
        <f t="shared" si="24"/>
        <v>42.080196399345333</v>
      </c>
      <c r="M107" s="26">
        <f t="shared" si="24"/>
        <v>41.646426058332075</v>
      </c>
      <c r="N107" s="26">
        <f t="shared" si="24"/>
        <v>41.659516244111842</v>
      </c>
      <c r="O107" s="26">
        <f t="shared" si="24"/>
        <v>41.597337861657948</v>
      </c>
      <c r="P107" s="26">
        <f t="shared" si="24"/>
        <v>41.538432025648987</v>
      </c>
      <c r="Q107" s="26">
        <f t="shared" si="24"/>
        <v>41.757692637460103</v>
      </c>
      <c r="R107" s="26">
        <f t="shared" si="24"/>
        <v>41.963863063491452</v>
      </c>
      <c r="S107" s="26">
        <f t="shared" si="24"/>
        <v>41.674242703114082</v>
      </c>
    </row>
    <row r="108" spans="1:19" x14ac:dyDescent="0.2">
      <c r="A108" s="18">
        <f t="shared" ref="A108:A124" si="25">A85</f>
        <v>1979</v>
      </c>
      <c r="B108" s="26">
        <f t="shared" si="24"/>
        <v>25.05852417302799</v>
      </c>
      <c r="C108" s="26">
        <f t="shared" si="24"/>
        <v>29.637867647058822</v>
      </c>
      <c r="D108" s="26">
        <f t="shared" si="24"/>
        <v>30.050966608084359</v>
      </c>
      <c r="E108" s="26">
        <f t="shared" si="24"/>
        <v>32.250434782608693</v>
      </c>
      <c r="F108" s="26">
        <f t="shared" si="24"/>
        <v>35.464594127806564</v>
      </c>
      <c r="G108" s="26">
        <f t="shared" si="24"/>
        <v>36.907534246575345</v>
      </c>
      <c r="H108" s="26">
        <f t="shared" si="24"/>
        <v>39.488095238095241</v>
      </c>
      <c r="I108" s="26">
        <f t="shared" si="24"/>
        <v>37.998302207130727</v>
      </c>
      <c r="J108" s="26">
        <f t="shared" si="24"/>
        <v>36.521150592216586</v>
      </c>
      <c r="K108" s="26">
        <f t="shared" si="24"/>
        <v>36.162162162162161</v>
      </c>
      <c r="L108" s="26">
        <f t="shared" si="24"/>
        <v>35.231418918918919</v>
      </c>
      <c r="M108" s="26">
        <f t="shared" si="24"/>
        <v>35.739058599695568</v>
      </c>
      <c r="N108" s="26">
        <f t="shared" si="24"/>
        <v>34.589018486933071</v>
      </c>
      <c r="O108" s="26">
        <f t="shared" si="24"/>
        <v>33.72606621436092</v>
      </c>
      <c r="P108" s="26">
        <f t="shared" si="24"/>
        <v>33.704112438346364</v>
      </c>
      <c r="Q108" s="26">
        <f t="shared" si="24"/>
        <v>33.685536166334053</v>
      </c>
      <c r="R108" s="26">
        <f t="shared" si="24"/>
        <v>33.759841254383318</v>
      </c>
      <c r="S108" s="26"/>
    </row>
    <row r="109" spans="1:19" x14ac:dyDescent="0.2">
      <c r="A109" s="18">
        <f t="shared" si="25"/>
        <v>1980</v>
      </c>
      <c r="B109" s="26">
        <f t="shared" si="24"/>
        <v>27.059961315280464</v>
      </c>
      <c r="C109" s="26">
        <f t="shared" si="24"/>
        <v>32.028490028490026</v>
      </c>
      <c r="D109" s="26">
        <f t="shared" si="24"/>
        <v>34.131326949384402</v>
      </c>
      <c r="E109" s="26">
        <f t="shared" si="24"/>
        <v>44.458556149732622</v>
      </c>
      <c r="F109" s="26">
        <f t="shared" si="24"/>
        <v>43.866930171278</v>
      </c>
      <c r="G109" s="26">
        <f t="shared" si="24"/>
        <v>44.613784135240572</v>
      </c>
      <c r="H109" s="26">
        <f t="shared" si="24"/>
        <v>43.786357786357783</v>
      </c>
      <c r="I109" s="26">
        <f t="shared" si="24"/>
        <v>43.731362467866326</v>
      </c>
      <c r="J109" s="26">
        <f t="shared" si="24"/>
        <v>43.498714652956295</v>
      </c>
      <c r="K109" s="26">
        <f t="shared" si="24"/>
        <v>43.615681233933159</v>
      </c>
      <c r="L109" s="26">
        <f t="shared" si="24"/>
        <v>43.093709884467266</v>
      </c>
      <c r="M109" s="26">
        <f t="shared" si="24"/>
        <v>40.915020082584803</v>
      </c>
      <c r="N109" s="26">
        <f t="shared" si="24"/>
        <v>41.328264223816014</v>
      </c>
      <c r="O109" s="26">
        <f t="shared" si="24"/>
        <v>41.510502323365181</v>
      </c>
      <c r="P109" s="26">
        <f t="shared" si="24"/>
        <v>41.388582468032993</v>
      </c>
      <c r="Q109" s="26">
        <f t="shared" si="24"/>
        <v>41.283346382377843</v>
      </c>
      <c r="R109" s="26"/>
      <c r="S109" s="26"/>
    </row>
    <row r="110" spans="1:19" x14ac:dyDescent="0.2">
      <c r="A110" s="18">
        <f t="shared" si="25"/>
        <v>1981</v>
      </c>
      <c r="B110" s="26">
        <f t="shared" si="24"/>
        <v>28.633217993079583</v>
      </c>
      <c r="C110" s="26">
        <f t="shared" si="24"/>
        <v>33.721153846153847</v>
      </c>
      <c r="D110" s="26">
        <f t="shared" si="24"/>
        <v>45.397275822928492</v>
      </c>
      <c r="E110" s="26">
        <f t="shared" si="24"/>
        <v>47.019933554817278</v>
      </c>
      <c r="F110" s="26">
        <f t="shared" si="24"/>
        <v>46.518478260869564</v>
      </c>
      <c r="G110" s="26">
        <f t="shared" si="24"/>
        <v>46.171706263498919</v>
      </c>
      <c r="H110" s="26">
        <f t="shared" si="24"/>
        <v>45.678148546824545</v>
      </c>
      <c r="I110" s="26">
        <f t="shared" si="24"/>
        <v>45.534983853606029</v>
      </c>
      <c r="J110" s="26">
        <f t="shared" si="24"/>
        <v>45.263440860215056</v>
      </c>
      <c r="K110" s="26">
        <f t="shared" si="24"/>
        <v>44.737634408602148</v>
      </c>
      <c r="L110" s="26">
        <f t="shared" si="24"/>
        <v>43.483870967741936</v>
      </c>
      <c r="M110" s="26">
        <f t="shared" si="24"/>
        <v>43.465522808108098</v>
      </c>
      <c r="N110" s="26">
        <f t="shared" si="24"/>
        <v>43.351569864458035</v>
      </c>
      <c r="O110" s="26">
        <f t="shared" si="24"/>
        <v>43.363395169931152</v>
      </c>
      <c r="P110" s="26">
        <f t="shared" si="24"/>
        <v>43.104313477292798</v>
      </c>
      <c r="Q110" s="26"/>
      <c r="R110" s="26"/>
      <c r="S110" s="26"/>
    </row>
    <row r="111" spans="1:19" x14ac:dyDescent="0.2">
      <c r="A111" s="18">
        <f t="shared" si="25"/>
        <v>1982</v>
      </c>
      <c r="B111" s="26">
        <f t="shared" si="24"/>
        <v>17.84565916398714</v>
      </c>
      <c r="C111" s="26">
        <f t="shared" si="24"/>
        <v>38.188405797101453</v>
      </c>
      <c r="D111" s="26">
        <f t="shared" si="24"/>
        <v>47.118800461361012</v>
      </c>
      <c r="E111" s="26">
        <f t="shared" si="24"/>
        <v>43.9762174405436</v>
      </c>
      <c r="F111" s="26">
        <f t="shared" si="24"/>
        <v>44.60045146726862</v>
      </c>
      <c r="G111" s="26">
        <f t="shared" si="24"/>
        <v>44.647256438969762</v>
      </c>
      <c r="H111" s="26">
        <f t="shared" si="24"/>
        <v>45.193729003359465</v>
      </c>
      <c r="I111" s="26">
        <f t="shared" si="24"/>
        <v>45.139821029082775</v>
      </c>
      <c r="J111" s="26">
        <f t="shared" si="24"/>
        <v>44.872483221476507</v>
      </c>
      <c r="K111" s="26">
        <f t="shared" si="24"/>
        <v>44.617449664429529</v>
      </c>
      <c r="L111" s="26">
        <f t="shared" si="24"/>
        <v>44.628635346756155</v>
      </c>
      <c r="M111" s="26">
        <f t="shared" si="24"/>
        <v>44.896296526911613</v>
      </c>
      <c r="N111" s="26">
        <f t="shared" si="24"/>
        <v>44.538441272755342</v>
      </c>
      <c r="O111" s="26">
        <f t="shared" si="24"/>
        <v>44.955566303381246</v>
      </c>
      <c r="P111" s="26"/>
      <c r="Q111" s="26"/>
      <c r="R111" s="26"/>
      <c r="S111" s="26"/>
    </row>
    <row r="112" spans="1:19" x14ac:dyDescent="0.2">
      <c r="A112" s="18">
        <f t="shared" si="25"/>
        <v>1983</v>
      </c>
      <c r="B112" s="26">
        <f t="shared" si="24"/>
        <v>23.753030303030304</v>
      </c>
      <c r="C112" s="26">
        <f t="shared" si="24"/>
        <v>36.626799557032115</v>
      </c>
      <c r="D112" s="26">
        <f t="shared" si="24"/>
        <v>38.229860365198711</v>
      </c>
      <c r="E112" s="26">
        <f t="shared" si="24"/>
        <v>37.880169671261932</v>
      </c>
      <c r="F112" s="26">
        <f t="shared" si="24"/>
        <v>40.473298429319371</v>
      </c>
      <c r="G112" s="26">
        <f t="shared" si="24"/>
        <v>41.103232533889468</v>
      </c>
      <c r="H112" s="26">
        <f t="shared" si="24"/>
        <v>40.730010384215994</v>
      </c>
      <c r="I112" s="26">
        <f t="shared" si="24"/>
        <v>41.178423236514526</v>
      </c>
      <c r="J112" s="26">
        <f t="shared" si="24"/>
        <v>39.17946058091286</v>
      </c>
      <c r="K112" s="26">
        <f t="shared" si="24"/>
        <v>39.309128630705395</v>
      </c>
      <c r="L112" s="26">
        <f t="shared" si="24"/>
        <v>38.764522821576762</v>
      </c>
      <c r="M112" s="26">
        <f t="shared" si="24"/>
        <v>38.730613500358224</v>
      </c>
      <c r="N112" s="26">
        <f t="shared" si="24"/>
        <v>38.450595676148914</v>
      </c>
      <c r="O112" s="26"/>
      <c r="P112" s="26"/>
      <c r="Q112" s="26"/>
      <c r="R112" s="26"/>
      <c r="S112" s="26"/>
    </row>
    <row r="113" spans="1:19" x14ac:dyDescent="0.2">
      <c r="A113" s="18">
        <f t="shared" si="25"/>
        <v>1984</v>
      </c>
      <c r="B113" s="26">
        <f t="shared" si="24"/>
        <v>30.593093093093092</v>
      </c>
      <c r="C113" s="26">
        <f t="shared" si="24"/>
        <v>37.283333333333331</v>
      </c>
      <c r="D113" s="26">
        <f t="shared" si="24"/>
        <v>43.815320041972718</v>
      </c>
      <c r="E113" s="26">
        <f t="shared" si="24"/>
        <v>46.858774662512978</v>
      </c>
      <c r="F113" s="26">
        <f t="shared" si="24"/>
        <v>48.696189495365601</v>
      </c>
      <c r="G113" s="26">
        <f t="shared" si="24"/>
        <v>53.035897435897439</v>
      </c>
      <c r="H113" s="26">
        <f t="shared" si="24"/>
        <v>53.156982670744142</v>
      </c>
      <c r="I113" s="26">
        <f t="shared" si="24"/>
        <v>52.125254582484722</v>
      </c>
      <c r="J113" s="26">
        <f t="shared" si="24"/>
        <v>52.902240325865577</v>
      </c>
      <c r="K113" s="26">
        <f t="shared" si="24"/>
        <v>51.901221995926683</v>
      </c>
      <c r="L113" s="26">
        <f t="shared" si="24"/>
        <v>52.40427698574338</v>
      </c>
      <c r="M113" s="26">
        <f t="shared" si="24"/>
        <v>52.311497992461895</v>
      </c>
      <c r="N113" s="26"/>
      <c r="O113" s="26"/>
      <c r="P113" s="26"/>
      <c r="Q113" s="26"/>
      <c r="R113" s="26"/>
      <c r="S113" s="26"/>
    </row>
    <row r="114" spans="1:19" x14ac:dyDescent="0.2">
      <c r="A114" s="18">
        <f t="shared" si="25"/>
        <v>1985</v>
      </c>
      <c r="B114" s="26">
        <f t="shared" si="24"/>
        <v>17.102966841186735</v>
      </c>
      <c r="C114" s="26">
        <f t="shared" si="24"/>
        <v>29.395709177592373</v>
      </c>
      <c r="D114" s="26">
        <f t="shared" si="24"/>
        <v>40.023307436182023</v>
      </c>
      <c r="E114" s="26">
        <f t="shared" si="24"/>
        <v>41.541073384446875</v>
      </c>
      <c r="F114" s="26">
        <f t="shared" si="24"/>
        <v>43.618736383442268</v>
      </c>
      <c r="G114" s="26">
        <f t="shared" si="24"/>
        <v>43.850810810810813</v>
      </c>
      <c r="H114" s="26">
        <f t="shared" si="24"/>
        <v>43.353383458646618</v>
      </c>
      <c r="I114" s="26">
        <f t="shared" si="24"/>
        <v>43.679487179487182</v>
      </c>
      <c r="J114" s="26">
        <f t="shared" si="24"/>
        <v>43.326574172892208</v>
      </c>
      <c r="K114" s="26">
        <f t="shared" si="24"/>
        <v>44.081109925293489</v>
      </c>
      <c r="L114" s="26">
        <f t="shared" si="24"/>
        <v>45.179104477611943</v>
      </c>
      <c r="M114" s="26"/>
      <c r="N114" s="26"/>
      <c r="O114" s="26"/>
      <c r="P114" s="26"/>
      <c r="Q114" s="26"/>
      <c r="R114" s="26"/>
      <c r="S114" s="26"/>
    </row>
    <row r="115" spans="1:19" x14ac:dyDescent="0.2">
      <c r="A115" s="18">
        <f t="shared" si="25"/>
        <v>1986</v>
      </c>
      <c r="B115" s="26">
        <f t="shared" si="24"/>
        <v>19.553264604810998</v>
      </c>
      <c r="C115" s="26">
        <f t="shared" si="24"/>
        <v>31.104287369640787</v>
      </c>
      <c r="D115" s="26">
        <f t="shared" si="24"/>
        <v>39.02905027932961</v>
      </c>
      <c r="E115" s="26">
        <f t="shared" si="24"/>
        <v>41.003253796095443</v>
      </c>
      <c r="F115" s="26">
        <f t="shared" si="24"/>
        <v>44.193790149892934</v>
      </c>
      <c r="G115" s="26">
        <f t="shared" si="24"/>
        <v>47.413938753959876</v>
      </c>
      <c r="H115" s="26">
        <f t="shared" si="24"/>
        <v>48.129066107030432</v>
      </c>
      <c r="I115" s="26">
        <f t="shared" si="24"/>
        <v>47.543455497382197</v>
      </c>
      <c r="J115" s="26">
        <f t="shared" si="24"/>
        <v>47.43410041841004</v>
      </c>
      <c r="K115" s="26">
        <f t="shared" si="24"/>
        <v>46.42573221757322</v>
      </c>
      <c r="L115" s="26"/>
      <c r="M115" s="26"/>
      <c r="N115" s="26"/>
      <c r="O115" s="26"/>
      <c r="P115" s="26"/>
      <c r="Q115" s="26"/>
      <c r="R115" s="26"/>
      <c r="S115" s="26"/>
    </row>
    <row r="116" spans="1:19" x14ac:dyDescent="0.2">
      <c r="A116" s="18">
        <f t="shared" si="25"/>
        <v>1987</v>
      </c>
      <c r="B116" s="26">
        <f t="shared" si="24"/>
        <v>18.763302752293576</v>
      </c>
      <c r="C116" s="26">
        <f t="shared" si="24"/>
        <v>26.811764705882354</v>
      </c>
      <c r="D116" s="26">
        <f t="shared" si="24"/>
        <v>33.269801980198018</v>
      </c>
      <c r="E116" s="26">
        <f t="shared" si="24"/>
        <v>39.135593220338983</v>
      </c>
      <c r="F116" s="26">
        <f t="shared" si="24"/>
        <v>42.072792362768496</v>
      </c>
      <c r="G116" s="26">
        <f t="shared" si="24"/>
        <v>47.883116883116884</v>
      </c>
      <c r="H116" s="26">
        <f t="shared" si="24"/>
        <v>51.353286384976528</v>
      </c>
      <c r="I116" s="26">
        <f t="shared" si="24"/>
        <v>52.235362997658079</v>
      </c>
      <c r="J116" s="26">
        <f t="shared" si="24"/>
        <v>51.751756440281028</v>
      </c>
      <c r="K116" s="26"/>
      <c r="L116" s="26"/>
      <c r="M116" s="26"/>
      <c r="N116" s="26"/>
      <c r="O116" s="26"/>
      <c r="P116" s="26"/>
      <c r="Q116" s="26"/>
      <c r="R116" s="26"/>
      <c r="S116" s="26"/>
    </row>
    <row r="117" spans="1:19" x14ac:dyDescent="0.2">
      <c r="A117" s="18">
        <f t="shared" si="25"/>
        <v>1988</v>
      </c>
      <c r="B117" s="26">
        <f t="shared" si="24"/>
        <v>16.051080550098231</v>
      </c>
      <c r="C117" s="26">
        <f t="shared" si="24"/>
        <v>23.957419354838709</v>
      </c>
      <c r="D117" s="26">
        <f t="shared" si="24"/>
        <v>32.126213592233007</v>
      </c>
      <c r="E117" s="26">
        <f t="shared" si="24"/>
        <v>39.009456264775416</v>
      </c>
      <c r="F117" s="26">
        <f t="shared" si="24"/>
        <v>42.184668989547035</v>
      </c>
      <c r="G117" s="26">
        <f t="shared" si="24"/>
        <v>42.828901734104043</v>
      </c>
      <c r="H117" s="26">
        <f t="shared" si="24"/>
        <v>45.446735395189002</v>
      </c>
      <c r="I117" s="26">
        <f t="shared" si="24"/>
        <v>46.274914089347078</v>
      </c>
      <c r="J117" s="26"/>
      <c r="K117" s="26"/>
      <c r="L117" s="26"/>
      <c r="M117" s="26"/>
      <c r="N117" s="26"/>
      <c r="O117" s="26"/>
      <c r="P117" s="26"/>
      <c r="Q117" s="26"/>
      <c r="R117" s="26"/>
      <c r="S117" s="26"/>
    </row>
    <row r="118" spans="1:19" x14ac:dyDescent="0.2">
      <c r="A118" s="18">
        <f t="shared" si="25"/>
        <v>1989</v>
      </c>
      <c r="B118" s="26">
        <f t="shared" si="24"/>
        <v>17.713073005093378</v>
      </c>
      <c r="C118" s="26">
        <f t="shared" si="24"/>
        <v>24.385481852315394</v>
      </c>
      <c r="D118" s="26">
        <f t="shared" si="24"/>
        <v>38.771739130434781</v>
      </c>
      <c r="E118" s="26">
        <f t="shared" si="24"/>
        <v>46.078106508875742</v>
      </c>
      <c r="F118" s="26">
        <f t="shared" si="24"/>
        <v>53.501750291715283</v>
      </c>
      <c r="G118" s="26">
        <f t="shared" si="24"/>
        <v>52.419279907084785</v>
      </c>
      <c r="H118" s="26">
        <f t="shared" si="24"/>
        <v>52.3</v>
      </c>
      <c r="I118" s="26"/>
      <c r="J118" s="26"/>
      <c r="K118" s="26"/>
      <c r="L118" s="26"/>
      <c r="M118" s="26"/>
      <c r="N118" s="26"/>
      <c r="O118" s="26"/>
      <c r="P118" s="26"/>
      <c r="Q118" s="26"/>
      <c r="R118" s="26"/>
      <c r="S118" s="26"/>
    </row>
    <row r="119" spans="1:19" x14ac:dyDescent="0.2">
      <c r="A119" s="18">
        <f t="shared" si="25"/>
        <v>1990</v>
      </c>
      <c r="B119" s="26">
        <f t="shared" si="24"/>
        <v>17.129432624113477</v>
      </c>
      <c r="C119" s="26">
        <f t="shared" si="24"/>
        <v>31.326315789473686</v>
      </c>
      <c r="D119" s="26">
        <f t="shared" si="24"/>
        <v>42.102171136653894</v>
      </c>
      <c r="E119" s="26">
        <f t="shared" si="24"/>
        <v>53.97106918238994</v>
      </c>
      <c r="F119" s="26">
        <f t="shared" si="24"/>
        <v>58.370646766169152</v>
      </c>
      <c r="G119" s="26">
        <f t="shared" si="24"/>
        <v>60.939431396786155</v>
      </c>
      <c r="H119" s="26"/>
      <c r="I119" s="26"/>
      <c r="J119" s="26"/>
      <c r="K119" s="26"/>
      <c r="L119" s="26"/>
      <c r="M119" s="26"/>
      <c r="N119" s="26"/>
      <c r="O119" s="26"/>
      <c r="P119" s="26"/>
      <c r="Q119" s="26"/>
      <c r="R119" s="26"/>
      <c r="S119" s="26"/>
    </row>
    <row r="120" spans="1:19" x14ac:dyDescent="0.2">
      <c r="A120" s="18">
        <f t="shared" si="25"/>
        <v>1991</v>
      </c>
      <c r="B120" s="26">
        <f>C44/B97</f>
        <v>23.517298187808898</v>
      </c>
      <c r="C120" s="26">
        <f>D44/C97</f>
        <v>31.544444444444444</v>
      </c>
      <c r="D120" s="26">
        <f>E44/D97</f>
        <v>40.231227651966627</v>
      </c>
      <c r="E120" s="26">
        <f>F44/E97</f>
        <v>45.606132075471699</v>
      </c>
      <c r="F120" s="26">
        <f>G44/F97</f>
        <v>48.107602339181284</v>
      </c>
      <c r="G120" s="26"/>
      <c r="H120" s="26"/>
      <c r="I120" s="26"/>
      <c r="J120" s="26"/>
      <c r="K120" s="26"/>
      <c r="L120" s="26"/>
      <c r="M120" s="26"/>
      <c r="N120" s="26"/>
      <c r="O120" s="26"/>
      <c r="P120" s="26"/>
      <c r="Q120" s="26"/>
      <c r="R120" s="26"/>
      <c r="S120" s="26"/>
    </row>
    <row r="121" spans="1:19" x14ac:dyDescent="0.2">
      <c r="A121" s="18">
        <f t="shared" si="25"/>
        <v>1992</v>
      </c>
      <c r="B121" s="26">
        <f>C45/B98</f>
        <v>19.651335311572701</v>
      </c>
      <c r="C121" s="26">
        <f>D45/C98</f>
        <v>34.645314353499408</v>
      </c>
      <c r="D121" s="26">
        <f>E45/D98</f>
        <v>42.858632676709156</v>
      </c>
      <c r="E121" s="26">
        <f>F45/E98</f>
        <v>50.371428571428574</v>
      </c>
      <c r="F121" s="26"/>
      <c r="G121" s="26"/>
      <c r="H121" s="26"/>
      <c r="I121" s="26"/>
      <c r="J121" s="26"/>
      <c r="K121" s="26"/>
      <c r="L121" s="26"/>
      <c r="M121" s="26"/>
      <c r="N121" s="26"/>
      <c r="O121" s="26"/>
      <c r="P121" s="26"/>
      <c r="Q121" s="26"/>
      <c r="R121" s="26"/>
      <c r="S121" s="26"/>
    </row>
    <row r="122" spans="1:19" x14ac:dyDescent="0.2">
      <c r="A122" s="18">
        <f t="shared" si="25"/>
        <v>1993</v>
      </c>
      <c r="B122" s="26">
        <f>C46/B99</f>
        <v>23.765751211631663</v>
      </c>
      <c r="C122" s="26">
        <f>D46/C99</f>
        <v>33.475896168108775</v>
      </c>
      <c r="D122" s="26">
        <f>E46/D99</f>
        <v>40.27058823529412</v>
      </c>
      <c r="E122" s="26"/>
      <c r="F122" s="26"/>
      <c r="G122" s="26"/>
      <c r="H122" s="26"/>
      <c r="I122" s="26"/>
      <c r="J122" s="26"/>
      <c r="K122" s="26"/>
      <c r="L122" s="26"/>
      <c r="M122" s="26"/>
      <c r="N122" s="26"/>
      <c r="O122" s="26"/>
      <c r="P122" s="26"/>
      <c r="Q122" s="26"/>
      <c r="R122" s="26"/>
      <c r="S122" s="26"/>
    </row>
    <row r="123" spans="1:19" x14ac:dyDescent="0.2">
      <c r="A123" s="18">
        <f t="shared" si="25"/>
        <v>1994</v>
      </c>
      <c r="B123" s="26">
        <f>C47/B100</f>
        <v>18.903030303030302</v>
      </c>
      <c r="C123" s="26">
        <f>D47/C100</f>
        <v>28.168087697929355</v>
      </c>
      <c r="D123" s="26"/>
      <c r="E123" s="26"/>
      <c r="F123" s="26"/>
      <c r="G123" s="26"/>
      <c r="H123" s="26"/>
      <c r="I123" s="26"/>
      <c r="J123" s="26"/>
      <c r="K123" s="26"/>
      <c r="L123" s="26"/>
      <c r="M123" s="26"/>
      <c r="N123" s="26"/>
      <c r="O123" s="26"/>
      <c r="P123" s="26"/>
      <c r="Q123" s="26"/>
      <c r="R123" s="26"/>
      <c r="S123" s="26"/>
    </row>
    <row r="124" spans="1:19" x14ac:dyDescent="0.2">
      <c r="A124" s="18">
        <f t="shared" si="25"/>
        <v>1995</v>
      </c>
      <c r="B124" s="26">
        <f>C48/B101</f>
        <v>14.719696969696969</v>
      </c>
      <c r="C124" s="26"/>
      <c r="D124" s="26"/>
      <c r="E124" s="26"/>
      <c r="F124" s="26"/>
      <c r="G124" s="26"/>
      <c r="H124" s="26"/>
      <c r="I124" s="26"/>
      <c r="J124" s="26"/>
      <c r="K124" s="26"/>
      <c r="L124" s="26"/>
      <c r="M124" s="26"/>
      <c r="N124" s="26"/>
      <c r="O124" s="26"/>
      <c r="P124" s="26"/>
      <c r="Q124" s="26"/>
      <c r="R124" s="26"/>
      <c r="S124" s="26"/>
    </row>
    <row r="129" spans="1:18" x14ac:dyDescent="0.2">
      <c r="A129" s="16" t="s">
        <v>228</v>
      </c>
      <c r="C129" s="18"/>
      <c r="D129" s="18"/>
      <c r="E129" s="18"/>
      <c r="F129" s="18"/>
      <c r="G129" s="18"/>
      <c r="H129" s="18"/>
      <c r="I129" s="18"/>
      <c r="J129" s="18"/>
      <c r="K129" s="18"/>
      <c r="L129" s="18"/>
      <c r="M129" s="18"/>
      <c r="N129" s="18"/>
      <c r="O129" s="18"/>
      <c r="P129" s="18"/>
      <c r="Q129" s="18"/>
      <c r="R129" s="18"/>
    </row>
    <row r="131" spans="1:18" x14ac:dyDescent="0.2">
      <c r="A131" s="25" t="s">
        <v>211</v>
      </c>
      <c r="B131" s="36" t="s">
        <v>229</v>
      </c>
      <c r="C131" s="18"/>
      <c r="D131" s="18"/>
      <c r="E131" s="18"/>
      <c r="F131" s="18"/>
      <c r="G131" s="18"/>
      <c r="H131" s="18"/>
      <c r="I131" s="18"/>
      <c r="J131" s="18"/>
      <c r="K131" s="18"/>
      <c r="L131" s="18"/>
      <c r="M131" s="18"/>
      <c r="N131" s="18"/>
      <c r="O131" s="18"/>
      <c r="P131" s="18"/>
      <c r="Q131" s="18"/>
      <c r="R131" s="18"/>
    </row>
    <row r="132" spans="1:18" x14ac:dyDescent="0.2">
      <c r="A132" s="37" t="s">
        <v>213</v>
      </c>
      <c r="B132" s="38" t="s">
        <v>230</v>
      </c>
      <c r="C132" s="39"/>
      <c r="D132" s="39"/>
      <c r="E132" s="39"/>
      <c r="F132" s="39"/>
      <c r="G132" s="39"/>
      <c r="H132" s="39"/>
      <c r="I132" s="39"/>
      <c r="J132" s="39"/>
      <c r="K132" s="39"/>
      <c r="L132" s="39"/>
      <c r="M132" s="39"/>
      <c r="N132" s="39"/>
      <c r="O132" s="39"/>
      <c r="P132" s="39"/>
      <c r="Q132" s="39"/>
      <c r="R132" s="39"/>
    </row>
    <row r="133" spans="1:18" x14ac:dyDescent="0.2">
      <c r="B133" s="39">
        <v>0</v>
      </c>
      <c r="C133" s="39">
        <f t="shared" ref="C133:R133" si="26">B133+1</f>
        <v>1</v>
      </c>
      <c r="D133" s="39">
        <f t="shared" si="26"/>
        <v>2</v>
      </c>
      <c r="E133" s="39">
        <f t="shared" si="26"/>
        <v>3</v>
      </c>
      <c r="F133" s="39">
        <f t="shared" si="26"/>
        <v>4</v>
      </c>
      <c r="G133" s="39">
        <f t="shared" si="26"/>
        <v>5</v>
      </c>
      <c r="H133" s="39">
        <f t="shared" si="26"/>
        <v>6</v>
      </c>
      <c r="I133" s="39">
        <f t="shared" si="26"/>
        <v>7</v>
      </c>
      <c r="J133" s="39">
        <f t="shared" si="26"/>
        <v>8</v>
      </c>
      <c r="K133" s="39">
        <f t="shared" si="26"/>
        <v>9</v>
      </c>
      <c r="L133" s="39">
        <f t="shared" si="26"/>
        <v>10</v>
      </c>
      <c r="M133" s="39">
        <f t="shared" si="26"/>
        <v>11</v>
      </c>
      <c r="N133" s="39">
        <f t="shared" si="26"/>
        <v>12</v>
      </c>
      <c r="O133" s="39">
        <f t="shared" si="26"/>
        <v>13</v>
      </c>
      <c r="P133" s="39">
        <f t="shared" si="26"/>
        <v>14</v>
      </c>
      <c r="Q133" s="39">
        <f t="shared" si="26"/>
        <v>15</v>
      </c>
      <c r="R133" s="39">
        <f t="shared" si="26"/>
        <v>16</v>
      </c>
    </row>
    <row r="135" spans="1:18" x14ac:dyDescent="0.2">
      <c r="A135" s="18">
        <f>A107</f>
        <v>1978</v>
      </c>
      <c r="B135" s="40">
        <f t="shared" ref="B135:R146" si="27">C107/B107</f>
        <v>1.2972452966832226</v>
      </c>
      <c r="C135" s="40">
        <f t="shared" si="27"/>
        <v>1.0523635307364541</v>
      </c>
      <c r="D135" s="40">
        <f t="shared" si="27"/>
        <v>1.0941458775562549</v>
      </c>
      <c r="E135" s="40">
        <f t="shared" si="27"/>
        <v>1.0076647039369002</v>
      </c>
      <c r="F135" s="40">
        <f t="shared" si="27"/>
        <v>1.1469847801214148</v>
      </c>
      <c r="G135" s="40">
        <f t="shared" si="27"/>
        <v>0.98842697326649531</v>
      </c>
      <c r="H135" s="40">
        <f t="shared" si="27"/>
        <v>0.9988184093625273</v>
      </c>
      <c r="I135" s="40">
        <f t="shared" si="27"/>
        <v>0.97215857011915674</v>
      </c>
      <c r="J135" s="40">
        <f t="shared" si="27"/>
        <v>1.0111962286387743</v>
      </c>
      <c r="K135" s="40">
        <f t="shared" si="27"/>
        <v>0.99723853160841702</v>
      </c>
      <c r="L135" s="40">
        <f t="shared" si="27"/>
        <v>0.98969181757383606</v>
      </c>
      <c r="M135" s="40">
        <f t="shared" si="27"/>
        <v>1.0003143171460003</v>
      </c>
      <c r="N135" s="40">
        <f t="shared" si="27"/>
        <v>0.99850746268656732</v>
      </c>
      <c r="O135" s="40">
        <f t="shared" si="27"/>
        <v>0.9985839037054518</v>
      </c>
      <c r="P135" s="40">
        <f t="shared" si="27"/>
        <v>1.0052784999606081</v>
      </c>
      <c r="Q135" s="40">
        <f t="shared" si="27"/>
        <v>1.0049373040752352</v>
      </c>
      <c r="R135" s="40">
        <f t="shared" si="27"/>
        <v>0.99309833892224908</v>
      </c>
    </row>
    <row r="136" spans="1:18" x14ac:dyDescent="0.2">
      <c r="A136" s="18">
        <f t="shared" ref="A136:A151" si="28">A108</f>
        <v>1979</v>
      </c>
      <c r="B136" s="40">
        <f t="shared" si="27"/>
        <v>1.1827459367682898</v>
      </c>
      <c r="C136" s="40">
        <f t="shared" si="27"/>
        <v>1.0139382146497482</v>
      </c>
      <c r="D136" s="40">
        <f t="shared" si="27"/>
        <v>1.073191262138391</v>
      </c>
      <c r="E136" s="40">
        <f t="shared" si="27"/>
        <v>1.0996625120518106</v>
      </c>
      <c r="F136" s="40">
        <f t="shared" si="27"/>
        <v>1.0406867794276382</v>
      </c>
      <c r="G136" s="40">
        <f t="shared" si="27"/>
        <v>1.0699196260113026</v>
      </c>
      <c r="H136" s="40">
        <f t="shared" si="27"/>
        <v>0.9622723501353575</v>
      </c>
      <c r="I136" s="40">
        <f t="shared" si="27"/>
        <v>0.96112585223249947</v>
      </c>
      <c r="J136" s="40">
        <f t="shared" si="27"/>
        <v>0.99017039648989225</v>
      </c>
      <c r="K136" s="40">
        <f t="shared" si="27"/>
        <v>0.97426195814648731</v>
      </c>
      <c r="L136" s="40">
        <f t="shared" si="27"/>
        <v>1.01440872086205</v>
      </c>
      <c r="M136" s="40">
        <f t="shared" si="27"/>
        <v>0.96782119737277317</v>
      </c>
      <c r="N136" s="40">
        <f t="shared" si="27"/>
        <v>0.97505126452494872</v>
      </c>
      <c r="O136" s="40">
        <f t="shared" si="27"/>
        <v>0.99934905613139047</v>
      </c>
      <c r="P136" s="40">
        <f t="shared" si="27"/>
        <v>0.99944884256939592</v>
      </c>
      <c r="Q136" s="40">
        <f t="shared" si="27"/>
        <v>1.00220584549055</v>
      </c>
      <c r="R136" s="40"/>
    </row>
    <row r="137" spans="1:18" x14ac:dyDescent="0.2">
      <c r="A137" s="18">
        <f t="shared" si="28"/>
        <v>1980</v>
      </c>
      <c r="B137" s="40">
        <f t="shared" si="27"/>
        <v>1.1836118187797957</v>
      </c>
      <c r="C137" s="40">
        <f t="shared" si="27"/>
        <v>1.0656552000741795</v>
      </c>
      <c r="D137" s="40">
        <f t="shared" si="27"/>
        <v>1.3025733284751322</v>
      </c>
      <c r="E137" s="40">
        <f t="shared" si="27"/>
        <v>0.98669264074923901</v>
      </c>
      <c r="F137" s="40">
        <f t="shared" si="27"/>
        <v>1.0170254440200508</v>
      </c>
      <c r="G137" s="40">
        <f t="shared" si="27"/>
        <v>0.98145357169491476</v>
      </c>
      <c r="H137" s="40">
        <f t="shared" si="27"/>
        <v>0.99874400792228968</v>
      </c>
      <c r="I137" s="40">
        <f t="shared" si="27"/>
        <v>0.99468006936484132</v>
      </c>
      <c r="J137" s="40">
        <f t="shared" si="27"/>
        <v>1.0026889663731458</v>
      </c>
      <c r="K137" s="40">
        <f t="shared" si="27"/>
        <v>0.98803248431071622</v>
      </c>
      <c r="L137" s="40">
        <f t="shared" si="27"/>
        <v>0.94944297421309387</v>
      </c>
      <c r="M137" s="40">
        <f t="shared" si="27"/>
        <v>1.010100059596625</v>
      </c>
      <c r="N137" s="40">
        <f t="shared" si="27"/>
        <v>1.004409527062696</v>
      </c>
      <c r="O137" s="40">
        <f t="shared" si="27"/>
        <v>0.9970629154428815</v>
      </c>
      <c r="P137" s="40">
        <f t="shared" si="27"/>
        <v>0.99745736434108534</v>
      </c>
      <c r="Q137" s="40"/>
      <c r="R137" s="40"/>
    </row>
    <row r="138" spans="1:18" x14ac:dyDescent="0.2">
      <c r="A138" s="18">
        <f t="shared" si="28"/>
        <v>1981</v>
      </c>
      <c r="B138" s="40">
        <f t="shared" si="27"/>
        <v>1.1776934696723218</v>
      </c>
      <c r="C138" s="40">
        <f t="shared" si="27"/>
        <v>1.3462551142242838</v>
      </c>
      <c r="D138" s="40">
        <f t="shared" si="27"/>
        <v>1.0357435044829109</v>
      </c>
      <c r="E138" s="40">
        <f t="shared" si="27"/>
        <v>0.98933526153619289</v>
      </c>
      <c r="F138" s="40">
        <f t="shared" si="27"/>
        <v>0.9925454999747414</v>
      </c>
      <c r="G138" s="40">
        <f t="shared" si="27"/>
        <v>0.98931038602174082</v>
      </c>
      <c r="H138" s="40">
        <f t="shared" si="27"/>
        <v>0.99686579474490389</v>
      </c>
      <c r="I138" s="40">
        <f t="shared" si="27"/>
        <v>0.99403660723227705</v>
      </c>
      <c r="J138" s="40">
        <f t="shared" si="27"/>
        <v>0.98838341845824906</v>
      </c>
      <c r="K138" s="40">
        <f t="shared" si="27"/>
        <v>0.97197519588520898</v>
      </c>
      <c r="L138" s="40">
        <f t="shared" si="27"/>
        <v>0.99957804677399931</v>
      </c>
      <c r="M138" s="40">
        <f t="shared" si="27"/>
        <v>0.99737831420656908</v>
      </c>
      <c r="N138" s="40">
        <f t="shared" si="27"/>
        <v>1.0002727768685216</v>
      </c>
      <c r="O138" s="40">
        <f t="shared" si="27"/>
        <v>0.99402533653965353</v>
      </c>
    </row>
    <row r="139" spans="1:18" x14ac:dyDescent="0.2">
      <c r="A139" s="18">
        <f t="shared" si="28"/>
        <v>1982</v>
      </c>
      <c r="B139" s="40">
        <f t="shared" si="27"/>
        <v>2.1399268834051441</v>
      </c>
      <c r="C139" s="40">
        <f t="shared" si="27"/>
        <v>1.2338509418724515</v>
      </c>
      <c r="D139" s="40">
        <f t="shared" si="27"/>
        <v>0.93330511409358918</v>
      </c>
      <c r="E139" s="40">
        <f t="shared" si="27"/>
        <v>1.0141948094460147</v>
      </c>
      <c r="F139" s="40">
        <f t="shared" si="27"/>
        <v>1.0010494282044542</v>
      </c>
      <c r="G139" s="40">
        <f t="shared" si="27"/>
        <v>1.0122397792826687</v>
      </c>
      <c r="H139" s="40">
        <f t="shared" si="27"/>
        <v>0.99880718021138104</v>
      </c>
      <c r="I139" s="40">
        <f t="shared" si="27"/>
        <v>0.99407756164044103</v>
      </c>
      <c r="J139" s="40">
        <f t="shared" si="27"/>
        <v>0.99431648220161539</v>
      </c>
      <c r="K139" s="40">
        <f t="shared" si="27"/>
        <v>1.0002507019655036</v>
      </c>
      <c r="L139" s="40">
        <f t="shared" si="27"/>
        <v>1.005997521055165</v>
      </c>
      <c r="M139" s="40">
        <f t="shared" si="27"/>
        <v>0.99202929235061144</v>
      </c>
      <c r="N139" s="40">
        <f t="shared" si="27"/>
        <v>1.0093655058126398</v>
      </c>
      <c r="O139" s="40"/>
    </row>
    <row r="140" spans="1:18" x14ac:dyDescent="0.2">
      <c r="A140" s="18">
        <f t="shared" si="28"/>
        <v>1983</v>
      </c>
      <c r="B140" s="40">
        <f t="shared" si="27"/>
        <v>1.5419842895733364</v>
      </c>
      <c r="C140" s="40">
        <f t="shared" si="27"/>
        <v>1.0437674278821563</v>
      </c>
      <c r="D140" s="40">
        <f t="shared" si="27"/>
        <v>0.99085294346889352</v>
      </c>
      <c r="E140" s="40">
        <f t="shared" si="27"/>
        <v>1.0684561019805763</v>
      </c>
      <c r="F140" s="40">
        <f t="shared" si="27"/>
        <v>1.0155641899478538</v>
      </c>
      <c r="G140" s="40">
        <f t="shared" si="27"/>
        <v>0.99091988326305591</v>
      </c>
      <c r="H140" s="40">
        <f t="shared" si="27"/>
        <v>1.0110093969549367</v>
      </c>
      <c r="I140" s="40">
        <f t="shared" si="27"/>
        <v>0.95145606610237787</v>
      </c>
      <c r="J140" s="40">
        <f t="shared" si="27"/>
        <v>1.0033095925229687</v>
      </c>
      <c r="K140" s="40">
        <f t="shared" si="27"/>
        <v>0.98614556394152098</v>
      </c>
      <c r="L140" s="40">
        <f t="shared" si="27"/>
        <v>0.9991252485842631</v>
      </c>
      <c r="M140" s="40">
        <f t="shared" si="27"/>
        <v>0.99277011648145674</v>
      </c>
    </row>
    <row r="141" spans="1:18" x14ac:dyDescent="0.2">
      <c r="A141" s="18">
        <f t="shared" si="28"/>
        <v>1984</v>
      </c>
      <c r="B141" s="40">
        <f t="shared" si="27"/>
        <v>1.2186846625766872</v>
      </c>
      <c r="C141" s="40">
        <f t="shared" si="27"/>
        <v>1.1751985706385173</v>
      </c>
      <c r="D141" s="40">
        <f t="shared" si="27"/>
        <v>1.0694609697618274</v>
      </c>
      <c r="E141" s="40">
        <f t="shared" si="27"/>
        <v>1.039211755878938</v>
      </c>
      <c r="F141" s="40">
        <f t="shared" si="27"/>
        <v>1.089118018997048</v>
      </c>
      <c r="G141" s="40">
        <f t="shared" si="27"/>
        <v>1.0022830807189236</v>
      </c>
      <c r="H141" s="40">
        <f t="shared" si="27"/>
        <v>0.98059092077046639</v>
      </c>
      <c r="I141" s="40">
        <f t="shared" si="27"/>
        <v>1.0149061285091918</v>
      </c>
      <c r="J141" s="40">
        <f t="shared" si="27"/>
        <v>0.981077959576516</v>
      </c>
      <c r="K141" s="40">
        <f t="shared" si="27"/>
        <v>1.0096925461573174</v>
      </c>
      <c r="L141" s="40">
        <f t="shared" si="27"/>
        <v>0.99822955303234651</v>
      </c>
    </row>
    <row r="142" spans="1:18" x14ac:dyDescent="0.2">
      <c r="A142" s="18">
        <f t="shared" si="28"/>
        <v>1985</v>
      </c>
      <c r="B142" s="40">
        <f t="shared" si="27"/>
        <v>1.7187491182408603</v>
      </c>
      <c r="C142" s="40">
        <f t="shared" si="27"/>
        <v>1.3615356987777933</v>
      </c>
      <c r="D142" s="40">
        <f t="shared" si="27"/>
        <v>1.0379220520614134</v>
      </c>
      <c r="E142" s="40">
        <f t="shared" si="27"/>
        <v>1.0500146681277926</v>
      </c>
      <c r="F142" s="40">
        <f t="shared" si="27"/>
        <v>1.0053205215604697</v>
      </c>
      <c r="G142" s="40">
        <f t="shared" si="27"/>
        <v>0.98865637047601496</v>
      </c>
      <c r="H142" s="40">
        <f t="shared" si="27"/>
        <v>1.0075219900922294</v>
      </c>
      <c r="I142" s="40">
        <f t="shared" si="27"/>
        <v>0.99192039491799</v>
      </c>
      <c r="J142" s="40">
        <f t="shared" si="27"/>
        <v>1.0174150799320147</v>
      </c>
      <c r="K142" s="40">
        <f t="shared" si="27"/>
        <v>1.0249085051211115</v>
      </c>
      <c r="L142" s="41"/>
    </row>
    <row r="143" spans="1:18" x14ac:dyDescent="0.2">
      <c r="A143" s="18">
        <f t="shared" si="28"/>
        <v>1986</v>
      </c>
      <c r="B143" s="40">
        <f t="shared" si="27"/>
        <v>1.5907465069535094</v>
      </c>
      <c r="C143" s="40">
        <f t="shared" si="27"/>
        <v>1.2547804042417559</v>
      </c>
      <c r="D143" s="40">
        <f t="shared" si="27"/>
        <v>1.0505829248376921</v>
      </c>
      <c r="E143" s="40">
        <f t="shared" si="27"/>
        <v>1.0778117846369868</v>
      </c>
      <c r="F143" s="40">
        <f t="shared" si="27"/>
        <v>1.0728642778350783</v>
      </c>
      <c r="G143" s="40">
        <f t="shared" si="27"/>
        <v>1.0150826396596471</v>
      </c>
      <c r="H143" s="40">
        <f t="shared" si="27"/>
        <v>0.98783249589040556</v>
      </c>
      <c r="I143" s="40">
        <f t="shared" si="27"/>
        <v>0.99769989207077769</v>
      </c>
      <c r="J143" s="40">
        <f t="shared" si="27"/>
        <v>0.97874170286898798</v>
      </c>
      <c r="K143" s="41"/>
      <c r="L143" s="41"/>
    </row>
    <row r="144" spans="1:18" x14ac:dyDescent="0.2">
      <c r="A144" s="18">
        <f t="shared" si="28"/>
        <v>1987</v>
      </c>
      <c r="B144" s="40">
        <f t="shared" si="27"/>
        <v>1.4289469748392221</v>
      </c>
      <c r="C144" s="40">
        <f t="shared" si="27"/>
        <v>1.2408658044391538</v>
      </c>
      <c r="D144" s="40">
        <f t="shared" si="27"/>
        <v>1.1763097731580203</v>
      </c>
      <c r="E144" s="40">
        <f t="shared" si="27"/>
        <v>1.0750518620196368</v>
      </c>
      <c r="F144" s="40">
        <f t="shared" si="27"/>
        <v>1.1381017088252532</v>
      </c>
      <c r="G144" s="40">
        <f t="shared" si="27"/>
        <v>1.072471671180687</v>
      </c>
      <c r="H144" s="40">
        <f t="shared" si="27"/>
        <v>1.0171766341509081</v>
      </c>
      <c r="I144" s="40">
        <f t="shared" si="27"/>
        <v>0.99074177856486356</v>
      </c>
      <c r="J144" s="41"/>
      <c r="K144" s="41"/>
      <c r="L144" s="41"/>
    </row>
    <row r="145" spans="1:18" x14ac:dyDescent="0.2">
      <c r="A145" s="18">
        <f t="shared" si="28"/>
        <v>1988</v>
      </c>
      <c r="B145" s="40">
        <f t="shared" si="27"/>
        <v>1.4925736170884827</v>
      </c>
      <c r="C145" s="40">
        <f t="shared" si="27"/>
        <v>1.3409713757731772</v>
      </c>
      <c r="D145" s="40">
        <f t="shared" si="27"/>
        <v>1.2142562693477994</v>
      </c>
      <c r="E145" s="40">
        <f t="shared" si="27"/>
        <v>1.0813959749456636</v>
      </c>
      <c r="F145" s="40">
        <f t="shared" si="27"/>
        <v>1.0152717269090494</v>
      </c>
      <c r="G145" s="40">
        <f t="shared" si="27"/>
        <v>1.0611230630506785</v>
      </c>
      <c r="H145" s="40">
        <f t="shared" si="27"/>
        <v>1.0182230623818527</v>
      </c>
      <c r="I145" s="41"/>
      <c r="J145" s="41"/>
      <c r="K145" s="41"/>
      <c r="L145" s="41"/>
    </row>
    <row r="146" spans="1:18" x14ac:dyDescent="0.2">
      <c r="A146" s="18">
        <f t="shared" si="28"/>
        <v>1989</v>
      </c>
      <c r="B146" s="40">
        <f t="shared" si="27"/>
        <v>1.3766940296188792</v>
      </c>
      <c r="C146" s="40">
        <f t="shared" si="27"/>
        <v>1.5899517329715351</v>
      </c>
      <c r="D146" s="40">
        <f t="shared" si="27"/>
        <v>1.1884456963320909</v>
      </c>
      <c r="E146" s="40">
        <f t="shared" si="27"/>
        <v>1.1611100009374207</v>
      </c>
      <c r="F146" s="40">
        <f t="shared" si="27"/>
        <v>0.97976757061725295</v>
      </c>
      <c r="G146" s="40">
        <f t="shared" si="27"/>
        <v>0.99772450313517824</v>
      </c>
      <c r="H146" s="41"/>
      <c r="I146" s="41"/>
      <c r="J146" s="41"/>
      <c r="K146" s="41"/>
      <c r="L146" s="41"/>
    </row>
    <row r="147" spans="1:18" x14ac:dyDescent="0.2">
      <c r="A147" s="18">
        <f t="shared" si="28"/>
        <v>1990</v>
      </c>
      <c r="B147" s="40">
        <f>C119/B119</f>
        <v>1.8288005491422374</v>
      </c>
      <c r="C147" s="40">
        <f>D119/C119</f>
        <v>1.3439873178703359</v>
      </c>
      <c r="D147" s="40">
        <f>E119/D119</f>
        <v>1.2819070305712348</v>
      </c>
      <c r="E147" s="40">
        <f>F119/E119</f>
        <v>1.0815173323491383</v>
      </c>
      <c r="F147" s="40">
        <f>G119/F119</f>
        <v>1.044008157745921</v>
      </c>
      <c r="G147" s="41"/>
      <c r="H147" s="41"/>
      <c r="I147" s="41"/>
      <c r="J147" s="41"/>
      <c r="K147" s="41"/>
      <c r="L147" s="41"/>
    </row>
    <row r="148" spans="1:18" x14ac:dyDescent="0.2">
      <c r="A148" s="18">
        <f t="shared" si="28"/>
        <v>1991</v>
      </c>
      <c r="B148" s="40">
        <f>C120/B120</f>
        <v>1.3413294415255885</v>
      </c>
      <c r="C148" s="40">
        <f>D120/C120</f>
        <v>1.2753823489527991</v>
      </c>
      <c r="D148" s="40">
        <f>E120/D120</f>
        <v>1.1336003084470212</v>
      </c>
      <c r="E148" s="40">
        <f>F120/E120</f>
        <v>1.0548494281332608</v>
      </c>
      <c r="F148" s="41"/>
      <c r="G148" s="41"/>
      <c r="H148" s="41"/>
      <c r="I148" s="41"/>
      <c r="J148" s="41"/>
      <c r="K148" s="41"/>
      <c r="L148" s="41"/>
    </row>
    <row r="149" spans="1:18" x14ac:dyDescent="0.2">
      <c r="A149" s="18">
        <f t="shared" si="28"/>
        <v>1992</v>
      </c>
      <c r="B149" s="40">
        <f>C121/B121</f>
        <v>1.7630005190078217</v>
      </c>
      <c r="C149" s="40">
        <f>D121/C121</f>
        <v>1.2370686621401705</v>
      </c>
      <c r="D149" s="40">
        <f>E121/D121</f>
        <v>1.175292477279662</v>
      </c>
      <c r="E149" s="41"/>
      <c r="F149" s="41"/>
      <c r="G149" s="41"/>
      <c r="H149" s="41"/>
      <c r="I149" s="41"/>
      <c r="J149" s="41"/>
      <c r="K149" s="41"/>
      <c r="L149" s="41"/>
    </row>
    <row r="150" spans="1:18" x14ac:dyDescent="0.2">
      <c r="A150" s="18">
        <f t="shared" si="28"/>
        <v>1993</v>
      </c>
      <c r="B150" s="40">
        <f>C122/B122</f>
        <v>1.4085772366296876</v>
      </c>
      <c r="C150" s="40">
        <f>D122/C122</f>
        <v>1.2029726712337694</v>
      </c>
      <c r="D150" s="41"/>
      <c r="E150" s="41"/>
      <c r="F150" s="41"/>
      <c r="G150" s="41"/>
      <c r="H150" s="41"/>
      <c r="I150" s="41"/>
      <c r="J150" s="41"/>
      <c r="K150" s="41"/>
      <c r="L150" s="41"/>
    </row>
    <row r="151" spans="1:18" x14ac:dyDescent="0.2">
      <c r="A151" s="18">
        <f t="shared" si="28"/>
        <v>1994</v>
      </c>
      <c r="B151" s="40">
        <f>C123/B123</f>
        <v>1.4901360917468238</v>
      </c>
      <c r="C151" s="40"/>
      <c r="D151" s="41"/>
      <c r="E151" s="41"/>
      <c r="F151" s="41"/>
      <c r="G151" s="41"/>
      <c r="H151" s="41"/>
      <c r="I151" s="41"/>
      <c r="J151" s="41"/>
      <c r="K151" s="41"/>
      <c r="L151" s="41"/>
    </row>
    <row r="152" spans="1:18" x14ac:dyDescent="0.2">
      <c r="A152" s="18"/>
      <c r="B152" s="40"/>
      <c r="C152" s="40"/>
      <c r="D152" s="41"/>
      <c r="E152" s="41"/>
      <c r="F152" s="41"/>
      <c r="G152" s="41"/>
      <c r="H152" s="41"/>
      <c r="I152" s="41"/>
      <c r="J152" s="41"/>
      <c r="K152" s="41"/>
      <c r="L152" s="41"/>
    </row>
    <row r="153" spans="1:18" x14ac:dyDescent="0.2">
      <c r="A153" s="18"/>
    </row>
    <row r="154" spans="1:18" x14ac:dyDescent="0.2">
      <c r="A154" s="25" t="s">
        <v>231</v>
      </c>
    </row>
    <row r="155" spans="1:18" x14ac:dyDescent="0.2">
      <c r="A155" s="25" t="s">
        <v>232</v>
      </c>
    </row>
    <row r="157" spans="1:18" x14ac:dyDescent="0.2">
      <c r="A157" s="25" t="s">
        <v>233</v>
      </c>
      <c r="B157" s="42">
        <f>SUM(C107:C123)/SUM(B107:B123)</f>
        <v>1.4447805439319004</v>
      </c>
      <c r="C157" s="42">
        <f>SUM(D107:D122)/SUM(C107:C122)</f>
        <v>1.2269209940824739</v>
      </c>
      <c r="D157" s="42">
        <f>SUM(E107:E121)/SUM(D107:D121)</f>
        <v>1.1121878023475176</v>
      </c>
      <c r="E157" s="42">
        <f>SUM(F107:F120)/SUM(E107:E120)</f>
        <v>1.055615508797596</v>
      </c>
      <c r="F157" s="42">
        <f>SUM(G107:G119)/SUM(F107:F119)</f>
        <v>1.0409725771051459</v>
      </c>
      <c r="G157" s="42">
        <f>SUM(H107:H118)/SUM(G107:G118)</f>
        <v>1.0132949465652819</v>
      </c>
      <c r="H157" s="42">
        <f>SUM(I107:I117)/SUM(H107:H117)</f>
        <v>0.99814695873874826</v>
      </c>
      <c r="I157" s="42">
        <f>SUM(J107:J116)/SUM(I107:I116)</f>
        <v>0.98758742550329859</v>
      </c>
      <c r="J157" s="42">
        <f>SUM(K107:K115)/SUM(J107:J115)</f>
        <v>0.99574179469430579</v>
      </c>
      <c r="K157" s="42">
        <f>SUM(L107:L114)/SUM(K107:K114)</f>
        <v>0.99493575698910364</v>
      </c>
      <c r="L157" s="42">
        <f>SUM(M107:M113)/SUM(L107:L113)</f>
        <v>0.99338577183994992</v>
      </c>
      <c r="M157" s="42">
        <f>SUM(N107:N112)/SUM(M107:M112)</f>
        <v>0.99398706489949296</v>
      </c>
      <c r="N157" s="42">
        <f>SUM(O107:O111)/SUM(N107:N111)</f>
        <v>0.99847205386000215</v>
      </c>
      <c r="O157" s="42">
        <f>SUM(P107:P110)/SUM(O107:O110)</f>
        <v>0.99711692297267418</v>
      </c>
      <c r="P157" s="42">
        <f>SUM(Q107:Q109)/SUM(P107:P109)</f>
        <v>1.0008183771918733</v>
      </c>
      <c r="Q157" s="42">
        <f>SUM(R107:R108)/SUM(Q107:Q108)</f>
        <v>1.0037177029473385</v>
      </c>
      <c r="R157" s="42">
        <f>SUM(S107)/SUM(R107)</f>
        <v>0.99309833892224908</v>
      </c>
    </row>
    <row r="158" spans="1:18" x14ac:dyDescent="0.2">
      <c r="A158" s="18"/>
      <c r="B158" s="40"/>
    </row>
    <row r="159" spans="1:18" x14ac:dyDescent="0.2">
      <c r="A159" s="25" t="s">
        <v>234</v>
      </c>
    </row>
    <row r="160" spans="1:18" x14ac:dyDescent="0.2">
      <c r="A160" s="25" t="s">
        <v>235</v>
      </c>
      <c r="B160" s="43">
        <f>SUM(C118:C123)/SUM(B118:B123)</f>
        <v>1.5209285797291969</v>
      </c>
      <c r="C160" s="43">
        <f>SUM(D117:D122)/SUM(C117:C122)</f>
        <v>1.3179844490728956</v>
      </c>
      <c r="D160" s="43">
        <f>SUM(E116:E121)/SUM(D116:D121)</f>
        <v>1.1953786250141645</v>
      </c>
      <c r="E160" s="43">
        <f>SUM(F115:F120)/SUM(E115:E120)</f>
        <v>1.0892270303936633</v>
      </c>
      <c r="F160" s="43">
        <f>SUM(G114:G119)/SUM(F114:F119)</f>
        <v>1.0401246701671292</v>
      </c>
      <c r="G160" s="43">
        <f>SUM(H113:H118)/SUM(G113:G118)</f>
        <v>1.021944354445685</v>
      </c>
      <c r="H160" s="43">
        <f>SUM(I112:I117)/SUM(H112:H117)</f>
        <v>1.0030741568153487</v>
      </c>
      <c r="I160" s="43">
        <f>SUM(J111:J116)/SUM(I111:I116)</f>
        <v>0.99136156873172521</v>
      </c>
      <c r="J160" s="43">
        <f>SUM(K110:K115)/SUM(J110:J115)</f>
        <v>0.99301767671578323</v>
      </c>
      <c r="K160" s="43">
        <f>SUM(L109:L114)/SUM(K109:K114)</f>
        <v>0.99736039849544278</v>
      </c>
      <c r="L160" s="43">
        <f>SUM(M108:M113)/SUM(L108:L113)</f>
        <v>0.99398918192577845</v>
      </c>
      <c r="M160" s="43">
        <f>SUM(N107:N112)/SUM(M107:M112)</f>
        <v>0.99398706489949296</v>
      </c>
      <c r="N160" s="40"/>
      <c r="O160" s="40"/>
      <c r="P160" s="40"/>
      <c r="Q160" s="40"/>
      <c r="R160" s="40"/>
    </row>
    <row r="161" spans="1:23" x14ac:dyDescent="0.2">
      <c r="A161" s="25" t="s">
        <v>236</v>
      </c>
    </row>
    <row r="162" spans="1:23" x14ac:dyDescent="0.2">
      <c r="A162" s="18"/>
      <c r="B162" s="18"/>
      <c r="C162" s="18"/>
      <c r="D162" s="18"/>
      <c r="E162" s="18"/>
      <c r="F162" s="18"/>
      <c r="G162" s="18"/>
      <c r="H162" s="18"/>
      <c r="I162" s="18"/>
      <c r="J162" s="18"/>
      <c r="K162" s="18"/>
      <c r="L162" s="18"/>
      <c r="M162" s="18"/>
      <c r="N162" s="18"/>
      <c r="O162" s="18"/>
      <c r="P162" s="18"/>
      <c r="Q162" s="18"/>
      <c r="R162" s="18"/>
    </row>
    <row r="163" spans="1:23" x14ac:dyDescent="0.2">
      <c r="A163" s="25" t="s">
        <v>237</v>
      </c>
      <c r="B163" s="44">
        <f>SUM(C121:C123)/SUM(B121:B123)</f>
        <v>1.5450757014467438</v>
      </c>
      <c r="C163" s="44">
        <f>SUM(D120:D122)/SUM(C120:C122)</f>
        <v>1.2377428172823226</v>
      </c>
      <c r="D163" s="44">
        <f>SUM(E119:E121)/SUM(D119:D121)</f>
        <v>1.1977489946779605</v>
      </c>
      <c r="E163" s="44">
        <f>SUM(F118:F120)/SUM(E118:E120)</f>
        <v>1.0983465130791452</v>
      </c>
      <c r="F163" s="44">
        <f>SUM(G117:G119)/SUM(F117:F119)</f>
        <v>1.0138295960399994</v>
      </c>
      <c r="G163" s="44">
        <f>SUM(H116:H118)/SUM(G116:G118)</f>
        <v>1.0417010347659652</v>
      </c>
      <c r="H163" s="44">
        <f>SUM(I115:I117)/SUM(H115:H117)</f>
        <v>1.0077599653291598</v>
      </c>
      <c r="I163" s="44">
        <f>SUM(J114:J116)/SUM(I114:I116)</f>
        <v>0.99340662334957353</v>
      </c>
      <c r="J163" s="44">
        <f>SUM(K113:K115)/SUM(J113:J115)</f>
        <v>0.99126531172573007</v>
      </c>
      <c r="K163" s="44">
        <f>SUM(L112:L114)/SUM(K112:K114)</f>
        <v>1.0078086505142063</v>
      </c>
      <c r="L163" s="44">
        <f>SUM(M111:M113)/SUM(L111:L113)</f>
        <v>1.0010381114009663</v>
      </c>
      <c r="M163" s="44">
        <f>SUM(N110:N112)/SUM(M110:M112)</f>
        <v>0.99408441552936921</v>
      </c>
      <c r="N163" s="44">
        <f>SUM(O109:O111)/SUM(N109:N111)</f>
        <v>1.0047298916034948</v>
      </c>
      <c r="O163" s="44">
        <f>SUM(P108:P110)/SUM(O108:O110)</f>
        <v>0.99660239926397998</v>
      </c>
      <c r="P163" s="44">
        <f>SUM(Q107:Q109)/SUM(P107:P109)</f>
        <v>1.0008183771918733</v>
      </c>
      <c r="Q163" s="40"/>
      <c r="R163" s="40"/>
    </row>
    <row r="164" spans="1:23" x14ac:dyDescent="0.2">
      <c r="A164" s="18"/>
      <c r="B164" s="18"/>
      <c r="C164" s="18"/>
      <c r="D164" s="18"/>
      <c r="E164" s="18"/>
      <c r="F164" s="18"/>
      <c r="G164" s="18"/>
      <c r="H164" s="18"/>
      <c r="I164" s="18"/>
      <c r="J164" s="18"/>
      <c r="K164" s="18"/>
      <c r="L164" s="18"/>
      <c r="M164" s="18"/>
      <c r="N164" s="18"/>
      <c r="O164" s="18"/>
      <c r="P164" s="18"/>
      <c r="Q164" s="18"/>
      <c r="R164" s="18"/>
    </row>
    <row r="165" spans="1:23" x14ac:dyDescent="0.2">
      <c r="A165" s="25" t="s">
        <v>238</v>
      </c>
      <c r="B165" s="18"/>
      <c r="C165" s="18"/>
      <c r="D165" s="18"/>
      <c r="E165" s="18"/>
      <c r="F165" s="18"/>
      <c r="G165" s="18"/>
      <c r="H165" s="18"/>
      <c r="I165" s="18"/>
      <c r="J165" s="18"/>
      <c r="K165" s="18"/>
      <c r="L165" s="18"/>
      <c r="M165" s="18"/>
      <c r="N165" s="18"/>
      <c r="O165" s="18"/>
      <c r="P165" s="18"/>
      <c r="Q165" s="18"/>
      <c r="R165" s="18"/>
    </row>
    <row r="166" spans="1:23" x14ac:dyDescent="0.2">
      <c r="A166" s="25" t="s">
        <v>239</v>
      </c>
      <c r="B166" s="43">
        <f>B160</f>
        <v>1.5209285797291969</v>
      </c>
      <c r="C166" s="43">
        <f t="shared" ref="C166:H166" si="29">C160</f>
        <v>1.3179844490728956</v>
      </c>
      <c r="D166" s="43">
        <f t="shared" si="29"/>
        <v>1.1953786250141645</v>
      </c>
      <c r="E166" s="43">
        <f t="shared" si="29"/>
        <v>1.0892270303936633</v>
      </c>
      <c r="F166" s="43">
        <f t="shared" si="29"/>
        <v>1.0401246701671292</v>
      </c>
      <c r="G166" s="43">
        <f t="shared" si="29"/>
        <v>1.021944354445685</v>
      </c>
      <c r="H166" s="43">
        <f t="shared" si="29"/>
        <v>1.0030741568153487</v>
      </c>
      <c r="I166" s="44">
        <f>I163</f>
        <v>0.99340662334957353</v>
      </c>
      <c r="J166" s="44">
        <f t="shared" ref="J166:P166" si="30">J163</f>
        <v>0.99126531172573007</v>
      </c>
      <c r="K166" s="44">
        <f t="shared" si="30"/>
        <v>1.0078086505142063</v>
      </c>
      <c r="L166" s="44">
        <f t="shared" si="30"/>
        <v>1.0010381114009663</v>
      </c>
      <c r="M166" s="44">
        <f t="shared" si="30"/>
        <v>0.99408441552936921</v>
      </c>
      <c r="N166" s="44">
        <f t="shared" si="30"/>
        <v>1.0047298916034948</v>
      </c>
      <c r="O166" s="44">
        <f t="shared" si="30"/>
        <v>0.99660239926397998</v>
      </c>
      <c r="P166" s="44">
        <f t="shared" si="30"/>
        <v>1.0008183771918733</v>
      </c>
      <c r="Q166" s="42">
        <f t="shared" ref="Q166:R166" si="31">Q157</f>
        <v>1.0037177029473385</v>
      </c>
      <c r="R166" s="42">
        <f t="shared" si="31"/>
        <v>0.99309833892224908</v>
      </c>
      <c r="S166" s="45" t="s">
        <v>240</v>
      </c>
      <c r="T166" s="45"/>
      <c r="U166" s="45"/>
      <c r="V166" s="45"/>
      <c r="W166" s="45"/>
    </row>
    <row r="167" spans="1:23" x14ac:dyDescent="0.2">
      <c r="A167" s="18"/>
      <c r="B167" s="18"/>
      <c r="C167" s="18"/>
      <c r="D167" s="18"/>
      <c r="E167" s="18"/>
      <c r="F167" s="18"/>
      <c r="G167" s="18"/>
      <c r="H167" s="18"/>
      <c r="I167" s="18"/>
      <c r="J167" s="18"/>
      <c r="K167" s="18"/>
      <c r="L167" s="18"/>
      <c r="M167" s="18"/>
      <c r="N167" s="18"/>
      <c r="O167" s="18"/>
      <c r="P167" s="18"/>
      <c r="Q167" s="18"/>
      <c r="R167" s="18"/>
    </row>
    <row r="168" spans="1:23" x14ac:dyDescent="0.2">
      <c r="A168" s="25"/>
      <c r="B168" s="18"/>
      <c r="C168" s="18"/>
      <c r="D168" s="18"/>
      <c r="E168" s="18"/>
      <c r="F168" s="18"/>
      <c r="G168" s="18"/>
      <c r="H168" s="18"/>
      <c r="I168" s="18"/>
      <c r="J168" s="18"/>
      <c r="K168" s="18"/>
      <c r="L168" s="18"/>
      <c r="M168" s="18"/>
      <c r="N168" s="18"/>
      <c r="O168" s="18"/>
      <c r="P168" s="18"/>
      <c r="Q168" s="18"/>
      <c r="R168" s="18"/>
    </row>
    <row r="169" spans="1:23" x14ac:dyDescent="0.2">
      <c r="A169" s="25" t="s">
        <v>241</v>
      </c>
      <c r="B169" s="40">
        <f>PRODUCT(B166:$R166)</f>
        <v>2.7452883817814859</v>
      </c>
      <c r="C169" s="40">
        <f>PRODUCT(C166:$R166)</f>
        <v>1.8050080841207468</v>
      </c>
      <c r="D169" s="40">
        <f>PRODUCT(D166:$R166)</f>
        <v>1.3695215337255582</v>
      </c>
      <c r="E169" s="40">
        <f>PRODUCT(E166:$R166)</f>
        <v>1.1456801260013583</v>
      </c>
      <c r="F169" s="40">
        <f>PRODUCT(F166:$R166)</f>
        <v>1.0518285848885811</v>
      </c>
      <c r="G169" s="40">
        <f>PRODUCT(G166:$R166)</f>
        <v>1.011252415270153</v>
      </c>
      <c r="H169" s="40">
        <f>PRODUCT(H166:$R166)</f>
        <v>0.98953765033387642</v>
      </c>
      <c r="I169" s="40">
        <f>PRODUCT(I166:$R166)</f>
        <v>0.98650497932829873</v>
      </c>
      <c r="J169" s="40">
        <f>PRODUCT(J166:$R166)</f>
        <v>0.99305254881631067</v>
      </c>
      <c r="K169" s="40">
        <f>PRODUCT(K166:$R166)</f>
        <v>1.0018029856078281</v>
      </c>
      <c r="L169" s="40">
        <f>PRODUCT(L166:$R166)</f>
        <v>0.99404086787376367</v>
      </c>
      <c r="M169" s="40">
        <f>PRODUCT(M166:$R166)</f>
        <v>0.99301001285814183</v>
      </c>
      <c r="N169" s="40">
        <f>PRODUCT(N166:$R166)</f>
        <v>0.998919203787482</v>
      </c>
      <c r="O169" s="40">
        <f>PRODUCT(O166:$R166)</f>
        <v>0.99421666672349196</v>
      </c>
      <c r="P169" s="40">
        <f>PRODUCT(P166:$R166)</f>
        <v>0.99760613405882814</v>
      </c>
      <c r="Q169" s="40">
        <f>PRODUCT(Q166:$R166)</f>
        <v>0.99679038354385729</v>
      </c>
      <c r="R169" s="40">
        <f>PRODUCT(R166:$R166)</f>
        <v>0.99309833892224908</v>
      </c>
    </row>
    <row r="170" spans="1:23" x14ac:dyDescent="0.2">
      <c r="A170" s="46" t="s">
        <v>242</v>
      </c>
    </row>
    <row r="171" spans="1:23" x14ac:dyDescent="0.2">
      <c r="A171" s="17" t="s">
        <v>243</v>
      </c>
      <c r="B171" s="47">
        <f>1/B169</f>
        <v>0.36426045680165486</v>
      </c>
      <c r="C171" s="47">
        <f t="shared" ref="C171:R171" si="32">1/C169</f>
        <v>0.55401413921484943</v>
      </c>
      <c r="D171" s="47">
        <f t="shared" si="32"/>
        <v>0.73018202005167776</v>
      </c>
      <c r="E171" s="47">
        <f t="shared" si="32"/>
        <v>0.87284397913943956</v>
      </c>
      <c r="F171" s="47">
        <f t="shared" si="32"/>
        <v>0.95072525539504016</v>
      </c>
      <c r="G171" s="47">
        <f t="shared" si="32"/>
        <v>0.98887279268732631</v>
      </c>
      <c r="H171" s="47">
        <f t="shared" si="32"/>
        <v>1.010572967751751</v>
      </c>
      <c r="I171" s="47">
        <f t="shared" si="32"/>
        <v>1.0136796275279725</v>
      </c>
      <c r="J171" s="47">
        <f t="shared" si="32"/>
        <v>1.0069960559408164</v>
      </c>
      <c r="K171" s="47">
        <f t="shared" si="32"/>
        <v>0.99820025929875411</v>
      </c>
      <c r="L171" s="47">
        <f t="shared" si="32"/>
        <v>1.005994856266808</v>
      </c>
      <c r="M171" s="47">
        <f t="shared" si="32"/>
        <v>1.0070391909964123</v>
      </c>
      <c r="N171" s="47">
        <f t="shared" si="32"/>
        <v>1.001081965596837</v>
      </c>
      <c r="O171" s="47">
        <f t="shared" si="32"/>
        <v>1.0058169747803236</v>
      </c>
      <c r="P171" s="47">
        <f t="shared" si="32"/>
        <v>1.0023996102865089</v>
      </c>
      <c r="Q171" s="47">
        <f t="shared" si="32"/>
        <v>1.00321995126471</v>
      </c>
      <c r="R171" s="47">
        <f t="shared" si="32"/>
        <v>1.0069496250343555</v>
      </c>
    </row>
    <row r="174" spans="1:23" x14ac:dyDescent="0.2">
      <c r="E174" s="23" t="s">
        <v>244</v>
      </c>
      <c r="F174" s="21"/>
    </row>
    <row r="175" spans="1:23" x14ac:dyDescent="0.2">
      <c r="E175" s="19" t="s">
        <v>245</v>
      </c>
      <c r="F175" s="19" t="s">
        <v>246</v>
      </c>
      <c r="H175" s="22" t="s">
        <v>247</v>
      </c>
      <c r="I175" s="19" t="s">
        <v>248</v>
      </c>
      <c r="K175" s="19" t="s">
        <v>249</v>
      </c>
      <c r="L175" s="19" t="s">
        <v>249</v>
      </c>
      <c r="M175" s="19" t="s">
        <v>250</v>
      </c>
      <c r="N175" s="19"/>
      <c r="O175" s="19"/>
    </row>
    <row r="176" spans="1:23" x14ac:dyDescent="0.2">
      <c r="A176" s="19" t="s">
        <v>211</v>
      </c>
      <c r="B176" s="48" t="s">
        <v>251</v>
      </c>
      <c r="C176" s="48" t="s">
        <v>252</v>
      </c>
      <c r="D176" s="48" t="s">
        <v>253</v>
      </c>
      <c r="E176" s="23" t="s">
        <v>254</v>
      </c>
      <c r="F176" s="23" t="s">
        <v>255</v>
      </c>
      <c r="H176" s="19" t="s">
        <v>256</v>
      </c>
      <c r="I176" s="19" t="s">
        <v>257</v>
      </c>
      <c r="K176" s="23" t="s">
        <v>258</v>
      </c>
      <c r="L176" s="23" t="s">
        <v>259</v>
      </c>
      <c r="M176" s="23" t="s">
        <v>260</v>
      </c>
      <c r="N176" s="19"/>
      <c r="O176" s="19"/>
    </row>
    <row r="177" spans="1:15" x14ac:dyDescent="0.2">
      <c r="A177" s="23" t="s">
        <v>213</v>
      </c>
      <c r="B177" s="19" t="s">
        <v>261</v>
      </c>
      <c r="C177" s="19" t="s">
        <v>262</v>
      </c>
      <c r="D177" s="19" t="s">
        <v>214</v>
      </c>
      <c r="E177" s="19" t="s">
        <v>214</v>
      </c>
      <c r="F177" s="19" t="s">
        <v>214</v>
      </c>
      <c r="H177" s="49" t="s">
        <v>214</v>
      </c>
      <c r="I177" s="49"/>
      <c r="K177" s="19" t="s">
        <v>214</v>
      </c>
      <c r="L177" s="19" t="s">
        <v>214</v>
      </c>
      <c r="M177" s="19" t="s">
        <v>214</v>
      </c>
      <c r="N177" s="19"/>
    </row>
    <row r="178" spans="1:15" x14ac:dyDescent="0.2">
      <c r="L178" s="50"/>
    </row>
    <row r="179" spans="1:15" x14ac:dyDescent="0.2">
      <c r="A179" s="18">
        <f>A107</f>
        <v>1978</v>
      </c>
      <c r="B179" s="51">
        <f>S107</f>
        <v>41.674242703114082</v>
      </c>
      <c r="C179" s="32">
        <f>P57</f>
        <v>611.14487865899105</v>
      </c>
      <c r="D179" s="52">
        <f>B179*C179</f>
        <v>25469</v>
      </c>
      <c r="E179" s="53">
        <v>25469.405999999995</v>
      </c>
      <c r="F179" s="52">
        <f>D179-E179</f>
        <v>-0.40599999999540159</v>
      </c>
      <c r="H179" s="54">
        <v>-0.40599999999540159</v>
      </c>
      <c r="I179" s="55">
        <f>H179/F179</f>
        <v>1</v>
      </c>
      <c r="K179" s="54">
        <v>28.434239916292427</v>
      </c>
      <c r="L179" s="54">
        <v>18.26974680575222</v>
      </c>
      <c r="M179" s="54">
        <v>0</v>
      </c>
      <c r="N179" s="54"/>
      <c r="O179" s="55"/>
    </row>
    <row r="180" spans="1:15" x14ac:dyDescent="0.2">
      <c r="A180" s="18">
        <f t="shared" ref="A180:A196" si="33">A108</f>
        <v>1979</v>
      </c>
      <c r="B180" s="56">
        <f>R108/R171</f>
        <v>33.526842272006888</v>
      </c>
      <c r="C180" s="32">
        <f t="shared" ref="C180:C196" si="34">P58</f>
        <v>592.15325834520638</v>
      </c>
      <c r="D180" s="52">
        <f t="shared" ref="D180:D196" si="35">B180*C180</f>
        <v>19853.028893394679</v>
      </c>
      <c r="E180" s="53">
        <v>19836.829000000005</v>
      </c>
      <c r="F180" s="52">
        <f t="shared" ref="F180:F196" si="36">D180-E180</f>
        <v>16.199893394674291</v>
      </c>
      <c r="H180" s="54">
        <v>154.17099999999482</v>
      </c>
      <c r="I180" s="55">
        <f t="shared" ref="I180:I198" si="37">H180/F180</f>
        <v>9.5167910210247726</v>
      </c>
      <c r="K180" s="54">
        <v>37.405836345264106</v>
      </c>
      <c r="L180" s="54">
        <v>37.090036274461454</v>
      </c>
      <c r="M180" s="54">
        <v>13.892495537419666</v>
      </c>
      <c r="N180" s="54"/>
      <c r="O180" s="55"/>
    </row>
    <row r="181" spans="1:15" x14ac:dyDescent="0.2">
      <c r="A181" s="18">
        <f t="shared" si="33"/>
        <v>1980</v>
      </c>
      <c r="B181" s="56">
        <f>Q109/Q171</f>
        <v>41.150842674464322</v>
      </c>
      <c r="C181" s="32">
        <f t="shared" si="34"/>
        <v>779.20039964907482</v>
      </c>
      <c r="D181" s="52">
        <f t="shared" si="35"/>
        <v>32064.753057838803</v>
      </c>
      <c r="E181" s="53">
        <v>31992.917999999998</v>
      </c>
      <c r="F181" s="52">
        <f t="shared" si="36"/>
        <v>71.835057838805369</v>
      </c>
      <c r="H181" s="54">
        <v>182.4368118111488</v>
      </c>
      <c r="I181" s="55">
        <f t="shared" si="37"/>
        <v>2.5396626285250412</v>
      </c>
      <c r="K181" s="54">
        <v>101.91092869063505</v>
      </c>
      <c r="L181" s="54">
        <v>92.717548743104999</v>
      </c>
      <c r="M181" s="54">
        <v>70.107155537692407</v>
      </c>
      <c r="N181" s="54"/>
      <c r="O181" s="55"/>
    </row>
    <row r="182" spans="1:15" x14ac:dyDescent="0.2">
      <c r="A182" s="18">
        <f t="shared" si="33"/>
        <v>1981</v>
      </c>
      <c r="B182" s="56">
        <f>P110/P171</f>
        <v>43.001127529341908</v>
      </c>
      <c r="C182" s="32">
        <f t="shared" si="34"/>
        <v>930.20852822821166</v>
      </c>
      <c r="D182" s="52">
        <f t="shared" si="35"/>
        <v>40000.015551222772</v>
      </c>
      <c r="E182" s="53">
        <v>39118.252</v>
      </c>
      <c r="F182" s="52">
        <f t="shared" si="36"/>
        <v>881.76355122277164</v>
      </c>
      <c r="H182" s="54">
        <v>957.97618288319791</v>
      </c>
      <c r="I182" s="55">
        <f t="shared" si="37"/>
        <v>1.0864320503549274</v>
      </c>
      <c r="K182" s="54">
        <v>210.55842747081624</v>
      </c>
      <c r="L182" s="54">
        <v>186.63753983119386</v>
      </c>
      <c r="M182" s="54">
        <v>155.18736196278877</v>
      </c>
      <c r="N182" s="54"/>
      <c r="O182" s="55"/>
    </row>
    <row r="183" spans="1:15" x14ac:dyDescent="0.2">
      <c r="A183" s="18">
        <f t="shared" si="33"/>
        <v>1982</v>
      </c>
      <c r="B183" s="56">
        <f>O111/O171</f>
        <v>44.695573280814642</v>
      </c>
      <c r="C183" s="32">
        <f t="shared" si="34"/>
        <v>894.21629634718749</v>
      </c>
      <c r="D183" s="52">
        <f>B183*C183</f>
        <v>39967.510002284384</v>
      </c>
      <c r="E183" s="53">
        <v>39428.586000000003</v>
      </c>
      <c r="F183" s="52">
        <f t="shared" si="36"/>
        <v>538.92400228438055</v>
      </c>
      <c r="H183" s="54">
        <v>709.93129559835506</v>
      </c>
      <c r="I183" s="55">
        <f t="shared" si="37"/>
        <v>1.3173124458905376</v>
      </c>
      <c r="K183" s="54">
        <v>358.80928303716064</v>
      </c>
      <c r="L183" s="54">
        <v>314.85578943147993</v>
      </c>
      <c r="M183" s="54">
        <v>576.17338590803263</v>
      </c>
      <c r="N183" s="54"/>
      <c r="O183" s="55"/>
    </row>
    <row r="184" spans="1:15" x14ac:dyDescent="0.2">
      <c r="A184" s="18">
        <f t="shared" si="33"/>
        <v>1983</v>
      </c>
      <c r="B184" s="56">
        <f>N112/N171</f>
        <v>38.409038417973072</v>
      </c>
      <c r="C184" s="32">
        <f t="shared" si="34"/>
        <v>964.22433379875565</v>
      </c>
      <c r="D184" s="52">
        <f t="shared" si="35"/>
        <v>37034.929480420898</v>
      </c>
      <c r="E184" s="53">
        <v>36354.199000000001</v>
      </c>
      <c r="F184" s="52">
        <f t="shared" si="36"/>
        <v>680.73048042089795</v>
      </c>
      <c r="H184" s="54">
        <v>550.17552824519953</v>
      </c>
      <c r="I184" s="55">
        <f t="shared" si="37"/>
        <v>0.80821344727361721</v>
      </c>
      <c r="K184" s="54">
        <v>559.8493479511817</v>
      </c>
      <c r="L184" s="54">
        <v>490.34687011372444</v>
      </c>
      <c r="M184" s="54">
        <v>1080.7113492642491</v>
      </c>
      <c r="N184" s="54"/>
      <c r="O184" s="55"/>
    </row>
    <row r="185" spans="1:15" x14ac:dyDescent="0.2">
      <c r="A185" s="18">
        <f t="shared" si="33"/>
        <v>1984</v>
      </c>
      <c r="B185" s="56">
        <f>M113/M171</f>
        <v>51.945841294123241</v>
      </c>
      <c r="C185" s="32">
        <f t="shared" si="34"/>
        <v>982.23147820014947</v>
      </c>
      <c r="D185" s="52">
        <f t="shared" si="35"/>
        <v>51022.840480677034</v>
      </c>
      <c r="E185" s="53">
        <v>48560.689000000013</v>
      </c>
      <c r="F185" s="52">
        <f t="shared" si="36"/>
        <v>2462.151480677021</v>
      </c>
      <c r="H185" s="54">
        <v>2366.8896809483776</v>
      </c>
      <c r="I185" s="55">
        <f t="shared" si="37"/>
        <v>0.9613095292973407</v>
      </c>
      <c r="K185" s="54">
        <v>1267.5228116118815</v>
      </c>
      <c r="L185" s="54">
        <v>1084.8296604167263</v>
      </c>
      <c r="M185" s="54">
        <v>1664.2109927822423</v>
      </c>
      <c r="N185" s="54"/>
      <c r="O185" s="55"/>
    </row>
    <row r="186" spans="1:15" x14ac:dyDescent="0.2">
      <c r="A186" s="18">
        <f t="shared" si="33"/>
        <v>1985</v>
      </c>
      <c r="B186" s="56">
        <f>L114/L171</f>
        <v>44.909876224684822</v>
      </c>
      <c r="C186" s="32">
        <f t="shared" si="34"/>
        <v>938.23755134634564</v>
      </c>
      <c r="D186" s="52">
        <f t="shared" si="35"/>
        <v>42136.132300315752</v>
      </c>
      <c r="E186" s="53">
        <v>39959.231</v>
      </c>
      <c r="F186" s="52">
        <f t="shared" si="36"/>
        <v>2176.9013003157525</v>
      </c>
      <c r="H186" s="54">
        <v>1838.81630212452</v>
      </c>
      <c r="I186" s="55">
        <f t="shared" si="37"/>
        <v>0.844694383644222</v>
      </c>
      <c r="K186" s="54">
        <v>1772.602817073348</v>
      </c>
      <c r="L186" s="54">
        <v>1527.1619639316486</v>
      </c>
      <c r="M186" s="54">
        <v>2495.2562650240716</v>
      </c>
      <c r="N186" s="54"/>
      <c r="O186" s="55"/>
    </row>
    <row r="187" spans="1:15" x14ac:dyDescent="0.2">
      <c r="A187" s="18">
        <f t="shared" si="33"/>
        <v>1986</v>
      </c>
      <c r="B187" s="56">
        <f>K115/K171</f>
        <v>46.509437144594386</v>
      </c>
      <c r="C187" s="32">
        <f t="shared" si="34"/>
        <v>956.4643816884028</v>
      </c>
      <c r="D187" s="52">
        <f t="shared" si="35"/>
        <v>44484.620041180104</v>
      </c>
      <c r="E187" s="53">
        <v>41254.536</v>
      </c>
      <c r="F187" s="52">
        <f t="shared" si="36"/>
        <v>3230.0840411801037</v>
      </c>
      <c r="H187" s="54">
        <v>2312.7309729606786</v>
      </c>
      <c r="I187" s="55">
        <f t="shared" si="37"/>
        <v>0.71599715161458388</v>
      </c>
      <c r="K187" s="54">
        <v>3124.3847967215115</v>
      </c>
      <c r="L187" s="54">
        <v>2738.5206642419653</v>
      </c>
      <c r="M187" s="54">
        <v>4267.9234607698609</v>
      </c>
      <c r="N187" s="54"/>
      <c r="O187" s="55"/>
    </row>
    <row r="188" spans="1:15" x14ac:dyDescent="0.2">
      <c r="A188" s="18">
        <f t="shared" si="33"/>
        <v>1987</v>
      </c>
      <c r="B188" s="56">
        <f>J116/J171</f>
        <v>51.392213638742</v>
      </c>
      <c r="C188" s="32">
        <f t="shared" si="34"/>
        <v>854.8792583053895</v>
      </c>
      <c r="D188" s="52">
        <f t="shared" si="35"/>
        <v>43934.137478159886</v>
      </c>
      <c r="E188" s="53">
        <v>40205.614000000001</v>
      </c>
      <c r="F188" s="52">
        <f t="shared" si="36"/>
        <v>3728.5234781598847</v>
      </c>
      <c r="H188" s="54">
        <v>2890.0635634833379</v>
      </c>
      <c r="I188" s="55">
        <f t="shared" si="37"/>
        <v>0.77512280140171019</v>
      </c>
      <c r="K188" s="54">
        <v>4988.4323269274682</v>
      </c>
      <c r="L188" s="54">
        <v>4390.617238392595</v>
      </c>
      <c r="M188" s="54">
        <v>5933.6225262025864</v>
      </c>
      <c r="N188" s="54"/>
      <c r="O188" s="55"/>
    </row>
    <row r="189" spans="1:15" x14ac:dyDescent="0.2">
      <c r="A189" s="18">
        <f t="shared" si="33"/>
        <v>1988</v>
      </c>
      <c r="B189" s="56">
        <f>I117/I171</f>
        <v>45.650433167130139</v>
      </c>
      <c r="C189" s="32">
        <f t="shared" si="34"/>
        <v>874.70988997152347</v>
      </c>
      <c r="D189" s="52">
        <f t="shared" si="35"/>
        <v>39930.885372772791</v>
      </c>
      <c r="E189" s="53">
        <v>33364.098000000005</v>
      </c>
      <c r="F189" s="52">
        <f t="shared" si="36"/>
        <v>6566.7873727727856</v>
      </c>
      <c r="H189" s="54">
        <v>5839.6842253362774</v>
      </c>
      <c r="I189" s="55">
        <f t="shared" si="37"/>
        <v>0.88927566766494937</v>
      </c>
      <c r="K189" s="54">
        <v>6791.7694566274149</v>
      </c>
      <c r="L189" s="54">
        <v>6158.2560471590186</v>
      </c>
      <c r="M189" s="54">
        <v>9816.0509043225102</v>
      </c>
      <c r="N189" s="54"/>
      <c r="O189" s="55"/>
    </row>
    <row r="190" spans="1:15" x14ac:dyDescent="0.2">
      <c r="A190" s="18">
        <f t="shared" si="33"/>
        <v>1989</v>
      </c>
      <c r="B190" s="56">
        <f>H118/H171</f>
        <v>51.752819112461736</v>
      </c>
      <c r="C190" s="32">
        <f t="shared" si="34"/>
        <v>873.38341305241579</v>
      </c>
      <c r="D190" s="52">
        <f t="shared" si="35"/>
        <v>45200.05379152613</v>
      </c>
      <c r="E190" s="53">
        <v>37319.199000000001</v>
      </c>
      <c r="F190" s="52">
        <f t="shared" si="36"/>
        <v>7880.8547915261297</v>
      </c>
      <c r="H190" s="54">
        <v>7031.4376851106572</v>
      </c>
      <c r="I190" s="55">
        <f t="shared" si="37"/>
        <v>0.89221764277032412</v>
      </c>
      <c r="K190" s="54">
        <v>13152.312258232581</v>
      </c>
      <c r="L190" s="54">
        <v>12309.814739663809</v>
      </c>
      <c r="M190" s="54">
        <v>15060.469867494998</v>
      </c>
      <c r="N190" s="54"/>
      <c r="O190" s="55"/>
    </row>
    <row r="191" spans="1:15" x14ac:dyDescent="0.2">
      <c r="A191" s="18">
        <f t="shared" si="33"/>
        <v>1990</v>
      </c>
      <c r="B191" s="56">
        <f>G119/G171</f>
        <v>61.625147185189789</v>
      </c>
      <c r="C191" s="32">
        <f t="shared" si="34"/>
        <v>815.88864504250148</v>
      </c>
      <c r="D191" s="52">
        <f t="shared" si="35"/>
        <v>50279.257837469224</v>
      </c>
      <c r="E191" s="53">
        <v>35744.653000000006</v>
      </c>
      <c r="F191" s="52">
        <f t="shared" si="36"/>
        <v>14534.604837469218</v>
      </c>
      <c r="H191" s="54">
        <v>13676.165037476181</v>
      </c>
      <c r="I191" s="55">
        <f t="shared" si="37"/>
        <v>0.94093820853112997</v>
      </c>
      <c r="K191" s="54">
        <v>22409.830270913488</v>
      </c>
      <c r="L191" s="54">
        <v>21421.018307443781</v>
      </c>
      <c r="M191" s="54">
        <v>21631.212312376581</v>
      </c>
      <c r="N191" s="54"/>
      <c r="O191" s="55"/>
    </row>
    <row r="192" spans="1:15" x14ac:dyDescent="0.2">
      <c r="A192" s="18">
        <f t="shared" si="33"/>
        <v>1991</v>
      </c>
      <c r="B192" s="56">
        <f>F120/F171</f>
        <v>50.60095129080365</v>
      </c>
      <c r="C192" s="32">
        <f t="shared" si="34"/>
        <v>868.43441239995616</v>
      </c>
      <c r="D192" s="52">
        <f t="shared" si="35"/>
        <v>43943.607401107867</v>
      </c>
      <c r="E192" s="53">
        <v>29448.637999999999</v>
      </c>
      <c r="F192" s="52">
        <f t="shared" si="36"/>
        <v>14494.969401107868</v>
      </c>
      <c r="H192" s="54">
        <v>13768.28108998618</v>
      </c>
      <c r="I192" s="55">
        <f t="shared" si="37"/>
        <v>0.94986617142729901</v>
      </c>
      <c r="K192" s="54">
        <v>34842.093490836291</v>
      </c>
      <c r="L192" s="54">
        <v>34066.431031002016</v>
      </c>
      <c r="M192" s="54">
        <v>33309.216128706335</v>
      </c>
      <c r="N192" s="54"/>
      <c r="O192" s="55"/>
    </row>
    <row r="193" spans="1:15" x14ac:dyDescent="0.2">
      <c r="A193" s="18">
        <f t="shared" si="33"/>
        <v>1992</v>
      </c>
      <c r="B193" s="56">
        <f>E121/E171</f>
        <v>57.709544632582706</v>
      </c>
      <c r="C193" s="32">
        <f t="shared" si="34"/>
        <v>898.72105982357596</v>
      </c>
      <c r="D193" s="52">
        <f t="shared" si="35"/>
        <v>51864.783114130689</v>
      </c>
      <c r="E193" s="53">
        <v>28265.431</v>
      </c>
      <c r="F193" s="52">
        <f t="shared" si="36"/>
        <v>23599.352114130688</v>
      </c>
      <c r="H193" s="54">
        <v>22830.490462370039</v>
      </c>
      <c r="I193" s="55">
        <f t="shared" si="37"/>
        <v>0.96742022204498257</v>
      </c>
      <c r="K193" s="54">
        <v>68290.428950017478</v>
      </c>
      <c r="L193" s="54">
        <v>67048.881896215928</v>
      </c>
      <c r="M193" s="54">
        <v>47574.757586317428</v>
      </c>
      <c r="N193" s="54"/>
      <c r="O193" s="55"/>
    </row>
    <row r="194" spans="1:15" x14ac:dyDescent="0.2">
      <c r="A194" s="18">
        <f t="shared" si="33"/>
        <v>1993</v>
      </c>
      <c r="B194" s="56">
        <f>D122/D171</f>
        <v>55.151437764030426</v>
      </c>
      <c r="C194" s="32">
        <f t="shared" si="34"/>
        <v>886.54720979031833</v>
      </c>
      <c r="D194" s="52">
        <f t="shared" si="35"/>
        <v>48894.35326562557</v>
      </c>
      <c r="E194" s="53">
        <v>15165.406999999999</v>
      </c>
      <c r="F194" s="52">
        <f t="shared" si="36"/>
        <v>33728.946265625571</v>
      </c>
      <c r="H194" s="54">
        <v>33067.01555892318</v>
      </c>
      <c r="I194" s="55">
        <f t="shared" si="37"/>
        <v>0.98037499596075461</v>
      </c>
      <c r="K194" s="54">
        <v>78300.924643740407</v>
      </c>
      <c r="L194" s="54">
        <v>77537.056872853456</v>
      </c>
      <c r="M194" s="54">
        <v>61936.455887144271</v>
      </c>
      <c r="N194" s="54"/>
      <c r="O194" s="55"/>
    </row>
    <row r="195" spans="1:15" x14ac:dyDescent="0.2">
      <c r="A195" s="18">
        <f t="shared" si="33"/>
        <v>1994</v>
      </c>
      <c r="B195" s="56">
        <f>C123/C171</f>
        <v>50.843626008984636</v>
      </c>
      <c r="C195" s="32">
        <f t="shared" si="34"/>
        <v>889.84534761024838</v>
      </c>
      <c r="D195" s="52">
        <f t="shared" si="35"/>
        <v>45242.964059730402</v>
      </c>
      <c r="E195" s="53">
        <v>7962.4459999999999</v>
      </c>
      <c r="F195" s="52">
        <f t="shared" si="36"/>
        <v>37280.518059730399</v>
      </c>
      <c r="H195" s="54">
        <v>36600.208193132668</v>
      </c>
      <c r="I195" s="55">
        <f t="shared" si="37"/>
        <v>0.98175159836814108</v>
      </c>
      <c r="K195" s="54">
        <v>92401.488312778907</v>
      </c>
      <c r="L195" s="54">
        <v>91826.717645949597</v>
      </c>
      <c r="M195" s="54">
        <v>75609.67107811528</v>
      </c>
      <c r="N195" s="54"/>
      <c r="O195" s="55"/>
    </row>
    <row r="196" spans="1:15" x14ac:dyDescent="0.2">
      <c r="A196" s="18">
        <f t="shared" si="33"/>
        <v>1995</v>
      </c>
      <c r="B196" s="56">
        <f>B124/B171</f>
        <v>40.409813074253236</v>
      </c>
      <c r="C196" s="32">
        <f t="shared" si="34"/>
        <v>910.65548727102475</v>
      </c>
      <c r="D196" s="52">
        <f t="shared" si="35"/>
        <v>36799.418015665105</v>
      </c>
      <c r="E196" s="53">
        <v>2725.355</v>
      </c>
      <c r="F196" s="52">
        <f t="shared" si="36"/>
        <v>34074.063015665102</v>
      </c>
      <c r="H196" s="54">
        <v>34378.679705557108</v>
      </c>
      <c r="I196" s="55">
        <f t="shared" si="37"/>
        <v>1.0089398405394732</v>
      </c>
      <c r="K196" s="57">
        <v>99802.733250713252</v>
      </c>
      <c r="L196" s="57">
        <v>99822.056395701627</v>
      </c>
      <c r="M196" s="57">
        <v>89993.453365684836</v>
      </c>
      <c r="N196" s="54"/>
      <c r="O196" s="55"/>
    </row>
    <row r="197" spans="1:15" x14ac:dyDescent="0.2">
      <c r="D197" s="53"/>
      <c r="E197" s="53"/>
      <c r="F197" s="53"/>
      <c r="H197" s="58"/>
      <c r="I197" s="55"/>
      <c r="K197" s="58"/>
      <c r="L197" s="54"/>
      <c r="M197" s="58"/>
      <c r="N197" s="58"/>
      <c r="O197" s="55"/>
    </row>
    <row r="198" spans="1:15" x14ac:dyDescent="0.2">
      <c r="D198" s="53"/>
      <c r="E198" s="59"/>
      <c r="F198" s="60">
        <f>SUM(F179:F196)</f>
        <v>185946.80314352206</v>
      </c>
      <c r="H198" s="57">
        <v>179154.74729594711</v>
      </c>
      <c r="I198" s="55">
        <f t="shared" si="37"/>
        <v>0.96347312385718975</v>
      </c>
      <c r="K198" s="57">
        <v>428441.49144960538</v>
      </c>
      <c r="L198" s="57">
        <v>421071.27999417193</v>
      </c>
      <c r="M198" s="57">
        <v>371188.3721231512</v>
      </c>
      <c r="N198" s="54"/>
      <c r="O198" s="55"/>
    </row>
    <row r="200" spans="1:15" x14ac:dyDescent="0.2">
      <c r="F200" s="61" t="s">
        <v>263</v>
      </c>
    </row>
    <row r="201" spans="1:15" x14ac:dyDescent="0.2">
      <c r="F201" s="17" t="s">
        <v>264</v>
      </c>
    </row>
  </sheetData>
  <conditionalFormatting sqref="B135:B151">
    <cfRule type="colorScale" priority="14">
      <colorScale>
        <cfvo type="min"/>
        <cfvo type="percentile" val="50"/>
        <cfvo type="max"/>
        <color rgb="FFF8696B"/>
        <color rgb="FFFCFCFF"/>
        <color rgb="FF63BE7B"/>
      </colorScale>
    </cfRule>
  </conditionalFormatting>
  <conditionalFormatting sqref="B152:R153">
    <cfRule type="colorScale" priority="15">
      <colorScale>
        <cfvo type="min"/>
        <cfvo type="percentile" val="50"/>
        <cfvo type="max"/>
        <color rgb="FFF8696B"/>
        <color rgb="FFFFEB84"/>
        <color rgb="FF63BE7B"/>
      </colorScale>
    </cfRule>
  </conditionalFormatting>
  <conditionalFormatting sqref="B107:S124">
    <cfRule type="colorScale" priority="16">
      <colorScale>
        <cfvo type="min"/>
        <cfvo type="percentile" val="50"/>
        <cfvo type="max"/>
        <color rgb="FFF8696B"/>
        <color rgb="FFFFEB84"/>
        <color rgb="FF63BE7B"/>
      </colorScale>
    </cfRule>
  </conditionalFormatting>
  <conditionalFormatting sqref="C135:C150">
    <cfRule type="colorScale" priority="13">
      <colorScale>
        <cfvo type="min"/>
        <cfvo type="percentile" val="50"/>
        <cfvo type="max"/>
        <color rgb="FFF8696B"/>
        <color rgb="FFFCFCFF"/>
        <color rgb="FF63BE7B"/>
      </colorScale>
    </cfRule>
  </conditionalFormatting>
  <conditionalFormatting sqref="D135:D149">
    <cfRule type="colorScale" priority="12">
      <colorScale>
        <cfvo type="min"/>
        <cfvo type="percentile" val="50"/>
        <cfvo type="max"/>
        <color rgb="FFF8696B"/>
        <color rgb="FFFCFCFF"/>
        <color rgb="FF63BE7B"/>
      </colorScale>
    </cfRule>
  </conditionalFormatting>
  <conditionalFormatting sqref="E135:E148">
    <cfRule type="colorScale" priority="11">
      <colorScale>
        <cfvo type="min"/>
        <cfvo type="percentile" val="50"/>
        <cfvo type="max"/>
        <color rgb="FFF8696B"/>
        <color rgb="FFFCFCFF"/>
        <color rgb="FF63BE7B"/>
      </colorScale>
    </cfRule>
  </conditionalFormatting>
  <conditionalFormatting sqref="F135:F147">
    <cfRule type="colorScale" priority="10">
      <colorScale>
        <cfvo type="min"/>
        <cfvo type="percentile" val="50"/>
        <cfvo type="max"/>
        <color rgb="FFF8696B"/>
        <color rgb="FFFCFCFF"/>
        <color rgb="FF63BE7B"/>
      </colorScale>
    </cfRule>
  </conditionalFormatting>
  <conditionalFormatting sqref="G135:G146">
    <cfRule type="colorScale" priority="9">
      <colorScale>
        <cfvo type="min"/>
        <cfvo type="percentile" val="50"/>
        <cfvo type="max"/>
        <color rgb="FFF8696B"/>
        <color rgb="FFFCFCFF"/>
        <color rgb="FF63BE7B"/>
      </colorScale>
    </cfRule>
  </conditionalFormatting>
  <conditionalFormatting sqref="H135:H145">
    <cfRule type="colorScale" priority="8">
      <colorScale>
        <cfvo type="min"/>
        <cfvo type="percentile" val="50"/>
        <cfvo type="max"/>
        <color rgb="FFF8696B"/>
        <color rgb="FFFCFCFF"/>
        <color rgb="FF63BE7B"/>
      </colorScale>
    </cfRule>
  </conditionalFormatting>
  <conditionalFormatting sqref="I135:I144">
    <cfRule type="colorScale" priority="7">
      <colorScale>
        <cfvo type="min"/>
        <cfvo type="percentile" val="50"/>
        <cfvo type="max"/>
        <color rgb="FFF8696B"/>
        <color rgb="FFFCFCFF"/>
        <color rgb="FF63BE7B"/>
      </colorScale>
    </cfRule>
  </conditionalFormatting>
  <conditionalFormatting sqref="J135:J143">
    <cfRule type="colorScale" priority="6">
      <colorScale>
        <cfvo type="min"/>
        <cfvo type="percentile" val="50"/>
        <cfvo type="max"/>
        <color rgb="FFF8696B"/>
        <color rgb="FFFCFCFF"/>
        <color rgb="FF63BE7B"/>
      </colorScale>
    </cfRule>
  </conditionalFormatting>
  <conditionalFormatting sqref="K135:K142">
    <cfRule type="colorScale" priority="5">
      <colorScale>
        <cfvo type="min"/>
        <cfvo type="percentile" val="50"/>
        <cfvo type="max"/>
        <color rgb="FFF8696B"/>
        <color rgb="FFFCFCFF"/>
        <color rgb="FF63BE7B"/>
      </colorScale>
    </cfRule>
  </conditionalFormatting>
  <conditionalFormatting sqref="L135:L141">
    <cfRule type="colorScale" priority="4">
      <colorScale>
        <cfvo type="min"/>
        <cfvo type="percentile" val="50"/>
        <cfvo type="max"/>
        <color rgb="FFF8696B"/>
        <color rgb="FFFCFCFF"/>
        <color rgb="FF63BE7B"/>
      </colorScale>
    </cfRule>
  </conditionalFormatting>
  <conditionalFormatting sqref="M135:M140">
    <cfRule type="colorScale" priority="3">
      <colorScale>
        <cfvo type="min"/>
        <cfvo type="percentile" val="50"/>
        <cfvo type="max"/>
        <color rgb="FFF8696B"/>
        <color rgb="FFFCFCFF"/>
        <color rgb="FF63BE7B"/>
      </colorScale>
    </cfRule>
  </conditionalFormatting>
  <conditionalFormatting sqref="N135:N139">
    <cfRule type="colorScale" priority="2">
      <colorScale>
        <cfvo type="min"/>
        <cfvo type="percentile" val="50"/>
        <cfvo type="max"/>
        <color rgb="FFF8696B"/>
        <color rgb="FFFCFCFF"/>
        <color rgb="FF63BE7B"/>
      </colorScale>
    </cfRule>
  </conditionalFormatting>
  <conditionalFormatting sqref="O135:O138">
    <cfRule type="colorScale" priority="1">
      <colorScale>
        <cfvo type="min"/>
        <cfvo type="percentile" val="50"/>
        <cfvo type="max"/>
        <color rgb="FFF8696B"/>
        <color rgb="FFFCFCFF"/>
        <color rgb="FF63BE7B"/>
      </colorScale>
    </cfRule>
  </conditionalFormatting>
  <pageMargins left="0.7" right="0.7" top="0.75" bottom="0.75" header="0.3" footer="0.3"/>
  <ignoredErrors>
    <ignoredError sqref="C6:G6" numberStoredAsText="1"/>
  </ignoredError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ADFB40-05D3-4A02-B999-7D77921159E4}">
  <sheetPr codeName="Sheet9"/>
  <dimension ref="B1:AL10013"/>
  <sheetViews>
    <sheetView tabSelected="1" workbookViewId="0">
      <selection activeCell="G179" sqref="G179"/>
    </sheetView>
  </sheetViews>
  <sheetFormatPr baseColWidth="10" defaultColWidth="8.83203125" defaultRowHeight="16" x14ac:dyDescent="0.2"/>
  <cols>
    <col min="13" max="13" width="9" style="77"/>
    <col min="31" max="31" width="9" style="77"/>
    <col min="36" max="36" width="8.1640625" bestFit="1" customWidth="1"/>
    <col min="37" max="37" width="9.6640625" bestFit="1" customWidth="1"/>
    <col min="38" max="38" width="18" bestFit="1" customWidth="1"/>
  </cols>
  <sheetData>
    <row r="1" spans="2:38" x14ac:dyDescent="0.2">
      <c r="B1" s="12" t="s">
        <v>265</v>
      </c>
      <c r="O1" s="12" t="s">
        <v>266</v>
      </c>
      <c r="AG1" s="12" t="s">
        <v>267</v>
      </c>
    </row>
    <row r="2" spans="2:38" x14ac:dyDescent="0.2">
      <c r="AJ2" t="s">
        <v>268</v>
      </c>
      <c r="AK2" t="s">
        <v>269</v>
      </c>
    </row>
    <row r="3" spans="2:38" x14ac:dyDescent="0.2">
      <c r="B3" s="12" t="s">
        <v>270</v>
      </c>
      <c r="D3" s="12" t="s">
        <v>271</v>
      </c>
      <c r="O3" s="67" t="str">
        <f ca="1">_xlfn.FORMULATEXT(O4)</f>
        <v>=NORM.S.INV(RANDARRAY(10000))</v>
      </c>
      <c r="X3" s="67" t="str">
        <f ca="1">_xlfn.FORMULATEXT(X4)</f>
        <v>=GAMMA.INV(RANDARRAY(10000),10,5)</v>
      </c>
      <c r="AJ3" t="s">
        <v>272</v>
      </c>
      <c r="AK3" s="2">
        <v>0.05</v>
      </c>
    </row>
    <row r="4" spans="2:38" x14ac:dyDescent="0.2">
      <c r="B4" s="67" t="str">
        <f ca="1">_xlfn.FORMULATEXT(B5)</f>
        <v>=RAND()</v>
      </c>
      <c r="D4" s="67" t="str">
        <f ca="1">_xlfn.FORMULATEXT(D5)</f>
        <v>=RANDARRAY(6,4,-2,10,TRUE)</v>
      </c>
      <c r="I4" s="67" t="str">
        <f ca="1">_xlfn.FORMULATEXT(I5)</f>
        <v>=RANDARRAY(2,5,0,1000, FALSE)</v>
      </c>
      <c r="O4" s="2" cm="1">
        <f t="array" aca="1" ref="O4:O10003" ca="1">_xlfn.NORM.S.INV(_xlfn.RANDARRAY(10000))</f>
        <v>3.1669376188427162E-2</v>
      </c>
      <c r="X4" s="2" cm="1">
        <f t="array" aca="1" ref="X4:X10003" ca="1">_xlfn.GAMMA.INV(_xlfn.RANDARRAY(10000),10,5)</f>
        <v>34.722352569196218</v>
      </c>
      <c r="AJ4" t="s">
        <v>273</v>
      </c>
      <c r="AK4" s="2">
        <v>0.35</v>
      </c>
    </row>
    <row r="5" spans="2:38" x14ac:dyDescent="0.2">
      <c r="B5" s="2">
        <f ca="1">RAND()</f>
        <v>0.60753541713877557</v>
      </c>
      <c r="D5" s="2" cm="1">
        <f t="array" aca="1" ref="D5:G10" ca="1">_xlfn.RANDARRAY(6,4,-2,10,TRUE)</f>
        <v>10</v>
      </c>
      <c r="E5" s="2">
        <f ca="1"/>
        <v>1</v>
      </c>
      <c r="F5" s="2">
        <f ca="1"/>
        <v>4</v>
      </c>
      <c r="G5" s="2">
        <f ca="1"/>
        <v>7</v>
      </c>
      <c r="I5" s="2" cm="1">
        <f t="array" aca="1" ref="I5:M6" ca="1">_xlfn.RANDARRAY(2,5,0,1000, FALSE)</f>
        <v>766.57727815289547</v>
      </c>
      <c r="J5" s="2">
        <f ca="1"/>
        <v>567.05366453906879</v>
      </c>
      <c r="K5" s="2">
        <f ca="1"/>
        <v>851.8944481575071</v>
      </c>
      <c r="L5" s="2">
        <f ca="1"/>
        <v>891.55861468888997</v>
      </c>
      <c r="M5" s="90">
        <f ca="1"/>
        <v>692.92258735099438</v>
      </c>
      <c r="O5" s="2">
        <f ca="1"/>
        <v>-0.50408078276943324</v>
      </c>
      <c r="X5" s="2">
        <f ca="1"/>
        <v>47.116916959912672</v>
      </c>
      <c r="AJ5" t="s">
        <v>274</v>
      </c>
      <c r="AK5" s="2">
        <v>0.6</v>
      </c>
    </row>
    <row r="6" spans="2:38" x14ac:dyDescent="0.2">
      <c r="D6" s="2">
        <f ca="1"/>
        <v>10</v>
      </c>
      <c r="E6" s="2">
        <f ca="1"/>
        <v>6</v>
      </c>
      <c r="F6" s="2">
        <f ca="1"/>
        <v>2</v>
      </c>
      <c r="G6" s="2">
        <f ca="1"/>
        <v>8</v>
      </c>
      <c r="I6" s="2">
        <f ca="1"/>
        <v>397.98754121381421</v>
      </c>
      <c r="J6" s="2">
        <f ca="1"/>
        <v>750.31176004508518</v>
      </c>
      <c r="K6" s="2">
        <f ca="1"/>
        <v>640.94328206875855</v>
      </c>
      <c r="L6" s="2">
        <f ca="1"/>
        <v>895.2027514259928</v>
      </c>
      <c r="M6" s="90">
        <f ca="1"/>
        <v>186.66111862001617</v>
      </c>
      <c r="O6" s="2">
        <f ca="1"/>
        <v>0.68538156350262236</v>
      </c>
      <c r="X6" s="2">
        <f ca="1"/>
        <v>73.420027108268926</v>
      </c>
      <c r="AG6" s="67" t="str">
        <f ca="1">_xlfn.FORMULATEXT(AG8)</f>
        <v>=RANDARRAY(10000)</v>
      </c>
    </row>
    <row r="7" spans="2:38" x14ac:dyDescent="0.2">
      <c r="D7" s="2">
        <f ca="1"/>
        <v>0</v>
      </c>
      <c r="E7" s="2">
        <f ca="1"/>
        <v>8</v>
      </c>
      <c r="F7" s="2">
        <f ca="1"/>
        <v>-2</v>
      </c>
      <c r="G7" s="2">
        <f ca="1"/>
        <v>8</v>
      </c>
      <c r="O7" s="2">
        <f ca="1"/>
        <v>2.2526643015528234E-2</v>
      </c>
      <c r="X7" s="2">
        <f ca="1"/>
        <v>62.342579828192044</v>
      </c>
      <c r="AG7" s="67" t="str">
        <f ca="1">_xlfn.FORMULATEXT(AH8)</f>
        <v>=IFS(AG8#&lt;=AK3,AJ3, (AG8#&gt;AK3)*(AG8#&lt;=AK3+AK4),AJ4, AG8#&gt;1-AK5,AJ5)</v>
      </c>
    </row>
    <row r="8" spans="2:38" x14ac:dyDescent="0.2">
      <c r="D8" s="2">
        <f ca="1"/>
        <v>4</v>
      </c>
      <c r="E8" s="2">
        <f ca="1"/>
        <v>9</v>
      </c>
      <c r="F8" s="2">
        <f ca="1"/>
        <v>7</v>
      </c>
      <c r="G8" s="2">
        <f ca="1"/>
        <v>5</v>
      </c>
      <c r="O8" s="2">
        <f ca="1"/>
        <v>-0.32316184483009708</v>
      </c>
      <c r="X8" s="2">
        <f ca="1"/>
        <v>42.110493361692164</v>
      </c>
      <c r="AG8" s="2" cm="1">
        <f t="array" aca="1" ref="AG8:AG10007" ca="1">_xlfn.RANDARRAY(10000)</f>
        <v>0.82342421817145306</v>
      </c>
      <c r="AH8" s="2" t="str" cm="1">
        <f t="array" aca="1" ref="AH8:AH10007" ca="1">_xlfn.IFS(_xlfn.ANCHORARRAY(AG8)&lt;=AK3,AJ3, (_xlfn.ANCHORARRAY(AG8)&gt;AK3)*(_xlfn.ANCHORARRAY(AG8)&lt;=AK3+AK4),AJ4,_xlfn.ANCHORARRAY( AG8)&gt;1-AK5,AJ5)</f>
        <v>Bad</v>
      </c>
    </row>
    <row r="9" spans="2:38" x14ac:dyDescent="0.2">
      <c r="D9" s="2">
        <f ca="1"/>
        <v>4</v>
      </c>
      <c r="E9" s="2">
        <f ca="1"/>
        <v>-1</v>
      </c>
      <c r="F9" s="2">
        <f ca="1"/>
        <v>2</v>
      </c>
      <c r="G9" s="2">
        <f ca="1"/>
        <v>-1</v>
      </c>
      <c r="O9" s="2">
        <f ca="1"/>
        <v>-2.063375745940712</v>
      </c>
      <c r="X9" s="2">
        <f ca="1"/>
        <v>65.311270488036314</v>
      </c>
      <c r="AG9" s="2">
        <f ca="1"/>
        <v>0.68448227660211414</v>
      </c>
      <c r="AH9" s="2" t="str">
        <f ca="1"/>
        <v>Bad</v>
      </c>
      <c r="AJ9" t="s">
        <v>268</v>
      </c>
      <c r="AK9" t="s">
        <v>275</v>
      </c>
      <c r="AL9" t="s">
        <v>276</v>
      </c>
    </row>
    <row r="10" spans="2:38" x14ac:dyDescent="0.2">
      <c r="D10" s="2">
        <f ca="1"/>
        <v>6</v>
      </c>
      <c r="E10" s="2">
        <f ca="1"/>
        <v>10</v>
      </c>
      <c r="F10" s="2">
        <f ca="1"/>
        <v>2</v>
      </c>
      <c r="G10" s="2">
        <f ca="1"/>
        <v>-2</v>
      </c>
      <c r="O10" s="2">
        <f ca="1"/>
        <v>1.6619218334297772</v>
      </c>
      <c r="X10" s="2">
        <f ca="1"/>
        <v>66.866814680350302</v>
      </c>
      <c r="AG10" s="2">
        <f ca="1"/>
        <v>0.58528547962084287</v>
      </c>
      <c r="AH10" s="2" t="str">
        <f ca="1"/>
        <v>Bad</v>
      </c>
      <c r="AJ10" t="s">
        <v>272</v>
      </c>
      <c r="AK10">
        <f ca="1">COUNTIF(_xlfn.ANCHORARRAY($AH$8),"="&amp;AJ3)</f>
        <v>480</v>
      </c>
      <c r="AL10">
        <f ca="1">AK10/10000</f>
        <v>4.8000000000000001E-2</v>
      </c>
    </row>
    <row r="11" spans="2:38" x14ac:dyDescent="0.2">
      <c r="O11" s="2">
        <f ca="1"/>
        <v>-0.50499561738711618</v>
      </c>
      <c r="X11" s="2">
        <f ca="1"/>
        <v>45.015406258177109</v>
      </c>
      <c r="AG11" s="2">
        <f ca="1"/>
        <v>3.0278335474540174E-2</v>
      </c>
      <c r="AH11" s="2" t="str">
        <f ca="1"/>
        <v>Good</v>
      </c>
      <c r="AJ11" t="s">
        <v>273</v>
      </c>
      <c r="AK11">
        <f t="shared" ref="AK11:AK12" ca="1" si="0">COUNTIF(_xlfn.ANCHORARRAY($AH$8),"="&amp;AJ4)</f>
        <v>3498</v>
      </c>
      <c r="AL11">
        <f t="shared" ref="AL11:AL12" ca="1" si="1">AK11/10000</f>
        <v>0.3498</v>
      </c>
    </row>
    <row r="12" spans="2:38" x14ac:dyDescent="0.2">
      <c r="O12" s="2">
        <f ca="1"/>
        <v>0.17224871508046638</v>
      </c>
      <c r="X12" s="2">
        <f ca="1"/>
        <v>58.02941127652155</v>
      </c>
      <c r="AG12" s="2">
        <f ca="1"/>
        <v>0.77471184295146256</v>
      </c>
      <c r="AH12" s="2" t="str">
        <f ca="1"/>
        <v>Bad</v>
      </c>
      <c r="AJ12" t="s">
        <v>274</v>
      </c>
      <c r="AK12">
        <f t="shared" ca="1" si="0"/>
        <v>6022</v>
      </c>
      <c r="AL12">
        <f t="shared" ca="1" si="1"/>
        <v>0.60219999999999996</v>
      </c>
    </row>
    <row r="13" spans="2:38" x14ac:dyDescent="0.2">
      <c r="B13" s="67" t="str">
        <f ca="1">_xlfn.FORMULATEXT(B14)</f>
        <v>=RANDARRAY(10000)</v>
      </c>
      <c r="O13" s="2">
        <f ca="1"/>
        <v>-0.57827645636103953</v>
      </c>
      <c r="X13" s="2">
        <f ca="1"/>
        <v>41.850642011304238</v>
      </c>
      <c r="AG13" s="2">
        <f ca="1"/>
        <v>0.60971508283372722</v>
      </c>
      <c r="AH13" s="2" t="str">
        <f ca="1"/>
        <v>Bad</v>
      </c>
    </row>
    <row r="14" spans="2:38" x14ac:dyDescent="0.2">
      <c r="B14" s="2" cm="1">
        <f t="array" aca="1" ref="B14:B10013" ca="1">_xlfn.RANDARRAY(10000)</f>
        <v>0.39963348694034129</v>
      </c>
      <c r="O14" s="2">
        <f ca="1"/>
        <v>-2.8013777927887427</v>
      </c>
      <c r="X14" s="2">
        <f ca="1"/>
        <v>35.779225089904749</v>
      </c>
      <c r="AG14" s="2">
        <f ca="1"/>
        <v>0.41642593149869866</v>
      </c>
      <c r="AH14" s="2" t="str">
        <f ca="1"/>
        <v>Bad</v>
      </c>
    </row>
    <row r="15" spans="2:38" x14ac:dyDescent="0.2">
      <c r="B15" s="2">
        <f ca="1"/>
        <v>0.55538277292665073</v>
      </c>
      <c r="O15" s="2">
        <f ca="1"/>
        <v>0.29901696314779658</v>
      </c>
      <c r="X15" s="2">
        <f ca="1"/>
        <v>38.844762687596535</v>
      </c>
      <c r="AG15" s="2">
        <f ca="1"/>
        <v>0.49206328221101048</v>
      </c>
      <c r="AH15" s="2" t="str">
        <f ca="1"/>
        <v>Bad</v>
      </c>
    </row>
    <row r="16" spans="2:38" x14ac:dyDescent="0.2">
      <c r="B16" s="2">
        <f ca="1"/>
        <v>0.30043963163569587</v>
      </c>
      <c r="O16" s="2">
        <f ca="1"/>
        <v>-0.56926276020254962</v>
      </c>
      <c r="X16" s="2">
        <f ca="1"/>
        <v>107.99579328226838</v>
      </c>
      <c r="AG16" s="2">
        <f ca="1"/>
        <v>0.62107874627196624</v>
      </c>
      <c r="AH16" s="2" t="str">
        <f ca="1"/>
        <v>Bad</v>
      </c>
    </row>
    <row r="17" spans="2:34" x14ac:dyDescent="0.2">
      <c r="B17" s="2">
        <f ca="1"/>
        <v>0.62571017865396539</v>
      </c>
      <c r="O17" s="2">
        <f ca="1"/>
        <v>0.41336809576763456</v>
      </c>
      <c r="X17" s="2">
        <f ca="1"/>
        <v>30.475831733066222</v>
      </c>
      <c r="AG17" s="2">
        <f ca="1"/>
        <v>0.508840241333262</v>
      </c>
      <c r="AH17" s="2" t="str">
        <f ca="1"/>
        <v>Bad</v>
      </c>
    </row>
    <row r="18" spans="2:34" x14ac:dyDescent="0.2">
      <c r="B18" s="2">
        <f ca="1"/>
        <v>0.10421449368886071</v>
      </c>
      <c r="O18" s="2">
        <f ca="1"/>
        <v>-0.72494602335146974</v>
      </c>
      <c r="X18" s="2">
        <f ca="1"/>
        <v>26.342491945316723</v>
      </c>
      <c r="AG18" s="2">
        <f ca="1"/>
        <v>0.67474493383072964</v>
      </c>
      <c r="AH18" s="2" t="str">
        <f ca="1"/>
        <v>Bad</v>
      </c>
    </row>
    <row r="19" spans="2:34" x14ac:dyDescent="0.2">
      <c r="B19" s="2">
        <f ca="1"/>
        <v>0.34410506260366636</v>
      </c>
      <c r="O19" s="2">
        <f ca="1"/>
        <v>-0.22336377632713117</v>
      </c>
      <c r="Q19" t="s">
        <v>277</v>
      </c>
      <c r="R19" t="s">
        <v>278</v>
      </c>
      <c r="X19" s="2">
        <f ca="1"/>
        <v>52.009327684942534</v>
      </c>
      <c r="Z19" t="s">
        <v>277</v>
      </c>
      <c r="AA19" t="s">
        <v>279</v>
      </c>
      <c r="AG19" s="2">
        <f ca="1"/>
        <v>0.39895566572200836</v>
      </c>
      <c r="AH19" s="2" t="str">
        <f ca="1"/>
        <v>OK</v>
      </c>
    </row>
    <row r="20" spans="2:34" x14ac:dyDescent="0.2">
      <c r="B20" s="2">
        <f ca="1"/>
        <v>8.3987522356319122E-3</v>
      </c>
      <c r="O20" s="2">
        <f ca="1"/>
        <v>0.3490469376961986</v>
      </c>
      <c r="Q20">
        <f ca="1">AVERAGE(_xlfn.ANCHORARRAY(O4))</f>
        <v>1.8123075740876581E-2</v>
      </c>
      <c r="R20">
        <f ca="1">STDEV(_xlfn.ANCHORARRAY(O4))</f>
        <v>0.98254970320872403</v>
      </c>
      <c r="X20" s="2">
        <f ca="1"/>
        <v>82.415668124120373</v>
      </c>
      <c r="Z20">
        <f ca="1">AVERAGE(_xlfn.ANCHORARRAY(X4))</f>
        <v>50.007284678377843</v>
      </c>
      <c r="AA20">
        <f ca="1">VAR(_xlfn.ANCHORARRAY(X4))</f>
        <v>249.82571442017553</v>
      </c>
      <c r="AG20" s="2">
        <f ca="1"/>
        <v>0.54819712455922698</v>
      </c>
      <c r="AH20" s="2" t="str">
        <f ca="1"/>
        <v>Bad</v>
      </c>
    </row>
    <row r="21" spans="2:34" x14ac:dyDescent="0.2">
      <c r="B21" s="2">
        <f ca="1"/>
        <v>0.94570235414574699</v>
      </c>
      <c r="O21" s="2">
        <f ca="1"/>
        <v>-0.77896126658236808</v>
      </c>
      <c r="X21" s="2">
        <f ca="1"/>
        <v>44.263750793029729</v>
      </c>
      <c r="AG21" s="2">
        <f ca="1"/>
        <v>0.89807962608702008</v>
      </c>
      <c r="AH21" s="2" t="str">
        <f ca="1"/>
        <v>Bad</v>
      </c>
    </row>
    <row r="22" spans="2:34" x14ac:dyDescent="0.2">
      <c r="B22" s="2">
        <f ca="1"/>
        <v>0.3182680024868787</v>
      </c>
      <c r="O22" s="2">
        <f ca="1"/>
        <v>-0.34107471831100677</v>
      </c>
      <c r="X22" s="2">
        <f ca="1"/>
        <v>23.131660389253753</v>
      </c>
      <c r="Z22" s="67" t="s">
        <v>280</v>
      </c>
      <c r="AA22" s="67"/>
      <c r="AG22" s="2">
        <f ca="1"/>
        <v>0.76777704639608246</v>
      </c>
      <c r="AH22" s="2" t="str">
        <f ca="1"/>
        <v>Bad</v>
      </c>
    </row>
    <row r="23" spans="2:34" x14ac:dyDescent="0.2">
      <c r="B23" s="2">
        <f ca="1"/>
        <v>9.6284371754173925E-4</v>
      </c>
      <c r="O23" s="2">
        <f ca="1"/>
        <v>-0.64582020779196181</v>
      </c>
      <c r="X23" s="2">
        <f ca="1"/>
        <v>51.176017918149569</v>
      </c>
      <c r="Z23" s="67" t="s">
        <v>277</v>
      </c>
      <c r="AA23" s="67" t="s">
        <v>279</v>
      </c>
      <c r="AG23" s="2">
        <f ca="1"/>
        <v>0.42113471180146855</v>
      </c>
      <c r="AH23" s="2" t="str">
        <f ca="1"/>
        <v>Bad</v>
      </c>
    </row>
    <row r="24" spans="2:34" x14ac:dyDescent="0.2">
      <c r="B24" s="2">
        <f ca="1"/>
        <v>0.30144956163685221</v>
      </c>
      <c r="O24" s="2">
        <f ca="1"/>
        <v>0.54048903352694289</v>
      </c>
      <c r="X24" s="2">
        <f ca="1"/>
        <v>30.592005256605383</v>
      </c>
      <c r="Z24" s="67">
        <f>10*5</f>
        <v>50</v>
      </c>
      <c r="AA24" s="67">
        <f>10*5^2</f>
        <v>250</v>
      </c>
      <c r="AG24" s="2">
        <f ca="1"/>
        <v>0.45884620957628508</v>
      </c>
      <c r="AH24" s="2" t="str">
        <f ca="1"/>
        <v>Bad</v>
      </c>
    </row>
    <row r="25" spans="2:34" x14ac:dyDescent="0.2">
      <c r="B25" s="2">
        <f ca="1"/>
        <v>8.2812471815363997E-2</v>
      </c>
      <c r="O25" s="2">
        <f ca="1"/>
        <v>-0.44358444601638791</v>
      </c>
      <c r="X25" s="2">
        <f ca="1"/>
        <v>51.350558894187195</v>
      </c>
      <c r="AG25" s="2">
        <f ca="1"/>
        <v>0.71772735043685643</v>
      </c>
      <c r="AH25" s="2" t="str">
        <f ca="1"/>
        <v>Bad</v>
      </c>
    </row>
    <row r="26" spans="2:34" x14ac:dyDescent="0.2">
      <c r="B26" s="2">
        <f ca="1"/>
        <v>0.31148476399295988</v>
      </c>
      <c r="O26" s="2">
        <f ca="1"/>
        <v>0.24540854762638309</v>
      </c>
      <c r="X26" s="2">
        <f ca="1"/>
        <v>63.748259491770384</v>
      </c>
      <c r="AG26" s="2">
        <f ca="1"/>
        <v>0.84896337043217418</v>
      </c>
      <c r="AH26" s="2" t="str">
        <f ca="1"/>
        <v>Bad</v>
      </c>
    </row>
    <row r="27" spans="2:34" x14ac:dyDescent="0.2">
      <c r="B27" s="2">
        <f ca="1"/>
        <v>0.48168453095111574</v>
      </c>
      <c r="O27" s="2">
        <f ca="1"/>
        <v>-1.5463205603905456E-2</v>
      </c>
      <c r="X27" s="2">
        <f ca="1"/>
        <v>54.665726260223991</v>
      </c>
      <c r="AG27" s="2">
        <f ca="1"/>
        <v>0.87509554634303677</v>
      </c>
      <c r="AH27" s="2" t="str">
        <f ca="1"/>
        <v>Bad</v>
      </c>
    </row>
    <row r="28" spans="2:34" x14ac:dyDescent="0.2">
      <c r="B28" s="2">
        <f ca="1"/>
        <v>0.34335002217860011</v>
      </c>
      <c r="O28" s="2">
        <f ca="1"/>
        <v>1.1919977574879679</v>
      </c>
      <c r="X28" s="2">
        <f ca="1"/>
        <v>63.932942070970419</v>
      </c>
      <c r="AG28" s="2">
        <f ca="1"/>
        <v>0.88965441182559912</v>
      </c>
      <c r="AH28" s="2" t="str">
        <f ca="1"/>
        <v>Bad</v>
      </c>
    </row>
    <row r="29" spans="2:34" x14ac:dyDescent="0.2">
      <c r="B29" s="2">
        <f ca="1"/>
        <v>0.81156502307153122</v>
      </c>
      <c r="O29" s="2">
        <f ca="1"/>
        <v>0.79492778078433057</v>
      </c>
      <c r="X29" s="2">
        <f ca="1"/>
        <v>41.888943644080435</v>
      </c>
      <c r="AG29" s="2">
        <f ca="1"/>
        <v>0.50621064250099024</v>
      </c>
      <c r="AH29" s="2" t="str">
        <f ca="1"/>
        <v>Bad</v>
      </c>
    </row>
    <row r="30" spans="2:34" x14ac:dyDescent="0.2">
      <c r="B30" s="2">
        <f ca="1"/>
        <v>0.51455439397278724</v>
      </c>
      <c r="D30" t="s">
        <v>277</v>
      </c>
      <c r="E30" t="s">
        <v>281</v>
      </c>
      <c r="O30" s="2">
        <f ca="1"/>
        <v>-0.71408259483209402</v>
      </c>
      <c r="X30" s="2">
        <f ca="1"/>
        <v>56.73727687202355</v>
      </c>
      <c r="AG30" s="2">
        <f ca="1"/>
        <v>0.88612011391674494</v>
      </c>
      <c r="AH30" s="2" t="str">
        <f ca="1"/>
        <v>Bad</v>
      </c>
    </row>
    <row r="31" spans="2:34" x14ac:dyDescent="0.2">
      <c r="B31" s="2">
        <f ca="1"/>
        <v>0.15496590336941218</v>
      </c>
      <c r="D31">
        <f ca="1">AVERAGE(_xlfn.ANCHORARRAY(B14))</f>
        <v>0.49938605716566026</v>
      </c>
      <c r="E31">
        <f ca="1">VAR(_xlfn.ANCHORARRAY(B14))</f>
        <v>8.3015479691543367E-2</v>
      </c>
      <c r="O31" s="2">
        <f ca="1"/>
        <v>-1.0110826906712509</v>
      </c>
      <c r="X31" s="2">
        <f ca="1"/>
        <v>47.801794829597526</v>
      </c>
      <c r="AG31" s="2">
        <f ca="1"/>
        <v>0.19774807850825593</v>
      </c>
      <c r="AH31" s="2" t="str">
        <f ca="1"/>
        <v>OK</v>
      </c>
    </row>
    <row r="32" spans="2:34" x14ac:dyDescent="0.2">
      <c r="B32" s="2">
        <f ca="1"/>
        <v>0.32135846138235036</v>
      </c>
      <c r="O32" s="2">
        <f ca="1"/>
        <v>-0.91621450429469209</v>
      </c>
      <c r="X32" s="2">
        <f ca="1"/>
        <v>68.096617170093936</v>
      </c>
      <c r="AG32" s="2">
        <f ca="1"/>
        <v>3.0583739615160033E-2</v>
      </c>
      <c r="AH32" s="2" t="str">
        <f ca="1"/>
        <v>Good</v>
      </c>
    </row>
    <row r="33" spans="2:34" x14ac:dyDescent="0.2">
      <c r="B33" s="2">
        <f ca="1"/>
        <v>0.88867848271528715</v>
      </c>
      <c r="E33" s="67" t="s">
        <v>282</v>
      </c>
      <c r="O33" s="2">
        <f ca="1"/>
        <v>1.0318154569513458</v>
      </c>
      <c r="X33" s="2">
        <f ca="1"/>
        <v>35.688008362614973</v>
      </c>
      <c r="AG33" s="2">
        <f ca="1"/>
        <v>1.3525307590780633E-2</v>
      </c>
      <c r="AH33" s="2" t="str">
        <f ca="1"/>
        <v>Good</v>
      </c>
    </row>
    <row r="34" spans="2:34" x14ac:dyDescent="0.2">
      <c r="B34" s="2">
        <f ca="1"/>
        <v>0.4187377851260734</v>
      </c>
      <c r="E34" s="67">
        <f>1/12</f>
        <v>8.3333333333333329E-2</v>
      </c>
      <c r="O34" s="2">
        <f ca="1"/>
        <v>-6.684851876572076E-2</v>
      </c>
      <c r="X34" s="2">
        <f ca="1"/>
        <v>63.832815485475855</v>
      </c>
      <c r="AG34" s="2">
        <f ca="1"/>
        <v>0.78380197473527269</v>
      </c>
      <c r="AH34" s="2" t="str">
        <f ca="1"/>
        <v>Bad</v>
      </c>
    </row>
    <row r="35" spans="2:34" x14ac:dyDescent="0.2">
      <c r="B35" s="2">
        <f ca="1"/>
        <v>1.0835535074771974E-2</v>
      </c>
      <c r="O35" s="2">
        <f ca="1"/>
        <v>0.8524494531970479</v>
      </c>
      <c r="X35" s="2">
        <f ca="1"/>
        <v>28.809894969565214</v>
      </c>
      <c r="AG35" s="2">
        <f ca="1"/>
        <v>0.41391600490267311</v>
      </c>
      <c r="AH35" s="2" t="str">
        <f ca="1"/>
        <v>Bad</v>
      </c>
    </row>
    <row r="36" spans="2:34" x14ac:dyDescent="0.2">
      <c r="B36" s="2">
        <f ca="1"/>
        <v>0.73270546321571617</v>
      </c>
      <c r="O36" s="2">
        <f ca="1"/>
        <v>-1.0653432474636721</v>
      </c>
      <c r="X36" s="2">
        <f ca="1"/>
        <v>85.95410735967846</v>
      </c>
      <c r="AG36" s="2">
        <f ca="1"/>
        <v>0.51608600621165501</v>
      </c>
      <c r="AH36" s="2" t="str">
        <f ca="1"/>
        <v>Bad</v>
      </c>
    </row>
    <row r="37" spans="2:34" x14ac:dyDescent="0.2">
      <c r="B37" s="2">
        <f ca="1"/>
        <v>0.33421453863599471</v>
      </c>
      <c r="O37" s="2">
        <f ca="1"/>
        <v>-0.60394801588530511</v>
      </c>
      <c r="X37" s="2">
        <f ca="1"/>
        <v>72.940444998407457</v>
      </c>
      <c r="AG37" s="2">
        <f ca="1"/>
        <v>0.44656522207945604</v>
      </c>
      <c r="AH37" s="2" t="str">
        <f ca="1"/>
        <v>Bad</v>
      </c>
    </row>
    <row r="38" spans="2:34" x14ac:dyDescent="0.2">
      <c r="B38" s="2">
        <f ca="1"/>
        <v>0.58813524897172664</v>
      </c>
      <c r="O38" s="2">
        <f ca="1"/>
        <v>0.40733002655656148</v>
      </c>
      <c r="X38" s="2">
        <f ca="1"/>
        <v>27.33931842052921</v>
      </c>
      <c r="AG38" s="2">
        <f ca="1"/>
        <v>0.17287490690107288</v>
      </c>
      <c r="AH38" s="2" t="str">
        <f ca="1"/>
        <v>OK</v>
      </c>
    </row>
    <row r="39" spans="2:34" x14ac:dyDescent="0.2">
      <c r="B39" s="2">
        <f ca="1"/>
        <v>0.8200654959077045</v>
      </c>
      <c r="O39" s="2">
        <f ca="1"/>
        <v>0.63078193356250356</v>
      </c>
      <c r="X39" s="2">
        <f ca="1"/>
        <v>35.89554321205928</v>
      </c>
      <c r="AG39" s="2">
        <f ca="1"/>
        <v>0.78123806182409061</v>
      </c>
      <c r="AH39" s="2" t="str">
        <f ca="1"/>
        <v>Bad</v>
      </c>
    </row>
    <row r="40" spans="2:34" x14ac:dyDescent="0.2">
      <c r="B40" s="2">
        <f ca="1"/>
        <v>0.70026666719352093</v>
      </c>
      <c r="O40" s="2">
        <f ca="1"/>
        <v>-0.55616633730180776</v>
      </c>
      <c r="X40" s="2">
        <f ca="1"/>
        <v>51.334573895056586</v>
      </c>
      <c r="AG40" s="2">
        <f ca="1"/>
        <v>4.6815945300761941E-2</v>
      </c>
      <c r="AH40" s="2" t="str">
        <f ca="1"/>
        <v>Good</v>
      </c>
    </row>
    <row r="41" spans="2:34" x14ac:dyDescent="0.2">
      <c r="B41" s="2">
        <f ca="1"/>
        <v>0.99671527621109579</v>
      </c>
      <c r="O41" s="2">
        <f ca="1"/>
        <v>2.1798692682289884</v>
      </c>
      <c r="X41" s="2">
        <f ca="1"/>
        <v>49.720847888802695</v>
      </c>
      <c r="AG41" s="2">
        <f ca="1"/>
        <v>0.39606023296307757</v>
      </c>
      <c r="AH41" s="2" t="str">
        <f ca="1"/>
        <v>OK</v>
      </c>
    </row>
    <row r="42" spans="2:34" x14ac:dyDescent="0.2">
      <c r="B42" s="2">
        <f ca="1"/>
        <v>0.13105131177660545</v>
      </c>
      <c r="O42" s="2">
        <f ca="1"/>
        <v>-1.455432673071781</v>
      </c>
      <c r="X42" s="2">
        <f ca="1"/>
        <v>58.374877590897889</v>
      </c>
      <c r="AG42" s="2">
        <f ca="1"/>
        <v>0.41820654994021966</v>
      </c>
      <c r="AH42" s="2" t="str">
        <f ca="1"/>
        <v>Bad</v>
      </c>
    </row>
    <row r="43" spans="2:34" x14ac:dyDescent="0.2">
      <c r="B43" s="2">
        <f ca="1"/>
        <v>0.23406417619215314</v>
      </c>
      <c r="O43" s="2">
        <f ca="1"/>
        <v>-5.0762358985904026E-2</v>
      </c>
      <c r="X43" s="2">
        <f ca="1"/>
        <v>50.759991258328611</v>
      </c>
      <c r="AG43" s="2">
        <f ca="1"/>
        <v>0.32725587418147462</v>
      </c>
      <c r="AH43" s="2" t="str">
        <f ca="1"/>
        <v>OK</v>
      </c>
    </row>
    <row r="44" spans="2:34" x14ac:dyDescent="0.2">
      <c r="B44" s="2">
        <f ca="1"/>
        <v>0.33275253622935441</v>
      </c>
      <c r="O44" s="2">
        <f ca="1"/>
        <v>-0.89441826622552123</v>
      </c>
      <c r="X44" s="2">
        <f ca="1"/>
        <v>51.022365282259017</v>
      </c>
      <c r="AG44" s="2">
        <f ca="1"/>
        <v>0.9054327129317592</v>
      </c>
      <c r="AH44" s="2" t="str">
        <f ca="1"/>
        <v>Bad</v>
      </c>
    </row>
    <row r="45" spans="2:34" x14ac:dyDescent="0.2">
      <c r="B45" s="2">
        <f ca="1"/>
        <v>0.90802451458404754</v>
      </c>
      <c r="O45" s="2">
        <f ca="1"/>
        <v>-0.14726079841583664</v>
      </c>
      <c r="X45" s="2">
        <f ca="1"/>
        <v>48.739951451613621</v>
      </c>
      <c r="AG45" s="2">
        <f ca="1"/>
        <v>3.3939602310628647E-3</v>
      </c>
      <c r="AH45" s="2" t="str">
        <f ca="1"/>
        <v>Good</v>
      </c>
    </row>
    <row r="46" spans="2:34" x14ac:dyDescent="0.2">
      <c r="B46" s="2">
        <f ca="1"/>
        <v>0.37507264560136777</v>
      </c>
      <c r="O46" s="2">
        <f ca="1"/>
        <v>-0.47260033888460379</v>
      </c>
      <c r="X46" s="2">
        <f ca="1"/>
        <v>32.418060796973926</v>
      </c>
      <c r="AG46" s="2">
        <f ca="1"/>
        <v>0.98738351749350262</v>
      </c>
      <c r="AH46" s="2" t="str">
        <f ca="1"/>
        <v>Bad</v>
      </c>
    </row>
    <row r="47" spans="2:34" x14ac:dyDescent="0.2">
      <c r="B47" s="2">
        <f ca="1"/>
        <v>0.40562425657801282</v>
      </c>
      <c r="O47" s="2">
        <f ca="1"/>
        <v>0.14744858875064062</v>
      </c>
      <c r="X47" s="2">
        <f ca="1"/>
        <v>57.183040008857645</v>
      </c>
      <c r="AG47" s="2">
        <f ca="1"/>
        <v>0.26464208513633913</v>
      </c>
      <c r="AH47" s="2" t="str">
        <f ca="1"/>
        <v>OK</v>
      </c>
    </row>
    <row r="48" spans="2:34" x14ac:dyDescent="0.2">
      <c r="B48" s="2">
        <f ca="1"/>
        <v>0.55128858948981652</v>
      </c>
      <c r="O48" s="2">
        <f ca="1"/>
        <v>0.34411751913521521</v>
      </c>
      <c r="X48" s="2">
        <f ca="1"/>
        <v>22.117486738535568</v>
      </c>
      <c r="AG48" s="2">
        <f ca="1"/>
        <v>2.7010235624732815E-2</v>
      </c>
      <c r="AH48" s="2" t="str">
        <f ca="1"/>
        <v>Good</v>
      </c>
    </row>
    <row r="49" spans="2:34" x14ac:dyDescent="0.2">
      <c r="B49" s="2">
        <f ca="1"/>
        <v>0.68086328650252903</v>
      </c>
      <c r="O49" s="2">
        <f ca="1"/>
        <v>-1.5406630183048622</v>
      </c>
      <c r="X49" s="2">
        <f ca="1"/>
        <v>55.157195046305588</v>
      </c>
      <c r="AG49" s="2">
        <f ca="1"/>
        <v>0.42749266020691667</v>
      </c>
      <c r="AH49" s="2" t="str">
        <f ca="1"/>
        <v>Bad</v>
      </c>
    </row>
    <row r="50" spans="2:34" x14ac:dyDescent="0.2">
      <c r="B50" s="2">
        <f ca="1"/>
        <v>0.18492815883749203</v>
      </c>
      <c r="O50" s="2">
        <f ca="1"/>
        <v>-0.99384025944209364</v>
      </c>
      <c r="X50" s="2">
        <f ca="1"/>
        <v>64.931273798529062</v>
      </c>
      <c r="AG50" s="2">
        <f ca="1"/>
        <v>0.34357070404962364</v>
      </c>
      <c r="AH50" s="2" t="str">
        <f ca="1"/>
        <v>OK</v>
      </c>
    </row>
    <row r="51" spans="2:34" x14ac:dyDescent="0.2">
      <c r="B51" s="2">
        <f ca="1"/>
        <v>0.65793972375236787</v>
      </c>
      <c r="O51" s="2">
        <f ca="1"/>
        <v>0.29255815046084915</v>
      </c>
      <c r="X51" s="2">
        <f ca="1"/>
        <v>57.694193640943439</v>
      </c>
      <c r="AG51" s="2">
        <f ca="1"/>
        <v>4.6489627239217013E-2</v>
      </c>
      <c r="AH51" s="2" t="str">
        <f ca="1"/>
        <v>Good</v>
      </c>
    </row>
    <row r="52" spans="2:34" x14ac:dyDescent="0.2">
      <c r="B52" s="2">
        <f ca="1"/>
        <v>0.99797119920725907</v>
      </c>
      <c r="O52" s="2">
        <f ca="1"/>
        <v>0.63363659416519558</v>
      </c>
      <c r="X52" s="2">
        <f ca="1"/>
        <v>39.979348938408251</v>
      </c>
      <c r="AG52" s="2">
        <f ca="1"/>
        <v>0.40106400892603089</v>
      </c>
      <c r="AH52" s="2" t="str">
        <f ca="1"/>
        <v>Bad</v>
      </c>
    </row>
    <row r="53" spans="2:34" x14ac:dyDescent="0.2">
      <c r="B53" s="2">
        <f ca="1"/>
        <v>8.0587946550719769E-2</v>
      </c>
      <c r="O53" s="2">
        <f ca="1"/>
        <v>-0.27952674491696589</v>
      </c>
      <c r="X53" s="2">
        <f ca="1"/>
        <v>77.966439588830582</v>
      </c>
      <c r="AG53" s="2">
        <f ca="1"/>
        <v>9.5362088992159366E-2</v>
      </c>
      <c r="AH53" s="2" t="str">
        <f ca="1"/>
        <v>OK</v>
      </c>
    </row>
    <row r="54" spans="2:34" x14ac:dyDescent="0.2">
      <c r="B54" s="2">
        <f ca="1"/>
        <v>0.4033076811057692</v>
      </c>
      <c r="O54" s="2">
        <f ca="1"/>
        <v>-1.1569766982467309</v>
      </c>
      <c r="X54" s="2">
        <f ca="1"/>
        <v>50.431909813929579</v>
      </c>
      <c r="AG54" s="2">
        <f ca="1"/>
        <v>0.9397632902958204</v>
      </c>
      <c r="AH54" s="2" t="str">
        <f ca="1"/>
        <v>Bad</v>
      </c>
    </row>
    <row r="55" spans="2:34" x14ac:dyDescent="0.2">
      <c r="B55" s="2">
        <f ca="1"/>
        <v>0.53851624587137459</v>
      </c>
      <c r="O55" s="2">
        <f ca="1"/>
        <v>-0.89342787152877456</v>
      </c>
      <c r="X55" s="2">
        <f ca="1"/>
        <v>72.269888799980848</v>
      </c>
      <c r="AG55" s="2">
        <f ca="1"/>
        <v>0.77141092111636911</v>
      </c>
      <c r="AH55" s="2" t="str">
        <f ca="1"/>
        <v>Bad</v>
      </c>
    </row>
    <row r="56" spans="2:34" x14ac:dyDescent="0.2">
      <c r="B56" s="2">
        <f ca="1"/>
        <v>0.72053539613389206</v>
      </c>
      <c r="O56" s="2">
        <f ca="1"/>
        <v>-0.16239540600802083</v>
      </c>
      <c r="X56" s="2">
        <f ca="1"/>
        <v>61.393522641891863</v>
      </c>
      <c r="AG56" s="2">
        <f ca="1"/>
        <v>0.23100946419665958</v>
      </c>
      <c r="AH56" s="2" t="str">
        <f ca="1"/>
        <v>OK</v>
      </c>
    </row>
    <row r="57" spans="2:34" x14ac:dyDescent="0.2">
      <c r="B57" s="2">
        <f ca="1"/>
        <v>0.25542184336879381</v>
      </c>
      <c r="O57" s="2">
        <f ca="1"/>
        <v>-1.5259760599010588</v>
      </c>
      <c r="X57" s="2">
        <f ca="1"/>
        <v>43.464077098669023</v>
      </c>
      <c r="AG57" s="2">
        <f ca="1"/>
        <v>1.4319361198149583E-3</v>
      </c>
      <c r="AH57" s="2" t="str">
        <f ca="1"/>
        <v>Good</v>
      </c>
    </row>
    <row r="58" spans="2:34" x14ac:dyDescent="0.2">
      <c r="B58" s="2">
        <f ca="1"/>
        <v>0.22392853261652079</v>
      </c>
      <c r="O58" s="2">
        <f ca="1"/>
        <v>0.4579059701819711</v>
      </c>
      <c r="X58" s="2">
        <f ca="1"/>
        <v>58.217831746498312</v>
      </c>
      <c r="AG58" s="2">
        <f ca="1"/>
        <v>0.51801311844868936</v>
      </c>
      <c r="AH58" s="2" t="str">
        <f ca="1"/>
        <v>Bad</v>
      </c>
    </row>
    <row r="59" spans="2:34" x14ac:dyDescent="0.2">
      <c r="B59" s="2">
        <f ca="1"/>
        <v>0.85311529093095628</v>
      </c>
      <c r="O59" s="2">
        <f ca="1"/>
        <v>0.11980305302281205</v>
      </c>
      <c r="X59" s="2">
        <f ca="1"/>
        <v>20.810986337908993</v>
      </c>
      <c r="AG59" s="2">
        <f ca="1"/>
        <v>0.68440146611864083</v>
      </c>
      <c r="AH59" s="2" t="str">
        <f ca="1"/>
        <v>Bad</v>
      </c>
    </row>
    <row r="60" spans="2:34" x14ac:dyDescent="0.2">
      <c r="B60" s="2">
        <f ca="1"/>
        <v>0.63374437954674034</v>
      </c>
      <c r="O60" s="2">
        <f ca="1"/>
        <v>0.44020264234243001</v>
      </c>
      <c r="X60" s="2">
        <f ca="1"/>
        <v>47.479837739715947</v>
      </c>
      <c r="AG60" s="2">
        <f ca="1"/>
        <v>0.52363709735736186</v>
      </c>
      <c r="AH60" s="2" t="str">
        <f ca="1"/>
        <v>Bad</v>
      </c>
    </row>
    <row r="61" spans="2:34" x14ac:dyDescent="0.2">
      <c r="B61" s="2">
        <f ca="1"/>
        <v>0.90507085530004661</v>
      </c>
      <c r="O61" s="2">
        <f ca="1"/>
        <v>1.1675618083271448</v>
      </c>
      <c r="X61" s="2">
        <f ca="1"/>
        <v>38.060395585053598</v>
      </c>
      <c r="AG61" s="2">
        <f ca="1"/>
        <v>0.72403018454721169</v>
      </c>
      <c r="AH61" s="2" t="str">
        <f ca="1"/>
        <v>Bad</v>
      </c>
    </row>
    <row r="62" spans="2:34" x14ac:dyDescent="0.2">
      <c r="B62" s="2">
        <f ca="1"/>
        <v>0.47456563243502181</v>
      </c>
      <c r="O62" s="2">
        <f ca="1"/>
        <v>1.247689033685484</v>
      </c>
      <c r="X62" s="2">
        <f ca="1"/>
        <v>56.450502423805347</v>
      </c>
      <c r="AG62" s="2">
        <f ca="1"/>
        <v>0.6390518815841526</v>
      </c>
      <c r="AH62" s="2" t="str">
        <f ca="1"/>
        <v>Bad</v>
      </c>
    </row>
    <row r="63" spans="2:34" x14ac:dyDescent="0.2">
      <c r="B63" s="2">
        <f ca="1"/>
        <v>0.58563389777813191</v>
      </c>
      <c r="O63" s="2">
        <f ca="1"/>
        <v>-1.1073180025647074</v>
      </c>
      <c r="X63" s="2">
        <f ca="1"/>
        <v>56.356846405494622</v>
      </c>
      <c r="AG63" s="2">
        <f ca="1"/>
        <v>0.31552612200756758</v>
      </c>
      <c r="AH63" s="2" t="str">
        <f ca="1"/>
        <v>OK</v>
      </c>
    </row>
    <row r="64" spans="2:34" x14ac:dyDescent="0.2">
      <c r="B64" s="2">
        <f ca="1"/>
        <v>4.0054396775064394E-2</v>
      </c>
      <c r="O64" s="2">
        <f ca="1"/>
        <v>-0.42818251443320243</v>
      </c>
      <c r="X64" s="2">
        <f ca="1"/>
        <v>37.186463068948321</v>
      </c>
      <c r="AG64" s="2">
        <f ca="1"/>
        <v>0.29669993462081123</v>
      </c>
      <c r="AH64" s="2" t="str">
        <f ca="1"/>
        <v>OK</v>
      </c>
    </row>
    <row r="65" spans="2:34" x14ac:dyDescent="0.2">
      <c r="B65" s="2">
        <f ca="1"/>
        <v>0.76311916135224345</v>
      </c>
      <c r="O65" s="2">
        <f ca="1"/>
        <v>0.4103511111945331</v>
      </c>
      <c r="X65" s="2">
        <f ca="1"/>
        <v>46.855811119056121</v>
      </c>
      <c r="AG65" s="2">
        <f ca="1"/>
        <v>0.45685820393694088</v>
      </c>
      <c r="AH65" s="2" t="str">
        <f ca="1"/>
        <v>Bad</v>
      </c>
    </row>
    <row r="66" spans="2:34" x14ac:dyDescent="0.2">
      <c r="B66" s="2">
        <f ca="1"/>
        <v>4.8231504590400265E-2</v>
      </c>
      <c r="O66" s="2">
        <f ca="1"/>
        <v>-3.2119075661282506E-3</v>
      </c>
      <c r="X66" s="2">
        <f ca="1"/>
        <v>67.173835684002398</v>
      </c>
      <c r="AG66" s="2">
        <f ca="1"/>
        <v>0.95522803290726821</v>
      </c>
      <c r="AH66" s="2" t="str">
        <f ca="1"/>
        <v>Bad</v>
      </c>
    </row>
    <row r="67" spans="2:34" x14ac:dyDescent="0.2">
      <c r="B67" s="2">
        <f ca="1"/>
        <v>0.531334146813492</v>
      </c>
      <c r="O67" s="2">
        <f ca="1"/>
        <v>-0.38256423168466092</v>
      </c>
      <c r="X67" s="2">
        <f ca="1"/>
        <v>54.557356119177754</v>
      </c>
      <c r="AG67" s="2">
        <f ca="1"/>
        <v>0.28931554173849028</v>
      </c>
      <c r="AH67" s="2" t="str">
        <f ca="1"/>
        <v>OK</v>
      </c>
    </row>
    <row r="68" spans="2:34" x14ac:dyDescent="0.2">
      <c r="B68" s="2">
        <f ca="1"/>
        <v>0.77841036311974987</v>
      </c>
      <c r="O68" s="2">
        <f ca="1"/>
        <v>0.65104005315062774</v>
      </c>
      <c r="X68" s="2">
        <f ca="1"/>
        <v>52.153581965250012</v>
      </c>
      <c r="AG68" s="2">
        <f ca="1"/>
        <v>0.60025086426102181</v>
      </c>
      <c r="AH68" s="2" t="str">
        <f ca="1"/>
        <v>Bad</v>
      </c>
    </row>
    <row r="69" spans="2:34" x14ac:dyDescent="0.2">
      <c r="B69" s="2">
        <f ca="1"/>
        <v>0.82312762605760881</v>
      </c>
      <c r="O69" s="2">
        <f ca="1"/>
        <v>-2.1487373126289659</v>
      </c>
      <c r="X69" s="2">
        <f ca="1"/>
        <v>36.543351759239627</v>
      </c>
      <c r="AG69" s="2">
        <f ca="1"/>
        <v>0.1126806084737435</v>
      </c>
      <c r="AH69" s="2" t="str">
        <f ca="1"/>
        <v>OK</v>
      </c>
    </row>
    <row r="70" spans="2:34" x14ac:dyDescent="0.2">
      <c r="B70" s="2">
        <f ca="1"/>
        <v>0.84378650398132815</v>
      </c>
      <c r="O70" s="2">
        <f ca="1"/>
        <v>-0.25638439272730701</v>
      </c>
      <c r="X70" s="2">
        <f ca="1"/>
        <v>36.870302194214901</v>
      </c>
      <c r="AG70" s="2">
        <f ca="1"/>
        <v>0.62527169800018734</v>
      </c>
      <c r="AH70" s="2" t="str">
        <f ca="1"/>
        <v>Bad</v>
      </c>
    </row>
    <row r="71" spans="2:34" x14ac:dyDescent="0.2">
      <c r="B71" s="2">
        <f ca="1"/>
        <v>0.93415353219313846</v>
      </c>
      <c r="O71" s="2">
        <f ca="1"/>
        <v>-0.10514235580074859</v>
      </c>
      <c r="X71" s="2">
        <f ca="1"/>
        <v>43.924295353567601</v>
      </c>
      <c r="AG71" s="2">
        <f ca="1"/>
        <v>0.55931713015474971</v>
      </c>
      <c r="AH71" s="2" t="str">
        <f ca="1"/>
        <v>Bad</v>
      </c>
    </row>
    <row r="72" spans="2:34" x14ac:dyDescent="0.2">
      <c r="B72" s="2">
        <f ca="1"/>
        <v>0.65376199537996782</v>
      </c>
      <c r="O72" s="2">
        <f ca="1"/>
        <v>-1.3206007373026527</v>
      </c>
      <c r="X72" s="2">
        <f ca="1"/>
        <v>53.357386076189506</v>
      </c>
      <c r="AG72" s="2">
        <f ca="1"/>
        <v>0.91236938896133024</v>
      </c>
      <c r="AH72" s="2" t="str">
        <f ca="1"/>
        <v>Bad</v>
      </c>
    </row>
    <row r="73" spans="2:34" x14ac:dyDescent="0.2">
      <c r="B73" s="2">
        <f ca="1"/>
        <v>0.48548610331150499</v>
      </c>
      <c r="O73" s="2">
        <f ca="1"/>
        <v>-0.14402563961765291</v>
      </c>
      <c r="X73" s="2">
        <f ca="1"/>
        <v>52.031978632424213</v>
      </c>
      <c r="AG73" s="2">
        <f ca="1"/>
        <v>0.76123494360411126</v>
      </c>
      <c r="AH73" s="2" t="str">
        <f ca="1"/>
        <v>Bad</v>
      </c>
    </row>
    <row r="74" spans="2:34" x14ac:dyDescent="0.2">
      <c r="B74" s="2">
        <f ca="1"/>
        <v>0.77813367472746631</v>
      </c>
      <c r="O74" s="2">
        <f ca="1"/>
        <v>-0.21444826015448906</v>
      </c>
      <c r="X74" s="2">
        <f ca="1"/>
        <v>21.742173698019307</v>
      </c>
      <c r="AG74" s="2">
        <f ca="1"/>
        <v>0.98101923569433125</v>
      </c>
      <c r="AH74" s="2" t="str">
        <f ca="1"/>
        <v>Bad</v>
      </c>
    </row>
    <row r="75" spans="2:34" x14ac:dyDescent="0.2">
      <c r="B75" s="2">
        <f ca="1"/>
        <v>0.72267973975863953</v>
      </c>
      <c r="O75" s="2">
        <f ca="1"/>
        <v>1.572431637689657</v>
      </c>
      <c r="X75" s="2">
        <f ca="1"/>
        <v>62.236986945902487</v>
      </c>
      <c r="AG75" s="2">
        <f ca="1"/>
        <v>0.50322555023716742</v>
      </c>
      <c r="AH75" s="2" t="str">
        <f ca="1"/>
        <v>Bad</v>
      </c>
    </row>
    <row r="76" spans="2:34" x14ac:dyDescent="0.2">
      <c r="B76" s="2">
        <f ca="1"/>
        <v>0.2924613205362856</v>
      </c>
      <c r="O76" s="2">
        <f ca="1"/>
        <v>-0.25523837597345378</v>
      </c>
      <c r="X76" s="2">
        <f ca="1"/>
        <v>52.839646975169188</v>
      </c>
      <c r="AG76" s="2">
        <f ca="1"/>
        <v>0.45219738864086501</v>
      </c>
      <c r="AH76" s="2" t="str">
        <f ca="1"/>
        <v>Bad</v>
      </c>
    </row>
    <row r="77" spans="2:34" x14ac:dyDescent="0.2">
      <c r="B77" s="2">
        <f ca="1"/>
        <v>0.3909091054874807</v>
      </c>
      <c r="O77" s="2">
        <f ca="1"/>
        <v>-1.0136789893962788</v>
      </c>
      <c r="X77" s="2">
        <f ca="1"/>
        <v>37.733058179847298</v>
      </c>
      <c r="AG77" s="2">
        <f ca="1"/>
        <v>0.95186080443340249</v>
      </c>
      <c r="AH77" s="2" t="str">
        <f ca="1"/>
        <v>Bad</v>
      </c>
    </row>
    <row r="78" spans="2:34" x14ac:dyDescent="0.2">
      <c r="B78" s="2">
        <f ca="1"/>
        <v>0.97039414533220603</v>
      </c>
      <c r="O78" s="2">
        <f ca="1"/>
        <v>2.123915740108862</v>
      </c>
      <c r="X78" s="2">
        <f ca="1"/>
        <v>56.660901500076335</v>
      </c>
      <c r="AG78" s="2">
        <f ca="1"/>
        <v>0.59911229025979695</v>
      </c>
      <c r="AH78" s="2" t="str">
        <f ca="1"/>
        <v>Bad</v>
      </c>
    </row>
    <row r="79" spans="2:34" x14ac:dyDescent="0.2">
      <c r="B79" s="2">
        <f ca="1"/>
        <v>0.24591875242168681</v>
      </c>
      <c r="O79" s="2">
        <f ca="1"/>
        <v>-2.8975141943733261E-2</v>
      </c>
      <c r="X79" s="2">
        <f ca="1"/>
        <v>34.499452538367052</v>
      </c>
      <c r="AG79" s="2">
        <f ca="1"/>
        <v>0.64403412469514798</v>
      </c>
      <c r="AH79" s="2" t="str">
        <f ca="1"/>
        <v>Bad</v>
      </c>
    </row>
    <row r="80" spans="2:34" x14ac:dyDescent="0.2">
      <c r="B80" s="2">
        <f ca="1"/>
        <v>0.41380799940363877</v>
      </c>
      <c r="O80" s="2">
        <f ca="1"/>
        <v>-1.5769657405977175E-3</v>
      </c>
      <c r="X80" s="2">
        <f ca="1"/>
        <v>66.959366776260737</v>
      </c>
      <c r="AG80" s="2">
        <f ca="1"/>
        <v>0.59572070663100951</v>
      </c>
      <c r="AH80" s="2" t="str">
        <f ca="1"/>
        <v>Bad</v>
      </c>
    </row>
    <row r="81" spans="2:34" x14ac:dyDescent="0.2">
      <c r="B81" s="2">
        <f ca="1"/>
        <v>0.16214012613400186</v>
      </c>
      <c r="O81" s="2">
        <f ca="1"/>
        <v>0.63687438842714739</v>
      </c>
      <c r="X81" s="2">
        <f ca="1"/>
        <v>58.8279302622838</v>
      </c>
      <c r="AG81" s="2">
        <f ca="1"/>
        <v>0.73420613755916064</v>
      </c>
      <c r="AH81" s="2" t="str">
        <f ca="1"/>
        <v>Bad</v>
      </c>
    </row>
    <row r="82" spans="2:34" x14ac:dyDescent="0.2">
      <c r="B82" s="2">
        <f ca="1"/>
        <v>0.13122703151419945</v>
      </c>
      <c r="O82" s="2">
        <f ca="1"/>
        <v>-0.59524904415178015</v>
      </c>
      <c r="X82" s="2">
        <f ca="1"/>
        <v>46.82581204897766</v>
      </c>
      <c r="AG82" s="2">
        <f ca="1"/>
        <v>0.57319914623259161</v>
      </c>
      <c r="AH82" s="2" t="str">
        <f ca="1"/>
        <v>Bad</v>
      </c>
    </row>
    <row r="83" spans="2:34" x14ac:dyDescent="0.2">
      <c r="B83" s="2">
        <f ca="1"/>
        <v>0.50099092094239039</v>
      </c>
      <c r="O83" s="2">
        <f ca="1"/>
        <v>0.96489308330904711</v>
      </c>
      <c r="X83" s="2">
        <f ca="1"/>
        <v>41.579387308864959</v>
      </c>
      <c r="AG83" s="2">
        <f ca="1"/>
        <v>0.90071323614305876</v>
      </c>
      <c r="AH83" s="2" t="str">
        <f ca="1"/>
        <v>Bad</v>
      </c>
    </row>
    <row r="84" spans="2:34" x14ac:dyDescent="0.2">
      <c r="B84" s="2">
        <f ca="1"/>
        <v>0.91813427390737234</v>
      </c>
      <c r="O84" s="2">
        <f ca="1"/>
        <v>1.1199945513738676</v>
      </c>
      <c r="X84" s="2">
        <f ca="1"/>
        <v>75.830697891187683</v>
      </c>
      <c r="AG84" s="2">
        <f ca="1"/>
        <v>0.4409297327685624</v>
      </c>
      <c r="AH84" s="2" t="str">
        <f ca="1"/>
        <v>Bad</v>
      </c>
    </row>
    <row r="85" spans="2:34" x14ac:dyDescent="0.2">
      <c r="B85" s="2">
        <f ca="1"/>
        <v>0.21995548674210563</v>
      </c>
      <c r="O85" s="2">
        <f ca="1"/>
        <v>0.12201361201594213</v>
      </c>
      <c r="X85" s="2">
        <f ca="1"/>
        <v>63.077181815696726</v>
      </c>
      <c r="AG85" s="2">
        <f ca="1"/>
        <v>0.46347045122443875</v>
      </c>
      <c r="AH85" s="2" t="str">
        <f ca="1"/>
        <v>Bad</v>
      </c>
    </row>
    <row r="86" spans="2:34" x14ac:dyDescent="0.2">
      <c r="B86" s="2">
        <f ca="1"/>
        <v>0.38408685622941485</v>
      </c>
      <c r="O86" s="2">
        <f ca="1"/>
        <v>-1.3834693152677779</v>
      </c>
      <c r="X86" s="2">
        <f ca="1"/>
        <v>70.976850913572463</v>
      </c>
      <c r="AG86" s="2">
        <f ca="1"/>
        <v>0.6769916799637421</v>
      </c>
      <c r="AH86" s="2" t="str">
        <f ca="1"/>
        <v>Bad</v>
      </c>
    </row>
    <row r="87" spans="2:34" x14ac:dyDescent="0.2">
      <c r="B87" s="2">
        <f ca="1"/>
        <v>0.43746656065863876</v>
      </c>
      <c r="O87" s="2">
        <f ca="1"/>
        <v>0.81384397879465664</v>
      </c>
      <c r="X87" s="2">
        <f ca="1"/>
        <v>31.829231263912185</v>
      </c>
      <c r="AG87" s="2">
        <f ca="1"/>
        <v>0.46659863154403336</v>
      </c>
      <c r="AH87" s="2" t="str">
        <f ca="1"/>
        <v>Bad</v>
      </c>
    </row>
    <row r="88" spans="2:34" x14ac:dyDescent="0.2">
      <c r="B88" s="2">
        <f ca="1"/>
        <v>0.72322432092882649</v>
      </c>
      <c r="O88" s="2">
        <f ca="1"/>
        <v>-0.98230892947651682</v>
      </c>
      <c r="X88" s="2">
        <f ca="1"/>
        <v>26.011137266491332</v>
      </c>
      <c r="AG88" s="2">
        <f ca="1"/>
        <v>0.28371252289902893</v>
      </c>
      <c r="AH88" s="2" t="str">
        <f ca="1"/>
        <v>OK</v>
      </c>
    </row>
    <row r="89" spans="2:34" x14ac:dyDescent="0.2">
      <c r="B89" s="2">
        <f ca="1"/>
        <v>0.41960134647914127</v>
      </c>
      <c r="O89" s="2">
        <f ca="1"/>
        <v>1.6981833717336194</v>
      </c>
      <c r="X89" s="2">
        <f ca="1"/>
        <v>45.527113248852714</v>
      </c>
      <c r="AG89" s="2">
        <f ca="1"/>
        <v>0.17449285350095844</v>
      </c>
      <c r="AH89" s="2" t="str">
        <f ca="1"/>
        <v>OK</v>
      </c>
    </row>
    <row r="90" spans="2:34" x14ac:dyDescent="0.2">
      <c r="B90" s="2">
        <f ca="1"/>
        <v>0.47746532322940172</v>
      </c>
      <c r="O90" s="2">
        <f ca="1"/>
        <v>-1.1924959680816263</v>
      </c>
      <c r="X90" s="2">
        <f ca="1"/>
        <v>36.630494038461613</v>
      </c>
      <c r="AG90" s="2">
        <f ca="1"/>
        <v>5.6240051502645549E-2</v>
      </c>
      <c r="AH90" s="2" t="str">
        <f ca="1"/>
        <v>OK</v>
      </c>
    </row>
    <row r="91" spans="2:34" x14ac:dyDescent="0.2">
      <c r="B91" s="2">
        <f ca="1"/>
        <v>0.75061756202902008</v>
      </c>
      <c r="O91" s="2">
        <f ca="1"/>
        <v>-0.199556649126336</v>
      </c>
      <c r="X91" s="2">
        <f ca="1"/>
        <v>81.277929899497693</v>
      </c>
      <c r="AG91" s="2">
        <f ca="1"/>
        <v>0.93853317253970436</v>
      </c>
      <c r="AH91" s="2" t="str">
        <f ca="1"/>
        <v>Bad</v>
      </c>
    </row>
    <row r="92" spans="2:34" x14ac:dyDescent="0.2">
      <c r="B92" s="2">
        <f ca="1"/>
        <v>0.2760247120610424</v>
      </c>
      <c r="O92" s="2">
        <f ca="1"/>
        <v>-1.1370712150158213</v>
      </c>
      <c r="X92" s="2">
        <f ca="1"/>
        <v>34.117722030167322</v>
      </c>
      <c r="AG92" s="2">
        <f ca="1"/>
        <v>0.65419831903998871</v>
      </c>
      <c r="AH92" s="2" t="str">
        <f ca="1"/>
        <v>Bad</v>
      </c>
    </row>
    <row r="93" spans="2:34" x14ac:dyDescent="0.2">
      <c r="B93" s="2">
        <f ca="1"/>
        <v>0.19471022437895358</v>
      </c>
      <c r="O93" s="2">
        <f ca="1"/>
        <v>-0.33511833761521415</v>
      </c>
      <c r="X93" s="2">
        <f ca="1"/>
        <v>28.214143959221779</v>
      </c>
      <c r="AG93" s="2">
        <f ca="1"/>
        <v>0.99951612779074006</v>
      </c>
      <c r="AH93" s="2" t="str">
        <f ca="1"/>
        <v>Bad</v>
      </c>
    </row>
    <row r="94" spans="2:34" x14ac:dyDescent="0.2">
      <c r="B94" s="2">
        <f ca="1"/>
        <v>0.492318229727289</v>
      </c>
      <c r="O94" s="2">
        <f ca="1"/>
        <v>-0.20377374435707415</v>
      </c>
      <c r="X94" s="2">
        <f ca="1"/>
        <v>58.60685565684215</v>
      </c>
      <c r="AG94" s="2">
        <f ca="1"/>
        <v>4.8503748284353332E-2</v>
      </c>
      <c r="AH94" s="2" t="str">
        <f ca="1"/>
        <v>Good</v>
      </c>
    </row>
    <row r="95" spans="2:34" x14ac:dyDescent="0.2">
      <c r="B95" s="2">
        <f ca="1"/>
        <v>0.53460447383316345</v>
      </c>
      <c r="O95" s="2">
        <f ca="1"/>
        <v>5.4358643798012841E-2</v>
      </c>
      <c r="X95" s="2">
        <f ca="1"/>
        <v>61.315740877659202</v>
      </c>
      <c r="AG95" s="2">
        <f ca="1"/>
        <v>0.76193488753054694</v>
      </c>
      <c r="AH95" s="2" t="str">
        <f ca="1"/>
        <v>Bad</v>
      </c>
    </row>
    <row r="96" spans="2:34" x14ac:dyDescent="0.2">
      <c r="B96" s="2">
        <f ca="1"/>
        <v>0.40269517460359361</v>
      </c>
      <c r="O96" s="2">
        <f ca="1"/>
        <v>-0.50021663887795276</v>
      </c>
      <c r="X96" s="2">
        <f ca="1"/>
        <v>56.6676690253448</v>
      </c>
      <c r="AG96" s="2">
        <f ca="1"/>
        <v>0.28324711528467517</v>
      </c>
      <c r="AH96" s="2" t="str">
        <f ca="1"/>
        <v>OK</v>
      </c>
    </row>
    <row r="97" spans="2:34" x14ac:dyDescent="0.2">
      <c r="B97" s="2">
        <f ca="1"/>
        <v>0.98795921323097069</v>
      </c>
      <c r="O97" s="2">
        <f ca="1"/>
        <v>0.43099746422107515</v>
      </c>
      <c r="X97" s="2">
        <f ca="1"/>
        <v>47.576406051520351</v>
      </c>
      <c r="AG97" s="2">
        <f ca="1"/>
        <v>0.29227351612961572</v>
      </c>
      <c r="AH97" s="2" t="str">
        <f ca="1"/>
        <v>OK</v>
      </c>
    </row>
    <row r="98" spans="2:34" x14ac:dyDescent="0.2">
      <c r="B98" s="2">
        <f ca="1"/>
        <v>0.88049705477607865</v>
      </c>
      <c r="O98" s="2">
        <f ca="1"/>
        <v>-0.32878206354848333</v>
      </c>
      <c r="X98" s="2">
        <f ca="1"/>
        <v>69.999946596936823</v>
      </c>
      <c r="AG98" s="2">
        <f ca="1"/>
        <v>0.60841466932633215</v>
      </c>
      <c r="AH98" s="2" t="str">
        <f ca="1"/>
        <v>Bad</v>
      </c>
    </row>
    <row r="99" spans="2:34" x14ac:dyDescent="0.2">
      <c r="B99" s="2">
        <f ca="1"/>
        <v>0.1480208633778497</v>
      </c>
      <c r="O99" s="2">
        <f ca="1"/>
        <v>-0.90690057570401994</v>
      </c>
      <c r="X99" s="2">
        <f ca="1"/>
        <v>72.055055249024988</v>
      </c>
      <c r="AG99" s="2">
        <f ca="1"/>
        <v>0.74512390339595891</v>
      </c>
      <c r="AH99" s="2" t="str">
        <f ca="1"/>
        <v>Bad</v>
      </c>
    </row>
    <row r="100" spans="2:34" x14ac:dyDescent="0.2">
      <c r="B100" s="2">
        <f ca="1"/>
        <v>0.29534426541410741</v>
      </c>
      <c r="O100" s="2">
        <f ca="1"/>
        <v>-0.20581406763206014</v>
      </c>
      <c r="X100" s="2">
        <f ca="1"/>
        <v>46.745311576423191</v>
      </c>
      <c r="AG100" s="2">
        <f ca="1"/>
        <v>3.9824434833933609E-2</v>
      </c>
      <c r="AH100" s="2" t="str">
        <f ca="1"/>
        <v>Good</v>
      </c>
    </row>
    <row r="101" spans="2:34" x14ac:dyDescent="0.2">
      <c r="B101" s="2">
        <f ca="1"/>
        <v>8.0600705298907727E-2</v>
      </c>
      <c r="O101" s="2">
        <f ca="1"/>
        <v>-1.5266837831941713</v>
      </c>
      <c r="X101" s="2">
        <f ca="1"/>
        <v>32.643773129422975</v>
      </c>
      <c r="AG101" s="2">
        <f ca="1"/>
        <v>0.63280200752646221</v>
      </c>
      <c r="AH101" s="2" t="str">
        <f ca="1"/>
        <v>Bad</v>
      </c>
    </row>
    <row r="102" spans="2:34" x14ac:dyDescent="0.2">
      <c r="B102" s="2">
        <f ca="1"/>
        <v>0.10117595282736325</v>
      </c>
      <c r="O102" s="2">
        <f ca="1"/>
        <v>-4.6633747449413177E-2</v>
      </c>
      <c r="X102" s="2">
        <f ca="1"/>
        <v>29.195098527391053</v>
      </c>
      <c r="AG102" s="2">
        <f ca="1"/>
        <v>0.30295521494215905</v>
      </c>
      <c r="AH102" s="2" t="str">
        <f ca="1"/>
        <v>OK</v>
      </c>
    </row>
    <row r="103" spans="2:34" x14ac:dyDescent="0.2">
      <c r="B103" s="2">
        <f ca="1"/>
        <v>0.96743346037261913</v>
      </c>
      <c r="O103" s="2">
        <f ca="1"/>
        <v>-0.78548105206380903</v>
      </c>
      <c r="X103" s="2">
        <f ca="1"/>
        <v>36.869299167953585</v>
      </c>
      <c r="AG103" s="2">
        <f ca="1"/>
        <v>0.5361670225627293</v>
      </c>
      <c r="AH103" s="2" t="str">
        <f ca="1"/>
        <v>Bad</v>
      </c>
    </row>
    <row r="104" spans="2:34" x14ac:dyDescent="0.2">
      <c r="B104" s="2">
        <f ca="1"/>
        <v>0.30646721537159149</v>
      </c>
      <c r="O104" s="2">
        <f ca="1"/>
        <v>-1.0224958858893896</v>
      </c>
      <c r="X104" s="2">
        <f ca="1"/>
        <v>80.915711566840628</v>
      </c>
      <c r="AG104" s="2">
        <f ca="1"/>
        <v>2.0687601878860207E-2</v>
      </c>
      <c r="AH104" s="2" t="str">
        <f ca="1"/>
        <v>Good</v>
      </c>
    </row>
    <row r="105" spans="2:34" x14ac:dyDescent="0.2">
      <c r="B105" s="2">
        <f ca="1"/>
        <v>0.59674429194048462</v>
      </c>
      <c r="O105" s="2">
        <f ca="1"/>
        <v>1.0968486684744669</v>
      </c>
      <c r="X105" s="2">
        <f ca="1"/>
        <v>27.076488882142336</v>
      </c>
      <c r="AG105" s="2">
        <f ca="1"/>
        <v>4.2295204724121405E-2</v>
      </c>
      <c r="AH105" s="2" t="str">
        <f ca="1"/>
        <v>Good</v>
      </c>
    </row>
    <row r="106" spans="2:34" x14ac:dyDescent="0.2">
      <c r="B106" s="2">
        <f ca="1"/>
        <v>0.14999437625523959</v>
      </c>
      <c r="O106" s="2">
        <f ca="1"/>
        <v>1.5909359340749116</v>
      </c>
      <c r="X106" s="2">
        <f ca="1"/>
        <v>27.74775896445259</v>
      </c>
      <c r="AG106" s="2">
        <f ca="1"/>
        <v>0.89449343712575802</v>
      </c>
      <c r="AH106" s="2" t="str">
        <f ca="1"/>
        <v>Bad</v>
      </c>
    </row>
    <row r="107" spans="2:34" x14ac:dyDescent="0.2">
      <c r="B107" s="2">
        <f ca="1"/>
        <v>7.0596527969704503E-2</v>
      </c>
      <c r="O107" s="2">
        <f ca="1"/>
        <v>0.45109907935721733</v>
      </c>
      <c r="X107" s="2">
        <f ca="1"/>
        <v>45.852939403486985</v>
      </c>
      <c r="AG107" s="2">
        <f ca="1"/>
        <v>9.4757795778886544E-2</v>
      </c>
      <c r="AH107" s="2" t="str">
        <f ca="1"/>
        <v>OK</v>
      </c>
    </row>
    <row r="108" spans="2:34" x14ac:dyDescent="0.2">
      <c r="B108" s="2">
        <f ca="1"/>
        <v>0.44183134321214612</v>
      </c>
      <c r="O108" s="2">
        <f ca="1"/>
        <v>-0.87119872876808901</v>
      </c>
      <c r="X108" s="2">
        <f ca="1"/>
        <v>58.04656444546832</v>
      </c>
      <c r="AG108" s="2">
        <f ca="1"/>
        <v>0.47689027768688397</v>
      </c>
      <c r="AH108" s="2" t="str">
        <f ca="1"/>
        <v>Bad</v>
      </c>
    </row>
    <row r="109" spans="2:34" x14ac:dyDescent="0.2">
      <c r="B109" s="2">
        <f ca="1"/>
        <v>0.15404086030024944</v>
      </c>
      <c r="O109" s="2">
        <f ca="1"/>
        <v>-0.84477793919121924</v>
      </c>
      <c r="X109" s="2">
        <f ca="1"/>
        <v>33.289529501317851</v>
      </c>
      <c r="AG109" s="2">
        <f ca="1"/>
        <v>0.46859278611678779</v>
      </c>
      <c r="AH109" s="2" t="str">
        <f ca="1"/>
        <v>Bad</v>
      </c>
    </row>
    <row r="110" spans="2:34" x14ac:dyDescent="0.2">
      <c r="B110" s="2">
        <f ca="1"/>
        <v>0.81146067541397304</v>
      </c>
      <c r="O110" s="2">
        <f ca="1"/>
        <v>-0.27315876369696485</v>
      </c>
      <c r="X110" s="2">
        <f ca="1"/>
        <v>49.76676653643257</v>
      </c>
      <c r="AG110" s="2">
        <f ca="1"/>
        <v>0.80035006975310985</v>
      </c>
      <c r="AH110" s="2" t="str">
        <f ca="1"/>
        <v>Bad</v>
      </c>
    </row>
    <row r="111" spans="2:34" x14ac:dyDescent="0.2">
      <c r="B111" s="2">
        <f ca="1"/>
        <v>0.36809737360986095</v>
      </c>
      <c r="O111" s="2">
        <f ca="1"/>
        <v>-0.99194681319895661</v>
      </c>
      <c r="X111" s="2">
        <f ca="1"/>
        <v>49.024187141997885</v>
      </c>
      <c r="AG111" s="2">
        <f ca="1"/>
        <v>0.67904565116467208</v>
      </c>
      <c r="AH111" s="2" t="str">
        <f ca="1"/>
        <v>Bad</v>
      </c>
    </row>
    <row r="112" spans="2:34" x14ac:dyDescent="0.2">
      <c r="B112" s="2">
        <f ca="1"/>
        <v>0.52509330270297494</v>
      </c>
      <c r="O112" s="2">
        <f ca="1"/>
        <v>-0.10330868482636714</v>
      </c>
      <c r="X112" s="2">
        <f ca="1"/>
        <v>24.918601979917085</v>
      </c>
      <c r="AG112" s="2">
        <f ca="1"/>
        <v>0.12870377316036885</v>
      </c>
      <c r="AH112" s="2" t="str">
        <f ca="1"/>
        <v>OK</v>
      </c>
    </row>
    <row r="113" spans="2:34" x14ac:dyDescent="0.2">
      <c r="B113" s="2">
        <f ca="1"/>
        <v>0.5554736195272747</v>
      </c>
      <c r="O113" s="2">
        <f ca="1"/>
        <v>0.89738497624277902</v>
      </c>
      <c r="X113" s="2">
        <f ca="1"/>
        <v>72.134222543974815</v>
      </c>
      <c r="AG113" s="2">
        <f ca="1"/>
        <v>0.17914559176986655</v>
      </c>
      <c r="AH113" s="2" t="str">
        <f ca="1"/>
        <v>OK</v>
      </c>
    </row>
    <row r="114" spans="2:34" x14ac:dyDescent="0.2">
      <c r="B114" s="2">
        <f ca="1"/>
        <v>0.97817377514726789</v>
      </c>
      <c r="O114" s="2">
        <f ca="1"/>
        <v>-1.4464653958345333E-2</v>
      </c>
      <c r="X114" s="2">
        <f ca="1"/>
        <v>43.616895134633666</v>
      </c>
      <c r="AG114" s="2">
        <f ca="1"/>
        <v>0.58385297014868032</v>
      </c>
      <c r="AH114" s="2" t="str">
        <f ca="1"/>
        <v>Bad</v>
      </c>
    </row>
    <row r="115" spans="2:34" x14ac:dyDescent="0.2">
      <c r="B115" s="2">
        <f ca="1"/>
        <v>0.29881769274586922</v>
      </c>
      <c r="O115" s="2">
        <f ca="1"/>
        <v>0.80204240666545634</v>
      </c>
      <c r="X115" s="2">
        <f ca="1"/>
        <v>42.783487589887159</v>
      </c>
      <c r="AG115" s="2">
        <f ca="1"/>
        <v>1.8483038687364672E-2</v>
      </c>
      <c r="AH115" s="2" t="str">
        <f ca="1"/>
        <v>Good</v>
      </c>
    </row>
    <row r="116" spans="2:34" x14ac:dyDescent="0.2">
      <c r="B116" s="2">
        <f ca="1"/>
        <v>0.66879903573861843</v>
      </c>
      <c r="O116" s="2">
        <f ca="1"/>
        <v>0.58384574921075449</v>
      </c>
      <c r="X116" s="2">
        <f ca="1"/>
        <v>76.545450908834965</v>
      </c>
      <c r="AG116" s="2">
        <f ca="1"/>
        <v>0.91495424717863694</v>
      </c>
      <c r="AH116" s="2" t="str">
        <f ca="1"/>
        <v>Bad</v>
      </c>
    </row>
    <row r="117" spans="2:34" x14ac:dyDescent="0.2">
      <c r="B117" s="2">
        <f ca="1"/>
        <v>0.89375779470398786</v>
      </c>
      <c r="O117" s="2">
        <f ca="1"/>
        <v>-0.15617095051546517</v>
      </c>
      <c r="X117" s="2">
        <f ca="1"/>
        <v>34.410658764697473</v>
      </c>
      <c r="AG117" s="2">
        <f ca="1"/>
        <v>0.26440440082519645</v>
      </c>
      <c r="AH117" s="2" t="str">
        <f ca="1"/>
        <v>OK</v>
      </c>
    </row>
    <row r="118" spans="2:34" x14ac:dyDescent="0.2">
      <c r="B118" s="2">
        <f ca="1"/>
        <v>0.60472660023186631</v>
      </c>
      <c r="O118" s="2">
        <f ca="1"/>
        <v>0.88162392045829563</v>
      </c>
      <c r="X118" s="2">
        <f ca="1"/>
        <v>46.713917874926722</v>
      </c>
      <c r="AG118" s="2">
        <f ca="1"/>
        <v>0.84287988513933176</v>
      </c>
      <c r="AH118" s="2" t="str">
        <f ca="1"/>
        <v>Bad</v>
      </c>
    </row>
    <row r="119" spans="2:34" x14ac:dyDescent="0.2">
      <c r="B119" s="2">
        <f ca="1"/>
        <v>0.82963511549328239</v>
      </c>
      <c r="O119" s="2">
        <f ca="1"/>
        <v>-0.67621781529572034</v>
      </c>
      <c r="X119" s="2">
        <f ca="1"/>
        <v>73.479537098770152</v>
      </c>
      <c r="AG119" s="2">
        <f ca="1"/>
        <v>0.91335965586516954</v>
      </c>
      <c r="AH119" s="2" t="str">
        <f ca="1"/>
        <v>Bad</v>
      </c>
    </row>
    <row r="120" spans="2:34" x14ac:dyDescent="0.2">
      <c r="B120" s="2">
        <f ca="1"/>
        <v>0.21611478572588338</v>
      </c>
      <c r="O120" s="2">
        <f ca="1"/>
        <v>-0.46464324453080186</v>
      </c>
      <c r="X120" s="2">
        <f ca="1"/>
        <v>35.170319751886467</v>
      </c>
      <c r="AG120" s="2">
        <f ca="1"/>
        <v>0.75808811190888625</v>
      </c>
      <c r="AH120" s="2" t="str">
        <f ca="1"/>
        <v>Bad</v>
      </c>
    </row>
    <row r="121" spans="2:34" x14ac:dyDescent="0.2">
      <c r="B121" s="2">
        <f ca="1"/>
        <v>0.63134166092051891</v>
      </c>
      <c r="O121" s="2">
        <f ca="1"/>
        <v>-0.52977307790564765</v>
      </c>
      <c r="X121" s="2">
        <f ca="1"/>
        <v>32.938319043543437</v>
      </c>
      <c r="AG121" s="2">
        <f ca="1"/>
        <v>0.56323091903871925</v>
      </c>
      <c r="AH121" s="2" t="str">
        <f ca="1"/>
        <v>Bad</v>
      </c>
    </row>
    <row r="122" spans="2:34" x14ac:dyDescent="0.2">
      <c r="B122" s="2">
        <f ca="1"/>
        <v>3.2595792629064757E-2</v>
      </c>
      <c r="O122" s="2">
        <f ca="1"/>
        <v>-0.34796423971479795</v>
      </c>
      <c r="X122" s="2">
        <f ca="1"/>
        <v>48.97824597833926</v>
      </c>
      <c r="AG122" s="2">
        <f ca="1"/>
        <v>0.40157571401439074</v>
      </c>
      <c r="AH122" s="2" t="str">
        <f ca="1"/>
        <v>Bad</v>
      </c>
    </row>
    <row r="123" spans="2:34" x14ac:dyDescent="0.2">
      <c r="B123" s="2">
        <f ca="1"/>
        <v>0.21599149464257916</v>
      </c>
      <c r="O123" s="2">
        <f ca="1"/>
        <v>-1.3547564993485397</v>
      </c>
      <c r="X123" s="2">
        <f ca="1"/>
        <v>47.875483733849535</v>
      </c>
      <c r="AG123" s="2">
        <f ca="1"/>
        <v>0.89701180406964443</v>
      </c>
      <c r="AH123" s="2" t="str">
        <f ca="1"/>
        <v>Bad</v>
      </c>
    </row>
    <row r="124" spans="2:34" x14ac:dyDescent="0.2">
      <c r="B124" s="2">
        <f ca="1"/>
        <v>0.81802498036465021</v>
      </c>
      <c r="O124" s="2">
        <f ca="1"/>
        <v>0.33796201528440817</v>
      </c>
      <c r="X124" s="2">
        <f ca="1"/>
        <v>27.212374365542242</v>
      </c>
      <c r="AG124" s="2">
        <f ca="1"/>
        <v>0.21444265408392793</v>
      </c>
      <c r="AH124" s="2" t="str">
        <f ca="1"/>
        <v>OK</v>
      </c>
    </row>
    <row r="125" spans="2:34" x14ac:dyDescent="0.2">
      <c r="B125" s="2">
        <f ca="1"/>
        <v>0.3881090007969461</v>
      </c>
      <c r="O125" s="2">
        <f ca="1"/>
        <v>-2.2290431544716056</v>
      </c>
      <c r="X125" s="2">
        <f ca="1"/>
        <v>48.486116681159459</v>
      </c>
      <c r="AG125" s="2">
        <f ca="1"/>
        <v>0.20008148309971108</v>
      </c>
      <c r="AH125" s="2" t="str">
        <f ca="1"/>
        <v>OK</v>
      </c>
    </row>
    <row r="126" spans="2:34" x14ac:dyDescent="0.2">
      <c r="B126" s="2">
        <f ca="1"/>
        <v>0.53832213459755818</v>
      </c>
      <c r="O126" s="2">
        <f ca="1"/>
        <v>-0.49416635566162825</v>
      </c>
      <c r="X126" s="2">
        <f ca="1"/>
        <v>47.109233877432324</v>
      </c>
      <c r="AG126" s="2">
        <f ca="1"/>
        <v>0.99647057437395592</v>
      </c>
      <c r="AH126" s="2" t="str">
        <f ca="1"/>
        <v>Bad</v>
      </c>
    </row>
    <row r="127" spans="2:34" x14ac:dyDescent="0.2">
      <c r="B127" s="2">
        <f ca="1"/>
        <v>0.65824495010339357</v>
      </c>
      <c r="O127" s="2">
        <f ca="1"/>
        <v>-0.73541799814067554</v>
      </c>
      <c r="X127" s="2">
        <f ca="1"/>
        <v>97.121764618788418</v>
      </c>
      <c r="AG127" s="2">
        <f ca="1"/>
        <v>9.1943560823660286E-2</v>
      </c>
      <c r="AH127" s="2" t="str">
        <f ca="1"/>
        <v>OK</v>
      </c>
    </row>
    <row r="128" spans="2:34" x14ac:dyDescent="0.2">
      <c r="B128" s="2">
        <f ca="1"/>
        <v>0.87184318054865262</v>
      </c>
      <c r="O128" s="2">
        <f ca="1"/>
        <v>1.1225135599367528</v>
      </c>
      <c r="X128" s="2">
        <f ca="1"/>
        <v>55.995873992630088</v>
      </c>
      <c r="AG128" s="2">
        <f ca="1"/>
        <v>0.25146964476624389</v>
      </c>
      <c r="AH128" s="2" t="str">
        <f ca="1"/>
        <v>OK</v>
      </c>
    </row>
    <row r="129" spans="2:34" x14ac:dyDescent="0.2">
      <c r="B129" s="2">
        <f ca="1"/>
        <v>0.48191741853153514</v>
      </c>
      <c r="O129" s="2">
        <f ca="1"/>
        <v>0.53560523378637626</v>
      </c>
      <c r="X129" s="2">
        <f ca="1"/>
        <v>58.497625183282665</v>
      </c>
      <c r="AG129" s="2">
        <f ca="1"/>
        <v>9.5416609703888655E-2</v>
      </c>
      <c r="AH129" s="2" t="str">
        <f ca="1"/>
        <v>OK</v>
      </c>
    </row>
    <row r="130" spans="2:34" x14ac:dyDescent="0.2">
      <c r="B130" s="2">
        <f ca="1"/>
        <v>7.1251160768242228E-2</v>
      </c>
      <c r="O130" s="2">
        <f ca="1"/>
        <v>-1.5981719261372915</v>
      </c>
      <c r="X130" s="2">
        <f ca="1"/>
        <v>45.979026743846632</v>
      </c>
      <c r="AG130" s="2">
        <f ca="1"/>
        <v>0.45658210482897221</v>
      </c>
      <c r="AH130" s="2" t="str">
        <f ca="1"/>
        <v>Bad</v>
      </c>
    </row>
    <row r="131" spans="2:34" x14ac:dyDescent="0.2">
      <c r="B131" s="2">
        <f ca="1"/>
        <v>0.25042793429760213</v>
      </c>
      <c r="O131" s="2">
        <f ca="1"/>
        <v>-1.6390764533108513</v>
      </c>
      <c r="X131" s="2">
        <f ca="1"/>
        <v>46.547025862567551</v>
      </c>
      <c r="AG131" s="2">
        <f ca="1"/>
        <v>0.73042913293898692</v>
      </c>
      <c r="AH131" s="2" t="str">
        <f ca="1"/>
        <v>Bad</v>
      </c>
    </row>
    <row r="132" spans="2:34" x14ac:dyDescent="0.2">
      <c r="B132" s="2">
        <f ca="1"/>
        <v>0.34478694518785558</v>
      </c>
      <c r="O132" s="2">
        <f ca="1"/>
        <v>-1.0589133427929125</v>
      </c>
      <c r="X132" s="2">
        <f ca="1"/>
        <v>62.046711125507301</v>
      </c>
      <c r="AG132" s="2">
        <f ca="1"/>
        <v>0.47907360388046438</v>
      </c>
      <c r="AH132" s="2" t="str">
        <f ca="1"/>
        <v>Bad</v>
      </c>
    </row>
    <row r="133" spans="2:34" x14ac:dyDescent="0.2">
      <c r="B133" s="2">
        <f ca="1"/>
        <v>0.71782764909337282</v>
      </c>
      <c r="O133" s="2">
        <f ca="1"/>
        <v>-1.5650700536741745E-2</v>
      </c>
      <c r="X133" s="2">
        <f ca="1"/>
        <v>40.956158218337023</v>
      </c>
      <c r="AG133" s="2">
        <f ca="1"/>
        <v>0.32487928760193885</v>
      </c>
      <c r="AH133" s="2" t="str">
        <f ca="1"/>
        <v>OK</v>
      </c>
    </row>
    <row r="134" spans="2:34" x14ac:dyDescent="0.2">
      <c r="B134" s="2">
        <f ca="1"/>
        <v>5.1899160870632954E-2</v>
      </c>
      <c r="O134" s="2">
        <f ca="1"/>
        <v>-1.3792919137532438</v>
      </c>
      <c r="X134" s="2">
        <f ca="1"/>
        <v>21.878512878593938</v>
      </c>
      <c r="AG134" s="2">
        <f ca="1"/>
        <v>0.57027647956062122</v>
      </c>
      <c r="AH134" s="2" t="str">
        <f ca="1"/>
        <v>Bad</v>
      </c>
    </row>
    <row r="135" spans="2:34" x14ac:dyDescent="0.2">
      <c r="B135" s="2">
        <f ca="1"/>
        <v>0.50459817798472018</v>
      </c>
      <c r="O135" s="2">
        <f ca="1"/>
        <v>-0.57206628109505187</v>
      </c>
      <c r="X135" s="2">
        <f ca="1"/>
        <v>35.446241978017397</v>
      </c>
      <c r="AG135" s="2">
        <f ca="1"/>
        <v>0.70599274202399487</v>
      </c>
      <c r="AH135" s="2" t="str">
        <f ca="1"/>
        <v>Bad</v>
      </c>
    </row>
    <row r="136" spans="2:34" x14ac:dyDescent="0.2">
      <c r="B136" s="2">
        <f ca="1"/>
        <v>0.11722419000709094</v>
      </c>
      <c r="O136" s="2">
        <f ca="1"/>
        <v>-0.6773031266236591</v>
      </c>
      <c r="X136" s="2">
        <f ca="1"/>
        <v>32.487628548477467</v>
      </c>
      <c r="AG136" s="2">
        <f ca="1"/>
        <v>0.1954618700257631</v>
      </c>
      <c r="AH136" s="2" t="str">
        <f ca="1"/>
        <v>OK</v>
      </c>
    </row>
    <row r="137" spans="2:34" x14ac:dyDescent="0.2">
      <c r="B137" s="2">
        <f ca="1"/>
        <v>0.361176622952051</v>
      </c>
      <c r="O137" s="2">
        <f ca="1"/>
        <v>1.2320933906456781</v>
      </c>
      <c r="X137" s="2">
        <f ca="1"/>
        <v>48.515366067414305</v>
      </c>
      <c r="AG137" s="2">
        <f ca="1"/>
        <v>0.62821453321798315</v>
      </c>
      <c r="AH137" s="2" t="str">
        <f ca="1"/>
        <v>Bad</v>
      </c>
    </row>
    <row r="138" spans="2:34" x14ac:dyDescent="0.2">
      <c r="B138" s="2">
        <f ca="1"/>
        <v>4.0830219851739624E-2</v>
      </c>
      <c r="O138" s="2">
        <f ca="1"/>
        <v>3.71177471975822E-2</v>
      </c>
      <c r="X138" s="2">
        <f ca="1"/>
        <v>71.72887005029304</v>
      </c>
      <c r="AG138" s="2">
        <f ca="1"/>
        <v>0.28066054154468012</v>
      </c>
      <c r="AH138" s="2" t="str">
        <f ca="1"/>
        <v>OK</v>
      </c>
    </row>
    <row r="139" spans="2:34" x14ac:dyDescent="0.2">
      <c r="B139" s="2">
        <f ca="1"/>
        <v>0.6110608059381113</v>
      </c>
      <c r="O139" s="2">
        <f ca="1"/>
        <v>-0.99795193037656116</v>
      </c>
      <c r="X139" s="2">
        <f ca="1"/>
        <v>54.650126251700655</v>
      </c>
      <c r="AG139" s="2">
        <f ca="1"/>
        <v>0.2538903743265053</v>
      </c>
      <c r="AH139" s="2" t="str">
        <f ca="1"/>
        <v>OK</v>
      </c>
    </row>
    <row r="140" spans="2:34" x14ac:dyDescent="0.2">
      <c r="B140" s="2">
        <f ca="1"/>
        <v>0.64284899174062549</v>
      </c>
      <c r="O140" s="2">
        <f ca="1"/>
        <v>-2.2091771849284045</v>
      </c>
      <c r="X140" s="2">
        <f ca="1"/>
        <v>60.314721295488525</v>
      </c>
      <c r="AG140" s="2">
        <f ca="1"/>
        <v>0.82394733865540215</v>
      </c>
      <c r="AH140" s="2" t="str">
        <f ca="1"/>
        <v>Bad</v>
      </c>
    </row>
    <row r="141" spans="2:34" x14ac:dyDescent="0.2">
      <c r="B141" s="2">
        <f ca="1"/>
        <v>0.29574038140624737</v>
      </c>
      <c r="O141" s="2">
        <f ca="1"/>
        <v>0.83286828577380634</v>
      </c>
      <c r="X141" s="2">
        <f ca="1"/>
        <v>69.354353323940771</v>
      </c>
      <c r="AG141" s="2">
        <f ca="1"/>
        <v>0.49012876450397536</v>
      </c>
      <c r="AH141" s="2" t="str">
        <f ca="1"/>
        <v>Bad</v>
      </c>
    </row>
    <row r="142" spans="2:34" x14ac:dyDescent="0.2">
      <c r="B142" s="2">
        <f ca="1"/>
        <v>5.9058150668860554E-2</v>
      </c>
      <c r="O142" s="2">
        <f ca="1"/>
        <v>-0.55446333908297718</v>
      </c>
      <c r="X142" s="2">
        <f ca="1"/>
        <v>63.165123269061432</v>
      </c>
      <c r="AG142" s="2">
        <f ca="1"/>
        <v>0.11143124131536153</v>
      </c>
      <c r="AH142" s="2" t="str">
        <f ca="1"/>
        <v>OK</v>
      </c>
    </row>
    <row r="143" spans="2:34" x14ac:dyDescent="0.2">
      <c r="B143" s="2">
        <f ca="1"/>
        <v>0.73691638429106754</v>
      </c>
      <c r="O143" s="2">
        <f ca="1"/>
        <v>-0.47455491854851711</v>
      </c>
      <c r="X143" s="2">
        <f ca="1"/>
        <v>56.626885451365226</v>
      </c>
      <c r="AG143" s="2">
        <f ca="1"/>
        <v>0.88340361471553863</v>
      </c>
      <c r="AH143" s="2" t="str">
        <f ca="1"/>
        <v>Bad</v>
      </c>
    </row>
    <row r="144" spans="2:34" x14ac:dyDescent="0.2">
      <c r="B144" s="2">
        <f ca="1"/>
        <v>0.57646053394807772</v>
      </c>
      <c r="O144" s="2">
        <f ca="1"/>
        <v>0.46867461411060712</v>
      </c>
      <c r="X144" s="2">
        <f ca="1"/>
        <v>71.664495386086159</v>
      </c>
      <c r="AG144" s="2">
        <f ca="1"/>
        <v>0.92462103730308898</v>
      </c>
      <c r="AH144" s="2" t="str">
        <f ca="1"/>
        <v>Bad</v>
      </c>
    </row>
    <row r="145" spans="2:34" x14ac:dyDescent="0.2">
      <c r="B145" s="2">
        <f ca="1"/>
        <v>0.89740095583895374</v>
      </c>
      <c r="O145" s="2">
        <f ca="1"/>
        <v>0.6007292564825627</v>
      </c>
      <c r="X145" s="2">
        <f ca="1"/>
        <v>28.021479337974249</v>
      </c>
      <c r="AG145" s="2">
        <f ca="1"/>
        <v>0.47284450100122566</v>
      </c>
      <c r="AH145" s="2" t="str">
        <f ca="1"/>
        <v>Bad</v>
      </c>
    </row>
    <row r="146" spans="2:34" x14ac:dyDescent="0.2">
      <c r="B146" s="2">
        <f ca="1"/>
        <v>0.20885659677575674</v>
      </c>
      <c r="O146" s="2">
        <f ca="1"/>
        <v>0.13360151078701532</v>
      </c>
      <c r="X146" s="2">
        <f ca="1"/>
        <v>36.54543610151979</v>
      </c>
      <c r="AG146" s="2">
        <f ca="1"/>
        <v>0.30297971274089841</v>
      </c>
      <c r="AH146" s="2" t="str">
        <f ca="1"/>
        <v>OK</v>
      </c>
    </row>
    <row r="147" spans="2:34" x14ac:dyDescent="0.2">
      <c r="B147" s="2">
        <f ca="1"/>
        <v>0.7429792992514459</v>
      </c>
      <c r="O147" s="2">
        <f ca="1"/>
        <v>-0.5266919126718268</v>
      </c>
      <c r="X147" s="2">
        <f ca="1"/>
        <v>69.11618652623423</v>
      </c>
      <c r="AG147" s="2">
        <f ca="1"/>
        <v>0.80184579856450044</v>
      </c>
      <c r="AH147" s="2" t="str">
        <f ca="1"/>
        <v>Bad</v>
      </c>
    </row>
    <row r="148" spans="2:34" x14ac:dyDescent="0.2">
      <c r="B148" s="2">
        <f ca="1"/>
        <v>0.77360379900061105</v>
      </c>
      <c r="O148" s="2">
        <f ca="1"/>
        <v>-1.2188909643247858</v>
      </c>
      <c r="X148" s="2">
        <f ca="1"/>
        <v>57.204059765806747</v>
      </c>
      <c r="AG148" s="2">
        <f ca="1"/>
        <v>0.45489559574930905</v>
      </c>
      <c r="AH148" s="2" t="str">
        <f ca="1"/>
        <v>Bad</v>
      </c>
    </row>
    <row r="149" spans="2:34" x14ac:dyDescent="0.2">
      <c r="B149" s="2">
        <f ca="1"/>
        <v>0.62639728209540912</v>
      </c>
      <c r="O149" s="2">
        <f ca="1"/>
        <v>-2.07567428542036</v>
      </c>
      <c r="X149" s="2">
        <f ca="1"/>
        <v>51.638213891449141</v>
      </c>
      <c r="AG149" s="2">
        <f ca="1"/>
        <v>0.66907160403915555</v>
      </c>
      <c r="AH149" s="2" t="str">
        <f ca="1"/>
        <v>Bad</v>
      </c>
    </row>
    <row r="150" spans="2:34" x14ac:dyDescent="0.2">
      <c r="B150" s="2">
        <f ca="1"/>
        <v>0.80154629453255755</v>
      </c>
      <c r="O150" s="2">
        <f ca="1"/>
        <v>-0.53457104856483861</v>
      </c>
      <c r="X150" s="2">
        <f ca="1"/>
        <v>42.164377905247576</v>
      </c>
      <c r="AG150" s="2">
        <f ca="1"/>
        <v>0.67721082101609564</v>
      </c>
      <c r="AH150" s="2" t="str">
        <f ca="1"/>
        <v>Bad</v>
      </c>
    </row>
    <row r="151" spans="2:34" x14ac:dyDescent="0.2">
      <c r="B151" s="2">
        <f ca="1"/>
        <v>0.32695104081941118</v>
      </c>
      <c r="O151" s="2">
        <f ca="1"/>
        <v>0.10990866246489987</v>
      </c>
      <c r="X151" s="2">
        <f ca="1"/>
        <v>28.444506588215653</v>
      </c>
      <c r="AG151" s="2">
        <f ca="1"/>
        <v>0.1629530431946562</v>
      </c>
      <c r="AH151" s="2" t="str">
        <f ca="1"/>
        <v>OK</v>
      </c>
    </row>
    <row r="152" spans="2:34" x14ac:dyDescent="0.2">
      <c r="B152" s="2">
        <f ca="1"/>
        <v>0.95627394096897755</v>
      </c>
      <c r="O152" s="2">
        <f ca="1"/>
        <v>8.6906006547742637E-2</v>
      </c>
      <c r="X152" s="2">
        <f ca="1"/>
        <v>28.704885329514557</v>
      </c>
      <c r="AG152" s="2">
        <f ca="1"/>
        <v>0.8714572956765072</v>
      </c>
      <c r="AH152" s="2" t="str">
        <f ca="1"/>
        <v>Bad</v>
      </c>
    </row>
    <row r="153" spans="2:34" x14ac:dyDescent="0.2">
      <c r="B153" s="2">
        <f ca="1"/>
        <v>0.3561629240562485</v>
      </c>
      <c r="O153" s="2">
        <f ca="1"/>
        <v>2.9323483187770786E-2</v>
      </c>
      <c r="X153" s="2">
        <f ca="1"/>
        <v>54.322752085982337</v>
      </c>
      <c r="AG153" s="2">
        <f ca="1"/>
        <v>0.69916517354008256</v>
      </c>
      <c r="AH153" s="2" t="str">
        <f ca="1"/>
        <v>Bad</v>
      </c>
    </row>
    <row r="154" spans="2:34" x14ac:dyDescent="0.2">
      <c r="B154" s="2">
        <f ca="1"/>
        <v>0.57698794118578078</v>
      </c>
      <c r="O154" s="2">
        <f ca="1"/>
        <v>-0.48850145817097274</v>
      </c>
      <c r="X154" s="2">
        <f ca="1"/>
        <v>52.929698337048798</v>
      </c>
      <c r="AG154" s="2">
        <f ca="1"/>
        <v>0.41321738936177699</v>
      </c>
      <c r="AH154" s="2" t="str">
        <f ca="1"/>
        <v>Bad</v>
      </c>
    </row>
    <row r="155" spans="2:34" x14ac:dyDescent="0.2">
      <c r="B155" s="2">
        <f ca="1"/>
        <v>7.5147262302148299E-2</v>
      </c>
      <c r="O155" s="2">
        <f ca="1"/>
        <v>1.0520598173685747</v>
      </c>
      <c r="X155" s="2">
        <f ca="1"/>
        <v>42.487437218308884</v>
      </c>
      <c r="AG155" s="2">
        <f ca="1"/>
        <v>0.76804390564713843</v>
      </c>
      <c r="AH155" s="2" t="str">
        <f ca="1"/>
        <v>Bad</v>
      </c>
    </row>
    <row r="156" spans="2:34" x14ac:dyDescent="0.2">
      <c r="B156" s="2">
        <f ca="1"/>
        <v>0.37225589228606371</v>
      </c>
      <c r="O156" s="2">
        <f ca="1"/>
        <v>0.26582325036466281</v>
      </c>
      <c r="X156" s="2">
        <f ca="1"/>
        <v>42.044917992633309</v>
      </c>
      <c r="AG156" s="2">
        <f ca="1"/>
        <v>0.77093008584328659</v>
      </c>
      <c r="AH156" s="2" t="str">
        <f ca="1"/>
        <v>Bad</v>
      </c>
    </row>
    <row r="157" spans="2:34" x14ac:dyDescent="0.2">
      <c r="B157" s="2">
        <f ca="1"/>
        <v>0.62582467918739848</v>
      </c>
      <c r="O157" s="2">
        <f ca="1"/>
        <v>-0.9826710256608796</v>
      </c>
      <c r="X157" s="2">
        <f ca="1"/>
        <v>68.070279039405307</v>
      </c>
      <c r="AG157" s="2">
        <f ca="1"/>
        <v>3.8583971739378331E-2</v>
      </c>
      <c r="AH157" s="2" t="str">
        <f ca="1"/>
        <v>Good</v>
      </c>
    </row>
    <row r="158" spans="2:34" x14ac:dyDescent="0.2">
      <c r="B158" s="2">
        <f ca="1"/>
        <v>0.99433891762843007</v>
      </c>
      <c r="O158" s="2">
        <f ca="1"/>
        <v>0.41850624321623964</v>
      </c>
      <c r="X158" s="2">
        <f ca="1"/>
        <v>42.645265146875161</v>
      </c>
      <c r="AG158" s="2">
        <f ca="1"/>
        <v>0.36284592003872618</v>
      </c>
      <c r="AH158" s="2" t="str">
        <f ca="1"/>
        <v>OK</v>
      </c>
    </row>
    <row r="159" spans="2:34" x14ac:dyDescent="0.2">
      <c r="B159" s="2">
        <f ca="1"/>
        <v>0.49850142248196616</v>
      </c>
      <c r="O159" s="2">
        <f ca="1"/>
        <v>-0.75532962408942306</v>
      </c>
      <c r="X159" s="2">
        <f ca="1"/>
        <v>52.526307150710061</v>
      </c>
      <c r="AG159" s="2">
        <f ca="1"/>
        <v>0.10193166662984732</v>
      </c>
      <c r="AH159" s="2" t="str">
        <f ca="1"/>
        <v>OK</v>
      </c>
    </row>
    <row r="160" spans="2:34" x14ac:dyDescent="0.2">
      <c r="B160" s="2">
        <f ca="1"/>
        <v>0.70390876137975078</v>
      </c>
      <c r="O160" s="2">
        <f ca="1"/>
        <v>0.31118043622661246</v>
      </c>
      <c r="X160" s="2">
        <f ca="1"/>
        <v>55.822344849931838</v>
      </c>
      <c r="AG160" s="2">
        <f ca="1"/>
        <v>0.74526439137026879</v>
      </c>
      <c r="AH160" s="2" t="str">
        <f ca="1"/>
        <v>Bad</v>
      </c>
    </row>
    <row r="161" spans="2:34" x14ac:dyDescent="0.2">
      <c r="B161" s="2">
        <f ca="1"/>
        <v>0.44172512802576702</v>
      </c>
      <c r="O161" s="2">
        <f ca="1"/>
        <v>-0.83458775713633793</v>
      </c>
      <c r="X161" s="2">
        <f ca="1"/>
        <v>44.969088337550971</v>
      </c>
      <c r="AG161" s="2">
        <f ca="1"/>
        <v>0.65279365657192923</v>
      </c>
      <c r="AH161" s="2" t="str">
        <f ca="1"/>
        <v>Bad</v>
      </c>
    </row>
    <row r="162" spans="2:34" x14ac:dyDescent="0.2">
      <c r="B162" s="2">
        <f ca="1"/>
        <v>0.40729112025496894</v>
      </c>
      <c r="O162" s="2">
        <f ca="1"/>
        <v>-1.3210319144141631</v>
      </c>
      <c r="X162" s="2">
        <f ca="1"/>
        <v>50.048526374639629</v>
      </c>
      <c r="AG162" s="2">
        <f ca="1"/>
        <v>9.358946897731002E-2</v>
      </c>
      <c r="AH162" s="2" t="str">
        <f ca="1"/>
        <v>OK</v>
      </c>
    </row>
    <row r="163" spans="2:34" x14ac:dyDescent="0.2">
      <c r="B163" s="2">
        <f ca="1"/>
        <v>0.52389974651027682</v>
      </c>
      <c r="O163" s="2">
        <f ca="1"/>
        <v>0.38422060889194354</v>
      </c>
      <c r="X163" s="2">
        <f ca="1"/>
        <v>54.231496307023697</v>
      </c>
      <c r="AG163" s="2">
        <f ca="1"/>
        <v>0.82319762264936269</v>
      </c>
      <c r="AH163" s="2" t="str">
        <f ca="1"/>
        <v>Bad</v>
      </c>
    </row>
    <row r="164" spans="2:34" x14ac:dyDescent="0.2">
      <c r="B164" s="2">
        <f ca="1"/>
        <v>0.53495898307005008</v>
      </c>
      <c r="O164" s="2">
        <f ca="1"/>
        <v>1.3253138028181437</v>
      </c>
      <c r="X164" s="2">
        <f ca="1"/>
        <v>65.710934281231616</v>
      </c>
      <c r="AG164" s="2">
        <f ca="1"/>
        <v>0.77381040016870895</v>
      </c>
      <c r="AH164" s="2" t="str">
        <f ca="1"/>
        <v>Bad</v>
      </c>
    </row>
    <row r="165" spans="2:34" x14ac:dyDescent="0.2">
      <c r="B165" s="2">
        <f ca="1"/>
        <v>0.58135525416093903</v>
      </c>
      <c r="O165" s="2">
        <f ca="1"/>
        <v>-0.41578834029637873</v>
      </c>
      <c r="X165" s="2">
        <f ca="1"/>
        <v>51.794707654104457</v>
      </c>
      <c r="AG165" s="2">
        <f ca="1"/>
        <v>0.57483635707851399</v>
      </c>
      <c r="AH165" s="2" t="str">
        <f ca="1"/>
        <v>Bad</v>
      </c>
    </row>
    <row r="166" spans="2:34" x14ac:dyDescent="0.2">
      <c r="B166" s="2">
        <f ca="1"/>
        <v>0.83211867847487198</v>
      </c>
      <c r="O166" s="2">
        <f ca="1"/>
        <v>-0.68002567718609819</v>
      </c>
      <c r="X166" s="2">
        <f ca="1"/>
        <v>29.116435012147747</v>
      </c>
      <c r="AG166" s="2">
        <f ca="1"/>
        <v>0.68906854813550744</v>
      </c>
      <c r="AH166" s="2" t="str">
        <f ca="1"/>
        <v>Bad</v>
      </c>
    </row>
    <row r="167" spans="2:34" x14ac:dyDescent="0.2">
      <c r="B167" s="2">
        <f ca="1"/>
        <v>0.28384776216427676</v>
      </c>
      <c r="O167" s="2">
        <f ca="1"/>
        <v>-2.1298534367868904</v>
      </c>
      <c r="X167" s="2">
        <f ca="1"/>
        <v>75.297052493975286</v>
      </c>
      <c r="AG167" s="2">
        <f ca="1"/>
        <v>0.32779766892618789</v>
      </c>
      <c r="AH167" s="2" t="str">
        <f ca="1"/>
        <v>OK</v>
      </c>
    </row>
    <row r="168" spans="2:34" x14ac:dyDescent="0.2">
      <c r="B168" s="2">
        <f ca="1"/>
        <v>0.54758509692719892</v>
      </c>
      <c r="O168" s="2">
        <f ca="1"/>
        <v>7.3277122254102003E-2</v>
      </c>
      <c r="X168" s="2">
        <f ca="1"/>
        <v>47.146933113599118</v>
      </c>
      <c r="AG168" s="2">
        <f ca="1"/>
        <v>0.49647732419997981</v>
      </c>
      <c r="AH168" s="2" t="str">
        <f ca="1"/>
        <v>Bad</v>
      </c>
    </row>
    <row r="169" spans="2:34" x14ac:dyDescent="0.2">
      <c r="B169" s="2">
        <f ca="1"/>
        <v>0.15031057526264968</v>
      </c>
      <c r="O169" s="2">
        <f ca="1"/>
        <v>8.1712873332771926E-2</v>
      </c>
      <c r="X169" s="2">
        <f ca="1"/>
        <v>49.846043269587533</v>
      </c>
      <c r="AG169" s="2">
        <f ca="1"/>
        <v>0.21901136902532858</v>
      </c>
      <c r="AH169" s="2" t="str">
        <f ca="1"/>
        <v>OK</v>
      </c>
    </row>
    <row r="170" spans="2:34" x14ac:dyDescent="0.2">
      <c r="B170" s="2">
        <f ca="1"/>
        <v>7.0499878069182342E-2</v>
      </c>
      <c r="O170" s="2">
        <f ca="1"/>
        <v>1.1113784947551606</v>
      </c>
      <c r="X170" s="2">
        <f ca="1"/>
        <v>43.571387559551049</v>
      </c>
      <c r="AG170" s="2">
        <f ca="1"/>
        <v>0.48197295705181054</v>
      </c>
      <c r="AH170" s="2" t="str">
        <f ca="1"/>
        <v>Bad</v>
      </c>
    </row>
    <row r="171" spans="2:34" x14ac:dyDescent="0.2">
      <c r="B171" s="2">
        <f ca="1"/>
        <v>0.30028625955571697</v>
      </c>
      <c r="O171" s="2">
        <f ca="1"/>
        <v>0.45265172227364625</v>
      </c>
      <c r="X171" s="2">
        <f ca="1"/>
        <v>58.131185922467346</v>
      </c>
      <c r="AG171" s="2">
        <f ca="1"/>
        <v>0.46395437351091151</v>
      </c>
      <c r="AH171" s="2" t="str">
        <f ca="1"/>
        <v>Bad</v>
      </c>
    </row>
    <row r="172" spans="2:34" x14ac:dyDescent="0.2">
      <c r="B172" s="2">
        <f ca="1"/>
        <v>0.23889176478311747</v>
      </c>
      <c r="O172" s="2">
        <f ca="1"/>
        <v>0.43553748107678864</v>
      </c>
      <c r="X172" s="2">
        <f ca="1"/>
        <v>60.978256732374902</v>
      </c>
      <c r="AG172" s="2">
        <f ca="1"/>
        <v>0.97774245989109265</v>
      </c>
      <c r="AH172" s="2" t="str">
        <f ca="1"/>
        <v>Bad</v>
      </c>
    </row>
    <row r="173" spans="2:34" x14ac:dyDescent="0.2">
      <c r="B173" s="2">
        <f ca="1"/>
        <v>3.5415671898183732E-2</v>
      </c>
      <c r="O173" s="2">
        <f ca="1"/>
        <v>1.6178928872393119</v>
      </c>
      <c r="X173" s="2">
        <f ca="1"/>
        <v>78.203361209035577</v>
      </c>
      <c r="AG173" s="2">
        <f ca="1"/>
        <v>0.63899867571028679</v>
      </c>
      <c r="AH173" s="2" t="str">
        <f ca="1"/>
        <v>Bad</v>
      </c>
    </row>
    <row r="174" spans="2:34" x14ac:dyDescent="0.2">
      <c r="B174" s="2">
        <f ca="1"/>
        <v>0.98952982217841501</v>
      </c>
      <c r="O174" s="2">
        <f ca="1"/>
        <v>-0.15134646741465407</v>
      </c>
      <c r="X174" s="2">
        <f ca="1"/>
        <v>43.402471426018472</v>
      </c>
      <c r="AG174" s="2">
        <f ca="1"/>
        <v>0.3651801074939407</v>
      </c>
      <c r="AH174" s="2" t="str">
        <f ca="1"/>
        <v>OK</v>
      </c>
    </row>
    <row r="175" spans="2:34" x14ac:dyDescent="0.2">
      <c r="B175" s="2">
        <f ca="1"/>
        <v>0.40077314390216334</v>
      </c>
      <c r="O175" s="2">
        <f ca="1"/>
        <v>0.13301070400612539</v>
      </c>
      <c r="X175" s="2">
        <f ca="1"/>
        <v>63.40904978515993</v>
      </c>
      <c r="AG175" s="2">
        <f ca="1"/>
        <v>0.90981594255838649</v>
      </c>
      <c r="AH175" s="2" t="str">
        <f ca="1"/>
        <v>Bad</v>
      </c>
    </row>
    <row r="176" spans="2:34" x14ac:dyDescent="0.2">
      <c r="B176" s="2">
        <f ca="1"/>
        <v>0.55238561047593771</v>
      </c>
      <c r="O176" s="2">
        <f ca="1"/>
        <v>-0.38641497543080849</v>
      </c>
      <c r="X176" s="2">
        <f ca="1"/>
        <v>31.251997501549692</v>
      </c>
      <c r="AG176" s="2">
        <f ca="1"/>
        <v>2.3506669453622342E-2</v>
      </c>
      <c r="AH176" s="2" t="str">
        <f ca="1"/>
        <v>Good</v>
      </c>
    </row>
    <row r="177" spans="2:34" x14ac:dyDescent="0.2">
      <c r="B177" s="2">
        <f ca="1"/>
        <v>0.71193471123627572</v>
      </c>
      <c r="O177" s="2">
        <f ca="1"/>
        <v>-0.12087643829339395</v>
      </c>
      <c r="X177" s="2">
        <f ca="1"/>
        <v>48.543977796404874</v>
      </c>
      <c r="AG177" s="2">
        <f ca="1"/>
        <v>0.87985564333082844</v>
      </c>
      <c r="AH177" s="2" t="str">
        <f ca="1"/>
        <v>Bad</v>
      </c>
    </row>
    <row r="178" spans="2:34" x14ac:dyDescent="0.2">
      <c r="B178" s="2">
        <f ca="1"/>
        <v>8.1664592892643162E-2</v>
      </c>
      <c r="O178" s="2">
        <f ca="1"/>
        <v>-0.82438288189420017</v>
      </c>
      <c r="X178" s="2">
        <f ca="1"/>
        <v>55.295830832304951</v>
      </c>
      <c r="AG178" s="2">
        <f ca="1"/>
        <v>0.29237557425950333</v>
      </c>
      <c r="AH178" s="2" t="str">
        <f ca="1"/>
        <v>OK</v>
      </c>
    </row>
    <row r="179" spans="2:34" x14ac:dyDescent="0.2">
      <c r="B179" s="2">
        <f ca="1"/>
        <v>0.74492277804076723</v>
      </c>
      <c r="O179" s="2">
        <f ca="1"/>
        <v>-0.82926927279564522</v>
      </c>
      <c r="X179" s="2">
        <f ca="1"/>
        <v>37.532001198109242</v>
      </c>
      <c r="AG179" s="2">
        <f ca="1"/>
        <v>0.81582632035005709</v>
      </c>
      <c r="AH179" s="2" t="str">
        <f ca="1"/>
        <v>Bad</v>
      </c>
    </row>
    <row r="180" spans="2:34" x14ac:dyDescent="0.2">
      <c r="B180" s="2">
        <f ca="1"/>
        <v>0.20082706470350797</v>
      </c>
      <c r="O180" s="2">
        <f ca="1"/>
        <v>-0.48520925937167519</v>
      </c>
      <c r="X180" s="2">
        <f ca="1"/>
        <v>68.506306648123982</v>
      </c>
      <c r="AG180" s="2">
        <f ca="1"/>
        <v>6.5327023584603072E-2</v>
      </c>
      <c r="AH180" s="2" t="str">
        <f ca="1"/>
        <v>OK</v>
      </c>
    </row>
    <row r="181" spans="2:34" x14ac:dyDescent="0.2">
      <c r="B181" s="2">
        <f ca="1"/>
        <v>0.13508312478573314</v>
      </c>
      <c r="O181" s="2">
        <f ca="1"/>
        <v>-0.22183706717077342</v>
      </c>
      <c r="X181" s="2">
        <f ca="1"/>
        <v>35.70250319369157</v>
      </c>
      <c r="AG181" s="2">
        <f ca="1"/>
        <v>0.44970044546421972</v>
      </c>
      <c r="AH181" s="2" t="str">
        <f ca="1"/>
        <v>Bad</v>
      </c>
    </row>
    <row r="182" spans="2:34" x14ac:dyDescent="0.2">
      <c r="B182" s="2">
        <f ca="1"/>
        <v>0.41147012520435466</v>
      </c>
      <c r="O182" s="2">
        <f ca="1"/>
        <v>-0.93946895637192962</v>
      </c>
      <c r="X182" s="2">
        <f ca="1"/>
        <v>68.649082167894704</v>
      </c>
      <c r="AG182" s="2">
        <f ca="1"/>
        <v>0.89554163980301582</v>
      </c>
      <c r="AH182" s="2" t="str">
        <f ca="1"/>
        <v>Bad</v>
      </c>
    </row>
    <row r="183" spans="2:34" x14ac:dyDescent="0.2">
      <c r="B183" s="2">
        <f ca="1"/>
        <v>0.88386282545231731</v>
      </c>
      <c r="O183" s="2">
        <f ca="1"/>
        <v>-0.98027352083820096</v>
      </c>
      <c r="X183" s="2">
        <f ca="1"/>
        <v>41.264064291748561</v>
      </c>
      <c r="AG183" s="2">
        <f ca="1"/>
        <v>0.84945422513368007</v>
      </c>
      <c r="AH183" s="2" t="str">
        <f ca="1"/>
        <v>Bad</v>
      </c>
    </row>
    <row r="184" spans="2:34" x14ac:dyDescent="0.2">
      <c r="B184" s="2">
        <f ca="1"/>
        <v>0.65544674609541209</v>
      </c>
      <c r="O184" s="2">
        <f ca="1"/>
        <v>0.77456290469642297</v>
      </c>
      <c r="X184" s="2">
        <f ca="1"/>
        <v>32.958252239552138</v>
      </c>
      <c r="AG184" s="2">
        <f ca="1"/>
        <v>2.0195754815804268E-2</v>
      </c>
      <c r="AH184" s="2" t="str">
        <f ca="1"/>
        <v>Good</v>
      </c>
    </row>
    <row r="185" spans="2:34" x14ac:dyDescent="0.2">
      <c r="B185" s="2">
        <f ca="1"/>
        <v>0.96084957187266729</v>
      </c>
      <c r="O185" s="2">
        <f ca="1"/>
        <v>-1.1985341582673952</v>
      </c>
      <c r="X185" s="2">
        <f ca="1"/>
        <v>56.121920945916919</v>
      </c>
      <c r="AG185" s="2">
        <f ca="1"/>
        <v>0.84424490316440903</v>
      </c>
      <c r="AH185" s="2" t="str">
        <f ca="1"/>
        <v>Bad</v>
      </c>
    </row>
    <row r="186" spans="2:34" x14ac:dyDescent="0.2">
      <c r="B186" s="2">
        <f ca="1"/>
        <v>0.42039968804695049</v>
      </c>
      <c r="O186" s="2">
        <f ca="1"/>
        <v>-1.4406196452693587</v>
      </c>
      <c r="X186" s="2">
        <f ca="1"/>
        <v>67.713209395383473</v>
      </c>
      <c r="AG186" s="2">
        <f ca="1"/>
        <v>1.3185917822082116E-2</v>
      </c>
      <c r="AH186" s="2" t="str">
        <f ca="1"/>
        <v>Good</v>
      </c>
    </row>
    <row r="187" spans="2:34" x14ac:dyDescent="0.2">
      <c r="B187" s="2">
        <f ca="1"/>
        <v>0.18314849853962878</v>
      </c>
      <c r="O187" s="2">
        <f ca="1"/>
        <v>0.69811644570546483</v>
      </c>
      <c r="X187" s="2">
        <f ca="1"/>
        <v>56.726747575666245</v>
      </c>
      <c r="AG187" s="2">
        <f ca="1"/>
        <v>0.91011136715001384</v>
      </c>
      <c r="AH187" s="2" t="str">
        <f ca="1"/>
        <v>Bad</v>
      </c>
    </row>
    <row r="188" spans="2:34" x14ac:dyDescent="0.2">
      <c r="B188" s="2">
        <f ca="1"/>
        <v>0.71536892943475139</v>
      </c>
      <c r="O188" s="2">
        <f ca="1"/>
        <v>-5.4487030087243447E-2</v>
      </c>
      <c r="X188" s="2">
        <f ca="1"/>
        <v>36.278549578059611</v>
      </c>
      <c r="AG188" s="2">
        <f ca="1"/>
        <v>0.96461451692986588</v>
      </c>
      <c r="AH188" s="2" t="str">
        <f ca="1"/>
        <v>Bad</v>
      </c>
    </row>
    <row r="189" spans="2:34" x14ac:dyDescent="0.2">
      <c r="B189" s="2">
        <f ca="1"/>
        <v>0.53755390135800063</v>
      </c>
      <c r="O189" s="2">
        <f ca="1"/>
        <v>-0.56916914489634285</v>
      </c>
      <c r="X189" s="2">
        <f ca="1"/>
        <v>40.594307317759608</v>
      </c>
      <c r="AG189" s="2">
        <f ca="1"/>
        <v>0.98301441030276604</v>
      </c>
      <c r="AH189" s="2" t="str">
        <f ca="1"/>
        <v>Bad</v>
      </c>
    </row>
    <row r="190" spans="2:34" x14ac:dyDescent="0.2">
      <c r="B190" s="2">
        <f ca="1"/>
        <v>0.159116938661646</v>
      </c>
      <c r="O190" s="2">
        <f ca="1"/>
        <v>0.78886818618850285</v>
      </c>
      <c r="X190" s="2">
        <f ca="1"/>
        <v>50.764643477390486</v>
      </c>
      <c r="AG190" s="2">
        <f ca="1"/>
        <v>0.58048149806086657</v>
      </c>
      <c r="AH190" s="2" t="str">
        <f ca="1"/>
        <v>Bad</v>
      </c>
    </row>
    <row r="191" spans="2:34" x14ac:dyDescent="0.2">
      <c r="B191" s="2">
        <f ca="1"/>
        <v>0.91985936945444258</v>
      </c>
      <c r="O191" s="2">
        <f ca="1"/>
        <v>1.2936098817738195</v>
      </c>
      <c r="X191" s="2">
        <f ca="1"/>
        <v>63.198245643372097</v>
      </c>
      <c r="AG191" s="2">
        <f ca="1"/>
        <v>0.92692608912689689</v>
      </c>
      <c r="AH191" s="2" t="str">
        <f ca="1"/>
        <v>Bad</v>
      </c>
    </row>
    <row r="192" spans="2:34" x14ac:dyDescent="0.2">
      <c r="B192" s="2">
        <f ca="1"/>
        <v>0.90250229274839699</v>
      </c>
      <c r="O192" s="2">
        <f ca="1"/>
        <v>1.5695975838679699</v>
      </c>
      <c r="X192" s="2">
        <f ca="1"/>
        <v>76.06594023491796</v>
      </c>
      <c r="AG192" s="2">
        <f ca="1"/>
        <v>0.98437439772925228</v>
      </c>
      <c r="AH192" s="2" t="str">
        <f ca="1"/>
        <v>Bad</v>
      </c>
    </row>
    <row r="193" spans="2:34" x14ac:dyDescent="0.2">
      <c r="B193" s="2">
        <f ca="1"/>
        <v>0.38610276915753672</v>
      </c>
      <c r="O193" s="2">
        <f ca="1"/>
        <v>-1.0939373775425456</v>
      </c>
      <c r="X193" s="2">
        <f ca="1"/>
        <v>57.684855643466371</v>
      </c>
      <c r="AG193" s="2">
        <f ca="1"/>
        <v>0.43204310431559478</v>
      </c>
      <c r="AH193" s="2" t="str">
        <f ca="1"/>
        <v>Bad</v>
      </c>
    </row>
    <row r="194" spans="2:34" x14ac:dyDescent="0.2">
      <c r="B194" s="2">
        <f ca="1"/>
        <v>0.98776601173659873</v>
      </c>
      <c r="O194" s="2">
        <f ca="1"/>
        <v>0.30582221943252724</v>
      </c>
      <c r="X194" s="2">
        <f ca="1"/>
        <v>51.122638095078869</v>
      </c>
      <c r="AG194" s="2">
        <f ca="1"/>
        <v>0.95915077441792929</v>
      </c>
      <c r="AH194" s="2" t="str">
        <f ca="1"/>
        <v>Bad</v>
      </c>
    </row>
    <row r="195" spans="2:34" x14ac:dyDescent="0.2">
      <c r="B195" s="2">
        <f ca="1"/>
        <v>0.10534036359436927</v>
      </c>
      <c r="O195" s="2">
        <f ca="1"/>
        <v>-0.74865690873103174</v>
      </c>
      <c r="X195" s="2">
        <f ca="1"/>
        <v>75.724509186833089</v>
      </c>
      <c r="AG195" s="2">
        <f ca="1"/>
        <v>0.94380697401541958</v>
      </c>
      <c r="AH195" s="2" t="str">
        <f ca="1"/>
        <v>Bad</v>
      </c>
    </row>
    <row r="196" spans="2:34" x14ac:dyDescent="0.2">
      <c r="B196" s="2">
        <f ca="1"/>
        <v>0.26812389735106756</v>
      </c>
      <c r="O196" s="2">
        <f ca="1"/>
        <v>0.92248962151847813</v>
      </c>
      <c r="X196" s="2">
        <f ca="1"/>
        <v>37.969125913532899</v>
      </c>
      <c r="AG196" s="2">
        <f ca="1"/>
        <v>0.53391078863917318</v>
      </c>
      <c r="AH196" s="2" t="str">
        <f ca="1"/>
        <v>Bad</v>
      </c>
    </row>
    <row r="197" spans="2:34" x14ac:dyDescent="0.2">
      <c r="B197" s="2">
        <f ca="1"/>
        <v>0.10204894277009879</v>
      </c>
      <c r="O197" s="2">
        <f ca="1"/>
        <v>-1.0156617523591094</v>
      </c>
      <c r="X197" s="2">
        <f ca="1"/>
        <v>34.153619117683675</v>
      </c>
      <c r="AG197" s="2">
        <f ca="1"/>
        <v>0.62188288775583223</v>
      </c>
      <c r="AH197" s="2" t="str">
        <f ca="1"/>
        <v>Bad</v>
      </c>
    </row>
    <row r="198" spans="2:34" x14ac:dyDescent="0.2">
      <c r="B198" s="2">
        <f ca="1"/>
        <v>0.30731430402021886</v>
      </c>
      <c r="O198" s="2">
        <f ca="1"/>
        <v>-0.37498162545258695</v>
      </c>
      <c r="X198" s="2">
        <f ca="1"/>
        <v>37.27578015401437</v>
      </c>
      <c r="AG198" s="2">
        <f ca="1"/>
        <v>0.85543521920746346</v>
      </c>
      <c r="AH198" s="2" t="str">
        <f ca="1"/>
        <v>Bad</v>
      </c>
    </row>
    <row r="199" spans="2:34" x14ac:dyDescent="0.2">
      <c r="B199" s="2">
        <f ca="1"/>
        <v>3.8945439397410908E-2</v>
      </c>
      <c r="O199" s="2">
        <f ca="1"/>
        <v>0.20046465032412095</v>
      </c>
      <c r="X199" s="2">
        <f ca="1"/>
        <v>58.419556574491942</v>
      </c>
      <c r="AG199" s="2">
        <f ca="1"/>
        <v>0.94894594036012081</v>
      </c>
      <c r="AH199" s="2" t="str">
        <f ca="1"/>
        <v>Bad</v>
      </c>
    </row>
    <row r="200" spans="2:34" x14ac:dyDescent="0.2">
      <c r="B200" s="2">
        <f ca="1"/>
        <v>0.88519489183285582</v>
      </c>
      <c r="O200" s="2">
        <f ca="1"/>
        <v>1.0405189971079498</v>
      </c>
      <c r="X200" s="2">
        <f ca="1"/>
        <v>38.438188661821727</v>
      </c>
      <c r="AG200" s="2">
        <f ca="1"/>
        <v>0.21947549182800308</v>
      </c>
      <c r="AH200" s="2" t="str">
        <f ca="1"/>
        <v>OK</v>
      </c>
    </row>
    <row r="201" spans="2:34" x14ac:dyDescent="0.2">
      <c r="B201" s="2">
        <f ca="1"/>
        <v>0.48911941834758288</v>
      </c>
      <c r="O201" s="2">
        <f ca="1"/>
        <v>-0.378428871178074</v>
      </c>
      <c r="X201" s="2">
        <f ca="1"/>
        <v>41.355160884165571</v>
      </c>
      <c r="AG201" s="2">
        <f ca="1"/>
        <v>5.7536279748306329E-2</v>
      </c>
      <c r="AH201" s="2" t="str">
        <f ca="1"/>
        <v>OK</v>
      </c>
    </row>
    <row r="202" spans="2:34" x14ac:dyDescent="0.2">
      <c r="B202" s="2">
        <f ca="1"/>
        <v>0.61262437716416285</v>
      </c>
      <c r="O202" s="2">
        <f ca="1"/>
        <v>0.65029169174664136</v>
      </c>
      <c r="X202" s="2">
        <f ca="1"/>
        <v>70.679425766747045</v>
      </c>
      <c r="AG202" s="2">
        <f ca="1"/>
        <v>0.28894972893166426</v>
      </c>
      <c r="AH202" s="2" t="str">
        <f ca="1"/>
        <v>OK</v>
      </c>
    </row>
    <row r="203" spans="2:34" x14ac:dyDescent="0.2">
      <c r="B203" s="2">
        <f ca="1"/>
        <v>0.47561724050383658</v>
      </c>
      <c r="O203" s="2">
        <f ca="1"/>
        <v>-0.62240370633804776</v>
      </c>
      <c r="X203" s="2">
        <f ca="1"/>
        <v>76.538418583830335</v>
      </c>
      <c r="AG203" s="2">
        <f ca="1"/>
        <v>0.71437772524346221</v>
      </c>
      <c r="AH203" s="2" t="str">
        <f ca="1"/>
        <v>Bad</v>
      </c>
    </row>
    <row r="204" spans="2:34" x14ac:dyDescent="0.2">
      <c r="B204" s="2">
        <f ca="1"/>
        <v>0.18328972332355487</v>
      </c>
      <c r="O204" s="2">
        <f ca="1"/>
        <v>0.75926782754320166</v>
      </c>
      <c r="X204" s="2">
        <f ca="1"/>
        <v>43.325582117244551</v>
      </c>
      <c r="AG204" s="2">
        <f ca="1"/>
        <v>0.69317446807862138</v>
      </c>
      <c r="AH204" s="2" t="str">
        <f ca="1"/>
        <v>Bad</v>
      </c>
    </row>
    <row r="205" spans="2:34" x14ac:dyDescent="0.2">
      <c r="B205" s="2">
        <f ca="1"/>
        <v>0.28628564700839432</v>
      </c>
      <c r="O205" s="2">
        <f ca="1"/>
        <v>1.5953319069811793</v>
      </c>
      <c r="X205" s="2">
        <f ca="1"/>
        <v>60.0450157512511</v>
      </c>
      <c r="AG205" s="2">
        <f ca="1"/>
        <v>0.48912670237384925</v>
      </c>
      <c r="AH205" s="2" t="str">
        <f ca="1"/>
        <v>Bad</v>
      </c>
    </row>
    <row r="206" spans="2:34" x14ac:dyDescent="0.2">
      <c r="B206" s="2">
        <f ca="1"/>
        <v>0.85829874116074678</v>
      </c>
      <c r="O206" s="2">
        <f ca="1"/>
        <v>-1.1724379218594378</v>
      </c>
      <c r="X206" s="2">
        <f ca="1"/>
        <v>25.144244704897943</v>
      </c>
      <c r="AG206" s="2">
        <f ca="1"/>
        <v>3.7570424404244296E-2</v>
      </c>
      <c r="AH206" s="2" t="str">
        <f ca="1"/>
        <v>Good</v>
      </c>
    </row>
    <row r="207" spans="2:34" x14ac:dyDescent="0.2">
      <c r="B207" s="2">
        <f ca="1"/>
        <v>0.23317858517953138</v>
      </c>
      <c r="O207" s="2">
        <f ca="1"/>
        <v>-1.2441998261605542</v>
      </c>
      <c r="X207" s="2">
        <f ca="1"/>
        <v>45.610556469170817</v>
      </c>
      <c r="AG207" s="2">
        <f ca="1"/>
        <v>0.93619050060104136</v>
      </c>
      <c r="AH207" s="2" t="str">
        <f ca="1"/>
        <v>Bad</v>
      </c>
    </row>
    <row r="208" spans="2:34" x14ac:dyDescent="0.2">
      <c r="B208" s="2">
        <f ca="1"/>
        <v>0.39549091496732158</v>
      </c>
      <c r="O208" s="2">
        <f ca="1"/>
        <v>0.87410178833470931</v>
      </c>
      <c r="X208" s="2">
        <f ca="1"/>
        <v>82.718196857119608</v>
      </c>
      <c r="AG208" s="2">
        <f ca="1"/>
        <v>0.71425490632350108</v>
      </c>
      <c r="AH208" s="2" t="str">
        <f ca="1"/>
        <v>Bad</v>
      </c>
    </row>
    <row r="209" spans="2:34" x14ac:dyDescent="0.2">
      <c r="B209" s="2">
        <f ca="1"/>
        <v>0.47824140766571666</v>
      </c>
      <c r="O209" s="2">
        <f ca="1"/>
        <v>-1.9516891602407511</v>
      </c>
      <c r="X209" s="2">
        <f ca="1"/>
        <v>23.043246546692686</v>
      </c>
      <c r="AG209" s="2">
        <f ca="1"/>
        <v>0.62682450637265608</v>
      </c>
      <c r="AH209" s="2" t="str">
        <f ca="1"/>
        <v>Bad</v>
      </c>
    </row>
    <row r="210" spans="2:34" x14ac:dyDescent="0.2">
      <c r="B210" s="2">
        <f ca="1"/>
        <v>0.96753972321799675</v>
      </c>
      <c r="O210" s="2">
        <f ca="1"/>
        <v>-1.0696778463452652</v>
      </c>
      <c r="X210" s="2">
        <f ca="1"/>
        <v>61.043293230035019</v>
      </c>
      <c r="AG210" s="2">
        <f ca="1"/>
        <v>0.68643154160579289</v>
      </c>
      <c r="AH210" s="2" t="str">
        <f ca="1"/>
        <v>Bad</v>
      </c>
    </row>
    <row r="211" spans="2:34" x14ac:dyDescent="0.2">
      <c r="B211" s="2">
        <f ca="1"/>
        <v>0.35098272036132072</v>
      </c>
      <c r="O211" s="2">
        <f ca="1"/>
        <v>1.1300870924631661</v>
      </c>
      <c r="X211" s="2">
        <f ca="1"/>
        <v>50.487537042433061</v>
      </c>
      <c r="AG211" s="2">
        <f ca="1"/>
        <v>0.46704388598071223</v>
      </c>
      <c r="AH211" s="2" t="str">
        <f ca="1"/>
        <v>Bad</v>
      </c>
    </row>
    <row r="212" spans="2:34" x14ac:dyDescent="0.2">
      <c r="B212" s="2">
        <f ca="1"/>
        <v>0.54679490615690973</v>
      </c>
      <c r="O212" s="2">
        <f ca="1"/>
        <v>9.1662455430450318E-2</v>
      </c>
      <c r="X212" s="2">
        <f ca="1"/>
        <v>27.08509535726272</v>
      </c>
      <c r="AG212" s="2">
        <f ca="1"/>
        <v>0.47555445686409592</v>
      </c>
      <c r="AH212" s="2" t="str">
        <f ca="1"/>
        <v>Bad</v>
      </c>
    </row>
    <row r="213" spans="2:34" x14ac:dyDescent="0.2">
      <c r="B213" s="2">
        <f ca="1"/>
        <v>0.34858265796763876</v>
      </c>
      <c r="O213" s="2">
        <f ca="1"/>
        <v>-0.52253783568103362</v>
      </c>
      <c r="X213" s="2">
        <f ca="1"/>
        <v>72.990393644636214</v>
      </c>
      <c r="AG213" s="2">
        <f ca="1"/>
        <v>7.8909312611231686E-2</v>
      </c>
      <c r="AH213" s="2" t="str">
        <f ca="1"/>
        <v>OK</v>
      </c>
    </row>
    <row r="214" spans="2:34" x14ac:dyDescent="0.2">
      <c r="B214" s="2">
        <f ca="1"/>
        <v>0.79949258917988875</v>
      </c>
      <c r="O214" s="2">
        <f ca="1"/>
        <v>-0.15719321334574413</v>
      </c>
      <c r="X214" s="2">
        <f ca="1"/>
        <v>47.890409602981464</v>
      </c>
      <c r="AG214" s="2">
        <f ca="1"/>
        <v>0.81036531550301016</v>
      </c>
      <c r="AH214" s="2" t="str">
        <f ca="1"/>
        <v>Bad</v>
      </c>
    </row>
    <row r="215" spans="2:34" x14ac:dyDescent="0.2">
      <c r="B215" s="2">
        <f ca="1"/>
        <v>0.97447001950068546</v>
      </c>
      <c r="O215" s="2">
        <f ca="1"/>
        <v>1.69052963310025</v>
      </c>
      <c r="X215" s="2">
        <f ca="1"/>
        <v>55.158748205723995</v>
      </c>
      <c r="AG215" s="2">
        <f ca="1"/>
        <v>0.85701272815817342</v>
      </c>
      <c r="AH215" s="2" t="str">
        <f ca="1"/>
        <v>Bad</v>
      </c>
    </row>
    <row r="216" spans="2:34" x14ac:dyDescent="0.2">
      <c r="B216" s="2">
        <f ca="1"/>
        <v>0.99643868031891447</v>
      </c>
      <c r="O216" s="2">
        <f ca="1"/>
        <v>0.40683517235684619</v>
      </c>
      <c r="X216" s="2">
        <f ca="1"/>
        <v>74.557648394760591</v>
      </c>
      <c r="AG216" s="2">
        <f ca="1"/>
        <v>0.90525733772568207</v>
      </c>
      <c r="AH216" s="2" t="str">
        <f ca="1"/>
        <v>Bad</v>
      </c>
    </row>
    <row r="217" spans="2:34" x14ac:dyDescent="0.2">
      <c r="B217" s="2">
        <f ca="1"/>
        <v>5.7123012897131176E-2</v>
      </c>
      <c r="O217" s="2">
        <f ca="1"/>
        <v>9.4287080891700306E-2</v>
      </c>
      <c r="X217" s="2">
        <f ca="1"/>
        <v>56.597409937784519</v>
      </c>
      <c r="AG217" s="2">
        <f ca="1"/>
        <v>0.97500046013623209</v>
      </c>
      <c r="AH217" s="2" t="str">
        <f ca="1"/>
        <v>Bad</v>
      </c>
    </row>
    <row r="218" spans="2:34" x14ac:dyDescent="0.2">
      <c r="B218" s="2">
        <f ca="1"/>
        <v>0.56250257711424645</v>
      </c>
      <c r="O218" s="2">
        <f ca="1"/>
        <v>-0.81534581670828887</v>
      </c>
      <c r="X218" s="2">
        <f ca="1"/>
        <v>55.244959258250731</v>
      </c>
      <c r="AG218" s="2">
        <f ca="1"/>
        <v>0.72774765271195352</v>
      </c>
      <c r="AH218" s="2" t="str">
        <f ca="1"/>
        <v>Bad</v>
      </c>
    </row>
    <row r="219" spans="2:34" x14ac:dyDescent="0.2">
      <c r="B219" s="2">
        <f ca="1"/>
        <v>0.14377270990976054</v>
      </c>
      <c r="O219" s="2">
        <f ca="1"/>
        <v>-0.57685177846929447</v>
      </c>
      <c r="X219" s="2">
        <f ca="1"/>
        <v>62.039916671824344</v>
      </c>
      <c r="AG219" s="2">
        <f ca="1"/>
        <v>0.66010462035389694</v>
      </c>
      <c r="AH219" s="2" t="str">
        <f ca="1"/>
        <v>Bad</v>
      </c>
    </row>
    <row r="220" spans="2:34" x14ac:dyDescent="0.2">
      <c r="B220" s="2">
        <f ca="1"/>
        <v>0.98563534024698884</v>
      </c>
      <c r="O220" s="2">
        <f ca="1"/>
        <v>-0.31707513587276104</v>
      </c>
      <c r="X220" s="2">
        <f ca="1"/>
        <v>19.643260637763387</v>
      </c>
      <c r="AG220" s="2">
        <f ca="1"/>
        <v>0.71390444514241325</v>
      </c>
      <c r="AH220" s="2" t="str">
        <f ca="1"/>
        <v>Bad</v>
      </c>
    </row>
    <row r="221" spans="2:34" x14ac:dyDescent="0.2">
      <c r="B221" s="2">
        <f ca="1"/>
        <v>0.93572109864744046</v>
      </c>
      <c r="O221" s="2">
        <f ca="1"/>
        <v>-0.89474548802291765</v>
      </c>
      <c r="X221" s="2">
        <f ca="1"/>
        <v>47.223237017304015</v>
      </c>
      <c r="AG221" s="2">
        <f ca="1"/>
        <v>0.56930159426149296</v>
      </c>
      <c r="AH221" s="2" t="str">
        <f ca="1"/>
        <v>Bad</v>
      </c>
    </row>
    <row r="222" spans="2:34" x14ac:dyDescent="0.2">
      <c r="B222" s="2">
        <f ca="1"/>
        <v>0.86246138470910449</v>
      </c>
      <c r="O222" s="2">
        <f ca="1"/>
        <v>-0.18472174445148876</v>
      </c>
      <c r="X222" s="2">
        <f ca="1"/>
        <v>61.776245446020901</v>
      </c>
      <c r="AG222" s="2">
        <f ca="1"/>
        <v>0.13847578825791884</v>
      </c>
      <c r="AH222" s="2" t="str">
        <f ca="1"/>
        <v>OK</v>
      </c>
    </row>
    <row r="223" spans="2:34" x14ac:dyDescent="0.2">
      <c r="B223" s="2">
        <f ca="1"/>
        <v>0.55051002267536764</v>
      </c>
      <c r="O223" s="2">
        <f ca="1"/>
        <v>0.1132593361708544</v>
      </c>
      <c r="X223" s="2">
        <f ca="1"/>
        <v>86.777735468218395</v>
      </c>
      <c r="AG223" s="2">
        <f ca="1"/>
        <v>0.22942821889868537</v>
      </c>
      <c r="AH223" s="2" t="str">
        <f ca="1"/>
        <v>OK</v>
      </c>
    </row>
    <row r="224" spans="2:34" x14ac:dyDescent="0.2">
      <c r="B224" s="2">
        <f ca="1"/>
        <v>0.38630834216396792</v>
      </c>
      <c r="O224" s="2">
        <f ca="1"/>
        <v>-1.0585336500840301</v>
      </c>
      <c r="X224" s="2">
        <f ca="1"/>
        <v>43.967042873858077</v>
      </c>
      <c r="AG224" s="2">
        <f ca="1"/>
        <v>0.10873747884646234</v>
      </c>
      <c r="AH224" s="2" t="str">
        <f ca="1"/>
        <v>OK</v>
      </c>
    </row>
    <row r="225" spans="2:34" x14ac:dyDescent="0.2">
      <c r="B225" s="2">
        <f ca="1"/>
        <v>0.28109619722419299</v>
      </c>
      <c r="O225" s="2">
        <f ca="1"/>
        <v>0.81017886922256388</v>
      </c>
      <c r="X225" s="2">
        <f ca="1"/>
        <v>56.64691057251423</v>
      </c>
      <c r="AG225" s="2">
        <f ca="1"/>
        <v>0.70332955142711451</v>
      </c>
      <c r="AH225" s="2" t="str">
        <f ca="1"/>
        <v>Bad</v>
      </c>
    </row>
    <row r="226" spans="2:34" x14ac:dyDescent="0.2">
      <c r="B226" s="2">
        <f ca="1"/>
        <v>0.42204809441717783</v>
      </c>
      <c r="O226" s="2">
        <f ca="1"/>
        <v>0.14933848613506537</v>
      </c>
      <c r="X226" s="2">
        <f ca="1"/>
        <v>55.095617114182751</v>
      </c>
      <c r="AG226" s="2">
        <f ca="1"/>
        <v>0.30068817079434051</v>
      </c>
      <c r="AH226" s="2" t="str">
        <f ca="1"/>
        <v>OK</v>
      </c>
    </row>
    <row r="227" spans="2:34" x14ac:dyDescent="0.2">
      <c r="B227" s="2">
        <f ca="1"/>
        <v>0.81372180322160537</v>
      </c>
      <c r="O227" s="2">
        <f ca="1"/>
        <v>1.1362608576539215</v>
      </c>
      <c r="X227" s="2">
        <f ca="1"/>
        <v>84.631866879417601</v>
      </c>
      <c r="AG227" s="2">
        <f ca="1"/>
        <v>0.3982390167018226</v>
      </c>
      <c r="AH227" s="2" t="str">
        <f ca="1"/>
        <v>OK</v>
      </c>
    </row>
    <row r="228" spans="2:34" x14ac:dyDescent="0.2">
      <c r="B228" s="2">
        <f ca="1"/>
        <v>0.84757281556836017</v>
      </c>
      <c r="O228" s="2">
        <f ca="1"/>
        <v>-0.81535486680333091</v>
      </c>
      <c r="X228" s="2">
        <f ca="1"/>
        <v>75.071526513114833</v>
      </c>
      <c r="AG228" s="2">
        <f ca="1"/>
        <v>0.76152755365955671</v>
      </c>
      <c r="AH228" s="2" t="str">
        <f ca="1"/>
        <v>Bad</v>
      </c>
    </row>
    <row r="229" spans="2:34" x14ac:dyDescent="0.2">
      <c r="B229" s="2">
        <f ca="1"/>
        <v>0.31923858897555824</v>
      </c>
      <c r="O229" s="2">
        <f ca="1"/>
        <v>2.16145992079334</v>
      </c>
      <c r="X229" s="2">
        <f ca="1"/>
        <v>38.177128322659946</v>
      </c>
      <c r="AG229" s="2">
        <f ca="1"/>
        <v>0.61065574705016812</v>
      </c>
      <c r="AH229" s="2" t="str">
        <f ca="1"/>
        <v>Bad</v>
      </c>
    </row>
    <row r="230" spans="2:34" x14ac:dyDescent="0.2">
      <c r="B230" s="2">
        <f ca="1"/>
        <v>0.43769136189538904</v>
      </c>
      <c r="O230" s="2">
        <f ca="1"/>
        <v>-1.9715308187873773E-2</v>
      </c>
      <c r="X230" s="2">
        <f ca="1"/>
        <v>40.324161479411629</v>
      </c>
      <c r="AG230" s="2">
        <f ca="1"/>
        <v>0.52503349168842273</v>
      </c>
      <c r="AH230" s="2" t="str">
        <f ca="1"/>
        <v>Bad</v>
      </c>
    </row>
    <row r="231" spans="2:34" x14ac:dyDescent="0.2">
      <c r="B231" s="2">
        <f ca="1"/>
        <v>0.8086995472679106</v>
      </c>
      <c r="O231" s="2">
        <f ca="1"/>
        <v>0.68820503528172772</v>
      </c>
      <c r="X231" s="2">
        <f ca="1"/>
        <v>42.335255235001441</v>
      </c>
      <c r="AG231" s="2">
        <f ca="1"/>
        <v>0.73199596048371141</v>
      </c>
      <c r="AH231" s="2" t="str">
        <f ca="1"/>
        <v>Bad</v>
      </c>
    </row>
    <row r="232" spans="2:34" x14ac:dyDescent="0.2">
      <c r="B232" s="2">
        <f ca="1"/>
        <v>0.1239894243744295</v>
      </c>
      <c r="O232" s="2">
        <f ca="1"/>
        <v>0.35852037679807774</v>
      </c>
      <c r="X232" s="2">
        <f ca="1"/>
        <v>33.27056717640631</v>
      </c>
      <c r="AG232" s="2">
        <f ca="1"/>
        <v>0.84819814114879466</v>
      </c>
      <c r="AH232" s="2" t="str">
        <f ca="1"/>
        <v>Bad</v>
      </c>
    </row>
    <row r="233" spans="2:34" x14ac:dyDescent="0.2">
      <c r="B233" s="2">
        <f ca="1"/>
        <v>0.57023556597806691</v>
      </c>
      <c r="O233" s="2">
        <f ca="1"/>
        <v>1.4432470901178245</v>
      </c>
      <c r="X233" s="2">
        <f ca="1"/>
        <v>45.238374726617309</v>
      </c>
      <c r="AG233" s="2">
        <f ca="1"/>
        <v>0.54984776768676524</v>
      </c>
      <c r="AH233" s="2" t="str">
        <f ca="1"/>
        <v>Bad</v>
      </c>
    </row>
    <row r="234" spans="2:34" x14ac:dyDescent="0.2">
      <c r="B234" s="2">
        <f ca="1"/>
        <v>0.58348090482694737</v>
      </c>
      <c r="O234" s="2">
        <f ca="1"/>
        <v>-1.6710166984677346</v>
      </c>
      <c r="X234" s="2">
        <f ca="1"/>
        <v>34.699468569097817</v>
      </c>
      <c r="AG234" s="2">
        <f ca="1"/>
        <v>0.10654179520125306</v>
      </c>
      <c r="AH234" s="2" t="str">
        <f ca="1"/>
        <v>OK</v>
      </c>
    </row>
    <row r="235" spans="2:34" x14ac:dyDescent="0.2">
      <c r="B235" s="2">
        <f ca="1"/>
        <v>0.13150556951807024</v>
      </c>
      <c r="O235" s="2">
        <f ca="1"/>
        <v>-1.0122243898642171</v>
      </c>
      <c r="X235" s="2">
        <f ca="1"/>
        <v>37.036654316892452</v>
      </c>
      <c r="AG235" s="2">
        <f ca="1"/>
        <v>0.23687449868962274</v>
      </c>
      <c r="AH235" s="2" t="str">
        <f ca="1"/>
        <v>OK</v>
      </c>
    </row>
    <row r="236" spans="2:34" x14ac:dyDescent="0.2">
      <c r="B236" s="2">
        <f ca="1"/>
        <v>7.8972263833116063E-2</v>
      </c>
      <c r="O236" s="2">
        <f ca="1"/>
        <v>-0.48267025776397016</v>
      </c>
      <c r="X236" s="2">
        <f ca="1"/>
        <v>59.833632165244559</v>
      </c>
      <c r="AG236" s="2">
        <f ca="1"/>
        <v>0.65803022762870622</v>
      </c>
      <c r="AH236" s="2" t="str">
        <f ca="1"/>
        <v>Bad</v>
      </c>
    </row>
    <row r="237" spans="2:34" x14ac:dyDescent="0.2">
      <c r="B237" s="2">
        <f ca="1"/>
        <v>0.33220204998701353</v>
      </c>
      <c r="O237" s="2">
        <f ca="1"/>
        <v>0.15753420344090713</v>
      </c>
      <c r="X237" s="2">
        <f ca="1"/>
        <v>60.172502305437867</v>
      </c>
      <c r="AG237" s="2">
        <f ca="1"/>
        <v>0.2406112499954407</v>
      </c>
      <c r="AH237" s="2" t="str">
        <f ca="1"/>
        <v>OK</v>
      </c>
    </row>
    <row r="238" spans="2:34" x14ac:dyDescent="0.2">
      <c r="B238" s="2">
        <f ca="1"/>
        <v>0.44532774688160881</v>
      </c>
      <c r="O238" s="2">
        <f ca="1"/>
        <v>0.47197042713329862</v>
      </c>
      <c r="X238" s="2">
        <f ca="1"/>
        <v>50.332907193263772</v>
      </c>
      <c r="AG238" s="2">
        <f ca="1"/>
        <v>0.49991220635699896</v>
      </c>
      <c r="AH238" s="2" t="str">
        <f ca="1"/>
        <v>Bad</v>
      </c>
    </row>
    <row r="239" spans="2:34" x14ac:dyDescent="0.2">
      <c r="B239" s="2">
        <f ca="1"/>
        <v>0.66007443512031849</v>
      </c>
      <c r="O239" s="2">
        <f ca="1"/>
        <v>1.0416103963908874</v>
      </c>
      <c r="X239" s="2">
        <f ca="1"/>
        <v>46.252181209532068</v>
      </c>
      <c r="AG239" s="2">
        <f ca="1"/>
        <v>6.1146091950979864E-2</v>
      </c>
      <c r="AH239" s="2" t="str">
        <f ca="1"/>
        <v>OK</v>
      </c>
    </row>
    <row r="240" spans="2:34" x14ac:dyDescent="0.2">
      <c r="B240" s="2">
        <f ca="1"/>
        <v>0.1151875249243195</v>
      </c>
      <c r="O240" s="2">
        <f ca="1"/>
        <v>0.81636258164303876</v>
      </c>
      <c r="X240" s="2">
        <f ca="1"/>
        <v>57.229650825392405</v>
      </c>
      <c r="AG240" s="2">
        <f ca="1"/>
        <v>0.26739011778830002</v>
      </c>
      <c r="AH240" s="2" t="str">
        <f ca="1"/>
        <v>OK</v>
      </c>
    </row>
    <row r="241" spans="2:34" x14ac:dyDescent="0.2">
      <c r="B241" s="2">
        <f ca="1"/>
        <v>0.18152962960990093</v>
      </c>
      <c r="O241" s="2">
        <f ca="1"/>
        <v>0.99042834386292378</v>
      </c>
      <c r="X241" s="2">
        <f ca="1"/>
        <v>43.44205374358414</v>
      </c>
      <c r="AG241" s="2">
        <f ca="1"/>
        <v>0.93490368065077911</v>
      </c>
      <c r="AH241" s="2" t="str">
        <f ca="1"/>
        <v>Bad</v>
      </c>
    </row>
    <row r="242" spans="2:34" x14ac:dyDescent="0.2">
      <c r="B242" s="2">
        <f ca="1"/>
        <v>8.873680949580165E-2</v>
      </c>
      <c r="O242" s="2">
        <f ca="1"/>
        <v>-1.1053822142527021</v>
      </c>
      <c r="X242" s="2">
        <f ca="1"/>
        <v>63.770891949592666</v>
      </c>
      <c r="AG242" s="2">
        <f ca="1"/>
        <v>0.96036735096810677</v>
      </c>
      <c r="AH242" s="2" t="str">
        <f ca="1"/>
        <v>Bad</v>
      </c>
    </row>
    <row r="243" spans="2:34" x14ac:dyDescent="0.2">
      <c r="B243" s="2">
        <f ca="1"/>
        <v>0.34922083335909559</v>
      </c>
      <c r="O243" s="2">
        <f ca="1"/>
        <v>0.2025711803244907</v>
      </c>
      <c r="X243" s="2">
        <f ca="1"/>
        <v>38.492693226406715</v>
      </c>
      <c r="AG243" s="2">
        <f ca="1"/>
        <v>0.9002931326579231</v>
      </c>
      <c r="AH243" s="2" t="str">
        <f ca="1"/>
        <v>Bad</v>
      </c>
    </row>
    <row r="244" spans="2:34" x14ac:dyDescent="0.2">
      <c r="B244" s="2">
        <f ca="1"/>
        <v>2.7033298264727001E-3</v>
      </c>
      <c r="O244" s="2">
        <f ca="1"/>
        <v>0.34233596987567566</v>
      </c>
      <c r="X244" s="2">
        <f ca="1"/>
        <v>29.940916236889024</v>
      </c>
      <c r="AG244" s="2">
        <f ca="1"/>
        <v>0.35426427857516329</v>
      </c>
      <c r="AH244" s="2" t="str">
        <f ca="1"/>
        <v>OK</v>
      </c>
    </row>
    <row r="245" spans="2:34" x14ac:dyDescent="0.2">
      <c r="B245" s="2">
        <f ca="1"/>
        <v>0.62682742927925883</v>
      </c>
      <c r="O245" s="2">
        <f ca="1"/>
        <v>-1.02181058700116</v>
      </c>
      <c r="X245" s="2">
        <f ca="1"/>
        <v>38.334651376080416</v>
      </c>
      <c r="AG245" s="2">
        <f ca="1"/>
        <v>0.18269254399906876</v>
      </c>
      <c r="AH245" s="2" t="str">
        <f ca="1"/>
        <v>OK</v>
      </c>
    </row>
    <row r="246" spans="2:34" x14ac:dyDescent="0.2">
      <c r="B246" s="2">
        <f ca="1"/>
        <v>0.154330449270206</v>
      </c>
      <c r="O246" s="2">
        <f ca="1"/>
        <v>1.0070671115255756</v>
      </c>
      <c r="X246" s="2">
        <f ca="1"/>
        <v>44.210795928732949</v>
      </c>
      <c r="AG246" s="2">
        <f ca="1"/>
        <v>0.62984110421383543</v>
      </c>
      <c r="AH246" s="2" t="str">
        <f ca="1"/>
        <v>Bad</v>
      </c>
    </row>
    <row r="247" spans="2:34" x14ac:dyDescent="0.2">
      <c r="B247" s="2">
        <f ca="1"/>
        <v>4.0760298118134308E-3</v>
      </c>
      <c r="O247" s="2">
        <f ca="1"/>
        <v>1.8482221378960897E-2</v>
      </c>
      <c r="X247" s="2">
        <f ca="1"/>
        <v>41.186165976401981</v>
      </c>
      <c r="AG247" s="2">
        <f ca="1"/>
        <v>0.21902506968877788</v>
      </c>
      <c r="AH247" s="2" t="str">
        <f ca="1"/>
        <v>OK</v>
      </c>
    </row>
    <row r="248" spans="2:34" x14ac:dyDescent="0.2">
      <c r="B248" s="2">
        <f ca="1"/>
        <v>0.60195348557374184</v>
      </c>
      <c r="O248" s="2">
        <f ca="1"/>
        <v>0.44060052119996301</v>
      </c>
      <c r="X248" s="2">
        <f ca="1"/>
        <v>45.097458763726202</v>
      </c>
      <c r="AG248" s="2">
        <f ca="1"/>
        <v>0.84085677311509244</v>
      </c>
      <c r="AH248" s="2" t="str">
        <f ca="1"/>
        <v>Bad</v>
      </c>
    </row>
    <row r="249" spans="2:34" x14ac:dyDescent="0.2">
      <c r="B249" s="2">
        <f ca="1"/>
        <v>0.72864185557099237</v>
      </c>
      <c r="O249" s="2">
        <f ca="1"/>
        <v>-0.64984162590137096</v>
      </c>
      <c r="X249" s="2">
        <f ca="1"/>
        <v>42.579769312880281</v>
      </c>
      <c r="AG249" s="2">
        <f ca="1"/>
        <v>0.47104495967579241</v>
      </c>
      <c r="AH249" s="2" t="str">
        <f ca="1"/>
        <v>Bad</v>
      </c>
    </row>
    <row r="250" spans="2:34" x14ac:dyDescent="0.2">
      <c r="B250" s="2">
        <f ca="1"/>
        <v>0.97077668259249239</v>
      </c>
      <c r="O250" s="2">
        <f ca="1"/>
        <v>2.2812321117578236</v>
      </c>
      <c r="X250" s="2">
        <f ca="1"/>
        <v>55.389384047553833</v>
      </c>
      <c r="AG250" s="2">
        <f ca="1"/>
        <v>0.51753859289501714</v>
      </c>
      <c r="AH250" s="2" t="str">
        <f ca="1"/>
        <v>Bad</v>
      </c>
    </row>
    <row r="251" spans="2:34" x14ac:dyDescent="0.2">
      <c r="B251" s="2">
        <f ca="1"/>
        <v>6.8291048760020123E-2</v>
      </c>
      <c r="O251" s="2">
        <f ca="1"/>
        <v>-0.33154518831149504</v>
      </c>
      <c r="X251" s="2">
        <f ca="1"/>
        <v>79.109424619389912</v>
      </c>
      <c r="AG251" s="2">
        <f ca="1"/>
        <v>0.44705945441903339</v>
      </c>
      <c r="AH251" s="2" t="str">
        <f ca="1"/>
        <v>Bad</v>
      </c>
    </row>
    <row r="252" spans="2:34" x14ac:dyDescent="0.2">
      <c r="B252" s="2">
        <f ca="1"/>
        <v>0.71560654366390275</v>
      </c>
      <c r="O252" s="2">
        <f ca="1"/>
        <v>-0.9964693881541492</v>
      </c>
      <c r="X252" s="2">
        <f ca="1"/>
        <v>59.511417570434872</v>
      </c>
      <c r="AG252" s="2">
        <f ca="1"/>
        <v>4.355106033760392E-2</v>
      </c>
      <c r="AH252" s="2" t="str">
        <f ca="1"/>
        <v>Good</v>
      </c>
    </row>
    <row r="253" spans="2:34" x14ac:dyDescent="0.2">
      <c r="B253" s="2">
        <f ca="1"/>
        <v>0.2566605810886522</v>
      </c>
      <c r="O253" s="2">
        <f ca="1"/>
        <v>-0.1207425702827969</v>
      </c>
      <c r="X253" s="2">
        <f ca="1"/>
        <v>49.873471673442424</v>
      </c>
      <c r="AG253" s="2">
        <f ca="1"/>
        <v>0.44878686422546865</v>
      </c>
      <c r="AH253" s="2" t="str">
        <f ca="1"/>
        <v>Bad</v>
      </c>
    </row>
    <row r="254" spans="2:34" x14ac:dyDescent="0.2">
      <c r="B254" s="2">
        <f ca="1"/>
        <v>0.95479223424254456</v>
      </c>
      <c r="O254" s="2">
        <f ca="1"/>
        <v>0.72378380035989331</v>
      </c>
      <c r="X254" s="2">
        <f ca="1"/>
        <v>51.674279955798838</v>
      </c>
      <c r="AG254" s="2">
        <f ca="1"/>
        <v>0.69010191834632839</v>
      </c>
      <c r="AH254" s="2" t="str">
        <f ca="1"/>
        <v>Bad</v>
      </c>
    </row>
    <row r="255" spans="2:34" x14ac:dyDescent="0.2">
      <c r="B255" s="2">
        <f ca="1"/>
        <v>0.66944798146914541</v>
      </c>
      <c r="O255" s="2">
        <f ca="1"/>
        <v>0.19134328089210015</v>
      </c>
      <c r="X255" s="2">
        <f ca="1"/>
        <v>36.651285545301391</v>
      </c>
      <c r="AG255" s="2">
        <f ca="1"/>
        <v>0.79356164024266929</v>
      </c>
      <c r="AH255" s="2" t="str">
        <f ca="1"/>
        <v>Bad</v>
      </c>
    </row>
    <row r="256" spans="2:34" x14ac:dyDescent="0.2">
      <c r="B256" s="2">
        <f ca="1"/>
        <v>0.81454606071506896</v>
      </c>
      <c r="O256" s="2">
        <f ca="1"/>
        <v>1.404764059580812</v>
      </c>
      <c r="X256" s="2">
        <f ca="1"/>
        <v>56.720630937146737</v>
      </c>
      <c r="AG256" s="2">
        <f ca="1"/>
        <v>0.9495181747058421</v>
      </c>
      <c r="AH256" s="2" t="str">
        <f ca="1"/>
        <v>Bad</v>
      </c>
    </row>
    <row r="257" spans="2:34" x14ac:dyDescent="0.2">
      <c r="B257" s="2">
        <f ca="1"/>
        <v>0.56681427650890082</v>
      </c>
      <c r="O257" s="2">
        <f ca="1"/>
        <v>0.36708435890268287</v>
      </c>
      <c r="X257" s="2">
        <f ca="1"/>
        <v>42.825154672653738</v>
      </c>
      <c r="AG257" s="2">
        <f ca="1"/>
        <v>0.35263775764475369</v>
      </c>
      <c r="AH257" s="2" t="str">
        <f ca="1"/>
        <v>OK</v>
      </c>
    </row>
    <row r="258" spans="2:34" x14ac:dyDescent="0.2">
      <c r="B258" s="2">
        <f ca="1"/>
        <v>0.8223718558302604</v>
      </c>
      <c r="O258" s="2">
        <f ca="1"/>
        <v>0.39245715887579269</v>
      </c>
      <c r="X258" s="2">
        <f ca="1"/>
        <v>58.053404260591137</v>
      </c>
      <c r="AG258" s="2">
        <f ca="1"/>
        <v>0.23256283059284555</v>
      </c>
      <c r="AH258" s="2" t="str">
        <f ca="1"/>
        <v>OK</v>
      </c>
    </row>
    <row r="259" spans="2:34" x14ac:dyDescent="0.2">
      <c r="B259" s="2">
        <f ca="1"/>
        <v>0.23793775007910178</v>
      </c>
      <c r="O259" s="2">
        <f ca="1"/>
        <v>-0.29318722230457173</v>
      </c>
      <c r="X259" s="2">
        <f ca="1"/>
        <v>25.048076128369857</v>
      </c>
      <c r="AG259" s="2">
        <f ca="1"/>
        <v>0.62313010050117756</v>
      </c>
      <c r="AH259" s="2" t="str">
        <f ca="1"/>
        <v>Bad</v>
      </c>
    </row>
    <row r="260" spans="2:34" x14ac:dyDescent="0.2">
      <c r="B260" s="2">
        <f ca="1"/>
        <v>0.51643405120419006</v>
      </c>
      <c r="O260" s="2">
        <f ca="1"/>
        <v>0.70327507204956818</v>
      </c>
      <c r="X260" s="2">
        <f ca="1"/>
        <v>30.393062844567588</v>
      </c>
      <c r="AG260" s="2">
        <f ca="1"/>
        <v>0.48596914376384537</v>
      </c>
      <c r="AH260" s="2" t="str">
        <f ca="1"/>
        <v>Bad</v>
      </c>
    </row>
    <row r="261" spans="2:34" x14ac:dyDescent="0.2">
      <c r="B261" s="2">
        <f ca="1"/>
        <v>0.88085095476660169</v>
      </c>
      <c r="O261" s="2">
        <f ca="1"/>
        <v>-1.5306840771384884</v>
      </c>
      <c r="X261" s="2">
        <f ca="1"/>
        <v>38.736030181297458</v>
      </c>
      <c r="AG261" s="2">
        <f ca="1"/>
        <v>0.5329205151365346</v>
      </c>
      <c r="AH261" s="2" t="str">
        <f ca="1"/>
        <v>Bad</v>
      </c>
    </row>
    <row r="262" spans="2:34" x14ac:dyDescent="0.2">
      <c r="B262" s="2">
        <f ca="1"/>
        <v>0.24424196813326415</v>
      </c>
      <c r="O262" s="2">
        <f ca="1"/>
        <v>1.0341413470987959</v>
      </c>
      <c r="X262" s="2">
        <f ca="1"/>
        <v>54.954787262199062</v>
      </c>
      <c r="AG262" s="2">
        <f ca="1"/>
        <v>0.69535804056390216</v>
      </c>
      <c r="AH262" s="2" t="str">
        <f ca="1"/>
        <v>Bad</v>
      </c>
    </row>
    <row r="263" spans="2:34" x14ac:dyDescent="0.2">
      <c r="B263" s="2">
        <f ca="1"/>
        <v>0.72095084647402574</v>
      </c>
      <c r="O263" s="2">
        <f ca="1"/>
        <v>-0.10031374450697529</v>
      </c>
      <c r="X263" s="2">
        <f ca="1"/>
        <v>29.61041754621451</v>
      </c>
      <c r="AG263" s="2">
        <f ca="1"/>
        <v>0.67149476208242964</v>
      </c>
      <c r="AH263" s="2" t="str">
        <f ca="1"/>
        <v>Bad</v>
      </c>
    </row>
    <row r="264" spans="2:34" x14ac:dyDescent="0.2">
      <c r="B264" s="2">
        <f ca="1"/>
        <v>0.2678760200051995</v>
      </c>
      <c r="O264" s="2">
        <f ca="1"/>
        <v>1.0169517107124273</v>
      </c>
      <c r="X264" s="2">
        <f ca="1"/>
        <v>41.692179969799255</v>
      </c>
      <c r="AG264" s="2">
        <f ca="1"/>
        <v>0.87902894909345797</v>
      </c>
      <c r="AH264" s="2" t="str">
        <f ca="1"/>
        <v>Bad</v>
      </c>
    </row>
    <row r="265" spans="2:34" x14ac:dyDescent="0.2">
      <c r="B265" s="2">
        <f ca="1"/>
        <v>0.79609441026044214</v>
      </c>
      <c r="O265" s="2">
        <f ca="1"/>
        <v>-0.72992527911625282</v>
      </c>
      <c r="X265" s="2">
        <f ca="1"/>
        <v>59.980490381226339</v>
      </c>
      <c r="AG265" s="2">
        <f ca="1"/>
        <v>0.6107807948864703</v>
      </c>
      <c r="AH265" s="2" t="str">
        <f ca="1"/>
        <v>Bad</v>
      </c>
    </row>
    <row r="266" spans="2:34" x14ac:dyDescent="0.2">
      <c r="B266" s="2">
        <f ca="1"/>
        <v>0.2870206777084563</v>
      </c>
      <c r="O266" s="2">
        <f ca="1"/>
        <v>0.61748751829781667</v>
      </c>
      <c r="X266" s="2">
        <f ca="1"/>
        <v>77.911384480894057</v>
      </c>
      <c r="AG266" s="2">
        <f ca="1"/>
        <v>0.22082801801296559</v>
      </c>
      <c r="AH266" s="2" t="str">
        <f ca="1"/>
        <v>OK</v>
      </c>
    </row>
    <row r="267" spans="2:34" x14ac:dyDescent="0.2">
      <c r="B267" s="2">
        <f ca="1"/>
        <v>5.6153593815460034E-3</v>
      </c>
      <c r="O267" s="2">
        <f ca="1"/>
        <v>-1.3535651170053882</v>
      </c>
      <c r="X267" s="2">
        <f ca="1"/>
        <v>43.104111128914269</v>
      </c>
      <c r="AG267" s="2">
        <f ca="1"/>
        <v>3.7745642847518912E-2</v>
      </c>
      <c r="AH267" s="2" t="str">
        <f ca="1"/>
        <v>Good</v>
      </c>
    </row>
    <row r="268" spans="2:34" x14ac:dyDescent="0.2">
      <c r="B268" s="2">
        <f ca="1"/>
        <v>0.64607597292810959</v>
      </c>
      <c r="O268" s="2">
        <f ca="1"/>
        <v>-1.0704890890129459</v>
      </c>
      <c r="X268" s="2">
        <f ca="1"/>
        <v>50.890350546263967</v>
      </c>
      <c r="AG268" s="2">
        <f ca="1"/>
        <v>0.81677434704788365</v>
      </c>
      <c r="AH268" s="2" t="str">
        <f ca="1"/>
        <v>Bad</v>
      </c>
    </row>
    <row r="269" spans="2:34" x14ac:dyDescent="0.2">
      <c r="B269" s="2">
        <f ca="1"/>
        <v>0.7558056381073035</v>
      </c>
      <c r="O269" s="2">
        <f ca="1"/>
        <v>0.99504912343055563</v>
      </c>
      <c r="X269" s="2">
        <f ca="1"/>
        <v>43.391808540677573</v>
      </c>
      <c r="AG269" s="2">
        <f ca="1"/>
        <v>0.1779410153590586</v>
      </c>
      <c r="AH269" s="2" t="str">
        <f ca="1"/>
        <v>OK</v>
      </c>
    </row>
    <row r="270" spans="2:34" x14ac:dyDescent="0.2">
      <c r="B270" s="2">
        <f ca="1"/>
        <v>0.2606457101665991</v>
      </c>
      <c r="O270" s="2">
        <f ca="1"/>
        <v>-1.0068633286902344</v>
      </c>
      <c r="X270" s="2">
        <f ca="1"/>
        <v>24.322721055364767</v>
      </c>
      <c r="AG270" s="2">
        <f ca="1"/>
        <v>9.3288002916851465E-2</v>
      </c>
      <c r="AH270" s="2" t="str">
        <f ca="1"/>
        <v>OK</v>
      </c>
    </row>
    <row r="271" spans="2:34" x14ac:dyDescent="0.2">
      <c r="B271" s="2">
        <f ca="1"/>
        <v>0.58515601970117959</v>
      </c>
      <c r="O271" s="2">
        <f ca="1"/>
        <v>0.88770637421463594</v>
      </c>
      <c r="X271" s="2">
        <f ca="1"/>
        <v>44.851752503675151</v>
      </c>
      <c r="AG271" s="2">
        <f ca="1"/>
        <v>0.5168658833247306</v>
      </c>
      <c r="AH271" s="2" t="str">
        <f ca="1"/>
        <v>Bad</v>
      </c>
    </row>
    <row r="272" spans="2:34" x14ac:dyDescent="0.2">
      <c r="B272" s="2">
        <f ca="1"/>
        <v>0.73466321578222837</v>
      </c>
      <c r="O272" s="2">
        <f ca="1"/>
        <v>-0.4236584462209384</v>
      </c>
      <c r="X272" s="2">
        <f ca="1"/>
        <v>30.818919367898729</v>
      </c>
      <c r="AG272" s="2">
        <f ca="1"/>
        <v>8.4647168787197913E-2</v>
      </c>
      <c r="AH272" s="2" t="str">
        <f ca="1"/>
        <v>OK</v>
      </c>
    </row>
    <row r="273" spans="2:34" x14ac:dyDescent="0.2">
      <c r="B273" s="2">
        <f ca="1"/>
        <v>0.75518574136946182</v>
      </c>
      <c r="O273" s="2">
        <f ca="1"/>
        <v>-1.5860340529584884</v>
      </c>
      <c r="X273" s="2">
        <f ca="1"/>
        <v>48.361822046800782</v>
      </c>
      <c r="AG273" s="2">
        <f ca="1"/>
        <v>0.53033175910899111</v>
      </c>
      <c r="AH273" s="2" t="str">
        <f ca="1"/>
        <v>Bad</v>
      </c>
    </row>
    <row r="274" spans="2:34" x14ac:dyDescent="0.2">
      <c r="B274" s="2">
        <f ca="1"/>
        <v>0.41104320713702758</v>
      </c>
      <c r="O274" s="2">
        <f ca="1"/>
        <v>-3.1954883485926719E-2</v>
      </c>
      <c r="X274" s="2">
        <f ca="1"/>
        <v>55.338329610634538</v>
      </c>
      <c r="AG274" s="2">
        <f ca="1"/>
        <v>0.84336648936372871</v>
      </c>
      <c r="AH274" s="2" t="str">
        <f ca="1"/>
        <v>Bad</v>
      </c>
    </row>
    <row r="275" spans="2:34" x14ac:dyDescent="0.2">
      <c r="B275" s="2">
        <f ca="1"/>
        <v>0.61128623199970478</v>
      </c>
      <c r="O275" s="2">
        <f ca="1"/>
        <v>0.82689177298903427</v>
      </c>
      <c r="X275" s="2">
        <f ca="1"/>
        <v>41.876188739883929</v>
      </c>
      <c r="AG275" s="2">
        <f ca="1"/>
        <v>4.1856714979653376E-3</v>
      </c>
      <c r="AH275" s="2" t="str">
        <f ca="1"/>
        <v>Good</v>
      </c>
    </row>
    <row r="276" spans="2:34" x14ac:dyDescent="0.2">
      <c r="B276" s="2">
        <f ca="1"/>
        <v>0.84745269773326926</v>
      </c>
      <c r="O276" s="2">
        <f ca="1"/>
        <v>0.11101685327655253</v>
      </c>
      <c r="X276" s="2">
        <f ca="1"/>
        <v>47.242467339031514</v>
      </c>
      <c r="AG276" s="2">
        <f ca="1"/>
        <v>2.8332448339180916E-2</v>
      </c>
      <c r="AH276" s="2" t="str">
        <f ca="1"/>
        <v>Good</v>
      </c>
    </row>
    <row r="277" spans="2:34" x14ac:dyDescent="0.2">
      <c r="B277" s="2">
        <f ca="1"/>
        <v>0.38099503195203321</v>
      </c>
      <c r="O277" s="2">
        <f ca="1"/>
        <v>0.79213944084048027</v>
      </c>
      <c r="X277" s="2">
        <f ca="1"/>
        <v>41.231269853251192</v>
      </c>
      <c r="AG277" s="2">
        <f ca="1"/>
        <v>0.9705162204487785</v>
      </c>
      <c r="AH277" s="2" t="str">
        <f ca="1"/>
        <v>Bad</v>
      </c>
    </row>
    <row r="278" spans="2:34" x14ac:dyDescent="0.2">
      <c r="B278" s="2">
        <f ca="1"/>
        <v>0.15037004118610153</v>
      </c>
      <c r="O278" s="2">
        <f ca="1"/>
        <v>0.44443142844085626</v>
      </c>
      <c r="X278" s="2">
        <f ca="1"/>
        <v>33.211563595834278</v>
      </c>
      <c r="AG278" s="2">
        <f ca="1"/>
        <v>0.46396918284762734</v>
      </c>
      <c r="AH278" s="2" t="str">
        <f ca="1"/>
        <v>Bad</v>
      </c>
    </row>
    <row r="279" spans="2:34" x14ac:dyDescent="0.2">
      <c r="B279" s="2">
        <f ca="1"/>
        <v>0.98933073603371269</v>
      </c>
      <c r="O279" s="2">
        <f ca="1"/>
        <v>-1.5840894061495989</v>
      </c>
      <c r="X279" s="2">
        <f ca="1"/>
        <v>55.195633717856637</v>
      </c>
      <c r="AG279" s="2">
        <f ca="1"/>
        <v>0.77068910505284149</v>
      </c>
      <c r="AH279" s="2" t="str">
        <f ca="1"/>
        <v>Bad</v>
      </c>
    </row>
    <row r="280" spans="2:34" x14ac:dyDescent="0.2">
      <c r="B280" s="2">
        <f ca="1"/>
        <v>0.74347271785905433</v>
      </c>
      <c r="O280" s="2">
        <f ca="1"/>
        <v>-1.8932539205487047</v>
      </c>
      <c r="X280" s="2">
        <f ca="1"/>
        <v>51.052097539091996</v>
      </c>
      <c r="AG280" s="2">
        <f ca="1"/>
        <v>0.18585756742879656</v>
      </c>
      <c r="AH280" s="2" t="str">
        <f ca="1"/>
        <v>OK</v>
      </c>
    </row>
    <row r="281" spans="2:34" x14ac:dyDescent="0.2">
      <c r="B281" s="2">
        <f ca="1"/>
        <v>5.4820047276846084E-2</v>
      </c>
      <c r="O281" s="2">
        <f ca="1"/>
        <v>-0.40239847643842619</v>
      </c>
      <c r="X281" s="2">
        <f ca="1"/>
        <v>40.68467262051503</v>
      </c>
      <c r="AG281" s="2">
        <f ca="1"/>
        <v>0.27390223863691254</v>
      </c>
      <c r="AH281" s="2" t="str">
        <f ca="1"/>
        <v>OK</v>
      </c>
    </row>
    <row r="282" spans="2:34" x14ac:dyDescent="0.2">
      <c r="B282" s="2">
        <f ca="1"/>
        <v>0.26922179100827681</v>
      </c>
      <c r="O282" s="2">
        <f ca="1"/>
        <v>-7.95593499315813E-3</v>
      </c>
      <c r="X282" s="2">
        <f ca="1"/>
        <v>57.86595904494429</v>
      </c>
      <c r="AG282" s="2">
        <f ca="1"/>
        <v>0.44132685301939101</v>
      </c>
      <c r="AH282" s="2" t="str">
        <f ca="1"/>
        <v>Bad</v>
      </c>
    </row>
    <row r="283" spans="2:34" x14ac:dyDescent="0.2">
      <c r="B283" s="2">
        <f ca="1"/>
        <v>0.38725411124126619</v>
      </c>
      <c r="O283" s="2">
        <f ca="1"/>
        <v>0.13771412662173343</v>
      </c>
      <c r="X283" s="2">
        <f ca="1"/>
        <v>41.769477634696202</v>
      </c>
      <c r="AG283" s="2">
        <f ca="1"/>
        <v>3.1226833182962821E-2</v>
      </c>
      <c r="AH283" s="2" t="str">
        <f ca="1"/>
        <v>Good</v>
      </c>
    </row>
    <row r="284" spans="2:34" x14ac:dyDescent="0.2">
      <c r="B284" s="2">
        <f ca="1"/>
        <v>0.73974397571993222</v>
      </c>
      <c r="O284" s="2">
        <f ca="1"/>
        <v>0.48188990996304309</v>
      </c>
      <c r="X284" s="2">
        <f ca="1"/>
        <v>57.696887639777671</v>
      </c>
      <c r="AG284" s="2">
        <f ca="1"/>
        <v>0.74825850143317862</v>
      </c>
      <c r="AH284" s="2" t="str">
        <f ca="1"/>
        <v>Bad</v>
      </c>
    </row>
    <row r="285" spans="2:34" x14ac:dyDescent="0.2">
      <c r="B285" s="2">
        <f ca="1"/>
        <v>0.61215376043585334</v>
      </c>
      <c r="O285" s="2">
        <f ca="1"/>
        <v>-1.3062957303142992</v>
      </c>
      <c r="X285" s="2">
        <f ca="1"/>
        <v>55.839172557489043</v>
      </c>
      <c r="AG285" s="2">
        <f ca="1"/>
        <v>0.36499979347806089</v>
      </c>
      <c r="AH285" s="2" t="str">
        <f ca="1"/>
        <v>OK</v>
      </c>
    </row>
    <row r="286" spans="2:34" x14ac:dyDescent="0.2">
      <c r="B286" s="2">
        <f ca="1"/>
        <v>0.86175630653387136</v>
      </c>
      <c r="O286" s="2">
        <f ca="1"/>
        <v>0.55566782674161519</v>
      </c>
      <c r="X286" s="2">
        <f ca="1"/>
        <v>59.567527289365295</v>
      </c>
      <c r="AG286" s="2">
        <f ca="1"/>
        <v>0.48383876573419049</v>
      </c>
      <c r="AH286" s="2" t="str">
        <f ca="1"/>
        <v>Bad</v>
      </c>
    </row>
    <row r="287" spans="2:34" x14ac:dyDescent="0.2">
      <c r="B287" s="2">
        <f ca="1"/>
        <v>0.36851619172068495</v>
      </c>
      <c r="O287" s="2">
        <f ca="1"/>
        <v>0.54043484309735401</v>
      </c>
      <c r="X287" s="2">
        <f ca="1"/>
        <v>49.283621574489018</v>
      </c>
      <c r="AG287" s="2">
        <f ca="1"/>
        <v>0.43169579775228795</v>
      </c>
      <c r="AH287" s="2" t="str">
        <f ca="1"/>
        <v>Bad</v>
      </c>
    </row>
    <row r="288" spans="2:34" x14ac:dyDescent="0.2">
      <c r="B288" s="2">
        <f ca="1"/>
        <v>0.16187806591633414</v>
      </c>
      <c r="O288" s="2">
        <f ca="1"/>
        <v>1.4492400697705274</v>
      </c>
      <c r="X288" s="2">
        <f ca="1"/>
        <v>37.729944139047177</v>
      </c>
      <c r="AG288" s="2">
        <f ca="1"/>
        <v>7.4154338070460124E-2</v>
      </c>
      <c r="AH288" s="2" t="str">
        <f ca="1"/>
        <v>OK</v>
      </c>
    </row>
    <row r="289" spans="2:34" x14ac:dyDescent="0.2">
      <c r="B289" s="2">
        <f ca="1"/>
        <v>0.908565577244697</v>
      </c>
      <c r="O289" s="2">
        <f ca="1"/>
        <v>-1.6064449202797083E-2</v>
      </c>
      <c r="X289" s="2">
        <f ca="1"/>
        <v>90.823639678747341</v>
      </c>
      <c r="AG289" s="2">
        <f ca="1"/>
        <v>2.1673914858677756E-2</v>
      </c>
      <c r="AH289" s="2" t="str">
        <f ca="1"/>
        <v>Good</v>
      </c>
    </row>
    <row r="290" spans="2:34" x14ac:dyDescent="0.2">
      <c r="B290" s="2">
        <f ca="1"/>
        <v>0.73841003887520218</v>
      </c>
      <c r="O290" s="2">
        <f ca="1"/>
        <v>2.0627986177787282E-2</v>
      </c>
      <c r="X290" s="2">
        <f ca="1"/>
        <v>45.688004564608839</v>
      </c>
      <c r="AG290" s="2">
        <f ca="1"/>
        <v>0.14557872961053575</v>
      </c>
      <c r="AH290" s="2" t="str">
        <f ca="1"/>
        <v>OK</v>
      </c>
    </row>
    <row r="291" spans="2:34" x14ac:dyDescent="0.2">
      <c r="B291" s="2">
        <f ca="1"/>
        <v>0.17348491709246949</v>
      </c>
      <c r="O291" s="2">
        <f ca="1"/>
        <v>1.9346766567878617</v>
      </c>
      <c r="X291" s="2">
        <f ca="1"/>
        <v>47.786114410498882</v>
      </c>
      <c r="AG291" s="2">
        <f ca="1"/>
        <v>0.33683239230226514</v>
      </c>
      <c r="AH291" s="2" t="str">
        <f ca="1"/>
        <v>OK</v>
      </c>
    </row>
    <row r="292" spans="2:34" x14ac:dyDescent="0.2">
      <c r="B292" s="2">
        <f ca="1"/>
        <v>0.19978746100001032</v>
      </c>
      <c r="O292" s="2">
        <f ca="1"/>
        <v>0.72790968022717972</v>
      </c>
      <c r="X292" s="2">
        <f ca="1"/>
        <v>44.538863785009717</v>
      </c>
      <c r="AG292" s="2">
        <f ca="1"/>
        <v>0.24740938066612528</v>
      </c>
      <c r="AH292" s="2" t="str">
        <f ca="1"/>
        <v>OK</v>
      </c>
    </row>
    <row r="293" spans="2:34" x14ac:dyDescent="0.2">
      <c r="B293" s="2">
        <f ca="1"/>
        <v>0.5628470584998031</v>
      </c>
      <c r="O293" s="2">
        <f ca="1"/>
        <v>-0.81484502796473268</v>
      </c>
      <c r="X293" s="2">
        <f ca="1"/>
        <v>69.841521875557504</v>
      </c>
      <c r="AG293" s="2">
        <f ca="1"/>
        <v>0.96599889479204371</v>
      </c>
      <c r="AH293" s="2" t="str">
        <f ca="1"/>
        <v>Bad</v>
      </c>
    </row>
    <row r="294" spans="2:34" x14ac:dyDescent="0.2">
      <c r="B294" s="2">
        <f ca="1"/>
        <v>0.32829937061376979</v>
      </c>
      <c r="O294" s="2">
        <f ca="1"/>
        <v>-0.9364909618316245</v>
      </c>
      <c r="X294" s="2">
        <f ca="1"/>
        <v>47.739607687021802</v>
      </c>
      <c r="AG294" s="2">
        <f ca="1"/>
        <v>0.41269113116323553</v>
      </c>
      <c r="AH294" s="2" t="str">
        <f ca="1"/>
        <v>Bad</v>
      </c>
    </row>
    <row r="295" spans="2:34" x14ac:dyDescent="0.2">
      <c r="B295" s="2">
        <f ca="1"/>
        <v>0.38351929418000363</v>
      </c>
      <c r="O295" s="2">
        <f ca="1"/>
        <v>-0.48524765933211889</v>
      </c>
      <c r="X295" s="2">
        <f ca="1"/>
        <v>67.34142268120705</v>
      </c>
      <c r="AG295" s="2">
        <f ca="1"/>
        <v>0.33677122132101656</v>
      </c>
      <c r="AH295" s="2" t="str">
        <f ca="1"/>
        <v>OK</v>
      </c>
    </row>
    <row r="296" spans="2:34" x14ac:dyDescent="0.2">
      <c r="B296" s="2">
        <f ca="1"/>
        <v>0.29990086059337573</v>
      </c>
      <c r="O296" s="2">
        <f ca="1"/>
        <v>2.2113582161021488</v>
      </c>
      <c r="X296" s="2">
        <f ca="1"/>
        <v>35.889561414479758</v>
      </c>
      <c r="AG296" s="2">
        <f ca="1"/>
        <v>0.5437518369093346</v>
      </c>
      <c r="AH296" s="2" t="str">
        <f ca="1"/>
        <v>Bad</v>
      </c>
    </row>
    <row r="297" spans="2:34" x14ac:dyDescent="0.2">
      <c r="B297" s="2">
        <f ca="1"/>
        <v>0.73600577660426536</v>
      </c>
      <c r="O297" s="2">
        <f ca="1"/>
        <v>0.87415933964702075</v>
      </c>
      <c r="X297" s="2">
        <f ca="1"/>
        <v>36.516779381865341</v>
      </c>
      <c r="AG297" s="2">
        <f ca="1"/>
        <v>0.33392515298587711</v>
      </c>
      <c r="AH297" s="2" t="str">
        <f ca="1"/>
        <v>OK</v>
      </c>
    </row>
    <row r="298" spans="2:34" x14ac:dyDescent="0.2">
      <c r="B298" s="2">
        <f ca="1"/>
        <v>5.2450263434687727E-2</v>
      </c>
      <c r="O298" s="2">
        <f ca="1"/>
        <v>0.97484153784480421</v>
      </c>
      <c r="X298" s="2">
        <f ca="1"/>
        <v>50.542539299758104</v>
      </c>
      <c r="AG298" s="2">
        <f ca="1"/>
        <v>0.16592681145127841</v>
      </c>
      <c r="AH298" s="2" t="str">
        <f ca="1"/>
        <v>OK</v>
      </c>
    </row>
    <row r="299" spans="2:34" x14ac:dyDescent="0.2">
      <c r="B299" s="2">
        <f ca="1"/>
        <v>3.1579580162859111E-2</v>
      </c>
      <c r="O299" s="2">
        <f ca="1"/>
        <v>0.27857175725667027</v>
      </c>
      <c r="X299" s="2">
        <f ca="1"/>
        <v>37.158050582827357</v>
      </c>
      <c r="AG299" s="2">
        <f ca="1"/>
        <v>0.86419004137803657</v>
      </c>
      <c r="AH299" s="2" t="str">
        <f ca="1"/>
        <v>Bad</v>
      </c>
    </row>
    <row r="300" spans="2:34" x14ac:dyDescent="0.2">
      <c r="B300" s="2">
        <f ca="1"/>
        <v>1.2463098718266563E-2</v>
      </c>
      <c r="O300" s="2">
        <f ca="1"/>
        <v>-0.24770792381715628</v>
      </c>
      <c r="X300" s="2">
        <f ca="1"/>
        <v>61.293810966971385</v>
      </c>
      <c r="AG300" s="2">
        <f ca="1"/>
        <v>0.96441555360318865</v>
      </c>
      <c r="AH300" s="2" t="str">
        <f ca="1"/>
        <v>Bad</v>
      </c>
    </row>
    <row r="301" spans="2:34" x14ac:dyDescent="0.2">
      <c r="B301" s="2">
        <f ca="1"/>
        <v>9.2337088937588518E-3</v>
      </c>
      <c r="O301" s="2">
        <f ca="1"/>
        <v>1.794354712176732</v>
      </c>
      <c r="X301" s="2">
        <f ca="1"/>
        <v>33.857321259620875</v>
      </c>
      <c r="AG301" s="2">
        <f ca="1"/>
        <v>0.25001968278768372</v>
      </c>
      <c r="AH301" s="2" t="str">
        <f ca="1"/>
        <v>OK</v>
      </c>
    </row>
    <row r="302" spans="2:34" x14ac:dyDescent="0.2">
      <c r="B302" s="2">
        <f ca="1"/>
        <v>0.5651338531973904</v>
      </c>
      <c r="O302" s="2">
        <f ca="1"/>
        <v>4.872492505566918E-2</v>
      </c>
      <c r="X302" s="2">
        <f ca="1"/>
        <v>32.997198836761939</v>
      </c>
      <c r="AG302" s="2">
        <f ca="1"/>
        <v>0.39100913210698285</v>
      </c>
      <c r="AH302" s="2" t="str">
        <f ca="1"/>
        <v>OK</v>
      </c>
    </row>
    <row r="303" spans="2:34" x14ac:dyDescent="0.2">
      <c r="B303" s="2">
        <f ca="1"/>
        <v>0.36235146719489064</v>
      </c>
      <c r="O303" s="2">
        <f ca="1"/>
        <v>0.95985170795162289</v>
      </c>
      <c r="X303" s="2">
        <f ca="1"/>
        <v>34.215007072814537</v>
      </c>
      <c r="AG303" s="2">
        <f ca="1"/>
        <v>0.26854063249008964</v>
      </c>
      <c r="AH303" s="2" t="str">
        <f ca="1"/>
        <v>OK</v>
      </c>
    </row>
    <row r="304" spans="2:34" x14ac:dyDescent="0.2">
      <c r="B304" s="2">
        <f ca="1"/>
        <v>0.20396278568879844</v>
      </c>
      <c r="O304" s="2">
        <f ca="1"/>
        <v>-0.50784798521825592</v>
      </c>
      <c r="X304" s="2">
        <f ca="1"/>
        <v>67.791240257995355</v>
      </c>
      <c r="AG304" s="2">
        <f ca="1"/>
        <v>0.22718244713089297</v>
      </c>
      <c r="AH304" s="2" t="str">
        <f ca="1"/>
        <v>OK</v>
      </c>
    </row>
    <row r="305" spans="2:34" x14ac:dyDescent="0.2">
      <c r="B305" s="2">
        <f ca="1"/>
        <v>8.0553052785017121E-2</v>
      </c>
      <c r="O305" s="2">
        <f ca="1"/>
        <v>4.491755183727613E-2</v>
      </c>
      <c r="X305" s="2">
        <f ca="1"/>
        <v>52.573495258767231</v>
      </c>
      <c r="AG305" s="2">
        <f ca="1"/>
        <v>0.94297687142288211</v>
      </c>
      <c r="AH305" s="2" t="str">
        <f ca="1"/>
        <v>Bad</v>
      </c>
    </row>
    <row r="306" spans="2:34" x14ac:dyDescent="0.2">
      <c r="B306" s="2">
        <f ca="1"/>
        <v>0.36722021573490093</v>
      </c>
      <c r="O306" s="2">
        <f ca="1"/>
        <v>0.15091661357972891</v>
      </c>
      <c r="X306" s="2">
        <f ca="1"/>
        <v>30.39102882868676</v>
      </c>
      <c r="AG306" s="2">
        <f ca="1"/>
        <v>0.20983660370052015</v>
      </c>
      <c r="AH306" s="2" t="str">
        <f ca="1"/>
        <v>OK</v>
      </c>
    </row>
    <row r="307" spans="2:34" x14ac:dyDescent="0.2">
      <c r="B307" s="2">
        <f ca="1"/>
        <v>0.79868276493482671</v>
      </c>
      <c r="O307" s="2">
        <f ca="1"/>
        <v>-1.9588102192246255</v>
      </c>
      <c r="X307" s="2">
        <f ca="1"/>
        <v>55.732365409335891</v>
      </c>
      <c r="AG307" s="2">
        <f ca="1"/>
        <v>0.54261221893910716</v>
      </c>
      <c r="AH307" s="2" t="str">
        <f ca="1"/>
        <v>Bad</v>
      </c>
    </row>
    <row r="308" spans="2:34" x14ac:dyDescent="0.2">
      <c r="B308" s="2">
        <f ca="1"/>
        <v>0.20349345440428279</v>
      </c>
      <c r="O308" s="2">
        <f ca="1"/>
        <v>0.96870694513957989</v>
      </c>
      <c r="X308" s="2">
        <f ca="1"/>
        <v>45.642501266920306</v>
      </c>
      <c r="AG308" s="2">
        <f ca="1"/>
        <v>0.6588449782518575</v>
      </c>
      <c r="AH308" s="2" t="str">
        <f ca="1"/>
        <v>Bad</v>
      </c>
    </row>
    <row r="309" spans="2:34" x14ac:dyDescent="0.2">
      <c r="B309" s="2">
        <f ca="1"/>
        <v>0.71057259572155451</v>
      </c>
      <c r="O309" s="2">
        <f ca="1"/>
        <v>-0.47965024804101491</v>
      </c>
      <c r="X309" s="2">
        <f ca="1"/>
        <v>49.71681965677476</v>
      </c>
      <c r="AG309" s="2">
        <f ca="1"/>
        <v>0.89476283268461465</v>
      </c>
      <c r="AH309" s="2" t="str">
        <f ca="1"/>
        <v>Bad</v>
      </c>
    </row>
    <row r="310" spans="2:34" x14ac:dyDescent="0.2">
      <c r="B310" s="2">
        <f ca="1"/>
        <v>7.2440468017324289E-2</v>
      </c>
      <c r="O310" s="2">
        <f ca="1"/>
        <v>-1.1450498637546802</v>
      </c>
      <c r="X310" s="2">
        <f ca="1"/>
        <v>32.813126705704917</v>
      </c>
      <c r="AG310" s="2">
        <f ca="1"/>
        <v>0.65241510884035381</v>
      </c>
      <c r="AH310" s="2" t="str">
        <f ca="1"/>
        <v>Bad</v>
      </c>
    </row>
    <row r="311" spans="2:34" x14ac:dyDescent="0.2">
      <c r="B311" s="2">
        <f ca="1"/>
        <v>0.26341330306262245</v>
      </c>
      <c r="O311" s="2">
        <f ca="1"/>
        <v>0.33892148381072051</v>
      </c>
      <c r="X311" s="2">
        <f ca="1"/>
        <v>61.04137600248378</v>
      </c>
      <c r="AG311" s="2">
        <f ca="1"/>
        <v>0.89062634242882854</v>
      </c>
      <c r="AH311" s="2" t="str">
        <f ca="1"/>
        <v>Bad</v>
      </c>
    </row>
    <row r="312" spans="2:34" x14ac:dyDescent="0.2">
      <c r="B312" s="2">
        <f ca="1"/>
        <v>0.79849044903466315</v>
      </c>
      <c r="O312" s="2">
        <f ca="1"/>
        <v>-0.81948809243109455</v>
      </c>
      <c r="X312" s="2">
        <f ca="1"/>
        <v>50.409398809704996</v>
      </c>
      <c r="AG312" s="2">
        <f ca="1"/>
        <v>9.3345494608148671E-2</v>
      </c>
      <c r="AH312" s="2" t="str">
        <f ca="1"/>
        <v>OK</v>
      </c>
    </row>
    <row r="313" spans="2:34" x14ac:dyDescent="0.2">
      <c r="B313" s="2">
        <f ca="1"/>
        <v>0.70415975579417367</v>
      </c>
      <c r="O313" s="2">
        <f ca="1"/>
        <v>-0.32641203020366788</v>
      </c>
      <c r="X313" s="2">
        <f ca="1"/>
        <v>40.134309526562092</v>
      </c>
      <c r="AG313" s="2">
        <f ca="1"/>
        <v>0.53567419880629408</v>
      </c>
      <c r="AH313" s="2" t="str">
        <f ca="1"/>
        <v>Bad</v>
      </c>
    </row>
    <row r="314" spans="2:34" x14ac:dyDescent="0.2">
      <c r="B314" s="2">
        <f ca="1"/>
        <v>0.7943500682926401</v>
      </c>
      <c r="O314" s="2">
        <f ca="1"/>
        <v>1.1659244027499027</v>
      </c>
      <c r="X314" s="2">
        <f ca="1"/>
        <v>24.724535483482132</v>
      </c>
      <c r="AG314" s="2">
        <f ca="1"/>
        <v>0.86851200462969813</v>
      </c>
      <c r="AH314" s="2" t="str">
        <f ca="1"/>
        <v>Bad</v>
      </c>
    </row>
    <row r="315" spans="2:34" x14ac:dyDescent="0.2">
      <c r="B315" s="2">
        <f ca="1"/>
        <v>1.3422515544138092E-2</v>
      </c>
      <c r="O315" s="2">
        <f ca="1"/>
        <v>-0.79124511464540803</v>
      </c>
      <c r="X315" s="2">
        <f ca="1"/>
        <v>64.225346409666898</v>
      </c>
      <c r="AG315" s="2">
        <f ca="1"/>
        <v>0.79732694938716886</v>
      </c>
      <c r="AH315" s="2" t="str">
        <f ca="1"/>
        <v>Bad</v>
      </c>
    </row>
    <row r="316" spans="2:34" x14ac:dyDescent="0.2">
      <c r="B316" s="2">
        <f ca="1"/>
        <v>0.3113598764254808</v>
      </c>
      <c r="O316" s="2">
        <f ca="1"/>
        <v>0.87135558775204869</v>
      </c>
      <c r="X316" s="2">
        <f ca="1"/>
        <v>72.840856786521371</v>
      </c>
      <c r="AG316" s="2">
        <f ca="1"/>
        <v>0.74267986036121969</v>
      </c>
      <c r="AH316" s="2" t="str">
        <f ca="1"/>
        <v>Bad</v>
      </c>
    </row>
    <row r="317" spans="2:34" x14ac:dyDescent="0.2">
      <c r="B317" s="2">
        <f ca="1"/>
        <v>0.23552146151114806</v>
      </c>
      <c r="O317" s="2">
        <f ca="1"/>
        <v>0.50089269366647482</v>
      </c>
      <c r="X317" s="2">
        <f ca="1"/>
        <v>64.281638923267337</v>
      </c>
      <c r="AG317" s="2">
        <f ca="1"/>
        <v>0.18131034074253427</v>
      </c>
      <c r="AH317" s="2" t="str">
        <f ca="1"/>
        <v>OK</v>
      </c>
    </row>
    <row r="318" spans="2:34" x14ac:dyDescent="0.2">
      <c r="B318" s="2">
        <f ca="1"/>
        <v>0.82534232964912935</v>
      </c>
      <c r="O318" s="2">
        <f ca="1"/>
        <v>-0.9015137670041371</v>
      </c>
      <c r="X318" s="2">
        <f ca="1"/>
        <v>69.659856295747659</v>
      </c>
      <c r="AG318" s="2">
        <f ca="1"/>
        <v>0.16294325378176544</v>
      </c>
      <c r="AH318" s="2" t="str">
        <f ca="1"/>
        <v>OK</v>
      </c>
    </row>
    <row r="319" spans="2:34" x14ac:dyDescent="0.2">
      <c r="B319" s="2">
        <f ca="1"/>
        <v>0.71229148419348598</v>
      </c>
      <c r="O319" s="2">
        <f ca="1"/>
        <v>-1.6610111061603122E-2</v>
      </c>
      <c r="X319" s="2">
        <f ca="1"/>
        <v>65.129691451510482</v>
      </c>
      <c r="AG319" s="2">
        <f ca="1"/>
        <v>0.12584215976562363</v>
      </c>
      <c r="AH319" s="2" t="str">
        <f ca="1"/>
        <v>OK</v>
      </c>
    </row>
    <row r="320" spans="2:34" x14ac:dyDescent="0.2">
      <c r="B320" s="2">
        <f ca="1"/>
        <v>0.39604015779504587</v>
      </c>
      <c r="O320" s="2">
        <f ca="1"/>
        <v>-1.8663033808680123</v>
      </c>
      <c r="X320" s="2">
        <f ca="1"/>
        <v>65.197356517746954</v>
      </c>
      <c r="AG320" s="2">
        <f ca="1"/>
        <v>0.35659544636157992</v>
      </c>
      <c r="AH320" s="2" t="str">
        <f ca="1"/>
        <v>OK</v>
      </c>
    </row>
    <row r="321" spans="2:34" x14ac:dyDescent="0.2">
      <c r="B321" s="2">
        <f ca="1"/>
        <v>0.41205101156008039</v>
      </c>
      <c r="O321" s="2">
        <f ca="1"/>
        <v>-0.30230525976456885</v>
      </c>
      <c r="X321" s="2">
        <f ca="1"/>
        <v>62.236886035725206</v>
      </c>
      <c r="AG321" s="2">
        <f ca="1"/>
        <v>0.82179687069465324</v>
      </c>
      <c r="AH321" s="2" t="str">
        <f ca="1"/>
        <v>Bad</v>
      </c>
    </row>
    <row r="322" spans="2:34" x14ac:dyDescent="0.2">
      <c r="B322" s="2">
        <f ca="1"/>
        <v>0.84677587966663936</v>
      </c>
      <c r="O322" s="2">
        <f ca="1"/>
        <v>-0.96297282940992623</v>
      </c>
      <c r="X322" s="2">
        <f ca="1"/>
        <v>78.160675629429562</v>
      </c>
      <c r="AG322" s="2">
        <f ca="1"/>
        <v>0.39983752845735565</v>
      </c>
      <c r="AH322" s="2" t="str">
        <f ca="1"/>
        <v>OK</v>
      </c>
    </row>
    <row r="323" spans="2:34" x14ac:dyDescent="0.2">
      <c r="B323" s="2">
        <f ca="1"/>
        <v>0.36370632050326002</v>
      </c>
      <c r="O323" s="2">
        <f ca="1"/>
        <v>0.94217747857046064</v>
      </c>
      <c r="X323" s="2">
        <f ca="1"/>
        <v>72.826501404799828</v>
      </c>
      <c r="AG323" s="2">
        <f ca="1"/>
        <v>0.73938696915563717</v>
      </c>
      <c r="AH323" s="2" t="str">
        <f ca="1"/>
        <v>Bad</v>
      </c>
    </row>
    <row r="324" spans="2:34" x14ac:dyDescent="0.2">
      <c r="B324" s="2">
        <f ca="1"/>
        <v>0.28986809222708643</v>
      </c>
      <c r="O324" s="2">
        <f ca="1"/>
        <v>0.87986606693359837</v>
      </c>
      <c r="X324" s="2">
        <f ca="1"/>
        <v>79.713174548722151</v>
      </c>
      <c r="AG324" s="2">
        <f ca="1"/>
        <v>0.2485620895465781</v>
      </c>
      <c r="AH324" s="2" t="str">
        <f ca="1"/>
        <v>OK</v>
      </c>
    </row>
    <row r="325" spans="2:34" x14ac:dyDescent="0.2">
      <c r="B325" s="2">
        <f ca="1"/>
        <v>1.7354930295038651E-2</v>
      </c>
      <c r="O325" s="2">
        <f ca="1"/>
        <v>-0.5031283765826865</v>
      </c>
      <c r="X325" s="2">
        <f ca="1"/>
        <v>37.367658319697256</v>
      </c>
      <c r="AG325" s="2">
        <f ca="1"/>
        <v>0.47616980307264423</v>
      </c>
      <c r="AH325" s="2" t="str">
        <f ca="1"/>
        <v>Bad</v>
      </c>
    </row>
    <row r="326" spans="2:34" x14ac:dyDescent="0.2">
      <c r="B326" s="2">
        <f ca="1"/>
        <v>8.0803202079266834E-2</v>
      </c>
      <c r="O326" s="2">
        <f ca="1"/>
        <v>-3.4923169593739929E-2</v>
      </c>
      <c r="X326" s="2">
        <f ca="1"/>
        <v>23.399270598851153</v>
      </c>
      <c r="AG326" s="2">
        <f ca="1"/>
        <v>0.92273661090371806</v>
      </c>
      <c r="AH326" s="2" t="str">
        <f ca="1"/>
        <v>Bad</v>
      </c>
    </row>
    <row r="327" spans="2:34" x14ac:dyDescent="0.2">
      <c r="B327" s="2">
        <f ca="1"/>
        <v>0.96408592728580511</v>
      </c>
      <c r="O327" s="2">
        <f ca="1"/>
        <v>1.1965191618090432</v>
      </c>
      <c r="X327" s="2">
        <f ca="1"/>
        <v>75.947045106025257</v>
      </c>
      <c r="AG327" s="2">
        <f ca="1"/>
        <v>8.3627820077667891E-2</v>
      </c>
      <c r="AH327" s="2" t="str">
        <f ca="1"/>
        <v>OK</v>
      </c>
    </row>
    <row r="328" spans="2:34" x14ac:dyDescent="0.2">
      <c r="B328" s="2">
        <f ca="1"/>
        <v>9.1303120619490752E-2</v>
      </c>
      <c r="O328" s="2">
        <f ca="1"/>
        <v>1.0228290654907937</v>
      </c>
      <c r="X328" s="2">
        <f ca="1"/>
        <v>40.440961119494943</v>
      </c>
      <c r="AG328" s="2">
        <f ca="1"/>
        <v>0.79338108018451825</v>
      </c>
      <c r="AH328" s="2" t="str">
        <f ca="1"/>
        <v>Bad</v>
      </c>
    </row>
    <row r="329" spans="2:34" x14ac:dyDescent="0.2">
      <c r="B329" s="2">
        <f ca="1"/>
        <v>0.17411005197580387</v>
      </c>
      <c r="O329" s="2">
        <f ca="1"/>
        <v>1.9333663559000187</v>
      </c>
      <c r="X329" s="2">
        <f ca="1"/>
        <v>53.98989611390077</v>
      </c>
      <c r="AG329" s="2">
        <f ca="1"/>
        <v>0.65447375014073739</v>
      </c>
      <c r="AH329" s="2" t="str">
        <f ca="1"/>
        <v>Bad</v>
      </c>
    </row>
    <row r="330" spans="2:34" x14ac:dyDescent="0.2">
      <c r="B330" s="2">
        <f ca="1"/>
        <v>5.9125951195095672E-2</v>
      </c>
      <c r="O330" s="2">
        <f ca="1"/>
        <v>0.18142536296861733</v>
      </c>
      <c r="X330" s="2">
        <f ca="1"/>
        <v>39.865036321123796</v>
      </c>
      <c r="AG330" s="2">
        <f ca="1"/>
        <v>0.79139495137738214</v>
      </c>
      <c r="AH330" s="2" t="str">
        <f ca="1"/>
        <v>Bad</v>
      </c>
    </row>
    <row r="331" spans="2:34" x14ac:dyDescent="0.2">
      <c r="B331" s="2">
        <f ca="1"/>
        <v>0.4614506804824714</v>
      </c>
      <c r="O331" s="2">
        <f ca="1"/>
        <v>9.5988849852304742E-2</v>
      </c>
      <c r="X331" s="2">
        <f ca="1"/>
        <v>27.937182639037871</v>
      </c>
      <c r="AG331" s="2">
        <f ca="1"/>
        <v>0.83656137853964974</v>
      </c>
      <c r="AH331" s="2" t="str">
        <f ca="1"/>
        <v>Bad</v>
      </c>
    </row>
    <row r="332" spans="2:34" x14ac:dyDescent="0.2">
      <c r="B332" s="2">
        <f ca="1"/>
        <v>2.0482290772641631E-2</v>
      </c>
      <c r="O332" s="2">
        <f ca="1"/>
        <v>-0.37812176004338116</v>
      </c>
      <c r="X332" s="2">
        <f ca="1"/>
        <v>34.984283768827794</v>
      </c>
      <c r="AG332" s="2">
        <f ca="1"/>
        <v>0.19032580666762566</v>
      </c>
      <c r="AH332" s="2" t="str">
        <f ca="1"/>
        <v>OK</v>
      </c>
    </row>
    <row r="333" spans="2:34" x14ac:dyDescent="0.2">
      <c r="B333" s="2">
        <f ca="1"/>
        <v>2.2448071181084828E-2</v>
      </c>
      <c r="O333" s="2">
        <f ca="1"/>
        <v>-1.1408561929557097</v>
      </c>
      <c r="X333" s="2">
        <f ca="1"/>
        <v>65.100588308645015</v>
      </c>
      <c r="AG333" s="2">
        <f ca="1"/>
        <v>0.42598043434108179</v>
      </c>
      <c r="AH333" s="2" t="str">
        <f ca="1"/>
        <v>Bad</v>
      </c>
    </row>
    <row r="334" spans="2:34" x14ac:dyDescent="0.2">
      <c r="B334" s="2">
        <f ca="1"/>
        <v>0.47175484964171166</v>
      </c>
      <c r="O334" s="2">
        <f ca="1"/>
        <v>-0.84648241435894667</v>
      </c>
      <c r="X334" s="2">
        <f ca="1"/>
        <v>57.558262031346445</v>
      </c>
      <c r="AG334" s="2">
        <f ca="1"/>
        <v>0.52496002251943352</v>
      </c>
      <c r="AH334" s="2" t="str">
        <f ca="1"/>
        <v>Bad</v>
      </c>
    </row>
    <row r="335" spans="2:34" x14ac:dyDescent="0.2">
      <c r="B335" s="2">
        <f ca="1"/>
        <v>0.38325329231997984</v>
      </c>
      <c r="O335" s="2">
        <f ca="1"/>
        <v>1.2100776775898052</v>
      </c>
      <c r="X335" s="2">
        <f ca="1"/>
        <v>35.944336905583306</v>
      </c>
      <c r="AG335" s="2">
        <f ca="1"/>
        <v>0.39643620128845036</v>
      </c>
      <c r="AH335" s="2" t="str">
        <f ca="1"/>
        <v>OK</v>
      </c>
    </row>
    <row r="336" spans="2:34" x14ac:dyDescent="0.2">
      <c r="B336" s="2">
        <f ca="1"/>
        <v>0.22498477345834256</v>
      </c>
      <c r="O336" s="2">
        <f ca="1"/>
        <v>2.661584335860208</v>
      </c>
      <c r="X336" s="2">
        <f ca="1"/>
        <v>63.594492571385636</v>
      </c>
      <c r="AG336" s="2">
        <f ca="1"/>
        <v>0.30713820744370612</v>
      </c>
      <c r="AH336" s="2" t="str">
        <f ca="1"/>
        <v>OK</v>
      </c>
    </row>
    <row r="337" spans="2:34" x14ac:dyDescent="0.2">
      <c r="B337" s="2">
        <f ca="1"/>
        <v>0.35818330832343404</v>
      </c>
      <c r="O337" s="2">
        <f ca="1"/>
        <v>1.1761383104807324</v>
      </c>
      <c r="X337" s="2">
        <f ca="1"/>
        <v>39.758733633621276</v>
      </c>
      <c r="AG337" s="2">
        <f ca="1"/>
        <v>7.8527016505052227E-3</v>
      </c>
      <c r="AH337" s="2" t="str">
        <f ca="1"/>
        <v>Good</v>
      </c>
    </row>
    <row r="338" spans="2:34" x14ac:dyDescent="0.2">
      <c r="B338" s="2">
        <f ca="1"/>
        <v>0.11849704452863929</v>
      </c>
      <c r="O338" s="2">
        <f ca="1"/>
        <v>-0.11285840689034848</v>
      </c>
      <c r="X338" s="2">
        <f ca="1"/>
        <v>38.646398897119319</v>
      </c>
      <c r="AG338" s="2">
        <f ca="1"/>
        <v>0.89919874192878857</v>
      </c>
      <c r="AH338" s="2" t="str">
        <f ca="1"/>
        <v>Bad</v>
      </c>
    </row>
    <row r="339" spans="2:34" x14ac:dyDescent="0.2">
      <c r="B339" s="2">
        <f ca="1"/>
        <v>0.93192943492951152</v>
      </c>
      <c r="O339" s="2">
        <f ca="1"/>
        <v>-0.58615968218418457</v>
      </c>
      <c r="X339" s="2">
        <f ca="1"/>
        <v>58.758160746827308</v>
      </c>
      <c r="AG339" s="2">
        <f ca="1"/>
        <v>0.40343072262895818</v>
      </c>
      <c r="AH339" s="2" t="str">
        <f ca="1"/>
        <v>Bad</v>
      </c>
    </row>
    <row r="340" spans="2:34" x14ac:dyDescent="0.2">
      <c r="B340" s="2">
        <f ca="1"/>
        <v>0.8689995873045202</v>
      </c>
      <c r="O340" s="2">
        <f ca="1"/>
        <v>-1.4789321934552659</v>
      </c>
      <c r="X340" s="2">
        <f ca="1"/>
        <v>61.132488452832391</v>
      </c>
      <c r="AG340" s="2">
        <f ca="1"/>
        <v>0.22432038973804436</v>
      </c>
      <c r="AH340" s="2" t="str">
        <f ca="1"/>
        <v>OK</v>
      </c>
    </row>
    <row r="341" spans="2:34" x14ac:dyDescent="0.2">
      <c r="B341" s="2">
        <f ca="1"/>
        <v>0.82478765025880296</v>
      </c>
      <c r="O341" s="2">
        <f ca="1"/>
        <v>1.8230466654594106</v>
      </c>
      <c r="X341" s="2">
        <f ca="1"/>
        <v>62.96644897081427</v>
      </c>
      <c r="AG341" s="2">
        <f ca="1"/>
        <v>0.53036308339794602</v>
      </c>
      <c r="AH341" s="2" t="str">
        <f ca="1"/>
        <v>Bad</v>
      </c>
    </row>
    <row r="342" spans="2:34" x14ac:dyDescent="0.2">
      <c r="B342" s="2">
        <f ca="1"/>
        <v>0.25961233058953703</v>
      </c>
      <c r="O342" s="2">
        <f ca="1"/>
        <v>2.2094073581172267</v>
      </c>
      <c r="X342" s="2">
        <f ca="1"/>
        <v>46.669192594172451</v>
      </c>
      <c r="AG342" s="2">
        <f ca="1"/>
        <v>0.99299167447113579</v>
      </c>
      <c r="AH342" s="2" t="str">
        <f ca="1"/>
        <v>Bad</v>
      </c>
    </row>
    <row r="343" spans="2:34" x14ac:dyDescent="0.2">
      <c r="B343" s="2">
        <f ca="1"/>
        <v>0.86649402119938768</v>
      </c>
      <c r="O343" s="2">
        <f ca="1"/>
        <v>-1.5111946885236411</v>
      </c>
      <c r="X343" s="2">
        <f ca="1"/>
        <v>40.83160736839308</v>
      </c>
      <c r="AG343" s="2">
        <f ca="1"/>
        <v>9.3540164502777801E-2</v>
      </c>
      <c r="AH343" s="2" t="str">
        <f ca="1"/>
        <v>OK</v>
      </c>
    </row>
    <row r="344" spans="2:34" x14ac:dyDescent="0.2">
      <c r="B344" s="2">
        <f ca="1"/>
        <v>0.82003503479884432</v>
      </c>
      <c r="O344" s="2">
        <f ca="1"/>
        <v>-0.31574857301343839</v>
      </c>
      <c r="X344" s="2">
        <f ca="1"/>
        <v>44.168104823918782</v>
      </c>
      <c r="AG344" s="2">
        <f ca="1"/>
        <v>0.28911130296497833</v>
      </c>
      <c r="AH344" s="2" t="str">
        <f ca="1"/>
        <v>OK</v>
      </c>
    </row>
    <row r="345" spans="2:34" x14ac:dyDescent="0.2">
      <c r="B345" s="2">
        <f ca="1"/>
        <v>0.76437960774302605</v>
      </c>
      <c r="O345" s="2">
        <f ca="1"/>
        <v>-1.6356509644328117</v>
      </c>
      <c r="X345" s="2">
        <f ca="1"/>
        <v>80.931792967390976</v>
      </c>
      <c r="AG345" s="2">
        <f ca="1"/>
        <v>0.84942847543690214</v>
      </c>
      <c r="AH345" s="2" t="str">
        <f ca="1"/>
        <v>Bad</v>
      </c>
    </row>
    <row r="346" spans="2:34" x14ac:dyDescent="0.2">
      <c r="B346" s="2">
        <f ca="1"/>
        <v>0.15795794057988788</v>
      </c>
      <c r="O346" s="2">
        <f ca="1"/>
        <v>1.8583047015622873</v>
      </c>
      <c r="X346" s="2">
        <f ca="1"/>
        <v>70.089101119792588</v>
      </c>
      <c r="AG346" s="2">
        <f ca="1"/>
        <v>0.2167186605168907</v>
      </c>
      <c r="AH346" s="2" t="str">
        <f ca="1"/>
        <v>OK</v>
      </c>
    </row>
    <row r="347" spans="2:34" x14ac:dyDescent="0.2">
      <c r="B347" s="2">
        <f ca="1"/>
        <v>0.71929532439920241</v>
      </c>
      <c r="O347" s="2">
        <f ca="1"/>
        <v>0.68786340768867038</v>
      </c>
      <c r="X347" s="2">
        <f ca="1"/>
        <v>28.793178535997392</v>
      </c>
      <c r="AG347" s="2">
        <f ca="1"/>
        <v>0.39376425637795687</v>
      </c>
      <c r="AH347" s="2" t="str">
        <f ca="1"/>
        <v>OK</v>
      </c>
    </row>
    <row r="348" spans="2:34" x14ac:dyDescent="0.2">
      <c r="B348" s="2">
        <f ca="1"/>
        <v>0.29753040780212681</v>
      </c>
      <c r="O348" s="2">
        <f ca="1"/>
        <v>-7.8987784584384116E-2</v>
      </c>
      <c r="X348" s="2">
        <f ca="1"/>
        <v>42.076062591256715</v>
      </c>
      <c r="AG348" s="2">
        <f ca="1"/>
        <v>2.8291471711525018E-2</v>
      </c>
      <c r="AH348" s="2" t="str">
        <f ca="1"/>
        <v>Good</v>
      </c>
    </row>
    <row r="349" spans="2:34" x14ac:dyDescent="0.2">
      <c r="B349" s="2">
        <f ca="1"/>
        <v>0.60145132556541836</v>
      </c>
      <c r="O349" s="2">
        <f ca="1"/>
        <v>1.3691835411045352</v>
      </c>
      <c r="X349" s="2">
        <f ca="1"/>
        <v>41.70914856457884</v>
      </c>
      <c r="AG349" s="2">
        <f ca="1"/>
        <v>0.66323792813334848</v>
      </c>
      <c r="AH349" s="2" t="str">
        <f ca="1"/>
        <v>Bad</v>
      </c>
    </row>
    <row r="350" spans="2:34" x14ac:dyDescent="0.2">
      <c r="B350" s="2">
        <f ca="1"/>
        <v>0.32398459608739283</v>
      </c>
      <c r="O350" s="2">
        <f ca="1"/>
        <v>-0.7260565612901535</v>
      </c>
      <c r="X350" s="2">
        <f ca="1"/>
        <v>63.738061070633918</v>
      </c>
      <c r="AG350" s="2">
        <f ca="1"/>
        <v>0.19757793406507407</v>
      </c>
      <c r="AH350" s="2" t="str">
        <f ca="1"/>
        <v>OK</v>
      </c>
    </row>
    <row r="351" spans="2:34" x14ac:dyDescent="0.2">
      <c r="B351" s="2">
        <f ca="1"/>
        <v>8.9316790003853841E-2</v>
      </c>
      <c r="O351" s="2">
        <f ca="1"/>
        <v>0.65708999854153871</v>
      </c>
      <c r="X351" s="2">
        <f ca="1"/>
        <v>57.403552459028724</v>
      </c>
      <c r="AG351" s="2">
        <f ca="1"/>
        <v>0.19602019996958009</v>
      </c>
      <c r="AH351" s="2" t="str">
        <f ca="1"/>
        <v>OK</v>
      </c>
    </row>
    <row r="352" spans="2:34" x14ac:dyDescent="0.2">
      <c r="B352" s="2">
        <f ca="1"/>
        <v>0.6572401299161057</v>
      </c>
      <c r="O352" s="2">
        <f ca="1"/>
        <v>-1.0106527981275899</v>
      </c>
      <c r="X352" s="2">
        <f ca="1"/>
        <v>26.60642847719491</v>
      </c>
      <c r="AG352" s="2">
        <f ca="1"/>
        <v>0.73109844213336461</v>
      </c>
      <c r="AH352" s="2" t="str">
        <f ca="1"/>
        <v>Bad</v>
      </c>
    </row>
    <row r="353" spans="2:34" x14ac:dyDescent="0.2">
      <c r="B353" s="2">
        <f ca="1"/>
        <v>0.82084922652573056</v>
      </c>
      <c r="O353" s="2">
        <f ca="1"/>
        <v>1.7627152092035319</v>
      </c>
      <c r="X353" s="2">
        <f ca="1"/>
        <v>68.20684181783578</v>
      </c>
      <c r="AG353" s="2">
        <f ca="1"/>
        <v>0.68525544196302279</v>
      </c>
      <c r="AH353" s="2" t="str">
        <f ca="1"/>
        <v>Bad</v>
      </c>
    </row>
    <row r="354" spans="2:34" x14ac:dyDescent="0.2">
      <c r="B354" s="2">
        <f ca="1"/>
        <v>0.5563998460183186</v>
      </c>
      <c r="O354" s="2">
        <f ca="1"/>
        <v>1.1648791473918056</v>
      </c>
      <c r="X354" s="2">
        <f ca="1"/>
        <v>47.285606007378398</v>
      </c>
      <c r="AG354" s="2">
        <f ca="1"/>
        <v>0.2005721044210993</v>
      </c>
      <c r="AH354" s="2" t="str">
        <f ca="1"/>
        <v>OK</v>
      </c>
    </row>
    <row r="355" spans="2:34" x14ac:dyDescent="0.2">
      <c r="B355" s="2">
        <f ca="1"/>
        <v>0.69578728524735145</v>
      </c>
      <c r="O355" s="2">
        <f ca="1"/>
        <v>0.15832938081415232</v>
      </c>
      <c r="X355" s="2">
        <f ca="1"/>
        <v>49.809624574719678</v>
      </c>
      <c r="AG355" s="2">
        <f ca="1"/>
        <v>0.83366575510759144</v>
      </c>
      <c r="AH355" s="2" t="str">
        <f ca="1"/>
        <v>Bad</v>
      </c>
    </row>
    <row r="356" spans="2:34" x14ac:dyDescent="0.2">
      <c r="B356" s="2">
        <f ca="1"/>
        <v>0.40876859096906326</v>
      </c>
      <c r="O356" s="2">
        <f ca="1"/>
        <v>-0.39660116938347723</v>
      </c>
      <c r="X356" s="2">
        <f ca="1"/>
        <v>41.737832860826522</v>
      </c>
      <c r="AG356" s="2">
        <f ca="1"/>
        <v>0.37691808227656476</v>
      </c>
      <c r="AH356" s="2" t="str">
        <f ca="1"/>
        <v>OK</v>
      </c>
    </row>
    <row r="357" spans="2:34" x14ac:dyDescent="0.2">
      <c r="B357" s="2">
        <f ca="1"/>
        <v>0.59281580980382254</v>
      </c>
      <c r="O357" s="2">
        <f ca="1"/>
        <v>-0.588689293760426</v>
      </c>
      <c r="X357" s="2">
        <f ca="1"/>
        <v>42.098015140294642</v>
      </c>
      <c r="AG357" s="2">
        <f ca="1"/>
        <v>0.79219187587323425</v>
      </c>
      <c r="AH357" s="2" t="str">
        <f ca="1"/>
        <v>Bad</v>
      </c>
    </row>
    <row r="358" spans="2:34" x14ac:dyDescent="0.2">
      <c r="B358" s="2">
        <f ca="1"/>
        <v>0.44181866048291973</v>
      </c>
      <c r="O358" s="2">
        <f ca="1"/>
        <v>-0.59486112801627788</v>
      </c>
      <c r="X358" s="2">
        <f ca="1"/>
        <v>37.724158115816472</v>
      </c>
      <c r="AG358" s="2">
        <f ca="1"/>
        <v>0.56306047257031011</v>
      </c>
      <c r="AH358" s="2" t="str">
        <f ca="1"/>
        <v>Bad</v>
      </c>
    </row>
    <row r="359" spans="2:34" x14ac:dyDescent="0.2">
      <c r="B359" s="2">
        <f ca="1"/>
        <v>0.77156704048328262</v>
      </c>
      <c r="O359" s="2">
        <f ca="1"/>
        <v>-1.8899928255583984</v>
      </c>
      <c r="X359" s="2">
        <f ca="1"/>
        <v>33.916539603631733</v>
      </c>
      <c r="AG359" s="2">
        <f ca="1"/>
        <v>0.57951114780658397</v>
      </c>
      <c r="AH359" s="2" t="str">
        <f ca="1"/>
        <v>Bad</v>
      </c>
    </row>
    <row r="360" spans="2:34" x14ac:dyDescent="0.2">
      <c r="B360" s="2">
        <f ca="1"/>
        <v>0.57900614492504165</v>
      </c>
      <c r="O360" s="2">
        <f ca="1"/>
        <v>-1.3816216482983654</v>
      </c>
      <c r="X360" s="2">
        <f ca="1"/>
        <v>66.442665844519368</v>
      </c>
      <c r="AG360" s="2">
        <f ca="1"/>
        <v>0.17573531501757955</v>
      </c>
      <c r="AH360" s="2" t="str">
        <f ca="1"/>
        <v>OK</v>
      </c>
    </row>
    <row r="361" spans="2:34" x14ac:dyDescent="0.2">
      <c r="B361" s="2">
        <f ca="1"/>
        <v>3.9980214079286647E-2</v>
      </c>
      <c r="O361" s="2">
        <f ca="1"/>
        <v>0.12270648482092505</v>
      </c>
      <c r="X361" s="2">
        <f ca="1"/>
        <v>24.80632546310121</v>
      </c>
      <c r="AG361" s="2">
        <f ca="1"/>
        <v>0.91205356777471147</v>
      </c>
      <c r="AH361" s="2" t="str">
        <f ca="1"/>
        <v>Bad</v>
      </c>
    </row>
    <row r="362" spans="2:34" x14ac:dyDescent="0.2">
      <c r="B362" s="2">
        <f ca="1"/>
        <v>0.94322544897439364</v>
      </c>
      <c r="O362" s="2">
        <f ca="1"/>
        <v>0.81193350177236445</v>
      </c>
      <c r="X362" s="2">
        <f ca="1"/>
        <v>41.105253662674158</v>
      </c>
      <c r="AG362" s="2">
        <f ca="1"/>
        <v>0.16975982369667619</v>
      </c>
      <c r="AH362" s="2" t="str">
        <f ca="1"/>
        <v>OK</v>
      </c>
    </row>
    <row r="363" spans="2:34" x14ac:dyDescent="0.2">
      <c r="B363" s="2">
        <f ca="1"/>
        <v>0.69728229192913127</v>
      </c>
      <c r="O363" s="2">
        <f ca="1"/>
        <v>-0.29569706972983573</v>
      </c>
      <c r="X363" s="2">
        <f ca="1"/>
        <v>73.495830826770742</v>
      </c>
      <c r="AG363" s="2">
        <f ca="1"/>
        <v>0.73701057316348839</v>
      </c>
      <c r="AH363" s="2" t="str">
        <f ca="1"/>
        <v>Bad</v>
      </c>
    </row>
    <row r="364" spans="2:34" x14ac:dyDescent="0.2">
      <c r="B364" s="2">
        <f ca="1"/>
        <v>0.6600264569273151</v>
      </c>
      <c r="O364" s="2">
        <f ca="1"/>
        <v>1.0165660298907371</v>
      </c>
      <c r="X364" s="2">
        <f ca="1"/>
        <v>39.668866881240717</v>
      </c>
      <c r="AG364" s="2">
        <f ca="1"/>
        <v>0.30520487973245891</v>
      </c>
      <c r="AH364" s="2" t="str">
        <f ca="1"/>
        <v>OK</v>
      </c>
    </row>
    <row r="365" spans="2:34" x14ac:dyDescent="0.2">
      <c r="B365" s="2">
        <f ca="1"/>
        <v>0.88099473442036347</v>
      </c>
      <c r="O365" s="2">
        <f ca="1"/>
        <v>-1.3621741183161402</v>
      </c>
      <c r="X365" s="2">
        <f ca="1"/>
        <v>49.079187029334776</v>
      </c>
      <c r="AG365" s="2">
        <f ca="1"/>
        <v>0.44178753936395454</v>
      </c>
      <c r="AH365" s="2" t="str">
        <f ca="1"/>
        <v>Bad</v>
      </c>
    </row>
    <row r="366" spans="2:34" x14ac:dyDescent="0.2">
      <c r="B366" s="2">
        <f ca="1"/>
        <v>0.51373678933589884</v>
      </c>
      <c r="O366" s="2">
        <f ca="1"/>
        <v>-0.63434216917738295</v>
      </c>
      <c r="X366" s="2">
        <f ca="1"/>
        <v>59.884649727952244</v>
      </c>
      <c r="AG366" s="2">
        <f ca="1"/>
        <v>0.31435741704212861</v>
      </c>
      <c r="AH366" s="2" t="str">
        <f ca="1"/>
        <v>OK</v>
      </c>
    </row>
    <row r="367" spans="2:34" x14ac:dyDescent="0.2">
      <c r="B367" s="2">
        <f ca="1"/>
        <v>0.54920535546774363</v>
      </c>
      <c r="O367" s="2">
        <f ca="1"/>
        <v>-0.10163894636449515</v>
      </c>
      <c r="X367" s="2">
        <f ca="1"/>
        <v>61.454411247394461</v>
      </c>
      <c r="AG367" s="2">
        <f ca="1"/>
        <v>0.68565206325369865</v>
      </c>
      <c r="AH367" s="2" t="str">
        <f ca="1"/>
        <v>Bad</v>
      </c>
    </row>
    <row r="368" spans="2:34" x14ac:dyDescent="0.2">
      <c r="B368" s="2">
        <f ca="1"/>
        <v>0.61142889603746897</v>
      </c>
      <c r="O368" s="2">
        <f ca="1"/>
        <v>-0.13400664278143773</v>
      </c>
      <c r="X368" s="2">
        <f ca="1"/>
        <v>20.605042798851962</v>
      </c>
      <c r="AG368" s="2">
        <f ca="1"/>
        <v>0.41339495098375867</v>
      </c>
      <c r="AH368" s="2" t="str">
        <f ca="1"/>
        <v>Bad</v>
      </c>
    </row>
    <row r="369" spans="2:34" x14ac:dyDescent="0.2">
      <c r="B369" s="2">
        <f ca="1"/>
        <v>0.1401955760715603</v>
      </c>
      <c r="O369" s="2">
        <f ca="1"/>
        <v>1.3891937293807404</v>
      </c>
      <c r="X369" s="2">
        <f ca="1"/>
        <v>49.914825388511261</v>
      </c>
      <c r="AG369" s="2">
        <f ca="1"/>
        <v>0.89060816939254539</v>
      </c>
      <c r="AH369" s="2" t="str">
        <f ca="1"/>
        <v>Bad</v>
      </c>
    </row>
    <row r="370" spans="2:34" x14ac:dyDescent="0.2">
      <c r="B370" s="2">
        <f ca="1"/>
        <v>0.66970955438059643</v>
      </c>
      <c r="O370" s="2">
        <f ca="1"/>
        <v>1.6396553043501678</v>
      </c>
      <c r="X370" s="2">
        <f ca="1"/>
        <v>37.197377624951692</v>
      </c>
      <c r="AG370" s="2">
        <f ca="1"/>
        <v>0.30024644059653216</v>
      </c>
      <c r="AH370" s="2" t="str">
        <f ca="1"/>
        <v>OK</v>
      </c>
    </row>
    <row r="371" spans="2:34" x14ac:dyDescent="0.2">
      <c r="B371" s="2">
        <f ca="1"/>
        <v>0.41487564078307915</v>
      </c>
      <c r="O371" s="2">
        <f ca="1"/>
        <v>0.15867170124427676</v>
      </c>
      <c r="X371" s="2">
        <f ca="1"/>
        <v>70.344443017401431</v>
      </c>
      <c r="AG371" s="2">
        <f ca="1"/>
        <v>0.28368212969536777</v>
      </c>
      <c r="AH371" s="2" t="str">
        <f ca="1"/>
        <v>OK</v>
      </c>
    </row>
    <row r="372" spans="2:34" x14ac:dyDescent="0.2">
      <c r="B372" s="2">
        <f ca="1"/>
        <v>1.3169369099142125E-2</v>
      </c>
      <c r="O372" s="2">
        <f ca="1"/>
        <v>0.54670983489223535</v>
      </c>
      <c r="X372" s="2">
        <f ca="1"/>
        <v>59.129730053029974</v>
      </c>
      <c r="AG372" s="2">
        <f ca="1"/>
        <v>0.57917626081561613</v>
      </c>
      <c r="AH372" s="2" t="str">
        <f ca="1"/>
        <v>Bad</v>
      </c>
    </row>
    <row r="373" spans="2:34" x14ac:dyDescent="0.2">
      <c r="B373" s="2">
        <f ca="1"/>
        <v>0.21321158026855103</v>
      </c>
      <c r="O373" s="2">
        <f ca="1"/>
        <v>-1.3116153198068701</v>
      </c>
      <c r="X373" s="2">
        <f ca="1"/>
        <v>58.598775038312937</v>
      </c>
      <c r="AG373" s="2">
        <f ca="1"/>
        <v>0.76292393988116114</v>
      </c>
      <c r="AH373" s="2" t="str">
        <f ca="1"/>
        <v>Bad</v>
      </c>
    </row>
    <row r="374" spans="2:34" x14ac:dyDescent="0.2">
      <c r="B374" s="2">
        <f ca="1"/>
        <v>0.75100864335522188</v>
      </c>
      <c r="O374" s="2">
        <f ca="1"/>
        <v>-1.6584301833216633</v>
      </c>
      <c r="X374" s="2">
        <f ca="1"/>
        <v>42.694616089640114</v>
      </c>
      <c r="AG374" s="2">
        <f ca="1"/>
        <v>5.1097465904208939E-2</v>
      </c>
      <c r="AH374" s="2" t="str">
        <f ca="1"/>
        <v>OK</v>
      </c>
    </row>
    <row r="375" spans="2:34" x14ac:dyDescent="0.2">
      <c r="B375" s="2">
        <f ca="1"/>
        <v>0.46167470791100307</v>
      </c>
      <c r="O375" s="2">
        <f ca="1"/>
        <v>-1.0505444652991887</v>
      </c>
      <c r="X375" s="2">
        <f ca="1"/>
        <v>44.679071389954728</v>
      </c>
      <c r="AG375" s="2">
        <f ca="1"/>
        <v>0.37402183913578813</v>
      </c>
      <c r="AH375" s="2" t="str">
        <f ca="1"/>
        <v>OK</v>
      </c>
    </row>
    <row r="376" spans="2:34" x14ac:dyDescent="0.2">
      <c r="B376" s="2">
        <f ca="1"/>
        <v>1.3100378551373026E-2</v>
      </c>
      <c r="O376" s="2">
        <f ca="1"/>
        <v>-0.91923071547092683</v>
      </c>
      <c r="X376" s="2">
        <f ca="1"/>
        <v>48.169164050403637</v>
      </c>
      <c r="AG376" s="2">
        <f ca="1"/>
        <v>0.59962777569585279</v>
      </c>
      <c r="AH376" s="2" t="str">
        <f ca="1"/>
        <v>Bad</v>
      </c>
    </row>
    <row r="377" spans="2:34" x14ac:dyDescent="0.2">
      <c r="B377" s="2">
        <f ca="1"/>
        <v>0.33813793460457653</v>
      </c>
      <c r="O377" s="2">
        <f ca="1"/>
        <v>-2.9573151250431702E-2</v>
      </c>
      <c r="X377" s="2">
        <f ca="1"/>
        <v>51.904568145844067</v>
      </c>
      <c r="AG377" s="2">
        <f ca="1"/>
        <v>0.13784188205333225</v>
      </c>
      <c r="AH377" s="2" t="str">
        <f ca="1"/>
        <v>OK</v>
      </c>
    </row>
    <row r="378" spans="2:34" x14ac:dyDescent="0.2">
      <c r="B378" s="2">
        <f ca="1"/>
        <v>2.3934697169518238E-2</v>
      </c>
      <c r="O378" s="2">
        <f ca="1"/>
        <v>-0.18333207294755471</v>
      </c>
      <c r="X378" s="2">
        <f ca="1"/>
        <v>20.032265210036901</v>
      </c>
      <c r="AG378" s="2">
        <f ca="1"/>
        <v>0.58867433533252589</v>
      </c>
      <c r="AH378" s="2" t="str">
        <f ca="1"/>
        <v>Bad</v>
      </c>
    </row>
    <row r="379" spans="2:34" x14ac:dyDescent="0.2">
      <c r="B379" s="2">
        <f ca="1"/>
        <v>0.39512802219909338</v>
      </c>
      <c r="O379" s="2">
        <f ca="1"/>
        <v>9.1608614561177359E-2</v>
      </c>
      <c r="X379" s="2">
        <f ca="1"/>
        <v>28.687321675780769</v>
      </c>
      <c r="AG379" s="2">
        <f ca="1"/>
        <v>0.91432081993898895</v>
      </c>
      <c r="AH379" s="2" t="str">
        <f ca="1"/>
        <v>Bad</v>
      </c>
    </row>
    <row r="380" spans="2:34" x14ac:dyDescent="0.2">
      <c r="B380" s="2">
        <f ca="1"/>
        <v>0.17068263807485851</v>
      </c>
      <c r="O380" s="2">
        <f ca="1"/>
        <v>0.25381678924750717</v>
      </c>
      <c r="X380" s="2">
        <f ca="1"/>
        <v>93.584120828894953</v>
      </c>
      <c r="AG380" s="2">
        <f ca="1"/>
        <v>0.47007549192724185</v>
      </c>
      <c r="AH380" s="2" t="str">
        <f ca="1"/>
        <v>Bad</v>
      </c>
    </row>
    <row r="381" spans="2:34" x14ac:dyDescent="0.2">
      <c r="B381" s="2">
        <f ca="1"/>
        <v>0.69955969904716464</v>
      </c>
      <c r="O381" s="2">
        <f ca="1"/>
        <v>-0.69326578798942917</v>
      </c>
      <c r="X381" s="2">
        <f ca="1"/>
        <v>61.194412967837636</v>
      </c>
      <c r="AG381" s="2">
        <f ca="1"/>
        <v>0.57982021192072186</v>
      </c>
      <c r="AH381" s="2" t="str">
        <f ca="1"/>
        <v>Bad</v>
      </c>
    </row>
    <row r="382" spans="2:34" x14ac:dyDescent="0.2">
      <c r="B382" s="2">
        <f ca="1"/>
        <v>0.78647288393445836</v>
      </c>
      <c r="O382" s="2">
        <f ca="1"/>
        <v>0.25245931045111841</v>
      </c>
      <c r="X382" s="2">
        <f ca="1"/>
        <v>30.345764045966671</v>
      </c>
      <c r="AG382" s="2">
        <f ca="1"/>
        <v>0.39379095219090177</v>
      </c>
      <c r="AH382" s="2" t="str">
        <f ca="1"/>
        <v>OK</v>
      </c>
    </row>
    <row r="383" spans="2:34" x14ac:dyDescent="0.2">
      <c r="B383" s="2">
        <f ca="1"/>
        <v>0.64311302071694798</v>
      </c>
      <c r="O383" s="2">
        <f ca="1"/>
        <v>0.67923118377759939</v>
      </c>
      <c r="X383" s="2">
        <f ca="1"/>
        <v>59.753153362702172</v>
      </c>
      <c r="AG383" s="2">
        <f ca="1"/>
        <v>0.90453627890098498</v>
      </c>
      <c r="AH383" s="2" t="str">
        <f ca="1"/>
        <v>Bad</v>
      </c>
    </row>
    <row r="384" spans="2:34" x14ac:dyDescent="0.2">
      <c r="B384" s="2">
        <f ca="1"/>
        <v>0.98442734003332033</v>
      </c>
      <c r="O384" s="2">
        <f ca="1"/>
        <v>-0.35208424870744326</v>
      </c>
      <c r="X384" s="2">
        <f ca="1"/>
        <v>61.349026511843398</v>
      </c>
      <c r="AG384" s="2">
        <f ca="1"/>
        <v>0.25545828885662347</v>
      </c>
      <c r="AH384" s="2" t="str">
        <f ca="1"/>
        <v>OK</v>
      </c>
    </row>
    <row r="385" spans="2:34" x14ac:dyDescent="0.2">
      <c r="B385" s="2">
        <f ca="1"/>
        <v>0.22760532387749999</v>
      </c>
      <c r="O385" s="2">
        <f ca="1"/>
        <v>1.1329208383214211</v>
      </c>
      <c r="X385" s="2">
        <f ca="1"/>
        <v>46.66853144755072</v>
      </c>
      <c r="AG385" s="2">
        <f ca="1"/>
        <v>0.69015032386612085</v>
      </c>
      <c r="AH385" s="2" t="str">
        <f ca="1"/>
        <v>Bad</v>
      </c>
    </row>
    <row r="386" spans="2:34" x14ac:dyDescent="0.2">
      <c r="B386" s="2">
        <f ca="1"/>
        <v>0.89216530744466671</v>
      </c>
      <c r="O386" s="2">
        <f ca="1"/>
        <v>-1.2720203191218959</v>
      </c>
      <c r="X386" s="2">
        <f ca="1"/>
        <v>35.836385511279488</v>
      </c>
      <c r="AG386" s="2">
        <f ca="1"/>
        <v>0.83092673441852583</v>
      </c>
      <c r="AH386" s="2" t="str">
        <f ca="1"/>
        <v>Bad</v>
      </c>
    </row>
    <row r="387" spans="2:34" x14ac:dyDescent="0.2">
      <c r="B387" s="2">
        <f ca="1"/>
        <v>0.91003581091875052</v>
      </c>
      <c r="O387" s="2">
        <f ca="1"/>
        <v>1.2173658140520349</v>
      </c>
      <c r="X387" s="2">
        <f ca="1"/>
        <v>57.139426360070317</v>
      </c>
      <c r="AG387" s="2">
        <f ca="1"/>
        <v>0.72892302889020177</v>
      </c>
      <c r="AH387" s="2" t="str">
        <f ca="1"/>
        <v>Bad</v>
      </c>
    </row>
    <row r="388" spans="2:34" x14ac:dyDescent="0.2">
      <c r="B388" s="2">
        <f ca="1"/>
        <v>0.9716252180003222</v>
      </c>
      <c r="O388" s="2">
        <f ca="1"/>
        <v>0.26299576196666147</v>
      </c>
      <c r="X388" s="2">
        <f ca="1"/>
        <v>58.306627679520879</v>
      </c>
      <c r="AG388" s="2">
        <f ca="1"/>
        <v>2.8956075657058378E-3</v>
      </c>
      <c r="AH388" s="2" t="str">
        <f ca="1"/>
        <v>Good</v>
      </c>
    </row>
    <row r="389" spans="2:34" x14ac:dyDescent="0.2">
      <c r="B389" s="2">
        <f ca="1"/>
        <v>0.24194614984216578</v>
      </c>
      <c r="O389" s="2">
        <f ca="1"/>
        <v>-0.55639070388454825</v>
      </c>
      <c r="X389" s="2">
        <f ca="1"/>
        <v>16.108156014644337</v>
      </c>
      <c r="AG389" s="2">
        <f ca="1"/>
        <v>0.53029358993590359</v>
      </c>
      <c r="AH389" s="2" t="str">
        <f ca="1"/>
        <v>Bad</v>
      </c>
    </row>
    <row r="390" spans="2:34" x14ac:dyDescent="0.2">
      <c r="B390" s="2">
        <f ca="1"/>
        <v>0.98660325895075363</v>
      </c>
      <c r="O390" s="2">
        <f ca="1"/>
        <v>-0.26945092302353812</v>
      </c>
      <c r="X390" s="2">
        <f ca="1"/>
        <v>47.702308984207143</v>
      </c>
      <c r="AG390" s="2">
        <f ca="1"/>
        <v>0.29736934516906288</v>
      </c>
      <c r="AH390" s="2" t="str">
        <f ca="1"/>
        <v>OK</v>
      </c>
    </row>
    <row r="391" spans="2:34" x14ac:dyDescent="0.2">
      <c r="B391" s="2">
        <f ca="1"/>
        <v>0.37338525442193471</v>
      </c>
      <c r="O391" s="2">
        <f ca="1"/>
        <v>1.0264764353092684</v>
      </c>
      <c r="X391" s="2">
        <f ca="1"/>
        <v>39.820156665584499</v>
      </c>
      <c r="AG391" s="2">
        <f ca="1"/>
        <v>0.50600789015679104</v>
      </c>
      <c r="AH391" s="2" t="str">
        <f ca="1"/>
        <v>Bad</v>
      </c>
    </row>
    <row r="392" spans="2:34" x14ac:dyDescent="0.2">
      <c r="B392" s="2">
        <f ca="1"/>
        <v>0.78520057684178712</v>
      </c>
      <c r="O392" s="2">
        <f ca="1"/>
        <v>0.6031291851891486</v>
      </c>
      <c r="X392" s="2">
        <f ca="1"/>
        <v>65.730585897471173</v>
      </c>
      <c r="AG392" s="2">
        <f ca="1"/>
        <v>0.77243009689090281</v>
      </c>
      <c r="AH392" s="2" t="str">
        <f ca="1"/>
        <v>Bad</v>
      </c>
    </row>
    <row r="393" spans="2:34" x14ac:dyDescent="0.2">
      <c r="B393" s="2">
        <f ca="1"/>
        <v>0.86299544212152091</v>
      </c>
      <c r="O393" s="2">
        <f ca="1"/>
        <v>1.0296347805436594</v>
      </c>
      <c r="X393" s="2">
        <f ca="1"/>
        <v>42.132003503977835</v>
      </c>
      <c r="AG393" s="2">
        <f ca="1"/>
        <v>0.18352398507296286</v>
      </c>
      <c r="AH393" s="2" t="str">
        <f ca="1"/>
        <v>OK</v>
      </c>
    </row>
    <row r="394" spans="2:34" x14ac:dyDescent="0.2">
      <c r="B394" s="2">
        <f ca="1"/>
        <v>0.24798675557282612</v>
      </c>
      <c r="O394" s="2">
        <f ca="1"/>
        <v>0.1750079701134977</v>
      </c>
      <c r="X394" s="2">
        <f ca="1"/>
        <v>39.563106854366211</v>
      </c>
      <c r="AG394" s="2">
        <f ca="1"/>
        <v>0.10253914641071304</v>
      </c>
      <c r="AH394" s="2" t="str">
        <f ca="1"/>
        <v>OK</v>
      </c>
    </row>
    <row r="395" spans="2:34" x14ac:dyDescent="0.2">
      <c r="B395" s="2">
        <f ca="1"/>
        <v>0.33566009899646465</v>
      </c>
      <c r="O395" s="2">
        <f ca="1"/>
        <v>-2.2382543853676684</v>
      </c>
      <c r="X395" s="2">
        <f ca="1"/>
        <v>66.233014018314975</v>
      </c>
      <c r="AG395" s="2">
        <f ca="1"/>
        <v>0.71354075431841912</v>
      </c>
      <c r="AH395" s="2" t="str">
        <f ca="1"/>
        <v>Bad</v>
      </c>
    </row>
    <row r="396" spans="2:34" x14ac:dyDescent="0.2">
      <c r="B396" s="2">
        <f ca="1"/>
        <v>0.43533208911742083</v>
      </c>
      <c r="O396" s="2">
        <f ca="1"/>
        <v>-0.49924402125238754</v>
      </c>
      <c r="X396" s="2">
        <f ca="1"/>
        <v>20.907930726300311</v>
      </c>
      <c r="AG396" s="2">
        <f ca="1"/>
        <v>0.82193624773532559</v>
      </c>
      <c r="AH396" s="2" t="str">
        <f ca="1"/>
        <v>Bad</v>
      </c>
    </row>
    <row r="397" spans="2:34" x14ac:dyDescent="0.2">
      <c r="B397" s="2">
        <f ca="1"/>
        <v>4.2432368071708471E-2</v>
      </c>
      <c r="O397" s="2">
        <f ca="1"/>
        <v>-0.64528682906004609</v>
      </c>
      <c r="X397" s="2">
        <f ca="1"/>
        <v>77.754334836115476</v>
      </c>
      <c r="AG397" s="2">
        <f ca="1"/>
        <v>0.26874713132524142</v>
      </c>
      <c r="AH397" s="2" t="str">
        <f ca="1"/>
        <v>OK</v>
      </c>
    </row>
    <row r="398" spans="2:34" x14ac:dyDescent="0.2">
      <c r="B398" s="2">
        <f ca="1"/>
        <v>0.69405852461783257</v>
      </c>
      <c r="O398" s="2">
        <f ca="1"/>
        <v>1.954858014296188</v>
      </c>
      <c r="X398" s="2">
        <f ca="1"/>
        <v>42.990718870189902</v>
      </c>
      <c r="AG398" s="2">
        <f ca="1"/>
        <v>0.56358206589676452</v>
      </c>
      <c r="AH398" s="2" t="str">
        <f ca="1"/>
        <v>Bad</v>
      </c>
    </row>
    <row r="399" spans="2:34" x14ac:dyDescent="0.2">
      <c r="B399" s="2">
        <f ca="1"/>
        <v>0.27867826196745793</v>
      </c>
      <c r="O399" s="2">
        <f ca="1"/>
        <v>-0.21696641089450991</v>
      </c>
      <c r="X399" s="2">
        <f ca="1"/>
        <v>61.055262954983263</v>
      </c>
      <c r="AG399" s="2">
        <f ca="1"/>
        <v>0.74338563779387745</v>
      </c>
      <c r="AH399" s="2" t="str">
        <f ca="1"/>
        <v>Bad</v>
      </c>
    </row>
    <row r="400" spans="2:34" x14ac:dyDescent="0.2">
      <c r="B400" s="2">
        <f ca="1"/>
        <v>0.14393219276898139</v>
      </c>
      <c r="O400" s="2">
        <f ca="1"/>
        <v>0.82204627147323506</v>
      </c>
      <c r="X400" s="2">
        <f ca="1"/>
        <v>64.851055879218009</v>
      </c>
      <c r="AG400" s="2">
        <f ca="1"/>
        <v>0.17396745093192467</v>
      </c>
      <c r="AH400" s="2" t="str">
        <f ca="1"/>
        <v>OK</v>
      </c>
    </row>
    <row r="401" spans="2:34" x14ac:dyDescent="0.2">
      <c r="B401" s="2">
        <f ca="1"/>
        <v>0.9191483282618329</v>
      </c>
      <c r="O401" s="2">
        <f ca="1"/>
        <v>0.55030243039112803</v>
      </c>
      <c r="X401" s="2">
        <f ca="1"/>
        <v>63.155287011394954</v>
      </c>
      <c r="AG401" s="2">
        <f ca="1"/>
        <v>0.32650456709168263</v>
      </c>
      <c r="AH401" s="2" t="str">
        <f ca="1"/>
        <v>OK</v>
      </c>
    </row>
    <row r="402" spans="2:34" x14ac:dyDescent="0.2">
      <c r="B402" s="2">
        <f ca="1"/>
        <v>0.34771793945788776</v>
      </c>
      <c r="O402" s="2">
        <f ca="1"/>
        <v>-1.4815675437713538</v>
      </c>
      <c r="X402" s="2">
        <f ca="1"/>
        <v>34.557199897447248</v>
      </c>
      <c r="AG402" s="2">
        <f ca="1"/>
        <v>0.15957238196995327</v>
      </c>
      <c r="AH402" s="2" t="str">
        <f ca="1"/>
        <v>OK</v>
      </c>
    </row>
    <row r="403" spans="2:34" x14ac:dyDescent="0.2">
      <c r="B403" s="2">
        <f ca="1"/>
        <v>0.90095277122150152</v>
      </c>
      <c r="O403" s="2">
        <f ca="1"/>
        <v>-1.477215745488603</v>
      </c>
      <c r="X403" s="2">
        <f ca="1"/>
        <v>51.808175105286445</v>
      </c>
      <c r="AG403" s="2">
        <f ca="1"/>
        <v>0.31678386399241099</v>
      </c>
      <c r="AH403" s="2" t="str">
        <f ca="1"/>
        <v>OK</v>
      </c>
    </row>
    <row r="404" spans="2:34" x14ac:dyDescent="0.2">
      <c r="B404" s="2">
        <f ca="1"/>
        <v>0.10847507324084837</v>
      </c>
      <c r="O404" s="2">
        <f ca="1"/>
        <v>-1.4646913801509582</v>
      </c>
      <c r="X404" s="2">
        <f ca="1"/>
        <v>52.454616764476057</v>
      </c>
      <c r="AG404" s="2">
        <f ca="1"/>
        <v>0.3947972986191024</v>
      </c>
      <c r="AH404" s="2" t="str">
        <f ca="1"/>
        <v>OK</v>
      </c>
    </row>
    <row r="405" spans="2:34" x14ac:dyDescent="0.2">
      <c r="B405" s="2">
        <f ca="1"/>
        <v>0.48691918457509042</v>
      </c>
      <c r="O405" s="2">
        <f ca="1"/>
        <v>0.17680151175694869</v>
      </c>
      <c r="X405" s="2">
        <f ca="1"/>
        <v>25.608619787926056</v>
      </c>
      <c r="AG405" s="2">
        <f ca="1"/>
        <v>0.4376475699857556</v>
      </c>
      <c r="AH405" s="2" t="str">
        <f ca="1"/>
        <v>Bad</v>
      </c>
    </row>
    <row r="406" spans="2:34" x14ac:dyDescent="0.2">
      <c r="B406" s="2">
        <f ca="1"/>
        <v>0.70144487076374329</v>
      </c>
      <c r="O406" s="2">
        <f ca="1"/>
        <v>0.66516327807906572</v>
      </c>
      <c r="X406" s="2">
        <f ca="1"/>
        <v>55.703709798925551</v>
      </c>
      <c r="AG406" s="2">
        <f ca="1"/>
        <v>0.97415921053953336</v>
      </c>
      <c r="AH406" s="2" t="str">
        <f ca="1"/>
        <v>Bad</v>
      </c>
    </row>
    <row r="407" spans="2:34" x14ac:dyDescent="0.2">
      <c r="B407" s="2">
        <f ca="1"/>
        <v>0.68630161205933948</v>
      </c>
      <c r="O407" s="2">
        <f ca="1"/>
        <v>1.4418496709217179</v>
      </c>
      <c r="X407" s="2">
        <f ca="1"/>
        <v>71.785179860562152</v>
      </c>
      <c r="AG407" s="2">
        <f ca="1"/>
        <v>0.29112800606860434</v>
      </c>
      <c r="AH407" s="2" t="str">
        <f ca="1"/>
        <v>OK</v>
      </c>
    </row>
    <row r="408" spans="2:34" x14ac:dyDescent="0.2">
      <c r="B408" s="2">
        <f ca="1"/>
        <v>0.55625176961633849</v>
      </c>
      <c r="O408" s="2">
        <f ca="1"/>
        <v>-0.99822603026743928</v>
      </c>
      <c r="X408" s="2">
        <f ca="1"/>
        <v>41.579051232041053</v>
      </c>
      <c r="AG408" s="2">
        <f ca="1"/>
        <v>0.11565579963014927</v>
      </c>
      <c r="AH408" s="2" t="str">
        <f ca="1"/>
        <v>OK</v>
      </c>
    </row>
    <row r="409" spans="2:34" x14ac:dyDescent="0.2">
      <c r="B409" s="2">
        <f ca="1"/>
        <v>0.2656412740060845</v>
      </c>
      <c r="O409" s="2">
        <f ca="1"/>
        <v>-1.7753191782312281</v>
      </c>
      <c r="X409" s="2">
        <f ca="1"/>
        <v>44.495950704151539</v>
      </c>
      <c r="AG409" s="2">
        <f ca="1"/>
        <v>0.39610001104034698</v>
      </c>
      <c r="AH409" s="2" t="str">
        <f ca="1"/>
        <v>OK</v>
      </c>
    </row>
    <row r="410" spans="2:34" x14ac:dyDescent="0.2">
      <c r="B410" s="2">
        <f ca="1"/>
        <v>0.50344602158315532</v>
      </c>
      <c r="O410" s="2">
        <f ca="1"/>
        <v>0.79707196127721847</v>
      </c>
      <c r="X410" s="2">
        <f ca="1"/>
        <v>62.16190695904956</v>
      </c>
      <c r="AG410" s="2">
        <f ca="1"/>
        <v>0.74691276506809201</v>
      </c>
      <c r="AH410" s="2" t="str">
        <f ca="1"/>
        <v>Bad</v>
      </c>
    </row>
    <row r="411" spans="2:34" x14ac:dyDescent="0.2">
      <c r="B411" s="2">
        <f ca="1"/>
        <v>0.20287963772856332</v>
      </c>
      <c r="O411" s="2">
        <f ca="1"/>
        <v>0.85571982182591266</v>
      </c>
      <c r="X411" s="2">
        <f ca="1"/>
        <v>51.155018115932663</v>
      </c>
      <c r="AG411" s="2">
        <f ca="1"/>
        <v>0.99180167703927835</v>
      </c>
      <c r="AH411" s="2" t="str">
        <f ca="1"/>
        <v>Bad</v>
      </c>
    </row>
    <row r="412" spans="2:34" x14ac:dyDescent="0.2">
      <c r="B412" s="2">
        <f ca="1"/>
        <v>0.56990982829286962</v>
      </c>
      <c r="O412" s="2">
        <f ca="1"/>
        <v>1.4850888694056947</v>
      </c>
      <c r="X412" s="2">
        <f ca="1"/>
        <v>27.686083523639059</v>
      </c>
      <c r="AG412" s="2">
        <f ca="1"/>
        <v>0.54458789690756237</v>
      </c>
      <c r="AH412" s="2" t="str">
        <f ca="1"/>
        <v>Bad</v>
      </c>
    </row>
    <row r="413" spans="2:34" x14ac:dyDescent="0.2">
      <c r="B413" s="2">
        <f ca="1"/>
        <v>0.47042414272108446</v>
      </c>
      <c r="O413" s="2">
        <f ca="1"/>
        <v>-2.0342511377924968</v>
      </c>
      <c r="X413" s="2">
        <f ca="1"/>
        <v>92.452163151325649</v>
      </c>
      <c r="AG413" s="2">
        <f ca="1"/>
        <v>0.93056892751905829</v>
      </c>
      <c r="AH413" s="2" t="str">
        <f ca="1"/>
        <v>Bad</v>
      </c>
    </row>
    <row r="414" spans="2:34" x14ac:dyDescent="0.2">
      <c r="B414" s="2">
        <f ca="1"/>
        <v>0.40746198012117674</v>
      </c>
      <c r="O414" s="2">
        <f ca="1"/>
        <v>-0.69471497495858736</v>
      </c>
      <c r="X414" s="2">
        <f ca="1"/>
        <v>36.138926541021647</v>
      </c>
      <c r="AG414" s="2">
        <f ca="1"/>
        <v>0.3372442699023559</v>
      </c>
      <c r="AH414" s="2" t="str">
        <f ca="1"/>
        <v>OK</v>
      </c>
    </row>
    <row r="415" spans="2:34" x14ac:dyDescent="0.2">
      <c r="B415" s="2">
        <f ca="1"/>
        <v>0.82896705897250733</v>
      </c>
      <c r="O415" s="2">
        <f ca="1"/>
        <v>-0.90607825387640506</v>
      </c>
      <c r="X415" s="2">
        <f ca="1"/>
        <v>43.852069729476931</v>
      </c>
      <c r="AG415" s="2">
        <f ca="1"/>
        <v>0.85071103105820578</v>
      </c>
      <c r="AH415" s="2" t="str">
        <f ca="1"/>
        <v>Bad</v>
      </c>
    </row>
    <row r="416" spans="2:34" x14ac:dyDescent="0.2">
      <c r="B416" s="2">
        <f ca="1"/>
        <v>0.75999121433362937</v>
      </c>
      <c r="O416" s="2">
        <f ca="1"/>
        <v>-0.60985415037698032</v>
      </c>
      <c r="X416" s="2">
        <f ca="1"/>
        <v>45.712803916164319</v>
      </c>
      <c r="AG416" s="2">
        <f ca="1"/>
        <v>0.95753992112185182</v>
      </c>
      <c r="AH416" s="2" t="str">
        <f ca="1"/>
        <v>Bad</v>
      </c>
    </row>
    <row r="417" spans="2:34" x14ac:dyDescent="0.2">
      <c r="B417" s="2">
        <f ca="1"/>
        <v>0.37700567440100907</v>
      </c>
      <c r="O417" s="2">
        <f ca="1"/>
        <v>0.22617041567468482</v>
      </c>
      <c r="X417" s="2">
        <f ca="1"/>
        <v>58.393112928503051</v>
      </c>
      <c r="AG417" s="2">
        <f ca="1"/>
        <v>0.96079824738522301</v>
      </c>
      <c r="AH417" s="2" t="str">
        <f ca="1"/>
        <v>Bad</v>
      </c>
    </row>
    <row r="418" spans="2:34" x14ac:dyDescent="0.2">
      <c r="B418" s="2">
        <f ca="1"/>
        <v>4.2660093306485125E-2</v>
      </c>
      <c r="O418" s="2">
        <f ca="1"/>
        <v>0.63195457101801744</v>
      </c>
      <c r="X418" s="2">
        <f ca="1"/>
        <v>58.146888306494979</v>
      </c>
      <c r="AG418" s="2">
        <f ca="1"/>
        <v>0.49945079180544183</v>
      </c>
      <c r="AH418" s="2" t="str">
        <f ca="1"/>
        <v>Bad</v>
      </c>
    </row>
    <row r="419" spans="2:34" x14ac:dyDescent="0.2">
      <c r="B419" s="2">
        <f ca="1"/>
        <v>0.3251972870500599</v>
      </c>
      <c r="O419" s="2">
        <f ca="1"/>
        <v>1.2868493468410143</v>
      </c>
      <c r="X419" s="2">
        <f ca="1"/>
        <v>75.869224195732883</v>
      </c>
      <c r="AG419" s="2">
        <f ca="1"/>
        <v>0.82159601286537653</v>
      </c>
      <c r="AH419" s="2" t="str">
        <f ca="1"/>
        <v>Bad</v>
      </c>
    </row>
    <row r="420" spans="2:34" x14ac:dyDescent="0.2">
      <c r="B420" s="2">
        <f ca="1"/>
        <v>0.9157810738089005</v>
      </c>
      <c r="O420" s="2">
        <f ca="1"/>
        <v>-0.39934788800482829</v>
      </c>
      <c r="X420" s="2">
        <f ca="1"/>
        <v>42.953291693605408</v>
      </c>
      <c r="AG420" s="2">
        <f ca="1"/>
        <v>0.37493108992315949</v>
      </c>
      <c r="AH420" s="2" t="str">
        <f ca="1"/>
        <v>OK</v>
      </c>
    </row>
    <row r="421" spans="2:34" x14ac:dyDescent="0.2">
      <c r="B421" s="2">
        <f ca="1"/>
        <v>0.99450490610966891</v>
      </c>
      <c r="O421" s="2">
        <f ca="1"/>
        <v>1.273635290133317</v>
      </c>
      <c r="X421" s="2">
        <f ca="1"/>
        <v>51.975846198231849</v>
      </c>
      <c r="AG421" s="2">
        <f ca="1"/>
        <v>0.64650861278741822</v>
      </c>
      <c r="AH421" s="2" t="str">
        <f ca="1"/>
        <v>Bad</v>
      </c>
    </row>
    <row r="422" spans="2:34" x14ac:dyDescent="0.2">
      <c r="B422" s="2">
        <f ca="1"/>
        <v>0.39084948580166468</v>
      </c>
      <c r="O422" s="2">
        <f ca="1"/>
        <v>0.29334568782427745</v>
      </c>
      <c r="X422" s="2">
        <f ca="1"/>
        <v>54.646148942837449</v>
      </c>
      <c r="AG422" s="2">
        <f ca="1"/>
        <v>0.87167440047995304</v>
      </c>
      <c r="AH422" s="2" t="str">
        <f ca="1"/>
        <v>Bad</v>
      </c>
    </row>
    <row r="423" spans="2:34" x14ac:dyDescent="0.2">
      <c r="B423" s="2">
        <f ca="1"/>
        <v>0.25145522807074028</v>
      </c>
      <c r="O423" s="2">
        <f ca="1"/>
        <v>-0.33827931624748275</v>
      </c>
      <c r="X423" s="2">
        <f ca="1"/>
        <v>67.509356498960329</v>
      </c>
      <c r="AG423" s="2">
        <f ca="1"/>
        <v>0.60703661550134669</v>
      </c>
      <c r="AH423" s="2" t="str">
        <f ca="1"/>
        <v>Bad</v>
      </c>
    </row>
    <row r="424" spans="2:34" x14ac:dyDescent="0.2">
      <c r="B424" s="2">
        <f ca="1"/>
        <v>0.68307489131556487</v>
      </c>
      <c r="O424" s="2">
        <f ca="1"/>
        <v>-0.46884406292429209</v>
      </c>
      <c r="X424" s="2">
        <f ca="1"/>
        <v>30.558190092405471</v>
      </c>
      <c r="AG424" s="2">
        <f ca="1"/>
        <v>0.22790740236060825</v>
      </c>
      <c r="AH424" s="2" t="str">
        <f ca="1"/>
        <v>OK</v>
      </c>
    </row>
    <row r="425" spans="2:34" x14ac:dyDescent="0.2">
      <c r="B425" s="2">
        <f ca="1"/>
        <v>0.39849293508006101</v>
      </c>
      <c r="O425" s="2">
        <f ca="1"/>
        <v>0.56587064578759116</v>
      </c>
      <c r="X425" s="2">
        <f ca="1"/>
        <v>82.706058470566774</v>
      </c>
      <c r="AG425" s="2">
        <f ca="1"/>
        <v>6.0503027338482784E-2</v>
      </c>
      <c r="AH425" s="2" t="str">
        <f ca="1"/>
        <v>OK</v>
      </c>
    </row>
    <row r="426" spans="2:34" x14ac:dyDescent="0.2">
      <c r="B426" s="2">
        <f ca="1"/>
        <v>0.9799320865805341</v>
      </c>
      <c r="O426" s="2">
        <f ca="1"/>
        <v>-0.22530301816950493</v>
      </c>
      <c r="X426" s="2">
        <f ca="1"/>
        <v>63.443257476482479</v>
      </c>
      <c r="AG426" s="2">
        <f ca="1"/>
        <v>0.69506941177330583</v>
      </c>
      <c r="AH426" s="2" t="str">
        <f ca="1"/>
        <v>Bad</v>
      </c>
    </row>
    <row r="427" spans="2:34" x14ac:dyDescent="0.2">
      <c r="B427" s="2">
        <f ca="1"/>
        <v>0.36322994663304287</v>
      </c>
      <c r="O427" s="2">
        <f ca="1"/>
        <v>0.27250797138610816</v>
      </c>
      <c r="X427" s="2">
        <f ca="1"/>
        <v>59.945248345979614</v>
      </c>
      <c r="AG427" s="2">
        <f ca="1"/>
        <v>0.31027481438488613</v>
      </c>
      <c r="AH427" s="2" t="str">
        <f ca="1"/>
        <v>OK</v>
      </c>
    </row>
    <row r="428" spans="2:34" x14ac:dyDescent="0.2">
      <c r="B428" s="2">
        <f ca="1"/>
        <v>0.8975100445283779</v>
      </c>
      <c r="O428" s="2">
        <f ca="1"/>
        <v>0.29151428690483328</v>
      </c>
      <c r="X428" s="2">
        <f ca="1"/>
        <v>51.984649962473569</v>
      </c>
      <c r="AG428" s="2">
        <f ca="1"/>
        <v>0.59013871487473146</v>
      </c>
      <c r="AH428" s="2" t="str">
        <f ca="1"/>
        <v>Bad</v>
      </c>
    </row>
    <row r="429" spans="2:34" x14ac:dyDescent="0.2">
      <c r="B429" s="2">
        <f ca="1"/>
        <v>5.2732373982432579E-2</v>
      </c>
      <c r="O429" s="2">
        <f ca="1"/>
        <v>-0.54385695800552525</v>
      </c>
      <c r="X429" s="2">
        <f ca="1"/>
        <v>78.864454187643901</v>
      </c>
      <c r="AG429" s="2">
        <f ca="1"/>
        <v>0.79362601483825723</v>
      </c>
      <c r="AH429" s="2" t="str">
        <f ca="1"/>
        <v>Bad</v>
      </c>
    </row>
    <row r="430" spans="2:34" x14ac:dyDescent="0.2">
      <c r="B430" s="2">
        <f ca="1"/>
        <v>0.76743873736457791</v>
      </c>
      <c r="O430" s="2">
        <f ca="1"/>
        <v>-0.58875835360786033</v>
      </c>
      <c r="X430" s="2">
        <f ca="1"/>
        <v>60.586091056562367</v>
      </c>
      <c r="AG430" s="2">
        <f ca="1"/>
        <v>0.89169691419360064</v>
      </c>
      <c r="AH430" s="2" t="str">
        <f ca="1"/>
        <v>Bad</v>
      </c>
    </row>
    <row r="431" spans="2:34" x14ac:dyDescent="0.2">
      <c r="B431" s="2">
        <f ca="1"/>
        <v>0.24676143860774924</v>
      </c>
      <c r="O431" s="2">
        <f ca="1"/>
        <v>0.33553874084341206</v>
      </c>
      <c r="X431" s="2">
        <f ca="1"/>
        <v>43.666588567066391</v>
      </c>
      <c r="AG431" s="2">
        <f ca="1"/>
        <v>0.74943443843127988</v>
      </c>
      <c r="AH431" s="2" t="str">
        <f ca="1"/>
        <v>Bad</v>
      </c>
    </row>
    <row r="432" spans="2:34" x14ac:dyDescent="0.2">
      <c r="B432" s="2">
        <f ca="1"/>
        <v>0.87466388041148457</v>
      </c>
      <c r="O432" s="2">
        <f ca="1"/>
        <v>0.78391108887648842</v>
      </c>
      <c r="X432" s="2">
        <f ca="1"/>
        <v>36.320754457223011</v>
      </c>
      <c r="AG432" s="2">
        <f ca="1"/>
        <v>0.32514058523783484</v>
      </c>
      <c r="AH432" s="2" t="str">
        <f ca="1"/>
        <v>OK</v>
      </c>
    </row>
    <row r="433" spans="2:34" x14ac:dyDescent="0.2">
      <c r="B433" s="2">
        <f ca="1"/>
        <v>0.81383191820263101</v>
      </c>
      <c r="O433" s="2">
        <f ca="1"/>
        <v>-0.72091330915058083</v>
      </c>
      <c r="X433" s="2">
        <f ca="1"/>
        <v>38.697003070676828</v>
      </c>
      <c r="AG433" s="2">
        <f ca="1"/>
        <v>0.3925345370036557</v>
      </c>
      <c r="AH433" s="2" t="str">
        <f ca="1"/>
        <v>OK</v>
      </c>
    </row>
    <row r="434" spans="2:34" x14ac:dyDescent="0.2">
      <c r="B434" s="2">
        <f ca="1"/>
        <v>8.7971374187766349E-2</v>
      </c>
      <c r="O434" s="2">
        <f ca="1"/>
        <v>-0.75313622817188486</v>
      </c>
      <c r="X434" s="2">
        <f ca="1"/>
        <v>54.829288486318418</v>
      </c>
      <c r="AG434" s="2">
        <f ca="1"/>
        <v>0.99743761557319366</v>
      </c>
      <c r="AH434" s="2" t="str">
        <f ca="1"/>
        <v>Bad</v>
      </c>
    </row>
    <row r="435" spans="2:34" x14ac:dyDescent="0.2">
      <c r="B435" s="2">
        <f ca="1"/>
        <v>0.79814112930914627</v>
      </c>
      <c r="O435" s="2">
        <f ca="1"/>
        <v>1.0147980155894771</v>
      </c>
      <c r="X435" s="2">
        <f ca="1"/>
        <v>43.543598595760329</v>
      </c>
      <c r="AG435" s="2">
        <f ca="1"/>
        <v>0.66435815214271532</v>
      </c>
      <c r="AH435" s="2" t="str">
        <f ca="1"/>
        <v>Bad</v>
      </c>
    </row>
    <row r="436" spans="2:34" x14ac:dyDescent="0.2">
      <c r="B436" s="2">
        <f ca="1"/>
        <v>0.42564688772512449</v>
      </c>
      <c r="O436" s="2">
        <f ca="1"/>
        <v>0.71027974507071034</v>
      </c>
      <c r="X436" s="2">
        <f ca="1"/>
        <v>62.103119666692976</v>
      </c>
      <c r="AG436" s="2">
        <f ca="1"/>
        <v>0.86539976961669418</v>
      </c>
      <c r="AH436" s="2" t="str">
        <f ca="1"/>
        <v>Bad</v>
      </c>
    </row>
    <row r="437" spans="2:34" x14ac:dyDescent="0.2">
      <c r="B437" s="2">
        <f ca="1"/>
        <v>8.562245681806635E-2</v>
      </c>
      <c r="O437" s="2">
        <f ca="1"/>
        <v>5.4348804396471564E-2</v>
      </c>
      <c r="X437" s="2">
        <f ca="1"/>
        <v>81.692448794380695</v>
      </c>
      <c r="AG437" s="2">
        <f ca="1"/>
        <v>0.87217549197171262</v>
      </c>
      <c r="AH437" s="2" t="str">
        <f ca="1"/>
        <v>Bad</v>
      </c>
    </row>
    <row r="438" spans="2:34" x14ac:dyDescent="0.2">
      <c r="B438" s="2">
        <f ca="1"/>
        <v>1.4914401828198365E-2</v>
      </c>
      <c r="O438" s="2">
        <f ca="1"/>
        <v>-0.59721410007419606</v>
      </c>
      <c r="X438" s="2">
        <f ca="1"/>
        <v>69.014164118490385</v>
      </c>
      <c r="AG438" s="2">
        <f ca="1"/>
        <v>0.24985669092708696</v>
      </c>
      <c r="AH438" s="2" t="str">
        <f ca="1"/>
        <v>OK</v>
      </c>
    </row>
    <row r="439" spans="2:34" x14ac:dyDescent="0.2">
      <c r="B439" s="2">
        <f ca="1"/>
        <v>0.55122681381821415</v>
      </c>
      <c r="O439" s="2">
        <f ca="1"/>
        <v>8.3938319118707985E-2</v>
      </c>
      <c r="X439" s="2">
        <f ca="1"/>
        <v>47.742875132796534</v>
      </c>
      <c r="AG439" s="2">
        <f ca="1"/>
        <v>0.32469449675063888</v>
      </c>
      <c r="AH439" s="2" t="str">
        <f ca="1"/>
        <v>OK</v>
      </c>
    </row>
    <row r="440" spans="2:34" x14ac:dyDescent="0.2">
      <c r="B440" s="2">
        <f ca="1"/>
        <v>0.22822888902886995</v>
      </c>
      <c r="O440" s="2">
        <f ca="1"/>
        <v>-0.82109836376468892</v>
      </c>
      <c r="X440" s="2">
        <f ca="1"/>
        <v>51.476201791707616</v>
      </c>
      <c r="AG440" s="2">
        <f ca="1"/>
        <v>0.49605107266059312</v>
      </c>
      <c r="AH440" s="2" t="str">
        <f ca="1"/>
        <v>Bad</v>
      </c>
    </row>
    <row r="441" spans="2:34" x14ac:dyDescent="0.2">
      <c r="B441" s="2">
        <f ca="1"/>
        <v>0.90595104159199868</v>
      </c>
      <c r="O441" s="2">
        <f ca="1"/>
        <v>-1.4701242550867311</v>
      </c>
      <c r="X441" s="2">
        <f ca="1"/>
        <v>52.841746948851409</v>
      </c>
      <c r="AG441" s="2">
        <f ca="1"/>
        <v>0.19773772851597138</v>
      </c>
      <c r="AH441" s="2" t="str">
        <f ca="1"/>
        <v>OK</v>
      </c>
    </row>
    <row r="442" spans="2:34" x14ac:dyDescent="0.2">
      <c r="B442" s="2">
        <f ca="1"/>
        <v>0.17352819264737263</v>
      </c>
      <c r="O442" s="2">
        <f ca="1"/>
        <v>0.8683843951269995</v>
      </c>
      <c r="X442" s="2">
        <f ca="1"/>
        <v>36.254689937933044</v>
      </c>
      <c r="AG442" s="2">
        <f ca="1"/>
        <v>0.2822943326728149</v>
      </c>
      <c r="AH442" s="2" t="str">
        <f ca="1"/>
        <v>OK</v>
      </c>
    </row>
    <row r="443" spans="2:34" x14ac:dyDescent="0.2">
      <c r="B443" s="2">
        <f ca="1"/>
        <v>0.43066841278088286</v>
      </c>
      <c r="O443" s="2">
        <f ca="1"/>
        <v>-1.1777856761019114</v>
      </c>
      <c r="X443" s="2">
        <f ca="1"/>
        <v>39.720263832710152</v>
      </c>
      <c r="AG443" s="2">
        <f ca="1"/>
        <v>0.40083163111897413</v>
      </c>
      <c r="AH443" s="2" t="str">
        <f ca="1"/>
        <v>Bad</v>
      </c>
    </row>
    <row r="444" spans="2:34" x14ac:dyDescent="0.2">
      <c r="B444" s="2">
        <f ca="1"/>
        <v>0.19054023891164618</v>
      </c>
      <c r="O444" s="2">
        <f ca="1"/>
        <v>-0.27316975402964577</v>
      </c>
      <c r="X444" s="2">
        <f ca="1"/>
        <v>41.493739770099594</v>
      </c>
      <c r="AG444" s="2">
        <f ca="1"/>
        <v>0.97493302768249213</v>
      </c>
      <c r="AH444" s="2" t="str">
        <f ca="1"/>
        <v>Bad</v>
      </c>
    </row>
    <row r="445" spans="2:34" x14ac:dyDescent="0.2">
      <c r="B445" s="2">
        <f ca="1"/>
        <v>0.29243724588683739</v>
      </c>
      <c r="O445" s="2">
        <f ca="1"/>
        <v>1.2871958728865918</v>
      </c>
      <c r="X445" s="2">
        <f ca="1"/>
        <v>56.889505958922044</v>
      </c>
      <c r="AG445" s="2">
        <f ca="1"/>
        <v>0.42938799808043338</v>
      </c>
      <c r="AH445" s="2" t="str">
        <f ca="1"/>
        <v>Bad</v>
      </c>
    </row>
    <row r="446" spans="2:34" x14ac:dyDescent="0.2">
      <c r="B446" s="2">
        <f ca="1"/>
        <v>0.24998723739691142</v>
      </c>
      <c r="O446" s="2">
        <f ca="1"/>
        <v>0.44853120534323582</v>
      </c>
      <c r="X446" s="2">
        <f ca="1"/>
        <v>65.46843175555415</v>
      </c>
      <c r="AG446" s="2">
        <f ca="1"/>
        <v>0.47520060563060418</v>
      </c>
      <c r="AH446" s="2" t="str">
        <f ca="1"/>
        <v>Bad</v>
      </c>
    </row>
    <row r="447" spans="2:34" x14ac:dyDescent="0.2">
      <c r="B447" s="2">
        <f ca="1"/>
        <v>0.5498568852067649</v>
      </c>
      <c r="O447" s="2">
        <f ca="1"/>
        <v>-1.8318854082923941</v>
      </c>
      <c r="X447" s="2">
        <f ca="1"/>
        <v>50.782842221198898</v>
      </c>
      <c r="AG447" s="2">
        <f ca="1"/>
        <v>0.98580464703227078</v>
      </c>
      <c r="AH447" s="2" t="str">
        <f ca="1"/>
        <v>Bad</v>
      </c>
    </row>
    <row r="448" spans="2:34" x14ac:dyDescent="0.2">
      <c r="B448" s="2">
        <f ca="1"/>
        <v>0.70169893939173611</v>
      </c>
      <c r="O448" s="2">
        <f ca="1"/>
        <v>1.04947024618649</v>
      </c>
      <c r="X448" s="2">
        <f ca="1"/>
        <v>43.221317692164263</v>
      </c>
      <c r="AG448" s="2">
        <f ca="1"/>
        <v>0.60827453184355962</v>
      </c>
      <c r="AH448" s="2" t="str">
        <f ca="1"/>
        <v>Bad</v>
      </c>
    </row>
    <row r="449" spans="2:34" x14ac:dyDescent="0.2">
      <c r="B449" s="2">
        <f ca="1"/>
        <v>0.41837791400288094</v>
      </c>
      <c r="O449" s="2">
        <f ca="1"/>
        <v>1.2280573950529716</v>
      </c>
      <c r="X449" s="2">
        <f ca="1"/>
        <v>54.315509354237307</v>
      </c>
      <c r="AG449" s="2">
        <f ca="1"/>
        <v>0.1586660342537749</v>
      </c>
      <c r="AH449" s="2" t="str">
        <f ca="1"/>
        <v>OK</v>
      </c>
    </row>
    <row r="450" spans="2:34" x14ac:dyDescent="0.2">
      <c r="B450" s="2">
        <f ca="1"/>
        <v>0.15027183566325264</v>
      </c>
      <c r="O450" s="2">
        <f ca="1"/>
        <v>2.8531482441331614E-2</v>
      </c>
      <c r="X450" s="2">
        <f ca="1"/>
        <v>42.226589595240057</v>
      </c>
      <c r="AG450" s="2">
        <f ca="1"/>
        <v>0.16343153456782256</v>
      </c>
      <c r="AH450" s="2" t="str">
        <f ca="1"/>
        <v>OK</v>
      </c>
    </row>
    <row r="451" spans="2:34" x14ac:dyDescent="0.2">
      <c r="B451" s="2">
        <f ca="1"/>
        <v>7.0574657328884571E-2</v>
      </c>
      <c r="O451" s="2">
        <f ca="1"/>
        <v>1.3489212458311481</v>
      </c>
      <c r="X451" s="2">
        <f ca="1"/>
        <v>38.789418901616322</v>
      </c>
      <c r="AG451" s="2">
        <f ca="1"/>
        <v>0.1354406575073388</v>
      </c>
      <c r="AH451" s="2" t="str">
        <f ca="1"/>
        <v>OK</v>
      </c>
    </row>
    <row r="452" spans="2:34" x14ac:dyDescent="0.2">
      <c r="B452" s="2">
        <f ca="1"/>
        <v>0.68157942110485914</v>
      </c>
      <c r="O452" s="2">
        <f ca="1"/>
        <v>-0.96119741908474754</v>
      </c>
      <c r="X452" s="2">
        <f ca="1"/>
        <v>49.96741729017468</v>
      </c>
      <c r="AG452" s="2">
        <f ca="1"/>
        <v>0.42743352156974668</v>
      </c>
      <c r="AH452" s="2" t="str">
        <f ca="1"/>
        <v>Bad</v>
      </c>
    </row>
    <row r="453" spans="2:34" x14ac:dyDescent="0.2">
      <c r="B453" s="2">
        <f ca="1"/>
        <v>0.49891549073260588</v>
      </c>
      <c r="O453" s="2">
        <f ca="1"/>
        <v>-9.3014660067771301E-2</v>
      </c>
      <c r="X453" s="2">
        <f ca="1"/>
        <v>47.061481683288775</v>
      </c>
      <c r="AG453" s="2">
        <f ca="1"/>
        <v>0.35128998310763948</v>
      </c>
      <c r="AH453" s="2" t="str">
        <f ca="1"/>
        <v>OK</v>
      </c>
    </row>
    <row r="454" spans="2:34" x14ac:dyDescent="0.2">
      <c r="B454" s="2">
        <f ca="1"/>
        <v>0.82326825099975576</v>
      </c>
      <c r="O454" s="2">
        <f ca="1"/>
        <v>-0.89424351877318442</v>
      </c>
      <c r="X454" s="2">
        <f ca="1"/>
        <v>40.412857787844764</v>
      </c>
      <c r="AG454" s="2">
        <f ca="1"/>
        <v>0.86954729639267669</v>
      </c>
      <c r="AH454" s="2" t="str">
        <f ca="1"/>
        <v>Bad</v>
      </c>
    </row>
    <row r="455" spans="2:34" x14ac:dyDescent="0.2">
      <c r="B455" s="2">
        <f ca="1"/>
        <v>0.15209918746787499</v>
      </c>
      <c r="O455" s="2">
        <f ca="1"/>
        <v>-1.3309563268383287</v>
      </c>
      <c r="X455" s="2">
        <f ca="1"/>
        <v>64.496814912196683</v>
      </c>
      <c r="AG455" s="2">
        <f ca="1"/>
        <v>0.38647468104334037</v>
      </c>
      <c r="AH455" s="2" t="str">
        <f ca="1"/>
        <v>OK</v>
      </c>
    </row>
    <row r="456" spans="2:34" x14ac:dyDescent="0.2">
      <c r="B456" s="2">
        <f ca="1"/>
        <v>0.9389997932405143</v>
      </c>
      <c r="O456" s="2">
        <f ca="1"/>
        <v>-1.1772602348064409</v>
      </c>
      <c r="X456" s="2">
        <f ca="1"/>
        <v>46.423472573436271</v>
      </c>
      <c r="AG456" s="2">
        <f ca="1"/>
        <v>0.81795360954276064</v>
      </c>
      <c r="AH456" s="2" t="str">
        <f ca="1"/>
        <v>Bad</v>
      </c>
    </row>
    <row r="457" spans="2:34" x14ac:dyDescent="0.2">
      <c r="B457" s="2">
        <f ca="1"/>
        <v>0.94684336740995834</v>
      </c>
      <c r="O457" s="2">
        <f ca="1"/>
        <v>0.26632423277617595</v>
      </c>
      <c r="X457" s="2">
        <f ca="1"/>
        <v>49.288753596464446</v>
      </c>
      <c r="AG457" s="2">
        <f ca="1"/>
        <v>0.63361192464405924</v>
      </c>
      <c r="AH457" s="2" t="str">
        <f ca="1"/>
        <v>Bad</v>
      </c>
    </row>
    <row r="458" spans="2:34" x14ac:dyDescent="0.2">
      <c r="B458" s="2">
        <f ca="1"/>
        <v>0.92152778191411344</v>
      </c>
      <c r="O458" s="2">
        <f ca="1"/>
        <v>0.88643437712402129</v>
      </c>
      <c r="X458" s="2">
        <f ca="1"/>
        <v>45.910716582445879</v>
      </c>
      <c r="AG458" s="2">
        <f ca="1"/>
        <v>0.47259421789307887</v>
      </c>
      <c r="AH458" s="2" t="str">
        <f ca="1"/>
        <v>Bad</v>
      </c>
    </row>
    <row r="459" spans="2:34" x14ac:dyDescent="0.2">
      <c r="B459" s="2">
        <f ca="1"/>
        <v>4.4628507264951045E-2</v>
      </c>
      <c r="O459" s="2">
        <f ca="1"/>
        <v>1.1193564278200374</v>
      </c>
      <c r="X459" s="2">
        <f ca="1"/>
        <v>30.176121522337013</v>
      </c>
      <c r="AG459" s="2">
        <f ca="1"/>
        <v>0.1457488297274363</v>
      </c>
      <c r="AH459" s="2" t="str">
        <f ca="1"/>
        <v>OK</v>
      </c>
    </row>
    <row r="460" spans="2:34" x14ac:dyDescent="0.2">
      <c r="B460" s="2">
        <f ca="1"/>
        <v>0.60241289632529238</v>
      </c>
      <c r="O460" s="2">
        <f ca="1"/>
        <v>-0.53978213283038867</v>
      </c>
      <c r="X460" s="2">
        <f ca="1"/>
        <v>55.176593163087787</v>
      </c>
      <c r="AG460" s="2">
        <f ca="1"/>
        <v>0.49920216753105517</v>
      </c>
      <c r="AH460" s="2" t="str">
        <f ca="1"/>
        <v>Bad</v>
      </c>
    </row>
    <row r="461" spans="2:34" x14ac:dyDescent="0.2">
      <c r="B461" s="2">
        <f ca="1"/>
        <v>0.31676688776000761</v>
      </c>
      <c r="O461" s="2">
        <f ca="1"/>
        <v>-1.2442248318337843</v>
      </c>
      <c r="X461" s="2">
        <f ca="1"/>
        <v>55.809655991920039</v>
      </c>
      <c r="AG461" s="2">
        <f ca="1"/>
        <v>0.31689673899121873</v>
      </c>
      <c r="AH461" s="2" t="str">
        <f ca="1"/>
        <v>OK</v>
      </c>
    </row>
    <row r="462" spans="2:34" x14ac:dyDescent="0.2">
      <c r="B462" s="2">
        <f ca="1"/>
        <v>0.22864486794102024</v>
      </c>
      <c r="O462" s="2">
        <f ca="1"/>
        <v>-0.98233275320001667</v>
      </c>
      <c r="X462" s="2">
        <f ca="1"/>
        <v>37.501930931034259</v>
      </c>
      <c r="AG462" s="2">
        <f ca="1"/>
        <v>5.3564915591154172E-2</v>
      </c>
      <c r="AH462" s="2" t="str">
        <f ca="1"/>
        <v>OK</v>
      </c>
    </row>
    <row r="463" spans="2:34" x14ac:dyDescent="0.2">
      <c r="B463" s="2">
        <f ca="1"/>
        <v>0.89398941868829196</v>
      </c>
      <c r="O463" s="2">
        <f ca="1"/>
        <v>-1.2603355677408334</v>
      </c>
      <c r="X463" s="2">
        <f ca="1"/>
        <v>45.931554286905872</v>
      </c>
      <c r="AG463" s="2">
        <f ca="1"/>
        <v>0.3574884323235028</v>
      </c>
      <c r="AH463" s="2" t="str">
        <f ca="1"/>
        <v>OK</v>
      </c>
    </row>
    <row r="464" spans="2:34" x14ac:dyDescent="0.2">
      <c r="B464" s="2">
        <f ca="1"/>
        <v>0.89179470303106267</v>
      </c>
      <c r="O464" s="2">
        <f ca="1"/>
        <v>1.4362965959335585</v>
      </c>
      <c r="X464" s="2">
        <f ca="1"/>
        <v>39.968638983803864</v>
      </c>
      <c r="AG464" s="2">
        <f ca="1"/>
        <v>0.68391175367908508</v>
      </c>
      <c r="AH464" s="2" t="str">
        <f ca="1"/>
        <v>Bad</v>
      </c>
    </row>
    <row r="465" spans="2:34" x14ac:dyDescent="0.2">
      <c r="B465" s="2">
        <f ca="1"/>
        <v>0.14086146015159162</v>
      </c>
      <c r="O465" s="2">
        <f ca="1"/>
        <v>0.36423760117664838</v>
      </c>
      <c r="X465" s="2">
        <f ca="1"/>
        <v>35.981207323827938</v>
      </c>
      <c r="AG465" s="2">
        <f ca="1"/>
        <v>0.7545326360601059</v>
      </c>
      <c r="AH465" s="2" t="str">
        <f ca="1"/>
        <v>Bad</v>
      </c>
    </row>
    <row r="466" spans="2:34" x14ac:dyDescent="0.2">
      <c r="B466" s="2">
        <f ca="1"/>
        <v>0.48621573881549551</v>
      </c>
      <c r="O466" s="2">
        <f ca="1"/>
        <v>-0.93378106027024599</v>
      </c>
      <c r="X466" s="2">
        <f ca="1"/>
        <v>33.411297880109068</v>
      </c>
      <c r="AG466" s="2">
        <f ca="1"/>
        <v>0.80626277762622189</v>
      </c>
      <c r="AH466" s="2" t="str">
        <f ca="1"/>
        <v>Bad</v>
      </c>
    </row>
    <row r="467" spans="2:34" x14ac:dyDescent="0.2">
      <c r="B467" s="2">
        <f ca="1"/>
        <v>4.5392976759301984E-2</v>
      </c>
      <c r="O467" s="2">
        <f ca="1"/>
        <v>-0.66953267684612228</v>
      </c>
      <c r="X467" s="2">
        <f ca="1"/>
        <v>25.161809345494909</v>
      </c>
      <c r="AG467" s="2">
        <f ca="1"/>
        <v>0.86359775613055456</v>
      </c>
      <c r="AH467" s="2" t="str">
        <f ca="1"/>
        <v>Bad</v>
      </c>
    </row>
    <row r="468" spans="2:34" x14ac:dyDescent="0.2">
      <c r="B468" s="2">
        <f ca="1"/>
        <v>0.88540073823013743</v>
      </c>
      <c r="O468" s="2">
        <f ca="1"/>
        <v>0.98171165951368078</v>
      </c>
      <c r="X468" s="2">
        <f ca="1"/>
        <v>63.437213028432915</v>
      </c>
      <c r="AG468" s="2">
        <f ca="1"/>
        <v>0.74886836712147198</v>
      </c>
      <c r="AH468" s="2" t="str">
        <f ca="1"/>
        <v>Bad</v>
      </c>
    </row>
    <row r="469" spans="2:34" x14ac:dyDescent="0.2">
      <c r="B469" s="2">
        <f ca="1"/>
        <v>0.61283354343796925</v>
      </c>
      <c r="O469" s="2">
        <f ca="1"/>
        <v>0.13928151399186622</v>
      </c>
      <c r="X469" s="2">
        <f ca="1"/>
        <v>52.655986973374922</v>
      </c>
      <c r="AG469" s="2">
        <f ca="1"/>
        <v>0.72197996032301859</v>
      </c>
      <c r="AH469" s="2" t="str">
        <f ca="1"/>
        <v>Bad</v>
      </c>
    </row>
    <row r="470" spans="2:34" x14ac:dyDescent="0.2">
      <c r="B470" s="2">
        <f ca="1"/>
        <v>0.94348220520811044</v>
      </c>
      <c r="O470" s="2">
        <f ca="1"/>
        <v>-0.74235909058186889</v>
      </c>
      <c r="X470" s="2">
        <f ca="1"/>
        <v>54.615922789684383</v>
      </c>
      <c r="AG470" s="2">
        <f ca="1"/>
        <v>4.0363915930752281E-3</v>
      </c>
      <c r="AH470" s="2" t="str">
        <f ca="1"/>
        <v>Good</v>
      </c>
    </row>
    <row r="471" spans="2:34" x14ac:dyDescent="0.2">
      <c r="B471" s="2">
        <f ca="1"/>
        <v>9.965599278958015E-2</v>
      </c>
      <c r="O471" s="2">
        <f ca="1"/>
        <v>0.3811532725724367</v>
      </c>
      <c r="X471" s="2">
        <f ca="1"/>
        <v>45.928697015195674</v>
      </c>
      <c r="AG471" s="2">
        <f ca="1"/>
        <v>0.41373658571070204</v>
      </c>
      <c r="AH471" s="2" t="str">
        <f ca="1"/>
        <v>Bad</v>
      </c>
    </row>
    <row r="472" spans="2:34" x14ac:dyDescent="0.2">
      <c r="B472" s="2">
        <f ca="1"/>
        <v>0.23654610559863931</v>
      </c>
      <c r="O472" s="2">
        <f ca="1"/>
        <v>-0.30981047863940125</v>
      </c>
      <c r="X472" s="2">
        <f ca="1"/>
        <v>41.516233010131955</v>
      </c>
      <c r="AG472" s="2">
        <f ca="1"/>
        <v>8.5554996336456801E-2</v>
      </c>
      <c r="AH472" s="2" t="str">
        <f ca="1"/>
        <v>OK</v>
      </c>
    </row>
    <row r="473" spans="2:34" x14ac:dyDescent="0.2">
      <c r="B473" s="2">
        <f ca="1"/>
        <v>0.73171290155802016</v>
      </c>
      <c r="O473" s="2">
        <f ca="1"/>
        <v>1.7413833594932535</v>
      </c>
      <c r="X473" s="2">
        <f ca="1"/>
        <v>57.333774399278489</v>
      </c>
      <c r="AG473" s="2">
        <f ca="1"/>
        <v>0.99446547215213776</v>
      </c>
      <c r="AH473" s="2" t="str">
        <f ca="1"/>
        <v>Bad</v>
      </c>
    </row>
    <row r="474" spans="2:34" x14ac:dyDescent="0.2">
      <c r="B474" s="2">
        <f ca="1"/>
        <v>0.37635394910382591</v>
      </c>
      <c r="O474" s="2">
        <f ca="1"/>
        <v>0.5928626777359719</v>
      </c>
      <c r="X474" s="2">
        <f ca="1"/>
        <v>67.551213007657822</v>
      </c>
      <c r="AG474" s="2">
        <f ca="1"/>
        <v>0.64339288823333463</v>
      </c>
      <c r="AH474" s="2" t="str">
        <f ca="1"/>
        <v>Bad</v>
      </c>
    </row>
    <row r="475" spans="2:34" x14ac:dyDescent="0.2">
      <c r="B475" s="2">
        <f ca="1"/>
        <v>0.40101661426055757</v>
      </c>
      <c r="O475" s="2">
        <f ca="1"/>
        <v>-1.3230788641664175</v>
      </c>
      <c r="X475" s="2">
        <f ca="1"/>
        <v>66.154249082437616</v>
      </c>
      <c r="AG475" s="2">
        <f ca="1"/>
        <v>0.40606689522687511</v>
      </c>
      <c r="AH475" s="2" t="str">
        <f ca="1"/>
        <v>Bad</v>
      </c>
    </row>
    <row r="476" spans="2:34" x14ac:dyDescent="0.2">
      <c r="B476" s="2">
        <f ca="1"/>
        <v>0.82374999417882422</v>
      </c>
      <c r="O476" s="2">
        <f ca="1"/>
        <v>-0.62995074664717399</v>
      </c>
      <c r="X476" s="2">
        <f ca="1"/>
        <v>92.428791721525499</v>
      </c>
      <c r="AG476" s="2">
        <f ca="1"/>
        <v>0.67060075645773409</v>
      </c>
      <c r="AH476" s="2" t="str">
        <f ca="1"/>
        <v>Bad</v>
      </c>
    </row>
    <row r="477" spans="2:34" x14ac:dyDescent="0.2">
      <c r="B477" s="2">
        <f ca="1"/>
        <v>0.58116513124791425</v>
      </c>
      <c r="O477" s="2">
        <f ca="1"/>
        <v>5.2159579202648701E-2</v>
      </c>
      <c r="X477" s="2">
        <f ca="1"/>
        <v>48.616490257111394</v>
      </c>
      <c r="AG477" s="2">
        <f ca="1"/>
        <v>0.48609846836131565</v>
      </c>
      <c r="AH477" s="2" t="str">
        <f ca="1"/>
        <v>Bad</v>
      </c>
    </row>
    <row r="478" spans="2:34" x14ac:dyDescent="0.2">
      <c r="B478" s="2">
        <f ca="1"/>
        <v>0.10911351281785553</v>
      </c>
      <c r="O478" s="2">
        <f ca="1"/>
        <v>0.49607925332069908</v>
      </c>
      <c r="X478" s="2">
        <f ca="1"/>
        <v>45.644385452779701</v>
      </c>
      <c r="AG478" s="2">
        <f ca="1"/>
        <v>0.42152851937630831</v>
      </c>
      <c r="AH478" s="2" t="str">
        <f ca="1"/>
        <v>Bad</v>
      </c>
    </row>
    <row r="479" spans="2:34" x14ac:dyDescent="0.2">
      <c r="B479" s="2">
        <f ca="1"/>
        <v>0.67857275626919189</v>
      </c>
      <c r="O479" s="2">
        <f ca="1"/>
        <v>0.14483228779616666</v>
      </c>
      <c r="X479" s="2">
        <f ca="1"/>
        <v>61.106094227393541</v>
      </c>
      <c r="AG479" s="2">
        <f ca="1"/>
        <v>0.37565064270012938</v>
      </c>
      <c r="AH479" s="2" t="str">
        <f ca="1"/>
        <v>OK</v>
      </c>
    </row>
    <row r="480" spans="2:34" x14ac:dyDescent="0.2">
      <c r="B480" s="2">
        <f ca="1"/>
        <v>0.14640873588719283</v>
      </c>
      <c r="O480" s="2">
        <f ca="1"/>
        <v>0.31977494372347076</v>
      </c>
      <c r="X480" s="2">
        <f ca="1"/>
        <v>40.789529922079197</v>
      </c>
      <c r="AG480" s="2">
        <f ca="1"/>
        <v>0.93439696326830712</v>
      </c>
      <c r="AH480" s="2" t="str">
        <f ca="1"/>
        <v>Bad</v>
      </c>
    </row>
    <row r="481" spans="2:34" x14ac:dyDescent="0.2">
      <c r="B481" s="2">
        <f ca="1"/>
        <v>0.61730204488547558</v>
      </c>
      <c r="O481" s="2">
        <f ca="1"/>
        <v>-0.24178780703735112</v>
      </c>
      <c r="X481" s="2">
        <f ca="1"/>
        <v>37.976421594998527</v>
      </c>
      <c r="AG481" s="2">
        <f ca="1"/>
        <v>0.34264866133001637</v>
      </c>
      <c r="AH481" s="2" t="str">
        <f ca="1"/>
        <v>OK</v>
      </c>
    </row>
    <row r="482" spans="2:34" x14ac:dyDescent="0.2">
      <c r="B482" s="2">
        <f ca="1"/>
        <v>0.46645835323838902</v>
      </c>
      <c r="O482" s="2">
        <f ca="1"/>
        <v>-2.3584911976185405</v>
      </c>
      <c r="X482" s="2">
        <f ca="1"/>
        <v>30.700630901364086</v>
      </c>
      <c r="AG482" s="2">
        <f ca="1"/>
        <v>0.12884008456690155</v>
      </c>
      <c r="AH482" s="2" t="str">
        <f ca="1"/>
        <v>OK</v>
      </c>
    </row>
    <row r="483" spans="2:34" x14ac:dyDescent="0.2">
      <c r="B483" s="2">
        <f ca="1"/>
        <v>0.95961503515749902</v>
      </c>
      <c r="O483" s="2">
        <f ca="1"/>
        <v>8.5792814704188869E-2</v>
      </c>
      <c r="X483" s="2">
        <f ca="1"/>
        <v>26.578878683250657</v>
      </c>
      <c r="AG483" s="2">
        <f ca="1"/>
        <v>0.33944776459251247</v>
      </c>
      <c r="AH483" s="2" t="str">
        <f ca="1"/>
        <v>OK</v>
      </c>
    </row>
    <row r="484" spans="2:34" x14ac:dyDescent="0.2">
      <c r="B484" s="2">
        <f ca="1"/>
        <v>0.26383442152560144</v>
      </c>
      <c r="O484" s="2">
        <f ca="1"/>
        <v>-0.28733105560946287</v>
      </c>
      <c r="X484" s="2">
        <f ca="1"/>
        <v>67.311544189128639</v>
      </c>
      <c r="AG484" s="2">
        <f ca="1"/>
        <v>0.34309139410794032</v>
      </c>
      <c r="AH484" s="2" t="str">
        <f ca="1"/>
        <v>OK</v>
      </c>
    </row>
    <row r="485" spans="2:34" x14ac:dyDescent="0.2">
      <c r="B485" s="2">
        <f ca="1"/>
        <v>5.6149465755615635E-2</v>
      </c>
      <c r="O485" s="2">
        <f ca="1"/>
        <v>-7.96794963234463E-2</v>
      </c>
      <c r="X485" s="2">
        <f ca="1"/>
        <v>37.880647536249022</v>
      </c>
      <c r="AG485" s="2">
        <f ca="1"/>
        <v>0.92280299042497305</v>
      </c>
      <c r="AH485" s="2" t="str">
        <f ca="1"/>
        <v>Bad</v>
      </c>
    </row>
    <row r="486" spans="2:34" x14ac:dyDescent="0.2">
      <c r="B486" s="2">
        <f ca="1"/>
        <v>2.0094148864296058E-2</v>
      </c>
      <c r="O486" s="2">
        <f ca="1"/>
        <v>-4.1718064107850054E-2</v>
      </c>
      <c r="X486" s="2">
        <f ca="1"/>
        <v>42.493986903647055</v>
      </c>
      <c r="AG486" s="2">
        <f ca="1"/>
        <v>0.8917712472206929</v>
      </c>
      <c r="AH486" s="2" t="str">
        <f ca="1"/>
        <v>Bad</v>
      </c>
    </row>
    <row r="487" spans="2:34" x14ac:dyDescent="0.2">
      <c r="B487" s="2">
        <f ca="1"/>
        <v>0.68858684812535298</v>
      </c>
      <c r="O487" s="2">
        <f ca="1"/>
        <v>0.4523059704823148</v>
      </c>
      <c r="X487" s="2">
        <f ca="1"/>
        <v>43.098206841885911</v>
      </c>
      <c r="AG487" s="2">
        <f ca="1"/>
        <v>0.26644218279030829</v>
      </c>
      <c r="AH487" s="2" t="str">
        <f ca="1"/>
        <v>OK</v>
      </c>
    </row>
    <row r="488" spans="2:34" x14ac:dyDescent="0.2">
      <c r="B488" s="2">
        <f ca="1"/>
        <v>0.71442517527542448</v>
      </c>
      <c r="O488" s="2">
        <f ca="1"/>
        <v>0.18540824260495536</v>
      </c>
      <c r="X488" s="2">
        <f ca="1"/>
        <v>69.452766076317715</v>
      </c>
      <c r="AG488" s="2">
        <f ca="1"/>
        <v>0.23894293811946565</v>
      </c>
      <c r="AH488" s="2" t="str">
        <f ca="1"/>
        <v>OK</v>
      </c>
    </row>
    <row r="489" spans="2:34" x14ac:dyDescent="0.2">
      <c r="B489" s="2">
        <f ca="1"/>
        <v>0.40808894203384605</v>
      </c>
      <c r="O489" s="2">
        <f ca="1"/>
        <v>-0.27022748144794112</v>
      </c>
      <c r="X489" s="2">
        <f ca="1"/>
        <v>46.163666342286092</v>
      </c>
      <c r="AG489" s="2">
        <f ca="1"/>
        <v>0.31633330576252727</v>
      </c>
      <c r="AH489" s="2" t="str">
        <f ca="1"/>
        <v>OK</v>
      </c>
    </row>
    <row r="490" spans="2:34" x14ac:dyDescent="0.2">
      <c r="B490" s="2">
        <f ca="1"/>
        <v>0.24389365345929725</v>
      </c>
      <c r="O490" s="2">
        <f ca="1"/>
        <v>0.71646307610296722</v>
      </c>
      <c r="X490" s="2">
        <f ca="1"/>
        <v>28.828719764347564</v>
      </c>
      <c r="AG490" s="2">
        <f ca="1"/>
        <v>0.31855460096584776</v>
      </c>
      <c r="AH490" s="2" t="str">
        <f ca="1"/>
        <v>OK</v>
      </c>
    </row>
    <row r="491" spans="2:34" x14ac:dyDescent="0.2">
      <c r="B491" s="2">
        <f ca="1"/>
        <v>0.17480810778784139</v>
      </c>
      <c r="O491" s="2">
        <f ca="1"/>
        <v>0.15463786482365158</v>
      </c>
      <c r="X491" s="2">
        <f ca="1"/>
        <v>85.449638401098014</v>
      </c>
      <c r="AG491" s="2">
        <f ca="1"/>
        <v>0.51827835761687702</v>
      </c>
      <c r="AH491" s="2" t="str">
        <f ca="1"/>
        <v>Bad</v>
      </c>
    </row>
    <row r="492" spans="2:34" x14ac:dyDescent="0.2">
      <c r="B492" s="2">
        <f ca="1"/>
        <v>0.67498563231938369</v>
      </c>
      <c r="O492" s="2">
        <f ca="1"/>
        <v>0.10197986074805311</v>
      </c>
      <c r="X492" s="2">
        <f ca="1"/>
        <v>37.005629432829956</v>
      </c>
      <c r="AG492" s="2">
        <f ca="1"/>
        <v>0.14828141973089215</v>
      </c>
      <c r="AH492" s="2" t="str">
        <f ca="1"/>
        <v>OK</v>
      </c>
    </row>
    <row r="493" spans="2:34" x14ac:dyDescent="0.2">
      <c r="B493" s="2">
        <f ca="1"/>
        <v>0.51541446081251951</v>
      </c>
      <c r="O493" s="2">
        <f ca="1"/>
        <v>-0.50689278235878377</v>
      </c>
      <c r="X493" s="2">
        <f ca="1"/>
        <v>40.882149928863939</v>
      </c>
      <c r="AG493" s="2">
        <f ca="1"/>
        <v>0.37748543890337749</v>
      </c>
      <c r="AH493" s="2" t="str">
        <f ca="1"/>
        <v>OK</v>
      </c>
    </row>
    <row r="494" spans="2:34" x14ac:dyDescent="0.2">
      <c r="B494" s="2">
        <f ca="1"/>
        <v>0.78784161431209454</v>
      </c>
      <c r="O494" s="2">
        <f ca="1"/>
        <v>-0.43600252130760669</v>
      </c>
      <c r="X494" s="2">
        <f ca="1"/>
        <v>55.438609616688971</v>
      </c>
      <c r="AG494" s="2">
        <f ca="1"/>
        <v>0.98667894141956047</v>
      </c>
      <c r="AH494" s="2" t="str">
        <f ca="1"/>
        <v>Bad</v>
      </c>
    </row>
    <row r="495" spans="2:34" x14ac:dyDescent="0.2">
      <c r="B495" s="2">
        <f ca="1"/>
        <v>0.22296765132306673</v>
      </c>
      <c r="O495" s="2">
        <f ca="1"/>
        <v>-0.69659690334798441</v>
      </c>
      <c r="X495" s="2">
        <f ca="1"/>
        <v>29.815196963462771</v>
      </c>
      <c r="AG495" s="2">
        <f ca="1"/>
        <v>8.5181921427461837E-3</v>
      </c>
      <c r="AH495" s="2" t="str">
        <f ca="1"/>
        <v>Good</v>
      </c>
    </row>
    <row r="496" spans="2:34" x14ac:dyDescent="0.2">
      <c r="B496" s="2">
        <f ca="1"/>
        <v>0.2854369322550272</v>
      </c>
      <c r="O496" s="2">
        <f ca="1"/>
        <v>0.24859196336894906</v>
      </c>
      <c r="X496" s="2">
        <f ca="1"/>
        <v>37.790246180298091</v>
      </c>
      <c r="AG496" s="2">
        <f ca="1"/>
        <v>0.61309033801347446</v>
      </c>
      <c r="AH496" s="2" t="str">
        <f ca="1"/>
        <v>Bad</v>
      </c>
    </row>
    <row r="497" spans="2:34" x14ac:dyDescent="0.2">
      <c r="B497" s="2">
        <f ca="1"/>
        <v>0.71309896050453947</v>
      </c>
      <c r="O497" s="2">
        <f ca="1"/>
        <v>-0.32588449287531557</v>
      </c>
      <c r="X497" s="2">
        <f ca="1"/>
        <v>48.272848949660258</v>
      </c>
      <c r="AG497" s="2">
        <f ca="1"/>
        <v>1.3970669915784217E-2</v>
      </c>
      <c r="AH497" s="2" t="str">
        <f ca="1"/>
        <v>Good</v>
      </c>
    </row>
    <row r="498" spans="2:34" x14ac:dyDescent="0.2">
      <c r="B498" s="2">
        <f ca="1"/>
        <v>0.37653741890356107</v>
      </c>
      <c r="O498" s="2">
        <f ca="1"/>
        <v>1.3459891308029324</v>
      </c>
      <c r="X498" s="2">
        <f ca="1"/>
        <v>51.085313300246568</v>
      </c>
      <c r="AG498" s="2">
        <f ca="1"/>
        <v>1.2035962955382562E-2</v>
      </c>
      <c r="AH498" s="2" t="str">
        <f ca="1"/>
        <v>Good</v>
      </c>
    </row>
    <row r="499" spans="2:34" x14ac:dyDescent="0.2">
      <c r="B499" s="2">
        <f ca="1"/>
        <v>0.97700458881246099</v>
      </c>
      <c r="O499" s="2">
        <f ca="1"/>
        <v>0.36764258763626667</v>
      </c>
      <c r="X499" s="2">
        <f ca="1"/>
        <v>46.80087792458238</v>
      </c>
      <c r="AG499" s="2">
        <f ca="1"/>
        <v>0.40332211063434187</v>
      </c>
      <c r="AH499" s="2" t="str">
        <f ca="1"/>
        <v>Bad</v>
      </c>
    </row>
    <row r="500" spans="2:34" x14ac:dyDescent="0.2">
      <c r="B500" s="2">
        <f ca="1"/>
        <v>0.25360297925173603</v>
      </c>
      <c r="O500" s="2">
        <f ca="1"/>
        <v>0.92467319535541614</v>
      </c>
      <c r="X500" s="2">
        <f ca="1"/>
        <v>46.695984321850318</v>
      </c>
      <c r="AG500" s="2">
        <f ca="1"/>
        <v>0.48451228003970748</v>
      </c>
      <c r="AH500" s="2" t="str">
        <f ca="1"/>
        <v>Bad</v>
      </c>
    </row>
    <row r="501" spans="2:34" x14ac:dyDescent="0.2">
      <c r="B501" s="2">
        <f ca="1"/>
        <v>0.78919001329162408</v>
      </c>
      <c r="O501" s="2">
        <f ca="1"/>
        <v>-0.36439859762626714</v>
      </c>
      <c r="X501" s="2">
        <f ca="1"/>
        <v>58.746549057365705</v>
      </c>
      <c r="AG501" s="2">
        <f ca="1"/>
        <v>0.48857759166115655</v>
      </c>
      <c r="AH501" s="2" t="str">
        <f ca="1"/>
        <v>Bad</v>
      </c>
    </row>
    <row r="502" spans="2:34" x14ac:dyDescent="0.2">
      <c r="B502" s="2">
        <f ca="1"/>
        <v>0.77334155411674366</v>
      </c>
      <c r="O502" s="2">
        <f ca="1"/>
        <v>0.18220438867391694</v>
      </c>
      <c r="X502" s="2">
        <f ca="1"/>
        <v>50.393949084046497</v>
      </c>
      <c r="AG502" s="2">
        <f ca="1"/>
        <v>0.59218917065589394</v>
      </c>
      <c r="AH502" s="2" t="str">
        <f ca="1"/>
        <v>Bad</v>
      </c>
    </row>
    <row r="503" spans="2:34" x14ac:dyDescent="0.2">
      <c r="B503" s="2">
        <f ca="1"/>
        <v>0.33484436247854799</v>
      </c>
      <c r="O503" s="2">
        <f ca="1"/>
        <v>-0.62392458692367014</v>
      </c>
      <c r="X503" s="2">
        <f ca="1"/>
        <v>32.055812394167241</v>
      </c>
      <c r="AG503" s="2">
        <f ca="1"/>
        <v>0.55945071817629932</v>
      </c>
      <c r="AH503" s="2" t="str">
        <f ca="1"/>
        <v>Bad</v>
      </c>
    </row>
    <row r="504" spans="2:34" x14ac:dyDescent="0.2">
      <c r="B504" s="2">
        <f ca="1"/>
        <v>0.68682502763810471</v>
      </c>
      <c r="O504" s="2">
        <f ca="1"/>
        <v>-0.16558372991500661</v>
      </c>
      <c r="X504" s="2">
        <f ca="1"/>
        <v>33.619822764223095</v>
      </c>
      <c r="AG504" s="2">
        <f ca="1"/>
        <v>0.34319902896065813</v>
      </c>
      <c r="AH504" s="2" t="str">
        <f ca="1"/>
        <v>OK</v>
      </c>
    </row>
    <row r="505" spans="2:34" x14ac:dyDescent="0.2">
      <c r="B505" s="2">
        <f ca="1"/>
        <v>0.94804927546791018</v>
      </c>
      <c r="O505" s="2">
        <f ca="1"/>
        <v>-0.68863580177926698</v>
      </c>
      <c r="X505" s="2">
        <f ca="1"/>
        <v>25.131202636505808</v>
      </c>
      <c r="AG505" s="2">
        <f ca="1"/>
        <v>0.97115730409127754</v>
      </c>
      <c r="AH505" s="2" t="str">
        <f ca="1"/>
        <v>Bad</v>
      </c>
    </row>
    <row r="506" spans="2:34" x14ac:dyDescent="0.2">
      <c r="B506" s="2">
        <f ca="1"/>
        <v>0.67085886770237813</v>
      </c>
      <c r="O506" s="2">
        <f ca="1"/>
        <v>2.3130184258974054</v>
      </c>
      <c r="X506" s="2">
        <f ca="1"/>
        <v>23.898166941012732</v>
      </c>
      <c r="AG506" s="2">
        <f ca="1"/>
        <v>0.24255615364161676</v>
      </c>
      <c r="AH506" s="2" t="str">
        <f ca="1"/>
        <v>OK</v>
      </c>
    </row>
    <row r="507" spans="2:34" x14ac:dyDescent="0.2">
      <c r="B507" s="2">
        <f ca="1"/>
        <v>0.80833509570802509</v>
      </c>
      <c r="O507" s="2">
        <f ca="1"/>
        <v>0.25965309659168739</v>
      </c>
      <c r="X507" s="2">
        <f ca="1"/>
        <v>46.699497361543514</v>
      </c>
      <c r="AG507" s="2">
        <f ca="1"/>
        <v>2.0900554926622572E-2</v>
      </c>
      <c r="AH507" s="2" t="str">
        <f ca="1"/>
        <v>Good</v>
      </c>
    </row>
    <row r="508" spans="2:34" x14ac:dyDescent="0.2">
      <c r="B508" s="2">
        <f ca="1"/>
        <v>0.18652612340682095</v>
      </c>
      <c r="O508" s="2">
        <f ca="1"/>
        <v>0.53007232391544246</v>
      </c>
      <c r="X508" s="2">
        <f ca="1"/>
        <v>61.218267717206068</v>
      </c>
      <c r="AG508" s="2">
        <f ca="1"/>
        <v>0.93796014028307217</v>
      </c>
      <c r="AH508" s="2" t="str">
        <f ca="1"/>
        <v>Bad</v>
      </c>
    </row>
    <row r="509" spans="2:34" x14ac:dyDescent="0.2">
      <c r="B509" s="2">
        <f ca="1"/>
        <v>0.46235431740450261</v>
      </c>
      <c r="O509" s="2">
        <f ca="1"/>
        <v>2.031788418218774</v>
      </c>
      <c r="X509" s="2">
        <f ca="1"/>
        <v>57.241887853958033</v>
      </c>
      <c r="AG509" s="2">
        <f ca="1"/>
        <v>0.63871283748348784</v>
      </c>
      <c r="AH509" s="2" t="str">
        <f ca="1"/>
        <v>Bad</v>
      </c>
    </row>
    <row r="510" spans="2:34" x14ac:dyDescent="0.2">
      <c r="B510" s="2">
        <f ca="1"/>
        <v>0.67213617480248367</v>
      </c>
      <c r="O510" s="2">
        <f ca="1"/>
        <v>-0.21560435199032776</v>
      </c>
      <c r="X510" s="2">
        <f ca="1"/>
        <v>37.731586126446132</v>
      </c>
      <c r="AG510" s="2">
        <f ca="1"/>
        <v>0.24906076557174628</v>
      </c>
      <c r="AH510" s="2" t="str">
        <f ca="1"/>
        <v>OK</v>
      </c>
    </row>
    <row r="511" spans="2:34" x14ac:dyDescent="0.2">
      <c r="B511" s="2">
        <f ca="1"/>
        <v>0.47494555830377294</v>
      </c>
      <c r="O511" s="2">
        <f ca="1"/>
        <v>0.6948262193419763</v>
      </c>
      <c r="X511" s="2">
        <f ca="1"/>
        <v>28.731793003345153</v>
      </c>
      <c r="AG511" s="2">
        <f ca="1"/>
        <v>5.6823917618375575E-2</v>
      </c>
      <c r="AH511" s="2" t="str">
        <f ca="1"/>
        <v>OK</v>
      </c>
    </row>
    <row r="512" spans="2:34" x14ac:dyDescent="0.2">
      <c r="B512" s="2">
        <f ca="1"/>
        <v>0.40164448861111635</v>
      </c>
      <c r="O512" s="2">
        <f ca="1"/>
        <v>-0.96388948234145821</v>
      </c>
      <c r="X512" s="2">
        <f ca="1"/>
        <v>39.503380846646053</v>
      </c>
      <c r="AG512" s="2">
        <f ca="1"/>
        <v>0.81381647530187595</v>
      </c>
      <c r="AH512" s="2" t="str">
        <f ca="1"/>
        <v>Bad</v>
      </c>
    </row>
    <row r="513" spans="2:34" x14ac:dyDescent="0.2">
      <c r="B513" s="2">
        <f ca="1"/>
        <v>0.34053649951431897</v>
      </c>
      <c r="O513" s="2">
        <f ca="1"/>
        <v>0.15061552526578867</v>
      </c>
      <c r="X513" s="2">
        <f ca="1"/>
        <v>57.881991579152839</v>
      </c>
      <c r="AG513" s="2">
        <f ca="1"/>
        <v>0.24816650476531654</v>
      </c>
      <c r="AH513" s="2" t="str">
        <f ca="1"/>
        <v>OK</v>
      </c>
    </row>
    <row r="514" spans="2:34" x14ac:dyDescent="0.2">
      <c r="B514" s="2">
        <f ca="1"/>
        <v>0.59832261171141154</v>
      </c>
      <c r="O514" s="2">
        <f ca="1"/>
        <v>-0.79664706059981483</v>
      </c>
      <c r="X514" s="2">
        <f ca="1"/>
        <v>55.183436708996403</v>
      </c>
      <c r="AG514" s="2">
        <f ca="1"/>
        <v>0.99919248579428155</v>
      </c>
      <c r="AH514" s="2" t="str">
        <f ca="1"/>
        <v>Bad</v>
      </c>
    </row>
    <row r="515" spans="2:34" x14ac:dyDescent="0.2">
      <c r="B515" s="2">
        <f ca="1"/>
        <v>0.5928576416694622</v>
      </c>
      <c r="O515" s="2">
        <f ca="1"/>
        <v>-2.2959342919049734</v>
      </c>
      <c r="X515" s="2">
        <f ca="1"/>
        <v>35.248131790377599</v>
      </c>
      <c r="AG515" s="2">
        <f ca="1"/>
        <v>0.72003419325748763</v>
      </c>
      <c r="AH515" s="2" t="str">
        <f ca="1"/>
        <v>Bad</v>
      </c>
    </row>
    <row r="516" spans="2:34" x14ac:dyDescent="0.2">
      <c r="B516" s="2">
        <f ca="1"/>
        <v>0.74199287144752302</v>
      </c>
      <c r="O516" s="2">
        <f ca="1"/>
        <v>0.6506888900268043</v>
      </c>
      <c r="X516" s="2">
        <f ca="1"/>
        <v>61.915631668321005</v>
      </c>
      <c r="AG516" s="2">
        <f ca="1"/>
        <v>0.74135690448957314</v>
      </c>
      <c r="AH516" s="2" t="str">
        <f ca="1"/>
        <v>Bad</v>
      </c>
    </row>
    <row r="517" spans="2:34" x14ac:dyDescent="0.2">
      <c r="B517" s="2">
        <f ca="1"/>
        <v>0.92424879010883765</v>
      </c>
      <c r="O517" s="2">
        <f ca="1"/>
        <v>-0.90299567003580183</v>
      </c>
      <c r="X517" s="2">
        <f ca="1"/>
        <v>37.708732305813278</v>
      </c>
      <c r="AG517" s="2">
        <f ca="1"/>
        <v>0.91649210943409076</v>
      </c>
      <c r="AH517" s="2" t="str">
        <f ca="1"/>
        <v>Bad</v>
      </c>
    </row>
    <row r="518" spans="2:34" x14ac:dyDescent="0.2">
      <c r="B518" s="2">
        <f ca="1"/>
        <v>0.6871586416714206</v>
      </c>
      <c r="O518" s="2">
        <f ca="1"/>
        <v>-0.3808391993706976</v>
      </c>
      <c r="X518" s="2">
        <f ca="1"/>
        <v>53.898128073172686</v>
      </c>
      <c r="AG518" s="2">
        <f ca="1"/>
        <v>7.8659125840798705E-2</v>
      </c>
      <c r="AH518" s="2" t="str">
        <f ca="1"/>
        <v>OK</v>
      </c>
    </row>
    <row r="519" spans="2:34" x14ac:dyDescent="0.2">
      <c r="B519" s="2">
        <f ca="1"/>
        <v>0.21858134886190528</v>
      </c>
      <c r="O519" s="2">
        <f ca="1"/>
        <v>-3.0049417131225291</v>
      </c>
      <c r="X519" s="2">
        <f ca="1"/>
        <v>79.473286892911858</v>
      </c>
      <c r="AG519" s="2">
        <f ca="1"/>
        <v>0.34064010195443739</v>
      </c>
      <c r="AH519" s="2" t="str">
        <f ca="1"/>
        <v>OK</v>
      </c>
    </row>
    <row r="520" spans="2:34" x14ac:dyDescent="0.2">
      <c r="B520" s="2">
        <f ca="1"/>
        <v>0.14611715505921397</v>
      </c>
      <c r="O520" s="2">
        <f ca="1"/>
        <v>1.0903178647674769</v>
      </c>
      <c r="X520" s="2">
        <f ca="1"/>
        <v>37.527597240527243</v>
      </c>
      <c r="AG520" s="2">
        <f ca="1"/>
        <v>0.64885502358562608</v>
      </c>
      <c r="AH520" s="2" t="str">
        <f ca="1"/>
        <v>Bad</v>
      </c>
    </row>
    <row r="521" spans="2:34" x14ac:dyDescent="0.2">
      <c r="B521" s="2">
        <f ca="1"/>
        <v>0.36845358072987899</v>
      </c>
      <c r="O521" s="2">
        <f ca="1"/>
        <v>0.19898097981003027</v>
      </c>
      <c r="X521" s="2">
        <f ca="1"/>
        <v>55.951411942238842</v>
      </c>
      <c r="AG521" s="2">
        <f ca="1"/>
        <v>0.76051722963390911</v>
      </c>
      <c r="AH521" s="2" t="str">
        <f ca="1"/>
        <v>Bad</v>
      </c>
    </row>
    <row r="522" spans="2:34" x14ac:dyDescent="0.2">
      <c r="B522" s="2">
        <f ca="1"/>
        <v>0.97378923824410957</v>
      </c>
      <c r="O522" s="2">
        <f ca="1"/>
        <v>-0.35490183190469088</v>
      </c>
      <c r="X522" s="2">
        <f ca="1"/>
        <v>42.077382637333052</v>
      </c>
      <c r="AG522" s="2">
        <f ca="1"/>
        <v>4.84843198549334E-3</v>
      </c>
      <c r="AH522" s="2" t="str">
        <f ca="1"/>
        <v>Good</v>
      </c>
    </row>
    <row r="523" spans="2:34" x14ac:dyDescent="0.2">
      <c r="B523" s="2">
        <f ca="1"/>
        <v>0.36810678578270362</v>
      </c>
      <c r="O523" s="2">
        <f ca="1"/>
        <v>0.95774312923176808</v>
      </c>
      <c r="X523" s="2">
        <f ca="1"/>
        <v>45.741881339255414</v>
      </c>
      <c r="AG523" s="2">
        <f ca="1"/>
        <v>0.87806096494455099</v>
      </c>
      <c r="AH523" s="2" t="str">
        <f ca="1"/>
        <v>Bad</v>
      </c>
    </row>
    <row r="524" spans="2:34" x14ac:dyDescent="0.2">
      <c r="B524" s="2">
        <f ca="1"/>
        <v>0.57590435834869091</v>
      </c>
      <c r="O524" s="2">
        <f ca="1"/>
        <v>-0.27067859321749194</v>
      </c>
      <c r="X524" s="2">
        <f ca="1"/>
        <v>52.036312625587662</v>
      </c>
      <c r="AG524" s="2">
        <f ca="1"/>
        <v>0.22558873462028295</v>
      </c>
      <c r="AH524" s="2" t="str">
        <f ca="1"/>
        <v>OK</v>
      </c>
    </row>
    <row r="525" spans="2:34" x14ac:dyDescent="0.2">
      <c r="B525" s="2">
        <f ca="1"/>
        <v>0.7477612025439373</v>
      </c>
      <c r="O525" s="2">
        <f ca="1"/>
        <v>-0.56539775619872945</v>
      </c>
      <c r="X525" s="2">
        <f ca="1"/>
        <v>54.434345867928471</v>
      </c>
      <c r="AG525" s="2">
        <f ca="1"/>
        <v>0.7777342628995656</v>
      </c>
      <c r="AH525" s="2" t="str">
        <f ca="1"/>
        <v>Bad</v>
      </c>
    </row>
    <row r="526" spans="2:34" x14ac:dyDescent="0.2">
      <c r="B526" s="2">
        <f ca="1"/>
        <v>0.93319817403621808</v>
      </c>
      <c r="O526" s="2">
        <f ca="1"/>
        <v>6.6623021980958388E-2</v>
      </c>
      <c r="X526" s="2">
        <f ca="1"/>
        <v>46.455757517380391</v>
      </c>
      <c r="AG526" s="2">
        <f ca="1"/>
        <v>7.2222151678331903E-2</v>
      </c>
      <c r="AH526" s="2" t="str">
        <f ca="1"/>
        <v>OK</v>
      </c>
    </row>
    <row r="527" spans="2:34" x14ac:dyDescent="0.2">
      <c r="B527" s="2">
        <f ca="1"/>
        <v>0.70370417152062537</v>
      </c>
      <c r="O527" s="2">
        <f ca="1"/>
        <v>1.6914811911733649</v>
      </c>
      <c r="X527" s="2">
        <f ca="1"/>
        <v>42.51504604118346</v>
      </c>
      <c r="AG527" s="2">
        <f ca="1"/>
        <v>0.85921585098935549</v>
      </c>
      <c r="AH527" s="2" t="str">
        <f ca="1"/>
        <v>Bad</v>
      </c>
    </row>
    <row r="528" spans="2:34" x14ac:dyDescent="0.2">
      <c r="B528" s="2">
        <f ca="1"/>
        <v>0.47852960441876391</v>
      </c>
      <c r="O528" s="2">
        <f ca="1"/>
        <v>0.74186499824163499</v>
      </c>
      <c r="X528" s="2">
        <f ca="1"/>
        <v>33.843863961117371</v>
      </c>
      <c r="AG528" s="2">
        <f ca="1"/>
        <v>0.45174833048444984</v>
      </c>
      <c r="AH528" s="2" t="str">
        <f ca="1"/>
        <v>Bad</v>
      </c>
    </row>
    <row r="529" spans="2:34" x14ac:dyDescent="0.2">
      <c r="B529" s="2">
        <f ca="1"/>
        <v>0.59887825944190598</v>
      </c>
      <c r="O529" s="2">
        <f ca="1"/>
        <v>2.6007107932343287</v>
      </c>
      <c r="X529" s="2">
        <f ca="1"/>
        <v>31.945449190204567</v>
      </c>
      <c r="AG529" s="2">
        <f ca="1"/>
        <v>0.86358916592494261</v>
      </c>
      <c r="AH529" s="2" t="str">
        <f ca="1"/>
        <v>Bad</v>
      </c>
    </row>
    <row r="530" spans="2:34" x14ac:dyDescent="0.2">
      <c r="B530" s="2">
        <f ca="1"/>
        <v>0.85960734010362216</v>
      </c>
      <c r="O530" s="2">
        <f ca="1"/>
        <v>-0.21514425933643425</v>
      </c>
      <c r="X530" s="2">
        <f ca="1"/>
        <v>57.852147155833464</v>
      </c>
      <c r="AG530" s="2">
        <f ca="1"/>
        <v>0.60651447893117805</v>
      </c>
      <c r="AH530" s="2" t="str">
        <f ca="1"/>
        <v>Bad</v>
      </c>
    </row>
    <row r="531" spans="2:34" x14ac:dyDescent="0.2">
      <c r="B531" s="2">
        <f ca="1"/>
        <v>0.66162129889111343</v>
      </c>
      <c r="O531" s="2">
        <f ca="1"/>
        <v>-0.49114871343310462</v>
      </c>
      <c r="X531" s="2">
        <f ca="1"/>
        <v>74.596648712150056</v>
      </c>
      <c r="AG531" s="2">
        <f ca="1"/>
        <v>0.15814681807603836</v>
      </c>
      <c r="AH531" s="2" t="str">
        <f ca="1"/>
        <v>OK</v>
      </c>
    </row>
    <row r="532" spans="2:34" x14ac:dyDescent="0.2">
      <c r="B532" s="2">
        <f ca="1"/>
        <v>0.99294318050619967</v>
      </c>
      <c r="O532" s="2">
        <f ca="1"/>
        <v>-1.6112527162952575</v>
      </c>
      <c r="X532" s="2">
        <f ca="1"/>
        <v>44.406088516520548</v>
      </c>
      <c r="AG532" s="2">
        <f ca="1"/>
        <v>3.5499634277505798E-2</v>
      </c>
      <c r="AH532" s="2" t="str">
        <f ca="1"/>
        <v>Good</v>
      </c>
    </row>
    <row r="533" spans="2:34" x14ac:dyDescent="0.2">
      <c r="B533" s="2">
        <f ca="1"/>
        <v>0.75589637608695082</v>
      </c>
      <c r="O533" s="2">
        <f ca="1"/>
        <v>-1.2336233196953525</v>
      </c>
      <c r="X533" s="2">
        <f ca="1"/>
        <v>72.680074006921387</v>
      </c>
      <c r="AG533" s="2">
        <f ca="1"/>
        <v>0.29545789154640056</v>
      </c>
      <c r="AH533" s="2" t="str">
        <f ca="1"/>
        <v>OK</v>
      </c>
    </row>
    <row r="534" spans="2:34" x14ac:dyDescent="0.2">
      <c r="B534" s="2">
        <f ca="1"/>
        <v>7.2883134604846633E-2</v>
      </c>
      <c r="O534" s="2">
        <f ca="1"/>
        <v>-1.5479297618347136</v>
      </c>
      <c r="X534" s="2">
        <f ca="1"/>
        <v>42.618878346247399</v>
      </c>
      <c r="AG534" s="2">
        <f ca="1"/>
        <v>0.70265572173886115</v>
      </c>
      <c r="AH534" s="2" t="str">
        <f ca="1"/>
        <v>Bad</v>
      </c>
    </row>
    <row r="535" spans="2:34" x14ac:dyDescent="0.2">
      <c r="B535" s="2">
        <f ca="1"/>
        <v>0.47975320080389938</v>
      </c>
      <c r="O535" s="2">
        <f ca="1"/>
        <v>-0.13947944098404427</v>
      </c>
      <c r="X535" s="2">
        <f ca="1"/>
        <v>27.332463928322234</v>
      </c>
      <c r="AG535" s="2">
        <f ca="1"/>
        <v>0.46517164851090675</v>
      </c>
      <c r="AH535" s="2" t="str">
        <f ca="1"/>
        <v>Bad</v>
      </c>
    </row>
    <row r="536" spans="2:34" x14ac:dyDescent="0.2">
      <c r="B536" s="2">
        <f ca="1"/>
        <v>0.55330330981957654</v>
      </c>
      <c r="O536" s="2">
        <f ca="1"/>
        <v>0.43601267536812194</v>
      </c>
      <c r="X536" s="2">
        <f ca="1"/>
        <v>54.599907394264839</v>
      </c>
      <c r="AG536" s="2">
        <f ca="1"/>
        <v>0.26820361352298572</v>
      </c>
      <c r="AH536" s="2" t="str">
        <f ca="1"/>
        <v>OK</v>
      </c>
    </row>
    <row r="537" spans="2:34" x14ac:dyDescent="0.2">
      <c r="B537" s="2">
        <f ca="1"/>
        <v>0.16365071769983275</v>
      </c>
      <c r="O537" s="2">
        <f ca="1"/>
        <v>0.56042702551223111</v>
      </c>
      <c r="X537" s="2">
        <f ca="1"/>
        <v>35.057055782429714</v>
      </c>
      <c r="AG537" s="2">
        <f ca="1"/>
        <v>9.1750536897865498E-2</v>
      </c>
      <c r="AH537" s="2" t="str">
        <f ca="1"/>
        <v>OK</v>
      </c>
    </row>
    <row r="538" spans="2:34" x14ac:dyDescent="0.2">
      <c r="B538" s="2">
        <f ca="1"/>
        <v>0.36295565672669139</v>
      </c>
      <c r="O538" s="2">
        <f ca="1"/>
        <v>-1.9767720752101701</v>
      </c>
      <c r="X538" s="2">
        <f ca="1"/>
        <v>71.599231933549575</v>
      </c>
      <c r="AG538" s="2">
        <f ca="1"/>
        <v>0.38022628306280981</v>
      </c>
      <c r="AH538" s="2" t="str">
        <f ca="1"/>
        <v>OK</v>
      </c>
    </row>
    <row r="539" spans="2:34" x14ac:dyDescent="0.2">
      <c r="B539" s="2">
        <f ca="1"/>
        <v>0.98265587440049407</v>
      </c>
      <c r="O539" s="2">
        <f ca="1"/>
        <v>-0.20377586860214064</v>
      </c>
      <c r="X539" s="2">
        <f ca="1"/>
        <v>94.096292514747859</v>
      </c>
      <c r="AG539" s="2">
        <f ca="1"/>
        <v>8.7742549117634905E-2</v>
      </c>
      <c r="AH539" s="2" t="str">
        <f ca="1"/>
        <v>OK</v>
      </c>
    </row>
    <row r="540" spans="2:34" x14ac:dyDescent="0.2">
      <c r="B540" s="2">
        <f ca="1"/>
        <v>0.93768084803729046</v>
      </c>
      <c r="O540" s="2">
        <f ca="1"/>
        <v>0.64815252060521056</v>
      </c>
      <c r="X540" s="2">
        <f ca="1"/>
        <v>48.524454087835885</v>
      </c>
      <c r="AG540" s="2">
        <f ca="1"/>
        <v>1.7191302251671203E-3</v>
      </c>
      <c r="AH540" s="2" t="str">
        <f ca="1"/>
        <v>Good</v>
      </c>
    </row>
    <row r="541" spans="2:34" x14ac:dyDescent="0.2">
      <c r="B541" s="2">
        <f ca="1"/>
        <v>0.27559057316733604</v>
      </c>
      <c r="O541" s="2">
        <f ca="1"/>
        <v>0.9082589289403562</v>
      </c>
      <c r="X541" s="2">
        <f ca="1"/>
        <v>51.974794950300833</v>
      </c>
      <c r="AG541" s="2">
        <f ca="1"/>
        <v>0.45484717628900428</v>
      </c>
      <c r="AH541" s="2" t="str">
        <f ca="1"/>
        <v>Bad</v>
      </c>
    </row>
    <row r="542" spans="2:34" x14ac:dyDescent="0.2">
      <c r="B542" s="2">
        <f ca="1"/>
        <v>0.63962515148955323</v>
      </c>
      <c r="O542" s="2">
        <f ca="1"/>
        <v>-0.92111265706973022</v>
      </c>
      <c r="X542" s="2">
        <f ca="1"/>
        <v>42.252958509460981</v>
      </c>
      <c r="AG542" s="2">
        <f ca="1"/>
        <v>0.69933260842352807</v>
      </c>
      <c r="AH542" s="2" t="str">
        <f ca="1"/>
        <v>Bad</v>
      </c>
    </row>
    <row r="543" spans="2:34" x14ac:dyDescent="0.2">
      <c r="B543" s="2">
        <f ca="1"/>
        <v>0.33403674309123299</v>
      </c>
      <c r="O543" s="2">
        <f ca="1"/>
        <v>-1.8972505765615333</v>
      </c>
      <c r="X543" s="2">
        <f ca="1"/>
        <v>60.27055326428092</v>
      </c>
      <c r="AG543" s="2">
        <f ca="1"/>
        <v>0.10423058206164248</v>
      </c>
      <c r="AH543" s="2" t="str">
        <f ca="1"/>
        <v>OK</v>
      </c>
    </row>
    <row r="544" spans="2:34" x14ac:dyDescent="0.2">
      <c r="B544" s="2">
        <f ca="1"/>
        <v>0.21540471008509599</v>
      </c>
      <c r="O544" s="2">
        <f ca="1"/>
        <v>-1.6037602558152126</v>
      </c>
      <c r="X544" s="2">
        <f ca="1"/>
        <v>36.86868924628731</v>
      </c>
      <c r="AG544" s="2">
        <f ca="1"/>
        <v>0.66459724705480805</v>
      </c>
      <c r="AH544" s="2" t="str">
        <f ca="1"/>
        <v>Bad</v>
      </c>
    </row>
    <row r="545" spans="2:34" x14ac:dyDescent="0.2">
      <c r="B545" s="2">
        <f ca="1"/>
        <v>0.67905443315205405</v>
      </c>
      <c r="O545" s="2">
        <f ca="1"/>
        <v>0.7146909534908783</v>
      </c>
      <c r="X545" s="2">
        <f ca="1"/>
        <v>57.80893057679441</v>
      </c>
      <c r="AG545" s="2">
        <f ca="1"/>
        <v>0.9574169612242005</v>
      </c>
      <c r="AH545" s="2" t="str">
        <f ca="1"/>
        <v>Bad</v>
      </c>
    </row>
    <row r="546" spans="2:34" x14ac:dyDescent="0.2">
      <c r="B546" s="2">
        <f ca="1"/>
        <v>0.62667085980498549</v>
      </c>
      <c r="O546" s="2">
        <f ca="1"/>
        <v>1.5093062766854943</v>
      </c>
      <c r="X546" s="2">
        <f ca="1"/>
        <v>46.871277574058503</v>
      </c>
      <c r="AG546" s="2">
        <f ca="1"/>
        <v>0.17437435835843296</v>
      </c>
      <c r="AH546" s="2" t="str">
        <f ca="1"/>
        <v>OK</v>
      </c>
    </row>
    <row r="547" spans="2:34" x14ac:dyDescent="0.2">
      <c r="B547" s="2">
        <f ca="1"/>
        <v>0.51791009623799056</v>
      </c>
      <c r="O547" s="2">
        <f ca="1"/>
        <v>-0.18190690966588297</v>
      </c>
      <c r="X547" s="2">
        <f ca="1"/>
        <v>58.010797400421133</v>
      </c>
      <c r="AG547" s="2">
        <f ca="1"/>
        <v>0.33292475563873891</v>
      </c>
      <c r="AH547" s="2" t="str">
        <f ca="1"/>
        <v>OK</v>
      </c>
    </row>
    <row r="548" spans="2:34" x14ac:dyDescent="0.2">
      <c r="B548" s="2">
        <f ca="1"/>
        <v>0.86366811725997206</v>
      </c>
      <c r="O548" s="2">
        <f ca="1"/>
        <v>-2.1986484856305624</v>
      </c>
      <c r="X548" s="2">
        <f ca="1"/>
        <v>35.780316718105595</v>
      </c>
      <c r="AG548" s="2">
        <f ca="1"/>
        <v>0.23411428486721086</v>
      </c>
      <c r="AH548" s="2" t="str">
        <f ca="1"/>
        <v>OK</v>
      </c>
    </row>
    <row r="549" spans="2:34" x14ac:dyDescent="0.2">
      <c r="B549" s="2">
        <f ca="1"/>
        <v>0.43257938805023199</v>
      </c>
      <c r="O549" s="2">
        <f ca="1"/>
        <v>-0.10543504210433649</v>
      </c>
      <c r="X549" s="2">
        <f ca="1"/>
        <v>44.222693183938297</v>
      </c>
      <c r="AG549" s="2">
        <f ca="1"/>
        <v>0.93113943878158767</v>
      </c>
      <c r="AH549" s="2" t="str">
        <f ca="1"/>
        <v>Bad</v>
      </c>
    </row>
    <row r="550" spans="2:34" x14ac:dyDescent="0.2">
      <c r="B550" s="2">
        <f ca="1"/>
        <v>2.7719592952822003E-2</v>
      </c>
      <c r="O550" s="2">
        <f ca="1"/>
        <v>0.10645971885151022</v>
      </c>
      <c r="X550" s="2">
        <f ca="1"/>
        <v>67.364336502197261</v>
      </c>
      <c r="AG550" s="2">
        <f ca="1"/>
        <v>0.82494743211757826</v>
      </c>
      <c r="AH550" s="2" t="str">
        <f ca="1"/>
        <v>Bad</v>
      </c>
    </row>
    <row r="551" spans="2:34" x14ac:dyDescent="0.2">
      <c r="B551" s="2">
        <f ca="1"/>
        <v>0.4777438191850667</v>
      </c>
      <c r="O551" s="2">
        <f ca="1"/>
        <v>-0.63451175008535377</v>
      </c>
      <c r="X551" s="2">
        <f ca="1"/>
        <v>44.244954646062837</v>
      </c>
      <c r="AG551" s="2">
        <f ca="1"/>
        <v>0.77760852823884252</v>
      </c>
      <c r="AH551" s="2" t="str">
        <f ca="1"/>
        <v>Bad</v>
      </c>
    </row>
    <row r="552" spans="2:34" x14ac:dyDescent="0.2">
      <c r="B552" s="2">
        <f ca="1"/>
        <v>0.7367242993789942</v>
      </c>
      <c r="O552" s="2">
        <f ca="1"/>
        <v>-1.2548172655234908</v>
      </c>
      <c r="X552" s="2">
        <f ca="1"/>
        <v>32.38359965738951</v>
      </c>
      <c r="AG552" s="2">
        <f ca="1"/>
        <v>0.28502670687264398</v>
      </c>
      <c r="AH552" s="2" t="str">
        <f ca="1"/>
        <v>OK</v>
      </c>
    </row>
    <row r="553" spans="2:34" x14ac:dyDescent="0.2">
      <c r="B553" s="2">
        <f ca="1"/>
        <v>0.99003523221049772</v>
      </c>
      <c r="O553" s="2">
        <f ca="1"/>
        <v>1.284617255487182</v>
      </c>
      <c r="X553" s="2">
        <f ca="1"/>
        <v>22.99428039261236</v>
      </c>
      <c r="AG553" s="2">
        <f ca="1"/>
        <v>0.3242846890174893</v>
      </c>
      <c r="AH553" s="2" t="str">
        <f ca="1"/>
        <v>OK</v>
      </c>
    </row>
    <row r="554" spans="2:34" x14ac:dyDescent="0.2">
      <c r="B554" s="2">
        <f ca="1"/>
        <v>0.7895163049069025</v>
      </c>
      <c r="O554" s="2">
        <f ca="1"/>
        <v>0.49271713953560442</v>
      </c>
      <c r="X554" s="2">
        <f ca="1"/>
        <v>72.700806108230324</v>
      </c>
      <c r="AG554" s="2">
        <f ca="1"/>
        <v>0.60040125387212218</v>
      </c>
      <c r="AH554" s="2" t="str">
        <f ca="1"/>
        <v>Bad</v>
      </c>
    </row>
    <row r="555" spans="2:34" x14ac:dyDescent="0.2">
      <c r="B555" s="2">
        <f ca="1"/>
        <v>0.41201119954254684</v>
      </c>
      <c r="O555" s="2">
        <f ca="1"/>
        <v>0.70119963221230552</v>
      </c>
      <c r="X555" s="2">
        <f ca="1"/>
        <v>41.421562491554226</v>
      </c>
      <c r="AG555" s="2">
        <f ca="1"/>
        <v>0.30163578642028899</v>
      </c>
      <c r="AH555" s="2" t="str">
        <f ca="1"/>
        <v>OK</v>
      </c>
    </row>
    <row r="556" spans="2:34" x14ac:dyDescent="0.2">
      <c r="B556" s="2">
        <f ca="1"/>
        <v>0.39798851577694361</v>
      </c>
      <c r="O556" s="2">
        <f ca="1"/>
        <v>1.344748704968403</v>
      </c>
      <c r="X556" s="2">
        <f ca="1"/>
        <v>41.643999401499642</v>
      </c>
      <c r="AG556" s="2">
        <f ca="1"/>
        <v>0.38610281070728747</v>
      </c>
      <c r="AH556" s="2" t="str">
        <f ca="1"/>
        <v>OK</v>
      </c>
    </row>
    <row r="557" spans="2:34" x14ac:dyDescent="0.2">
      <c r="B557" s="2">
        <f ca="1"/>
        <v>0.69541685633541528</v>
      </c>
      <c r="O557" s="2">
        <f ca="1"/>
        <v>0.43233541232251832</v>
      </c>
      <c r="X557" s="2">
        <f ca="1"/>
        <v>48.007933065552464</v>
      </c>
      <c r="AG557" s="2">
        <f ca="1"/>
        <v>0.2959931888661691</v>
      </c>
      <c r="AH557" s="2" t="str">
        <f ca="1"/>
        <v>OK</v>
      </c>
    </row>
    <row r="558" spans="2:34" x14ac:dyDescent="0.2">
      <c r="B558" s="2">
        <f ca="1"/>
        <v>0.6796239854386068</v>
      </c>
      <c r="O558" s="2">
        <f ca="1"/>
        <v>-0.73764578556552252</v>
      </c>
      <c r="X558" s="2">
        <f ca="1"/>
        <v>40.892683163687991</v>
      </c>
      <c r="AG558" s="2">
        <f ca="1"/>
        <v>0.68228799805020834</v>
      </c>
      <c r="AH558" s="2" t="str">
        <f ca="1"/>
        <v>Bad</v>
      </c>
    </row>
    <row r="559" spans="2:34" x14ac:dyDescent="0.2">
      <c r="B559" s="2">
        <f ca="1"/>
        <v>0.82508224720618006</v>
      </c>
      <c r="O559" s="2">
        <f ca="1"/>
        <v>-1.2070606384758531</v>
      </c>
      <c r="X559" s="2">
        <f ca="1"/>
        <v>54.653504335480463</v>
      </c>
      <c r="AG559" s="2">
        <f ca="1"/>
        <v>0.14690419309425007</v>
      </c>
      <c r="AH559" s="2" t="str">
        <f ca="1"/>
        <v>OK</v>
      </c>
    </row>
    <row r="560" spans="2:34" x14ac:dyDescent="0.2">
      <c r="B560" s="2">
        <f ca="1"/>
        <v>8.4808303847900834E-2</v>
      </c>
      <c r="O560" s="2">
        <f ca="1"/>
        <v>-0.63668915923659863</v>
      </c>
      <c r="X560" s="2">
        <f ca="1"/>
        <v>67.105456828462081</v>
      </c>
      <c r="AG560" s="2">
        <f ca="1"/>
        <v>0.88818462335828308</v>
      </c>
      <c r="AH560" s="2" t="str">
        <f ca="1"/>
        <v>Bad</v>
      </c>
    </row>
    <row r="561" spans="2:34" x14ac:dyDescent="0.2">
      <c r="B561" s="2">
        <f ca="1"/>
        <v>0.35264970907006488</v>
      </c>
      <c r="O561" s="2">
        <f ca="1"/>
        <v>1.0092848872081797</v>
      </c>
      <c r="X561" s="2">
        <f ca="1"/>
        <v>35.296222553490097</v>
      </c>
      <c r="AG561" s="2">
        <f ca="1"/>
        <v>0.58560748179423916</v>
      </c>
      <c r="AH561" s="2" t="str">
        <f ca="1"/>
        <v>Bad</v>
      </c>
    </row>
    <row r="562" spans="2:34" x14ac:dyDescent="0.2">
      <c r="B562" s="2">
        <f ca="1"/>
        <v>0.6044105358474543</v>
      </c>
      <c r="O562" s="2">
        <f ca="1"/>
        <v>-0.39004995442754259</v>
      </c>
      <c r="X562" s="2">
        <f ca="1"/>
        <v>52.873836629592347</v>
      </c>
      <c r="AG562" s="2">
        <f ca="1"/>
        <v>0.20537112416714276</v>
      </c>
      <c r="AH562" s="2" t="str">
        <f ca="1"/>
        <v>OK</v>
      </c>
    </row>
    <row r="563" spans="2:34" x14ac:dyDescent="0.2">
      <c r="B563" s="2">
        <f ca="1"/>
        <v>8.702135537372091E-2</v>
      </c>
      <c r="O563" s="2">
        <f ca="1"/>
        <v>-0.72612560500032652</v>
      </c>
      <c r="X563" s="2">
        <f ca="1"/>
        <v>51.491076120499471</v>
      </c>
      <c r="AG563" s="2">
        <f ca="1"/>
        <v>0.78777353831337615</v>
      </c>
      <c r="AH563" s="2" t="str">
        <f ca="1"/>
        <v>Bad</v>
      </c>
    </row>
    <row r="564" spans="2:34" x14ac:dyDescent="0.2">
      <c r="B564" s="2">
        <f ca="1"/>
        <v>9.9160051019140383E-2</v>
      </c>
      <c r="O564" s="2">
        <f ca="1"/>
        <v>1.0618761340479415</v>
      </c>
      <c r="X564" s="2">
        <f ca="1"/>
        <v>80.217591047617347</v>
      </c>
      <c r="AG564" s="2">
        <f ca="1"/>
        <v>3.2567329582479765E-2</v>
      </c>
      <c r="AH564" s="2" t="str">
        <f ca="1"/>
        <v>Good</v>
      </c>
    </row>
    <row r="565" spans="2:34" x14ac:dyDescent="0.2">
      <c r="B565" s="2">
        <f ca="1"/>
        <v>0.56262163125408837</v>
      </c>
      <c r="O565" s="2">
        <f ca="1"/>
        <v>0.32091274543588955</v>
      </c>
      <c r="X565" s="2">
        <f ca="1"/>
        <v>60.102216911421323</v>
      </c>
      <c r="AG565" s="2">
        <f ca="1"/>
        <v>0.41273636539731084</v>
      </c>
      <c r="AH565" s="2" t="str">
        <f ca="1"/>
        <v>Bad</v>
      </c>
    </row>
    <row r="566" spans="2:34" x14ac:dyDescent="0.2">
      <c r="B566" s="2">
        <f ca="1"/>
        <v>0.88470841398568689</v>
      </c>
      <c r="O566" s="2">
        <f ca="1"/>
        <v>-1.3239509599280461</v>
      </c>
      <c r="X566" s="2">
        <f ca="1"/>
        <v>40.078090852091542</v>
      </c>
      <c r="AG566" s="2">
        <f ca="1"/>
        <v>0.16971323038018249</v>
      </c>
      <c r="AH566" s="2" t="str">
        <f ca="1"/>
        <v>OK</v>
      </c>
    </row>
    <row r="567" spans="2:34" x14ac:dyDescent="0.2">
      <c r="B567" s="2">
        <f ca="1"/>
        <v>0.73296276889687717</v>
      </c>
      <c r="O567" s="2">
        <f ca="1"/>
        <v>-0.97528853431029339</v>
      </c>
      <c r="X567" s="2">
        <f ca="1"/>
        <v>49.510526730022278</v>
      </c>
      <c r="AG567" s="2">
        <f ca="1"/>
        <v>0.33148077873428927</v>
      </c>
      <c r="AH567" s="2" t="str">
        <f ca="1"/>
        <v>OK</v>
      </c>
    </row>
    <row r="568" spans="2:34" x14ac:dyDescent="0.2">
      <c r="B568" s="2">
        <f ca="1"/>
        <v>0.28345469606284457</v>
      </c>
      <c r="O568" s="2">
        <f ca="1"/>
        <v>-3.006523672974357E-2</v>
      </c>
      <c r="X568" s="2">
        <f ca="1"/>
        <v>62.542865087417496</v>
      </c>
      <c r="AG568" s="2">
        <f ca="1"/>
        <v>0.24801371481253076</v>
      </c>
      <c r="AH568" s="2" t="str">
        <f ca="1"/>
        <v>OK</v>
      </c>
    </row>
    <row r="569" spans="2:34" x14ac:dyDescent="0.2">
      <c r="B569" s="2">
        <f ca="1"/>
        <v>0.11348019783541541</v>
      </c>
      <c r="O569" s="2">
        <f ca="1"/>
        <v>0.29161236782990874</v>
      </c>
      <c r="X569" s="2">
        <f ca="1"/>
        <v>39.324900689391249</v>
      </c>
      <c r="AG569" s="2">
        <f ca="1"/>
        <v>0.96236848689280041</v>
      </c>
      <c r="AH569" s="2" t="str">
        <f ca="1"/>
        <v>Bad</v>
      </c>
    </row>
    <row r="570" spans="2:34" x14ac:dyDescent="0.2">
      <c r="B570" s="2">
        <f ca="1"/>
        <v>0.21870466525155696</v>
      </c>
      <c r="O570" s="2">
        <f ca="1"/>
        <v>1.6538819718755386</v>
      </c>
      <c r="X570" s="2">
        <f ca="1"/>
        <v>66.085501053881117</v>
      </c>
      <c r="AG570" s="2">
        <f ca="1"/>
        <v>7.6578982195118828E-2</v>
      </c>
      <c r="AH570" s="2" t="str">
        <f ca="1"/>
        <v>OK</v>
      </c>
    </row>
    <row r="571" spans="2:34" x14ac:dyDescent="0.2">
      <c r="B571" s="2">
        <f ca="1"/>
        <v>0.68006668979013685</v>
      </c>
      <c r="O571" s="2">
        <f ca="1"/>
        <v>-0.15793602612737201</v>
      </c>
      <c r="X571" s="2">
        <f ca="1"/>
        <v>41.851966469386142</v>
      </c>
      <c r="AG571" s="2">
        <f ca="1"/>
        <v>0.5916049937076564</v>
      </c>
      <c r="AH571" s="2" t="str">
        <f ca="1"/>
        <v>Bad</v>
      </c>
    </row>
    <row r="572" spans="2:34" x14ac:dyDescent="0.2">
      <c r="B572" s="2">
        <f ca="1"/>
        <v>0.84496072109968434</v>
      </c>
      <c r="O572" s="2">
        <f ca="1"/>
        <v>-2.6898438451980131</v>
      </c>
      <c r="X572" s="2">
        <f ca="1"/>
        <v>48.226041838794693</v>
      </c>
      <c r="AG572" s="2">
        <f ca="1"/>
        <v>0.8425999188568587</v>
      </c>
      <c r="AH572" s="2" t="str">
        <f ca="1"/>
        <v>Bad</v>
      </c>
    </row>
    <row r="573" spans="2:34" x14ac:dyDescent="0.2">
      <c r="B573" s="2">
        <f ca="1"/>
        <v>0.90596327142413924</v>
      </c>
      <c r="O573" s="2">
        <f ca="1"/>
        <v>-0.22686610031723994</v>
      </c>
      <c r="X573" s="2">
        <f ca="1"/>
        <v>59.558667103816106</v>
      </c>
      <c r="AG573" s="2">
        <f ca="1"/>
        <v>0.37370993244836259</v>
      </c>
      <c r="AH573" s="2" t="str">
        <f ca="1"/>
        <v>OK</v>
      </c>
    </row>
    <row r="574" spans="2:34" x14ac:dyDescent="0.2">
      <c r="B574" s="2">
        <f ca="1"/>
        <v>0.63756107803603523</v>
      </c>
      <c r="O574" s="2">
        <f ca="1"/>
        <v>-0.59880574938123032</v>
      </c>
      <c r="X574" s="2">
        <f ca="1"/>
        <v>55.947926425009754</v>
      </c>
      <c r="AG574" s="2">
        <f ca="1"/>
        <v>0.20409816719141971</v>
      </c>
      <c r="AH574" s="2" t="str">
        <f ca="1"/>
        <v>OK</v>
      </c>
    </row>
    <row r="575" spans="2:34" x14ac:dyDescent="0.2">
      <c r="B575" s="2">
        <f ca="1"/>
        <v>0.42429689702507156</v>
      </c>
      <c r="O575" s="2">
        <f ca="1"/>
        <v>-0.96549046794191906</v>
      </c>
      <c r="X575" s="2">
        <f ca="1"/>
        <v>38.41488904923095</v>
      </c>
      <c r="AG575" s="2">
        <f ca="1"/>
        <v>0.3902740715550217</v>
      </c>
      <c r="AH575" s="2" t="str">
        <f ca="1"/>
        <v>OK</v>
      </c>
    </row>
    <row r="576" spans="2:34" x14ac:dyDescent="0.2">
      <c r="B576" s="2">
        <f ca="1"/>
        <v>0.8616931707066775</v>
      </c>
      <c r="O576" s="2">
        <f ca="1"/>
        <v>-0.25591273493372768</v>
      </c>
      <c r="X576" s="2">
        <f ca="1"/>
        <v>87.119420907694817</v>
      </c>
      <c r="AG576" s="2">
        <f ca="1"/>
        <v>0.94140328853163124</v>
      </c>
      <c r="AH576" s="2" t="str">
        <f ca="1"/>
        <v>Bad</v>
      </c>
    </row>
    <row r="577" spans="2:34" x14ac:dyDescent="0.2">
      <c r="B577" s="2">
        <f ca="1"/>
        <v>0.66402933517884355</v>
      </c>
      <c r="O577" s="2">
        <f ca="1"/>
        <v>-1.3349218687439847E-3</v>
      </c>
      <c r="X577" s="2">
        <f ca="1"/>
        <v>28.169809250604835</v>
      </c>
      <c r="AG577" s="2">
        <f ca="1"/>
        <v>0.41787688232509734</v>
      </c>
      <c r="AH577" s="2" t="str">
        <f ca="1"/>
        <v>Bad</v>
      </c>
    </row>
    <row r="578" spans="2:34" x14ac:dyDescent="0.2">
      <c r="B578" s="2">
        <f ca="1"/>
        <v>0.29820538974520772</v>
      </c>
      <c r="O578" s="2">
        <f ca="1"/>
        <v>-0.1242349701369715</v>
      </c>
      <c r="X578" s="2">
        <f ca="1"/>
        <v>34.165488881966148</v>
      </c>
      <c r="AG578" s="2">
        <f ca="1"/>
        <v>0.72090644286548233</v>
      </c>
      <c r="AH578" s="2" t="str">
        <f ca="1"/>
        <v>Bad</v>
      </c>
    </row>
    <row r="579" spans="2:34" x14ac:dyDescent="0.2">
      <c r="B579" s="2">
        <f ca="1"/>
        <v>0.48156110865794033</v>
      </c>
      <c r="O579" s="2">
        <f ca="1"/>
        <v>-0.8146098300243555</v>
      </c>
      <c r="X579" s="2">
        <f ca="1"/>
        <v>51.487504227339933</v>
      </c>
      <c r="AG579" s="2">
        <f ca="1"/>
        <v>0.4617646326280922</v>
      </c>
      <c r="AH579" s="2" t="str">
        <f ca="1"/>
        <v>Bad</v>
      </c>
    </row>
    <row r="580" spans="2:34" x14ac:dyDescent="0.2">
      <c r="B580" s="2">
        <f ca="1"/>
        <v>0.53020396774111611</v>
      </c>
      <c r="O580" s="2">
        <f ca="1"/>
        <v>1.2949784736116077</v>
      </c>
      <c r="X580" s="2">
        <f ca="1"/>
        <v>76.195430704779213</v>
      </c>
      <c r="AG580" s="2">
        <f ca="1"/>
        <v>0.10856816808390657</v>
      </c>
      <c r="AH580" s="2" t="str">
        <f ca="1"/>
        <v>OK</v>
      </c>
    </row>
    <row r="581" spans="2:34" x14ac:dyDescent="0.2">
      <c r="B581" s="2">
        <f ca="1"/>
        <v>0.29939952118606383</v>
      </c>
      <c r="O581" s="2">
        <f ca="1"/>
        <v>0.71282276135276401</v>
      </c>
      <c r="X581" s="2">
        <f ca="1"/>
        <v>37.976811418038402</v>
      </c>
      <c r="AG581" s="2">
        <f ca="1"/>
        <v>0.89943382063235555</v>
      </c>
      <c r="AH581" s="2" t="str">
        <f ca="1"/>
        <v>Bad</v>
      </c>
    </row>
    <row r="582" spans="2:34" x14ac:dyDescent="0.2">
      <c r="B582" s="2">
        <f ca="1"/>
        <v>6.8568007810195564E-2</v>
      </c>
      <c r="O582" s="2">
        <f ca="1"/>
        <v>0.50224746553544353</v>
      </c>
      <c r="X582" s="2">
        <f ca="1"/>
        <v>39.905372813293468</v>
      </c>
      <c r="AG582" s="2">
        <f ca="1"/>
        <v>0.86629695352502534</v>
      </c>
      <c r="AH582" s="2" t="str">
        <f ca="1"/>
        <v>Bad</v>
      </c>
    </row>
    <row r="583" spans="2:34" x14ac:dyDescent="0.2">
      <c r="B583" s="2">
        <f ca="1"/>
        <v>0.83718111779134396</v>
      </c>
      <c r="O583" s="2">
        <f ca="1"/>
        <v>1.1179621299081388</v>
      </c>
      <c r="X583" s="2">
        <f ca="1"/>
        <v>27.247310394309679</v>
      </c>
      <c r="AG583" s="2">
        <f ca="1"/>
        <v>0.86056234666499898</v>
      </c>
      <c r="AH583" s="2" t="str">
        <f ca="1"/>
        <v>Bad</v>
      </c>
    </row>
    <row r="584" spans="2:34" x14ac:dyDescent="0.2">
      <c r="B584" s="2">
        <f ca="1"/>
        <v>0.70540578954831323</v>
      </c>
      <c r="O584" s="2">
        <f ca="1"/>
        <v>-0.9878237574795824</v>
      </c>
      <c r="X584" s="2">
        <f ca="1"/>
        <v>64.770309699888628</v>
      </c>
      <c r="AG584" s="2">
        <f ca="1"/>
        <v>0.29367782885084859</v>
      </c>
      <c r="AH584" s="2" t="str">
        <f ca="1"/>
        <v>OK</v>
      </c>
    </row>
    <row r="585" spans="2:34" x14ac:dyDescent="0.2">
      <c r="B585" s="2">
        <f ca="1"/>
        <v>0.78338424268991624</v>
      </c>
      <c r="O585" s="2">
        <f ca="1"/>
        <v>-2.56767458683392E-2</v>
      </c>
      <c r="X585" s="2">
        <f ca="1"/>
        <v>36.910410342603434</v>
      </c>
      <c r="AG585" s="2">
        <f ca="1"/>
        <v>0.73507167799022843</v>
      </c>
      <c r="AH585" s="2" t="str">
        <f ca="1"/>
        <v>Bad</v>
      </c>
    </row>
    <row r="586" spans="2:34" x14ac:dyDescent="0.2">
      <c r="B586" s="2">
        <f ca="1"/>
        <v>0.79647317025745124</v>
      </c>
      <c r="O586" s="2">
        <f ca="1"/>
        <v>-0.13388467937329829</v>
      </c>
      <c r="X586" s="2">
        <f ca="1"/>
        <v>45.206199305185564</v>
      </c>
      <c r="AG586" s="2">
        <f ca="1"/>
        <v>0.30804917628346873</v>
      </c>
      <c r="AH586" s="2" t="str">
        <f ca="1"/>
        <v>OK</v>
      </c>
    </row>
    <row r="587" spans="2:34" x14ac:dyDescent="0.2">
      <c r="B587" s="2">
        <f ca="1"/>
        <v>0.28046698968939721</v>
      </c>
      <c r="O587" s="2">
        <f ca="1"/>
        <v>1.6787300208035383</v>
      </c>
      <c r="X587" s="2">
        <f ca="1"/>
        <v>39.078722842222348</v>
      </c>
      <c r="AG587" s="2">
        <f ca="1"/>
        <v>0.16851905793986188</v>
      </c>
      <c r="AH587" s="2" t="str">
        <f ca="1"/>
        <v>OK</v>
      </c>
    </row>
    <row r="588" spans="2:34" x14ac:dyDescent="0.2">
      <c r="B588" s="2">
        <f ca="1"/>
        <v>0.15799015403266381</v>
      </c>
      <c r="O588" s="2">
        <f ca="1"/>
        <v>2.0374308214964089E-2</v>
      </c>
      <c r="X588" s="2">
        <f ca="1"/>
        <v>37.737958859658733</v>
      </c>
      <c r="AG588" s="2">
        <f ca="1"/>
        <v>7.1832982994775696E-2</v>
      </c>
      <c r="AH588" s="2" t="str">
        <f ca="1"/>
        <v>OK</v>
      </c>
    </row>
    <row r="589" spans="2:34" x14ac:dyDescent="0.2">
      <c r="B589" s="2">
        <f ca="1"/>
        <v>0.81800793992695997</v>
      </c>
      <c r="O589" s="2">
        <f ca="1"/>
        <v>1.1030763826572003</v>
      </c>
      <c r="X589" s="2">
        <f ca="1"/>
        <v>40.450029481892102</v>
      </c>
      <c r="AG589" s="2">
        <f ca="1"/>
        <v>0.52114505080346429</v>
      </c>
      <c r="AH589" s="2" t="str">
        <f ca="1"/>
        <v>Bad</v>
      </c>
    </row>
    <row r="590" spans="2:34" x14ac:dyDescent="0.2">
      <c r="B590" s="2">
        <f ca="1"/>
        <v>0.89854559837487891</v>
      </c>
      <c r="O590" s="2">
        <f ca="1"/>
        <v>1.4637880400978529</v>
      </c>
      <c r="X590" s="2">
        <f ca="1"/>
        <v>18.805892957890645</v>
      </c>
      <c r="AG590" s="2">
        <f ca="1"/>
        <v>0.58506395020241087</v>
      </c>
      <c r="AH590" s="2" t="str">
        <f ca="1"/>
        <v>Bad</v>
      </c>
    </row>
    <row r="591" spans="2:34" x14ac:dyDescent="0.2">
      <c r="B591" s="2">
        <f ca="1"/>
        <v>0.28069945131884588</v>
      </c>
      <c r="O591" s="2">
        <f ca="1"/>
        <v>-1.172585546005052</v>
      </c>
      <c r="X591" s="2">
        <f ca="1"/>
        <v>66.984630323496503</v>
      </c>
      <c r="AG591" s="2">
        <f ca="1"/>
        <v>0.94452919903485033</v>
      </c>
      <c r="AH591" s="2" t="str">
        <f ca="1"/>
        <v>Bad</v>
      </c>
    </row>
    <row r="592" spans="2:34" x14ac:dyDescent="0.2">
      <c r="B592" s="2">
        <f ca="1"/>
        <v>0.56039352102606643</v>
      </c>
      <c r="O592" s="2">
        <f ca="1"/>
        <v>-0.13757640724241441</v>
      </c>
      <c r="X592" s="2">
        <f ca="1"/>
        <v>45.783266490619141</v>
      </c>
      <c r="AG592" s="2">
        <f ca="1"/>
        <v>0.56889592857707472</v>
      </c>
      <c r="AH592" s="2" t="str">
        <f ca="1"/>
        <v>Bad</v>
      </c>
    </row>
    <row r="593" spans="2:34" x14ac:dyDescent="0.2">
      <c r="B593" s="2">
        <f ca="1"/>
        <v>0.15205249045986391</v>
      </c>
      <c r="O593" s="2">
        <f ca="1"/>
        <v>-0.87645012295648106</v>
      </c>
      <c r="X593" s="2">
        <f ca="1"/>
        <v>74.027830011631536</v>
      </c>
      <c r="AG593" s="2">
        <f ca="1"/>
        <v>5.0213049137426191E-2</v>
      </c>
      <c r="AH593" s="2" t="str">
        <f ca="1"/>
        <v>OK</v>
      </c>
    </row>
    <row r="594" spans="2:34" x14ac:dyDescent="0.2">
      <c r="B594" s="2">
        <f ca="1"/>
        <v>0.77213954647425487</v>
      </c>
      <c r="O594" s="2">
        <f ca="1"/>
        <v>-0.83677249435906387</v>
      </c>
      <c r="X594" s="2">
        <f ca="1"/>
        <v>37.013793693736964</v>
      </c>
      <c r="AG594" s="2">
        <f ca="1"/>
        <v>1.9545673739307601E-2</v>
      </c>
      <c r="AH594" s="2" t="str">
        <f ca="1"/>
        <v>Good</v>
      </c>
    </row>
    <row r="595" spans="2:34" x14ac:dyDescent="0.2">
      <c r="B595" s="2">
        <f ca="1"/>
        <v>0.34442874662536838</v>
      </c>
      <c r="O595" s="2">
        <f ca="1"/>
        <v>-0.36992144501332996</v>
      </c>
      <c r="X595" s="2">
        <f ca="1"/>
        <v>46.863030078920069</v>
      </c>
      <c r="AG595" s="2">
        <f ca="1"/>
        <v>0.86769469739373428</v>
      </c>
      <c r="AH595" s="2" t="str">
        <f ca="1"/>
        <v>Bad</v>
      </c>
    </row>
    <row r="596" spans="2:34" x14ac:dyDescent="0.2">
      <c r="B596" s="2">
        <f ca="1"/>
        <v>0.25195046586535397</v>
      </c>
      <c r="O596" s="2">
        <f ca="1"/>
        <v>-0.19391559621421109</v>
      </c>
      <c r="X596" s="2">
        <f ca="1"/>
        <v>67.551651568067456</v>
      </c>
      <c r="AG596" s="2">
        <f ca="1"/>
        <v>0.66195431625882883</v>
      </c>
      <c r="AH596" s="2" t="str">
        <f ca="1"/>
        <v>Bad</v>
      </c>
    </row>
    <row r="597" spans="2:34" x14ac:dyDescent="0.2">
      <c r="B597" s="2">
        <f ca="1"/>
        <v>0.54310822906987188</v>
      </c>
      <c r="O597" s="2">
        <f ca="1"/>
        <v>-1.0008077647192004</v>
      </c>
      <c r="X597" s="2">
        <f ca="1"/>
        <v>35.249725094648184</v>
      </c>
      <c r="AG597" s="2">
        <f ca="1"/>
        <v>0.67612006871485142</v>
      </c>
      <c r="AH597" s="2" t="str">
        <f ca="1"/>
        <v>Bad</v>
      </c>
    </row>
    <row r="598" spans="2:34" x14ac:dyDescent="0.2">
      <c r="B598" s="2">
        <f ca="1"/>
        <v>0.36644210222888418</v>
      </c>
      <c r="O598" s="2">
        <f ca="1"/>
        <v>0.15261956927503437</v>
      </c>
      <c r="X598" s="2">
        <f ca="1"/>
        <v>34.855617081978764</v>
      </c>
      <c r="AG598" s="2">
        <f ca="1"/>
        <v>0.30144729400979342</v>
      </c>
      <c r="AH598" s="2" t="str">
        <f ca="1"/>
        <v>OK</v>
      </c>
    </row>
    <row r="599" spans="2:34" x14ac:dyDescent="0.2">
      <c r="B599" s="2">
        <f ca="1"/>
        <v>0.8969222579137659</v>
      </c>
      <c r="O599" s="2">
        <f ca="1"/>
        <v>1.0614748130871601</v>
      </c>
      <c r="X599" s="2">
        <f ca="1"/>
        <v>36.167241266443384</v>
      </c>
      <c r="AG599" s="2">
        <f ca="1"/>
        <v>0.83531396422132476</v>
      </c>
      <c r="AH599" s="2" t="str">
        <f ca="1"/>
        <v>Bad</v>
      </c>
    </row>
    <row r="600" spans="2:34" x14ac:dyDescent="0.2">
      <c r="B600" s="2">
        <f ca="1"/>
        <v>0.83449223931811778</v>
      </c>
      <c r="O600" s="2">
        <f ca="1"/>
        <v>0.38092150846951017</v>
      </c>
      <c r="X600" s="2">
        <f ca="1"/>
        <v>62.803637320073463</v>
      </c>
      <c r="AG600" s="2">
        <f ca="1"/>
        <v>0.18946976540126381</v>
      </c>
      <c r="AH600" s="2" t="str">
        <f ca="1"/>
        <v>OK</v>
      </c>
    </row>
    <row r="601" spans="2:34" x14ac:dyDescent="0.2">
      <c r="B601" s="2">
        <f ca="1"/>
        <v>9.6338975557703321E-2</v>
      </c>
      <c r="O601" s="2">
        <f ca="1"/>
        <v>1.5464443698201997</v>
      </c>
      <c r="X601" s="2">
        <f ca="1"/>
        <v>24.591674989124066</v>
      </c>
      <c r="AG601" s="2">
        <f ca="1"/>
        <v>0.70539315708191452</v>
      </c>
      <c r="AH601" s="2" t="str">
        <f ca="1"/>
        <v>Bad</v>
      </c>
    </row>
    <row r="602" spans="2:34" x14ac:dyDescent="0.2">
      <c r="B602" s="2">
        <f ca="1"/>
        <v>0.63840265502465154</v>
      </c>
      <c r="O602" s="2">
        <f ca="1"/>
        <v>0.49928395084591304</v>
      </c>
      <c r="X602" s="2">
        <f ca="1"/>
        <v>61.937424092084385</v>
      </c>
      <c r="AG602" s="2">
        <f ca="1"/>
        <v>2.4947896435841388E-2</v>
      </c>
      <c r="AH602" s="2" t="str">
        <f ca="1"/>
        <v>Good</v>
      </c>
    </row>
    <row r="603" spans="2:34" x14ac:dyDescent="0.2">
      <c r="B603" s="2">
        <f ca="1"/>
        <v>0.5602931092488046</v>
      </c>
      <c r="O603" s="2">
        <f ca="1"/>
        <v>0.92169961113581711</v>
      </c>
      <c r="X603" s="2">
        <f ca="1"/>
        <v>48.098067142346949</v>
      </c>
      <c r="AG603" s="2">
        <f ca="1"/>
        <v>0.89448977842175603</v>
      </c>
      <c r="AH603" s="2" t="str">
        <f ca="1"/>
        <v>Bad</v>
      </c>
    </row>
    <row r="604" spans="2:34" x14ac:dyDescent="0.2">
      <c r="B604" s="2">
        <f ca="1"/>
        <v>0.25619013802734703</v>
      </c>
      <c r="O604" s="2">
        <f ca="1"/>
        <v>-9.4529670227120319E-2</v>
      </c>
      <c r="X604" s="2">
        <f ca="1"/>
        <v>57.928011885202828</v>
      </c>
      <c r="AG604" s="2">
        <f ca="1"/>
        <v>0.59772478897127201</v>
      </c>
      <c r="AH604" s="2" t="str">
        <f ca="1"/>
        <v>Bad</v>
      </c>
    </row>
    <row r="605" spans="2:34" x14ac:dyDescent="0.2">
      <c r="B605" s="2">
        <f ca="1"/>
        <v>0.53333527331450337</v>
      </c>
      <c r="O605" s="2">
        <f ca="1"/>
        <v>-0.67142385176124519</v>
      </c>
      <c r="X605" s="2">
        <f ca="1"/>
        <v>61.483123705185236</v>
      </c>
      <c r="AG605" s="2">
        <f ca="1"/>
        <v>0.31398152614372199</v>
      </c>
      <c r="AH605" s="2" t="str">
        <f ca="1"/>
        <v>OK</v>
      </c>
    </row>
    <row r="606" spans="2:34" x14ac:dyDescent="0.2">
      <c r="B606" s="2">
        <f ca="1"/>
        <v>0.97247223177048725</v>
      </c>
      <c r="O606" s="2">
        <f ca="1"/>
        <v>1.1713091922794885</v>
      </c>
      <c r="X606" s="2">
        <f ca="1"/>
        <v>31.948706311581656</v>
      </c>
      <c r="AG606" s="2">
        <f ca="1"/>
        <v>0.41886575459645981</v>
      </c>
      <c r="AH606" s="2" t="str">
        <f ca="1"/>
        <v>Bad</v>
      </c>
    </row>
    <row r="607" spans="2:34" x14ac:dyDescent="0.2">
      <c r="B607" s="2">
        <f ca="1"/>
        <v>0.52683610310228701</v>
      </c>
      <c r="O607" s="2">
        <f ca="1"/>
        <v>0.39049880368767004</v>
      </c>
      <c r="X607" s="2">
        <f ca="1"/>
        <v>90.437629348444943</v>
      </c>
      <c r="AG607" s="2">
        <f ca="1"/>
        <v>0.57035254857462681</v>
      </c>
      <c r="AH607" s="2" t="str">
        <f ca="1"/>
        <v>Bad</v>
      </c>
    </row>
    <row r="608" spans="2:34" x14ac:dyDescent="0.2">
      <c r="B608" s="2">
        <f ca="1"/>
        <v>0.47879186326681467</v>
      </c>
      <c r="O608" s="2">
        <f ca="1"/>
        <v>-0.38866580410824436</v>
      </c>
      <c r="X608" s="2">
        <f ca="1"/>
        <v>67.42408386864598</v>
      </c>
      <c r="AG608" s="2">
        <f ca="1"/>
        <v>0.93886979074821553</v>
      </c>
      <c r="AH608" s="2" t="str">
        <f ca="1"/>
        <v>Bad</v>
      </c>
    </row>
    <row r="609" spans="2:34" x14ac:dyDescent="0.2">
      <c r="B609" s="2">
        <f ca="1"/>
        <v>0.65795262421704059</v>
      </c>
      <c r="O609" s="2">
        <f ca="1"/>
        <v>0.29807750742605787</v>
      </c>
      <c r="X609" s="2">
        <f ca="1"/>
        <v>26.998115440656175</v>
      </c>
      <c r="AG609" s="2">
        <f ca="1"/>
        <v>0.1504885024588436</v>
      </c>
      <c r="AH609" s="2" t="str">
        <f ca="1"/>
        <v>OK</v>
      </c>
    </row>
    <row r="610" spans="2:34" x14ac:dyDescent="0.2">
      <c r="B610" s="2">
        <f ca="1"/>
        <v>6.5156918300715239E-2</v>
      </c>
      <c r="O610" s="2">
        <f ca="1"/>
        <v>1.4479274413436591</v>
      </c>
      <c r="X610" s="2">
        <f ca="1"/>
        <v>33.16475663001173</v>
      </c>
      <c r="AG610" s="2">
        <f ca="1"/>
        <v>0.71544253916638834</v>
      </c>
      <c r="AH610" s="2" t="str">
        <f ca="1"/>
        <v>Bad</v>
      </c>
    </row>
    <row r="611" spans="2:34" x14ac:dyDescent="0.2">
      <c r="B611" s="2">
        <f ca="1"/>
        <v>0.93738719916450974</v>
      </c>
      <c r="O611" s="2">
        <f ca="1"/>
        <v>0.58250896642536021</v>
      </c>
      <c r="X611" s="2">
        <f ca="1"/>
        <v>27.988109838609724</v>
      </c>
      <c r="AG611" s="2">
        <f ca="1"/>
        <v>0.19416587460997103</v>
      </c>
      <c r="AH611" s="2" t="str">
        <f ca="1"/>
        <v>OK</v>
      </c>
    </row>
    <row r="612" spans="2:34" x14ac:dyDescent="0.2">
      <c r="B612" s="2">
        <f ca="1"/>
        <v>2.8258171141134714E-2</v>
      </c>
      <c r="O612" s="2">
        <f ca="1"/>
        <v>1.060470923159667</v>
      </c>
      <c r="X612" s="2">
        <f ca="1"/>
        <v>34.126783841453673</v>
      </c>
      <c r="AG612" s="2">
        <f ca="1"/>
        <v>0.96179578284443101</v>
      </c>
      <c r="AH612" s="2" t="str">
        <f ca="1"/>
        <v>Bad</v>
      </c>
    </row>
    <row r="613" spans="2:34" x14ac:dyDescent="0.2">
      <c r="B613" s="2">
        <f ca="1"/>
        <v>0.62704474252280318</v>
      </c>
      <c r="O613" s="2">
        <f ca="1"/>
        <v>0.55269736255307966</v>
      </c>
      <c r="X613" s="2">
        <f ca="1"/>
        <v>48.401392994401235</v>
      </c>
      <c r="AG613" s="2">
        <f ca="1"/>
        <v>0.22332239224784778</v>
      </c>
      <c r="AH613" s="2" t="str">
        <f ca="1"/>
        <v>OK</v>
      </c>
    </row>
    <row r="614" spans="2:34" x14ac:dyDescent="0.2">
      <c r="B614" s="2">
        <f ca="1"/>
        <v>0.71230408136211021</v>
      </c>
      <c r="O614" s="2">
        <f ca="1"/>
        <v>-1.0521020915124724</v>
      </c>
      <c r="X614" s="2">
        <f ca="1"/>
        <v>39.406409483456379</v>
      </c>
      <c r="AG614" s="2">
        <f ca="1"/>
        <v>0.28519806192850927</v>
      </c>
      <c r="AH614" s="2" t="str">
        <f ca="1"/>
        <v>OK</v>
      </c>
    </row>
    <row r="615" spans="2:34" x14ac:dyDescent="0.2">
      <c r="B615" s="2">
        <f ca="1"/>
        <v>0.86288389684930067</v>
      </c>
      <c r="O615" s="2">
        <f ca="1"/>
        <v>-5.5381524222975806E-2</v>
      </c>
      <c r="X615" s="2">
        <f ca="1"/>
        <v>62.315683057867552</v>
      </c>
      <c r="AG615" s="2">
        <f ca="1"/>
        <v>0.22449524833732815</v>
      </c>
      <c r="AH615" s="2" t="str">
        <f ca="1"/>
        <v>OK</v>
      </c>
    </row>
    <row r="616" spans="2:34" x14ac:dyDescent="0.2">
      <c r="B616" s="2">
        <f ca="1"/>
        <v>0.51552826187473944</v>
      </c>
      <c r="O616" s="2">
        <f ca="1"/>
        <v>-1.0601246765455661</v>
      </c>
      <c r="X616" s="2">
        <f ca="1"/>
        <v>93.568905864891406</v>
      </c>
      <c r="AG616" s="2">
        <f ca="1"/>
        <v>0.16197630144716957</v>
      </c>
      <c r="AH616" s="2" t="str">
        <f ca="1"/>
        <v>OK</v>
      </c>
    </row>
    <row r="617" spans="2:34" x14ac:dyDescent="0.2">
      <c r="B617" s="2">
        <f ca="1"/>
        <v>0.63093426004628039</v>
      </c>
      <c r="O617" s="2">
        <f ca="1"/>
        <v>-1.041639674169373</v>
      </c>
      <c r="X617" s="2">
        <f ca="1"/>
        <v>31.80159632702917</v>
      </c>
      <c r="AG617" s="2">
        <f ca="1"/>
        <v>0.81299073202715233</v>
      </c>
      <c r="AH617" s="2" t="str">
        <f ca="1"/>
        <v>Bad</v>
      </c>
    </row>
    <row r="618" spans="2:34" x14ac:dyDescent="0.2">
      <c r="B618" s="2">
        <f ca="1"/>
        <v>0.58729939841449919</v>
      </c>
      <c r="O618" s="2">
        <f ca="1"/>
        <v>1.7281980117638645</v>
      </c>
      <c r="X618" s="2">
        <f ca="1"/>
        <v>41.095753678455239</v>
      </c>
      <c r="AG618" s="2">
        <f ca="1"/>
        <v>0.94444855111208947</v>
      </c>
      <c r="AH618" s="2" t="str">
        <f ca="1"/>
        <v>Bad</v>
      </c>
    </row>
    <row r="619" spans="2:34" x14ac:dyDescent="0.2">
      <c r="B619" s="2">
        <f ca="1"/>
        <v>8.4921559335131125E-2</v>
      </c>
      <c r="O619" s="2">
        <f ca="1"/>
        <v>-1.1953536680370123</v>
      </c>
      <c r="X619" s="2">
        <f ca="1"/>
        <v>25.410302291357848</v>
      </c>
      <c r="AG619" s="2">
        <f ca="1"/>
        <v>0.2427983850034463</v>
      </c>
      <c r="AH619" s="2" t="str">
        <f ca="1"/>
        <v>OK</v>
      </c>
    </row>
    <row r="620" spans="2:34" x14ac:dyDescent="0.2">
      <c r="B620" s="2">
        <f ca="1"/>
        <v>0.69217312896861505</v>
      </c>
      <c r="O620" s="2">
        <f ca="1"/>
        <v>0.37491586205933553</v>
      </c>
      <c r="X620" s="2">
        <f ca="1"/>
        <v>57.735528669160303</v>
      </c>
      <c r="AG620" s="2">
        <f ca="1"/>
        <v>0.24767368864930295</v>
      </c>
      <c r="AH620" s="2" t="str">
        <f ca="1"/>
        <v>OK</v>
      </c>
    </row>
    <row r="621" spans="2:34" x14ac:dyDescent="0.2">
      <c r="B621" s="2">
        <f ca="1"/>
        <v>2.5635123110606672E-2</v>
      </c>
      <c r="O621" s="2">
        <f ca="1"/>
        <v>-0.56958611544012328</v>
      </c>
      <c r="X621" s="2">
        <f ca="1"/>
        <v>48.892748731559898</v>
      </c>
      <c r="AG621" s="2">
        <f ca="1"/>
        <v>0.19392142562593806</v>
      </c>
      <c r="AH621" s="2" t="str">
        <f ca="1"/>
        <v>OK</v>
      </c>
    </row>
    <row r="622" spans="2:34" x14ac:dyDescent="0.2">
      <c r="B622" s="2">
        <f ca="1"/>
        <v>0.97011896525442176</v>
      </c>
      <c r="O622" s="2">
        <f ca="1"/>
        <v>0.42840773988291575</v>
      </c>
      <c r="X622" s="2">
        <f ca="1"/>
        <v>40.594284321446004</v>
      </c>
      <c r="AG622" s="2">
        <f ca="1"/>
        <v>0.52052759616433586</v>
      </c>
      <c r="AH622" s="2" t="str">
        <f ca="1"/>
        <v>Bad</v>
      </c>
    </row>
    <row r="623" spans="2:34" x14ac:dyDescent="0.2">
      <c r="B623" s="2">
        <f ca="1"/>
        <v>0.35796369207182654</v>
      </c>
      <c r="O623" s="2">
        <f ca="1"/>
        <v>0.19816562948376584</v>
      </c>
      <c r="X623" s="2">
        <f ca="1"/>
        <v>94.944798397835882</v>
      </c>
      <c r="AG623" s="2">
        <f ca="1"/>
        <v>0.9933869220976983</v>
      </c>
      <c r="AH623" s="2" t="str">
        <f ca="1"/>
        <v>Bad</v>
      </c>
    </row>
    <row r="624" spans="2:34" x14ac:dyDescent="0.2">
      <c r="B624" s="2">
        <f ca="1"/>
        <v>0.1333600305628726</v>
      </c>
      <c r="O624" s="2">
        <f ca="1"/>
        <v>-2.0172588166347363</v>
      </c>
      <c r="X624" s="2">
        <f ca="1"/>
        <v>74.855461153875751</v>
      </c>
      <c r="AG624" s="2">
        <f ca="1"/>
        <v>0.62422638148781484</v>
      </c>
      <c r="AH624" s="2" t="str">
        <f ca="1"/>
        <v>Bad</v>
      </c>
    </row>
    <row r="625" spans="2:34" x14ac:dyDescent="0.2">
      <c r="B625" s="2">
        <f ca="1"/>
        <v>0.29225093578283934</v>
      </c>
      <c r="O625" s="2">
        <f ca="1"/>
        <v>1.4360021099006863</v>
      </c>
      <c r="X625" s="2">
        <f ca="1"/>
        <v>52.536896824849578</v>
      </c>
      <c r="AG625" s="2">
        <f ca="1"/>
        <v>0.97019557551675084</v>
      </c>
      <c r="AH625" s="2" t="str">
        <f ca="1"/>
        <v>Bad</v>
      </c>
    </row>
    <row r="626" spans="2:34" x14ac:dyDescent="0.2">
      <c r="B626" s="2">
        <f ca="1"/>
        <v>0.43100523531832535</v>
      </c>
      <c r="O626" s="2">
        <f ca="1"/>
        <v>0.1310484800741894</v>
      </c>
      <c r="X626" s="2">
        <f ca="1"/>
        <v>48.539454143920779</v>
      </c>
      <c r="AG626" s="2">
        <f ca="1"/>
        <v>0.89646514862977411</v>
      </c>
      <c r="AH626" s="2" t="str">
        <f ca="1"/>
        <v>Bad</v>
      </c>
    </row>
    <row r="627" spans="2:34" x14ac:dyDescent="0.2">
      <c r="B627" s="2">
        <f ca="1"/>
        <v>0.16799857782655736</v>
      </c>
      <c r="O627" s="2">
        <f ca="1"/>
        <v>0.37913015889745028</v>
      </c>
      <c r="X627" s="2">
        <f ca="1"/>
        <v>52.549874030683263</v>
      </c>
      <c r="AG627" s="2">
        <f ca="1"/>
        <v>0.35859945333480758</v>
      </c>
      <c r="AH627" s="2" t="str">
        <f ca="1"/>
        <v>OK</v>
      </c>
    </row>
    <row r="628" spans="2:34" x14ac:dyDescent="0.2">
      <c r="B628" s="2">
        <f ca="1"/>
        <v>0.39637393038680613</v>
      </c>
      <c r="O628" s="2">
        <f ca="1"/>
        <v>-0.54631495912844152</v>
      </c>
      <c r="X628" s="2">
        <f ca="1"/>
        <v>90.088849123388144</v>
      </c>
      <c r="AG628" s="2">
        <f ca="1"/>
        <v>0.14598134627374315</v>
      </c>
      <c r="AH628" s="2" t="str">
        <f ca="1"/>
        <v>OK</v>
      </c>
    </row>
    <row r="629" spans="2:34" x14ac:dyDescent="0.2">
      <c r="B629" s="2">
        <f ca="1"/>
        <v>0.92374840021071902</v>
      </c>
      <c r="O629" s="2">
        <f ca="1"/>
        <v>2.3212474223517474</v>
      </c>
      <c r="X629" s="2">
        <f ca="1"/>
        <v>60.763085668209158</v>
      </c>
      <c r="AG629" s="2">
        <f ca="1"/>
        <v>0.91567941517747697</v>
      </c>
      <c r="AH629" s="2" t="str">
        <f ca="1"/>
        <v>Bad</v>
      </c>
    </row>
    <row r="630" spans="2:34" x14ac:dyDescent="0.2">
      <c r="B630" s="2">
        <f ca="1"/>
        <v>0.49255843684298828</v>
      </c>
      <c r="O630" s="2">
        <f ca="1"/>
        <v>1.5779167467289961</v>
      </c>
      <c r="X630" s="2">
        <f ca="1"/>
        <v>33.827900772460779</v>
      </c>
      <c r="AG630" s="2">
        <f ca="1"/>
        <v>0.77981956380036421</v>
      </c>
      <c r="AH630" s="2" t="str">
        <f ca="1"/>
        <v>Bad</v>
      </c>
    </row>
    <row r="631" spans="2:34" x14ac:dyDescent="0.2">
      <c r="B631" s="2">
        <f ca="1"/>
        <v>0.88453571042995072</v>
      </c>
      <c r="O631" s="2">
        <f ca="1"/>
        <v>-0.40710372230753966</v>
      </c>
      <c r="X631" s="2">
        <f ca="1"/>
        <v>44.441483320160259</v>
      </c>
      <c r="AG631" s="2">
        <f ca="1"/>
        <v>3.1385603080804625E-3</v>
      </c>
      <c r="AH631" s="2" t="str">
        <f ca="1"/>
        <v>Good</v>
      </c>
    </row>
    <row r="632" spans="2:34" x14ac:dyDescent="0.2">
      <c r="B632" s="2">
        <f ca="1"/>
        <v>0.76317133747080779</v>
      </c>
      <c r="O632" s="2">
        <f ca="1"/>
        <v>0.69981538042603852</v>
      </c>
      <c r="X632" s="2">
        <f ca="1"/>
        <v>44.511260395718452</v>
      </c>
      <c r="AG632" s="2">
        <f ca="1"/>
        <v>2.5090487449472842E-2</v>
      </c>
      <c r="AH632" s="2" t="str">
        <f ca="1"/>
        <v>Good</v>
      </c>
    </row>
    <row r="633" spans="2:34" x14ac:dyDescent="0.2">
      <c r="B633" s="2">
        <f ca="1"/>
        <v>0.1557775084986226</v>
      </c>
      <c r="O633" s="2">
        <f ca="1"/>
        <v>1.021778038131598</v>
      </c>
      <c r="X633" s="2">
        <f ca="1"/>
        <v>47.55684693555807</v>
      </c>
      <c r="AG633" s="2">
        <f ca="1"/>
        <v>0.71251684681618999</v>
      </c>
      <c r="AH633" s="2" t="str">
        <f ca="1"/>
        <v>Bad</v>
      </c>
    </row>
    <row r="634" spans="2:34" x14ac:dyDescent="0.2">
      <c r="B634" s="2">
        <f ca="1"/>
        <v>0.8021783132637772</v>
      </c>
      <c r="O634" s="2">
        <f ca="1"/>
        <v>-0.97487233002878015</v>
      </c>
      <c r="X634" s="2">
        <f ca="1"/>
        <v>53.931858162798932</v>
      </c>
      <c r="AG634" s="2">
        <f ca="1"/>
        <v>0.28732383018292285</v>
      </c>
      <c r="AH634" s="2" t="str">
        <f ca="1"/>
        <v>OK</v>
      </c>
    </row>
    <row r="635" spans="2:34" x14ac:dyDescent="0.2">
      <c r="B635" s="2">
        <f ca="1"/>
        <v>0.9716482193706395</v>
      </c>
      <c r="O635" s="2">
        <f ca="1"/>
        <v>0.9813699483224414</v>
      </c>
      <c r="X635" s="2">
        <f ca="1"/>
        <v>51.55826363766905</v>
      </c>
      <c r="AG635" s="2">
        <f ca="1"/>
        <v>0.58595462205617799</v>
      </c>
      <c r="AH635" s="2" t="str">
        <f ca="1"/>
        <v>Bad</v>
      </c>
    </row>
    <row r="636" spans="2:34" x14ac:dyDescent="0.2">
      <c r="B636" s="2">
        <f ca="1"/>
        <v>0.12312934308474177</v>
      </c>
      <c r="O636" s="2">
        <f ca="1"/>
        <v>0.33052936594499022</v>
      </c>
      <c r="X636" s="2">
        <f ca="1"/>
        <v>46.365926281213341</v>
      </c>
      <c r="AG636" s="2">
        <f ca="1"/>
        <v>0.62592233756271187</v>
      </c>
      <c r="AH636" s="2" t="str">
        <f ca="1"/>
        <v>Bad</v>
      </c>
    </row>
    <row r="637" spans="2:34" x14ac:dyDescent="0.2">
      <c r="B637" s="2">
        <f ca="1"/>
        <v>0.94493547242076037</v>
      </c>
      <c r="O637" s="2">
        <f ca="1"/>
        <v>0.41521174580919584</v>
      </c>
      <c r="X637" s="2">
        <f ca="1"/>
        <v>68.638918896301732</v>
      </c>
      <c r="AG637" s="2">
        <f ca="1"/>
        <v>0.9903039970881744</v>
      </c>
      <c r="AH637" s="2" t="str">
        <f ca="1"/>
        <v>Bad</v>
      </c>
    </row>
    <row r="638" spans="2:34" x14ac:dyDescent="0.2">
      <c r="B638" s="2">
        <f ca="1"/>
        <v>0.84510056561814628</v>
      </c>
      <c r="O638" s="2">
        <f ca="1"/>
        <v>-0.5801916493124919</v>
      </c>
      <c r="X638" s="2">
        <f ca="1"/>
        <v>60.41493169503849</v>
      </c>
      <c r="AG638" s="2">
        <f ca="1"/>
        <v>0.47630223645197156</v>
      </c>
      <c r="AH638" s="2" t="str">
        <f ca="1"/>
        <v>Bad</v>
      </c>
    </row>
    <row r="639" spans="2:34" x14ac:dyDescent="0.2">
      <c r="B639" s="2">
        <f ca="1"/>
        <v>0.86361719724197816</v>
      </c>
      <c r="O639" s="2">
        <f ca="1"/>
        <v>1.0706086315495444</v>
      </c>
      <c r="X639" s="2">
        <f ca="1"/>
        <v>58.583605913623906</v>
      </c>
      <c r="AG639" s="2">
        <f ca="1"/>
        <v>0.22145721577195809</v>
      </c>
      <c r="AH639" s="2" t="str">
        <f ca="1"/>
        <v>OK</v>
      </c>
    </row>
    <row r="640" spans="2:34" x14ac:dyDescent="0.2">
      <c r="B640" s="2">
        <f ca="1"/>
        <v>0.76540574439523357</v>
      </c>
      <c r="O640" s="2">
        <f ca="1"/>
        <v>-0.10390622862222348</v>
      </c>
      <c r="X640" s="2">
        <f ca="1"/>
        <v>44.947720018289075</v>
      </c>
      <c r="AG640" s="2">
        <f ca="1"/>
        <v>0.10283180142489545</v>
      </c>
      <c r="AH640" s="2" t="str">
        <f ca="1"/>
        <v>OK</v>
      </c>
    </row>
    <row r="641" spans="2:34" x14ac:dyDescent="0.2">
      <c r="B641" s="2">
        <f ca="1"/>
        <v>8.9637463836160558E-2</v>
      </c>
      <c r="O641" s="2">
        <f ca="1"/>
        <v>0.60768753985967561</v>
      </c>
      <c r="X641" s="2">
        <f ca="1"/>
        <v>24.120684307814521</v>
      </c>
      <c r="AG641" s="2">
        <f ca="1"/>
        <v>0.21540344618230556</v>
      </c>
      <c r="AH641" s="2" t="str">
        <f ca="1"/>
        <v>OK</v>
      </c>
    </row>
    <row r="642" spans="2:34" x14ac:dyDescent="0.2">
      <c r="B642" s="2">
        <f ca="1"/>
        <v>0.3385951592702503</v>
      </c>
      <c r="O642" s="2">
        <f ca="1"/>
        <v>0.24907128514375448</v>
      </c>
      <c r="X642" s="2">
        <f ca="1"/>
        <v>47.231700778573575</v>
      </c>
      <c r="AG642" s="2">
        <f ca="1"/>
        <v>0.69912621143728892</v>
      </c>
      <c r="AH642" s="2" t="str">
        <f ca="1"/>
        <v>Bad</v>
      </c>
    </row>
    <row r="643" spans="2:34" x14ac:dyDescent="0.2">
      <c r="B643" s="2">
        <f ca="1"/>
        <v>6.6287969109520839E-2</v>
      </c>
      <c r="O643" s="2">
        <f ca="1"/>
        <v>0.61401432105007336</v>
      </c>
      <c r="X643" s="2">
        <f ca="1"/>
        <v>33.661035377530233</v>
      </c>
      <c r="AG643" s="2">
        <f ca="1"/>
        <v>0.69262752648186554</v>
      </c>
      <c r="AH643" s="2" t="str">
        <f ca="1"/>
        <v>Bad</v>
      </c>
    </row>
    <row r="644" spans="2:34" x14ac:dyDescent="0.2">
      <c r="B644" s="2">
        <f ca="1"/>
        <v>0.82779276304136862</v>
      </c>
      <c r="O644" s="2">
        <f ca="1"/>
        <v>-0.6628504467523072</v>
      </c>
      <c r="X644" s="2">
        <f ca="1"/>
        <v>60.872595762082859</v>
      </c>
      <c r="AG644" s="2">
        <f ca="1"/>
        <v>0.2774266593640371</v>
      </c>
      <c r="AH644" s="2" t="str">
        <f ca="1"/>
        <v>OK</v>
      </c>
    </row>
    <row r="645" spans="2:34" x14ac:dyDescent="0.2">
      <c r="B645" s="2">
        <f ca="1"/>
        <v>0.97054080543382848</v>
      </c>
      <c r="O645" s="2">
        <f ca="1"/>
        <v>-0.66006002842181677</v>
      </c>
      <c r="X645" s="2">
        <f ca="1"/>
        <v>32.35894821590086</v>
      </c>
      <c r="AG645" s="2">
        <f ca="1"/>
        <v>0.20361506023495402</v>
      </c>
      <c r="AH645" s="2" t="str">
        <f ca="1"/>
        <v>OK</v>
      </c>
    </row>
    <row r="646" spans="2:34" x14ac:dyDescent="0.2">
      <c r="B646" s="2">
        <f ca="1"/>
        <v>0.62812362410292222</v>
      </c>
      <c r="O646" s="2">
        <f ca="1"/>
        <v>0.11167277958503477</v>
      </c>
      <c r="X646" s="2">
        <f ca="1"/>
        <v>36.81425174656323</v>
      </c>
      <c r="AG646" s="2">
        <f ca="1"/>
        <v>0.3543952254044811</v>
      </c>
      <c r="AH646" s="2" t="str">
        <f ca="1"/>
        <v>OK</v>
      </c>
    </row>
    <row r="647" spans="2:34" x14ac:dyDescent="0.2">
      <c r="B647" s="2">
        <f ca="1"/>
        <v>1.722212910904819E-2</v>
      </c>
      <c r="O647" s="2">
        <f ca="1"/>
        <v>-0.33513796640035121</v>
      </c>
      <c r="X647" s="2">
        <f ca="1"/>
        <v>51.220602768184371</v>
      </c>
      <c r="AG647" s="2">
        <f ca="1"/>
        <v>0.67852640730213643</v>
      </c>
      <c r="AH647" s="2" t="str">
        <f ca="1"/>
        <v>Bad</v>
      </c>
    </row>
    <row r="648" spans="2:34" x14ac:dyDescent="0.2">
      <c r="B648" s="2">
        <f ca="1"/>
        <v>1.5692306211996243E-2</v>
      </c>
      <c r="O648" s="2">
        <f ca="1"/>
        <v>0.58423454377632877</v>
      </c>
      <c r="X648" s="2">
        <f ca="1"/>
        <v>35.8095394154372</v>
      </c>
      <c r="AG648" s="2">
        <f ca="1"/>
        <v>0.10726517675278102</v>
      </c>
      <c r="AH648" s="2" t="str">
        <f ca="1"/>
        <v>OK</v>
      </c>
    </row>
    <row r="649" spans="2:34" x14ac:dyDescent="0.2">
      <c r="B649" s="2">
        <f ca="1"/>
        <v>0.31202817903907798</v>
      </c>
      <c r="O649" s="2">
        <f ca="1"/>
        <v>0.69832026405767567</v>
      </c>
      <c r="X649" s="2">
        <f ca="1"/>
        <v>59.59158126926701</v>
      </c>
      <c r="AG649" s="2">
        <f ca="1"/>
        <v>0.27578517084323217</v>
      </c>
      <c r="AH649" s="2" t="str">
        <f ca="1"/>
        <v>OK</v>
      </c>
    </row>
    <row r="650" spans="2:34" x14ac:dyDescent="0.2">
      <c r="B650" s="2">
        <f ca="1"/>
        <v>0.32866983086658697</v>
      </c>
      <c r="O650" s="2">
        <f ca="1"/>
        <v>0.87240214396829963</v>
      </c>
      <c r="X650" s="2">
        <f ca="1"/>
        <v>63.658186466575401</v>
      </c>
      <c r="AG650" s="2">
        <f ca="1"/>
        <v>0.1181732768861421</v>
      </c>
      <c r="AH650" s="2" t="str">
        <f ca="1"/>
        <v>OK</v>
      </c>
    </row>
    <row r="651" spans="2:34" x14ac:dyDescent="0.2">
      <c r="B651" s="2">
        <f ca="1"/>
        <v>0.61422688129395486</v>
      </c>
      <c r="O651" s="2">
        <f ca="1"/>
        <v>-0.46214241953053808</v>
      </c>
      <c r="X651" s="2">
        <f ca="1"/>
        <v>65.821642080138076</v>
      </c>
      <c r="AG651" s="2">
        <f ca="1"/>
        <v>0.18299561840459999</v>
      </c>
      <c r="AH651" s="2" t="str">
        <f ca="1"/>
        <v>OK</v>
      </c>
    </row>
    <row r="652" spans="2:34" x14ac:dyDescent="0.2">
      <c r="B652" s="2">
        <f ca="1"/>
        <v>0.1948887752331756</v>
      </c>
      <c r="O652" s="2">
        <f ca="1"/>
        <v>-0.6382962187316823</v>
      </c>
      <c r="X652" s="2">
        <f ca="1"/>
        <v>57.743339625281031</v>
      </c>
      <c r="AG652" s="2">
        <f ca="1"/>
        <v>0.96196202993120861</v>
      </c>
      <c r="AH652" s="2" t="str">
        <f ca="1"/>
        <v>Bad</v>
      </c>
    </row>
    <row r="653" spans="2:34" x14ac:dyDescent="0.2">
      <c r="B653" s="2">
        <f ca="1"/>
        <v>0.70246906157216182</v>
      </c>
      <c r="O653" s="2">
        <f ca="1"/>
        <v>0.15137444557134727</v>
      </c>
      <c r="X653" s="2">
        <f ca="1"/>
        <v>56.883822476406685</v>
      </c>
      <c r="AG653" s="2">
        <f ca="1"/>
        <v>0.64286385763381326</v>
      </c>
      <c r="AH653" s="2" t="str">
        <f ca="1"/>
        <v>Bad</v>
      </c>
    </row>
    <row r="654" spans="2:34" x14ac:dyDescent="0.2">
      <c r="B654" s="2">
        <f ca="1"/>
        <v>0.29547730426466567</v>
      </c>
      <c r="O654" s="2">
        <f ca="1"/>
        <v>-0.72739661033533287</v>
      </c>
      <c r="X654" s="2">
        <f ca="1"/>
        <v>25.617625540647243</v>
      </c>
      <c r="AG654" s="2">
        <f ca="1"/>
        <v>0.90619469492441618</v>
      </c>
      <c r="AH654" s="2" t="str">
        <f ca="1"/>
        <v>Bad</v>
      </c>
    </row>
    <row r="655" spans="2:34" x14ac:dyDescent="0.2">
      <c r="B655" s="2">
        <f ca="1"/>
        <v>0.85860675379391149</v>
      </c>
      <c r="O655" s="2">
        <f ca="1"/>
        <v>0.77174698812117282</v>
      </c>
      <c r="X655" s="2">
        <f ca="1"/>
        <v>54.312736164273062</v>
      </c>
      <c r="AG655" s="2">
        <f ca="1"/>
        <v>0.66821481103389901</v>
      </c>
      <c r="AH655" s="2" t="str">
        <f ca="1"/>
        <v>Bad</v>
      </c>
    </row>
    <row r="656" spans="2:34" x14ac:dyDescent="0.2">
      <c r="B656" s="2">
        <f ca="1"/>
        <v>0.23993172641653393</v>
      </c>
      <c r="O656" s="2">
        <f ca="1"/>
        <v>4.1275122812999866E-2</v>
      </c>
      <c r="X656" s="2">
        <f ca="1"/>
        <v>49.604432279721131</v>
      </c>
      <c r="AG656" s="2">
        <f ca="1"/>
        <v>0.20782023614927203</v>
      </c>
      <c r="AH656" s="2" t="str">
        <f ca="1"/>
        <v>OK</v>
      </c>
    </row>
    <row r="657" spans="2:34" x14ac:dyDescent="0.2">
      <c r="B657" s="2">
        <f ca="1"/>
        <v>0.41882075646592676</v>
      </c>
      <c r="O657" s="2">
        <f ca="1"/>
        <v>-0.74763730431675857</v>
      </c>
      <c r="X657" s="2">
        <f ca="1"/>
        <v>36.925783082873672</v>
      </c>
      <c r="AG657" s="2">
        <f ca="1"/>
        <v>0.81996303495062772</v>
      </c>
      <c r="AH657" s="2" t="str">
        <f ca="1"/>
        <v>Bad</v>
      </c>
    </row>
    <row r="658" spans="2:34" x14ac:dyDescent="0.2">
      <c r="B658" s="2">
        <f ca="1"/>
        <v>0.39185166028250618</v>
      </c>
      <c r="O658" s="2">
        <f ca="1"/>
        <v>-0.80210095115247382</v>
      </c>
      <c r="X658" s="2">
        <f ca="1"/>
        <v>66.066778099293344</v>
      </c>
      <c r="AG658" s="2">
        <f ca="1"/>
        <v>0.60972121672809143</v>
      </c>
      <c r="AH658" s="2" t="str">
        <f ca="1"/>
        <v>Bad</v>
      </c>
    </row>
    <row r="659" spans="2:34" x14ac:dyDescent="0.2">
      <c r="B659" s="2">
        <f ca="1"/>
        <v>0.69035489225190139</v>
      </c>
      <c r="O659" s="2">
        <f ca="1"/>
        <v>-0.65530567238352788</v>
      </c>
      <c r="X659" s="2">
        <f ca="1"/>
        <v>49.789679380236805</v>
      </c>
      <c r="AG659" s="2">
        <f ca="1"/>
        <v>0.49518841660815882</v>
      </c>
      <c r="AH659" s="2" t="str">
        <f ca="1"/>
        <v>Bad</v>
      </c>
    </row>
    <row r="660" spans="2:34" x14ac:dyDescent="0.2">
      <c r="B660" s="2">
        <f ca="1"/>
        <v>1.5925363823640515E-2</v>
      </c>
      <c r="O660" s="2">
        <f ca="1"/>
        <v>-0.3896262299650059</v>
      </c>
      <c r="X660" s="2">
        <f ca="1"/>
        <v>47.204323155014755</v>
      </c>
      <c r="AG660" s="2">
        <f ca="1"/>
        <v>0.74915010141756566</v>
      </c>
      <c r="AH660" s="2" t="str">
        <f ca="1"/>
        <v>Bad</v>
      </c>
    </row>
    <row r="661" spans="2:34" x14ac:dyDescent="0.2">
      <c r="B661" s="2">
        <f ca="1"/>
        <v>0.41888130274138868</v>
      </c>
      <c r="O661" s="2">
        <f ca="1"/>
        <v>1.6886664635893966</v>
      </c>
      <c r="X661" s="2">
        <f ca="1"/>
        <v>38.357742523002798</v>
      </c>
      <c r="AG661" s="2">
        <f ca="1"/>
        <v>0.85921327317179852</v>
      </c>
      <c r="AH661" s="2" t="str">
        <f ca="1"/>
        <v>Bad</v>
      </c>
    </row>
    <row r="662" spans="2:34" x14ac:dyDescent="0.2">
      <c r="B662" s="2">
        <f ca="1"/>
        <v>0.46278273958918814</v>
      </c>
      <c r="O662" s="2">
        <f ca="1"/>
        <v>-0.90520574232420137</v>
      </c>
      <c r="X662" s="2">
        <f ca="1"/>
        <v>44.958180810780831</v>
      </c>
      <c r="AG662" s="2">
        <f ca="1"/>
        <v>0.67151517082716938</v>
      </c>
      <c r="AH662" s="2" t="str">
        <f ca="1"/>
        <v>Bad</v>
      </c>
    </row>
    <row r="663" spans="2:34" x14ac:dyDescent="0.2">
      <c r="B663" s="2">
        <f ca="1"/>
        <v>0.75854626295122141</v>
      </c>
      <c r="O663" s="2">
        <f ca="1"/>
        <v>-1.1548203963221892</v>
      </c>
      <c r="X663" s="2">
        <f ca="1"/>
        <v>70.976755694145595</v>
      </c>
      <c r="AG663" s="2">
        <f ca="1"/>
        <v>0.14571509048474884</v>
      </c>
      <c r="AH663" s="2" t="str">
        <f ca="1"/>
        <v>OK</v>
      </c>
    </row>
    <row r="664" spans="2:34" x14ac:dyDescent="0.2">
      <c r="B664" s="2">
        <f ca="1"/>
        <v>0.28693922936860838</v>
      </c>
      <c r="O664" s="2">
        <f ca="1"/>
        <v>2.2760561331333626</v>
      </c>
      <c r="X664" s="2">
        <f ca="1"/>
        <v>40.669977852693194</v>
      </c>
      <c r="AG664" s="2">
        <f ca="1"/>
        <v>0.92681007900949197</v>
      </c>
      <c r="AH664" s="2" t="str">
        <f ca="1"/>
        <v>Bad</v>
      </c>
    </row>
    <row r="665" spans="2:34" x14ac:dyDescent="0.2">
      <c r="B665" s="2">
        <f ca="1"/>
        <v>0.60701540283637567</v>
      </c>
      <c r="O665" s="2">
        <f ca="1"/>
        <v>-1.6995102057593847</v>
      </c>
      <c r="X665" s="2">
        <f ca="1"/>
        <v>41.218526363477622</v>
      </c>
      <c r="AG665" s="2">
        <f ca="1"/>
        <v>0.11057765434836075</v>
      </c>
      <c r="AH665" s="2" t="str">
        <f ca="1"/>
        <v>OK</v>
      </c>
    </row>
    <row r="666" spans="2:34" x14ac:dyDescent="0.2">
      <c r="B666" s="2">
        <f ca="1"/>
        <v>0.2158626612946053</v>
      </c>
      <c r="O666" s="2">
        <f ca="1"/>
        <v>0.37876974454378859</v>
      </c>
      <c r="X666" s="2">
        <f ca="1"/>
        <v>39.925039129292713</v>
      </c>
      <c r="AG666" s="2">
        <f ca="1"/>
        <v>0.2974169324346736</v>
      </c>
      <c r="AH666" s="2" t="str">
        <f ca="1"/>
        <v>OK</v>
      </c>
    </row>
    <row r="667" spans="2:34" x14ac:dyDescent="0.2">
      <c r="B667" s="2">
        <f ca="1"/>
        <v>0.46441785429212312</v>
      </c>
      <c r="O667" s="2">
        <f ca="1"/>
        <v>1.8728527496736012</v>
      </c>
      <c r="X667" s="2">
        <f ca="1"/>
        <v>64.289632261569025</v>
      </c>
      <c r="AG667" s="2">
        <f ca="1"/>
        <v>0.94492868849837297</v>
      </c>
      <c r="AH667" s="2" t="str">
        <f ca="1"/>
        <v>Bad</v>
      </c>
    </row>
    <row r="668" spans="2:34" x14ac:dyDescent="0.2">
      <c r="B668" s="2">
        <f ca="1"/>
        <v>9.8794576225009978E-2</v>
      </c>
      <c r="O668" s="2">
        <f ca="1"/>
        <v>-0.53414796404433329</v>
      </c>
      <c r="X668" s="2">
        <f ca="1"/>
        <v>93.981849019479199</v>
      </c>
      <c r="AG668" s="2">
        <f ca="1"/>
        <v>0.29707349381103398</v>
      </c>
      <c r="AH668" s="2" t="str">
        <f ca="1"/>
        <v>OK</v>
      </c>
    </row>
    <row r="669" spans="2:34" x14ac:dyDescent="0.2">
      <c r="B669" s="2">
        <f ca="1"/>
        <v>0.77648285260970229</v>
      </c>
      <c r="O669" s="2">
        <f ca="1"/>
        <v>1.3821074624458243</v>
      </c>
      <c r="X669" s="2">
        <f ca="1"/>
        <v>56.463199953944013</v>
      </c>
      <c r="AG669" s="2">
        <f ca="1"/>
        <v>0.23067480381712757</v>
      </c>
      <c r="AH669" s="2" t="str">
        <f ca="1"/>
        <v>OK</v>
      </c>
    </row>
    <row r="670" spans="2:34" x14ac:dyDescent="0.2">
      <c r="B670" s="2">
        <f ca="1"/>
        <v>8.1506827127972636E-2</v>
      </c>
      <c r="O670" s="2">
        <f ca="1"/>
        <v>1.0088039852985302</v>
      </c>
      <c r="X670" s="2">
        <f ca="1"/>
        <v>67.121931968189159</v>
      </c>
      <c r="AG670" s="2">
        <f ca="1"/>
        <v>0.1526274745083267</v>
      </c>
      <c r="AH670" s="2" t="str">
        <f ca="1"/>
        <v>OK</v>
      </c>
    </row>
    <row r="671" spans="2:34" x14ac:dyDescent="0.2">
      <c r="B671" s="2">
        <f ca="1"/>
        <v>0.31115643718318764</v>
      </c>
      <c r="O671" s="2">
        <f ca="1"/>
        <v>-1.154232917932781</v>
      </c>
      <c r="X671" s="2">
        <f ca="1"/>
        <v>41.17870104893462</v>
      </c>
      <c r="AG671" s="2">
        <f ca="1"/>
        <v>0.66668203296851147</v>
      </c>
      <c r="AH671" s="2" t="str">
        <f ca="1"/>
        <v>Bad</v>
      </c>
    </row>
    <row r="672" spans="2:34" x14ac:dyDescent="0.2">
      <c r="B672" s="2">
        <f ca="1"/>
        <v>0.52608488273040832</v>
      </c>
      <c r="O672" s="2">
        <f ca="1"/>
        <v>0.52811062936959141</v>
      </c>
      <c r="X672" s="2">
        <f ca="1"/>
        <v>31.765681939289976</v>
      </c>
      <c r="AG672" s="2">
        <f ca="1"/>
        <v>0.46862569888485495</v>
      </c>
      <c r="AH672" s="2" t="str">
        <f ca="1"/>
        <v>Bad</v>
      </c>
    </row>
    <row r="673" spans="2:34" x14ac:dyDescent="0.2">
      <c r="B673" s="2">
        <f ca="1"/>
        <v>0.37778810237934746</v>
      </c>
      <c r="O673" s="2">
        <f ca="1"/>
        <v>1.192452465560168</v>
      </c>
      <c r="X673" s="2">
        <f ca="1"/>
        <v>31.989085658173963</v>
      </c>
      <c r="AG673" s="2">
        <f ca="1"/>
        <v>0.2603049439354026</v>
      </c>
      <c r="AH673" s="2" t="str">
        <f ca="1"/>
        <v>OK</v>
      </c>
    </row>
    <row r="674" spans="2:34" x14ac:dyDescent="0.2">
      <c r="B674" s="2">
        <f ca="1"/>
        <v>0.63566871417565274</v>
      </c>
      <c r="O674" s="2">
        <f ca="1"/>
        <v>0.40411838219084201</v>
      </c>
      <c r="X674" s="2">
        <f ca="1"/>
        <v>100.51036755869093</v>
      </c>
      <c r="AG674" s="2">
        <f ca="1"/>
        <v>9.8465850571841207E-2</v>
      </c>
      <c r="AH674" s="2" t="str">
        <f ca="1"/>
        <v>OK</v>
      </c>
    </row>
    <row r="675" spans="2:34" x14ac:dyDescent="0.2">
      <c r="B675" s="2">
        <f ca="1"/>
        <v>0.64265310483715354</v>
      </c>
      <c r="O675" s="2">
        <f ca="1"/>
        <v>-0.50003879264146678</v>
      </c>
      <c r="X675" s="2">
        <f ca="1"/>
        <v>75.459613766911019</v>
      </c>
      <c r="AG675" s="2">
        <f ca="1"/>
        <v>5.7937472009877311E-2</v>
      </c>
      <c r="AH675" s="2" t="str">
        <f ca="1"/>
        <v>OK</v>
      </c>
    </row>
    <row r="676" spans="2:34" x14ac:dyDescent="0.2">
      <c r="B676" s="2">
        <f ca="1"/>
        <v>0.58528272109761725</v>
      </c>
      <c r="O676" s="2">
        <f ca="1"/>
        <v>1.6576014927857374</v>
      </c>
      <c r="X676" s="2">
        <f ca="1"/>
        <v>49.146367473024398</v>
      </c>
      <c r="AG676" s="2">
        <f ca="1"/>
        <v>0.78671347264999447</v>
      </c>
      <c r="AH676" s="2" t="str">
        <f ca="1"/>
        <v>Bad</v>
      </c>
    </row>
    <row r="677" spans="2:34" x14ac:dyDescent="0.2">
      <c r="B677" s="2">
        <f ca="1"/>
        <v>0.64857900018496117</v>
      </c>
      <c r="O677" s="2">
        <f ca="1"/>
        <v>1.2845989583603088</v>
      </c>
      <c r="X677" s="2">
        <f ca="1"/>
        <v>57.646322008061695</v>
      </c>
      <c r="AG677" s="2">
        <f ca="1"/>
        <v>0.69302383764098163</v>
      </c>
      <c r="AH677" s="2" t="str">
        <f ca="1"/>
        <v>Bad</v>
      </c>
    </row>
    <row r="678" spans="2:34" x14ac:dyDescent="0.2">
      <c r="B678" s="2">
        <f ca="1"/>
        <v>0.84534695962677198</v>
      </c>
      <c r="O678" s="2">
        <f ca="1"/>
        <v>0.18710882641394511</v>
      </c>
      <c r="X678" s="2">
        <f ca="1"/>
        <v>71.890806266759185</v>
      </c>
      <c r="AG678" s="2">
        <f ca="1"/>
        <v>0.45441396623244867</v>
      </c>
      <c r="AH678" s="2" t="str">
        <f ca="1"/>
        <v>Bad</v>
      </c>
    </row>
    <row r="679" spans="2:34" x14ac:dyDescent="0.2">
      <c r="B679" s="2">
        <f ca="1"/>
        <v>0.56695462754210624</v>
      </c>
      <c r="O679" s="2">
        <f ca="1"/>
        <v>0.34878797020710317</v>
      </c>
      <c r="X679" s="2">
        <f ca="1"/>
        <v>71.077017320321232</v>
      </c>
      <c r="AG679" s="2">
        <f ca="1"/>
        <v>0.49935513405262344</v>
      </c>
      <c r="AH679" s="2" t="str">
        <f ca="1"/>
        <v>Bad</v>
      </c>
    </row>
    <row r="680" spans="2:34" x14ac:dyDescent="0.2">
      <c r="B680" s="2">
        <f ca="1"/>
        <v>0.56067729803376043</v>
      </c>
      <c r="O680" s="2">
        <f ca="1"/>
        <v>-0.38907776666843052</v>
      </c>
      <c r="X680" s="2">
        <f ca="1"/>
        <v>65.02790112559407</v>
      </c>
      <c r="AG680" s="2">
        <f ca="1"/>
        <v>0.44034859989695119</v>
      </c>
      <c r="AH680" s="2" t="str">
        <f ca="1"/>
        <v>Bad</v>
      </c>
    </row>
    <row r="681" spans="2:34" x14ac:dyDescent="0.2">
      <c r="B681" s="2">
        <f ca="1"/>
        <v>0.10318684928263644</v>
      </c>
      <c r="O681" s="2">
        <f ca="1"/>
        <v>-1.3110965941202711E-3</v>
      </c>
      <c r="X681" s="2">
        <f ca="1"/>
        <v>67.398373615997144</v>
      </c>
      <c r="AG681" s="2">
        <f ca="1"/>
        <v>0.77522282916892093</v>
      </c>
      <c r="AH681" s="2" t="str">
        <f ca="1"/>
        <v>Bad</v>
      </c>
    </row>
    <row r="682" spans="2:34" x14ac:dyDescent="0.2">
      <c r="B682" s="2">
        <f ca="1"/>
        <v>0.79053385824772149</v>
      </c>
      <c r="O682" s="2">
        <f ca="1"/>
        <v>1.1757554465250053</v>
      </c>
      <c r="X682" s="2">
        <f ca="1"/>
        <v>111.58965669468428</v>
      </c>
      <c r="AG682" s="2">
        <f ca="1"/>
        <v>0.89984563494581327</v>
      </c>
      <c r="AH682" s="2" t="str">
        <f ca="1"/>
        <v>Bad</v>
      </c>
    </row>
    <row r="683" spans="2:34" x14ac:dyDescent="0.2">
      <c r="B683" s="2">
        <f ca="1"/>
        <v>0.9823518120878687</v>
      </c>
      <c r="O683" s="2">
        <f ca="1"/>
        <v>-0.65736713023202231</v>
      </c>
      <c r="X683" s="2">
        <f ca="1"/>
        <v>51.167338245647336</v>
      </c>
      <c r="AG683" s="2">
        <f ca="1"/>
        <v>0.79120693899549188</v>
      </c>
      <c r="AH683" s="2" t="str">
        <f ca="1"/>
        <v>Bad</v>
      </c>
    </row>
    <row r="684" spans="2:34" x14ac:dyDescent="0.2">
      <c r="B684" s="2">
        <f ca="1"/>
        <v>6.5701013466945124E-2</v>
      </c>
      <c r="O684" s="2">
        <f ca="1"/>
        <v>-0.29541496944460982</v>
      </c>
      <c r="X684" s="2">
        <f ca="1"/>
        <v>49.586804232270069</v>
      </c>
      <c r="AG684" s="2">
        <f ca="1"/>
        <v>0.43709517548435306</v>
      </c>
      <c r="AH684" s="2" t="str">
        <f ca="1"/>
        <v>Bad</v>
      </c>
    </row>
    <row r="685" spans="2:34" x14ac:dyDescent="0.2">
      <c r="B685" s="2">
        <f ca="1"/>
        <v>0.1786357378085015</v>
      </c>
      <c r="O685" s="2">
        <f ca="1"/>
        <v>-0.66093908744517849</v>
      </c>
      <c r="X685" s="2">
        <f ca="1"/>
        <v>51.197635981281664</v>
      </c>
      <c r="AG685" s="2">
        <f ca="1"/>
        <v>0.66576762626186792</v>
      </c>
      <c r="AH685" s="2" t="str">
        <f ca="1"/>
        <v>Bad</v>
      </c>
    </row>
    <row r="686" spans="2:34" x14ac:dyDescent="0.2">
      <c r="B686" s="2">
        <f ca="1"/>
        <v>0.34479471596989564</v>
      </c>
      <c r="O686" s="2">
        <f ca="1"/>
        <v>-1.5277257591177167E-2</v>
      </c>
      <c r="X686" s="2">
        <f ca="1"/>
        <v>39.607611100027967</v>
      </c>
      <c r="AG686" s="2">
        <f ca="1"/>
        <v>0.9507058768155805</v>
      </c>
      <c r="AH686" s="2" t="str">
        <f ca="1"/>
        <v>Bad</v>
      </c>
    </row>
    <row r="687" spans="2:34" x14ac:dyDescent="0.2">
      <c r="B687" s="2">
        <f ca="1"/>
        <v>0.94596904170725571</v>
      </c>
      <c r="O687" s="2">
        <f ca="1"/>
        <v>1.2606184345415561</v>
      </c>
      <c r="X687" s="2">
        <f ca="1"/>
        <v>32.39250816029729</v>
      </c>
      <c r="AG687" s="2">
        <f ca="1"/>
        <v>0.6878869995484429</v>
      </c>
      <c r="AH687" s="2" t="str">
        <f ca="1"/>
        <v>Bad</v>
      </c>
    </row>
    <row r="688" spans="2:34" x14ac:dyDescent="0.2">
      <c r="B688" s="2">
        <f ca="1"/>
        <v>0.95060198889694281</v>
      </c>
      <c r="O688" s="2">
        <f ca="1"/>
        <v>0.17666692757430619</v>
      </c>
      <c r="X688" s="2">
        <f ca="1"/>
        <v>34.072902501531999</v>
      </c>
      <c r="AG688" s="2">
        <f ca="1"/>
        <v>0.97428541711771133</v>
      </c>
      <c r="AH688" s="2" t="str">
        <f ca="1"/>
        <v>Bad</v>
      </c>
    </row>
    <row r="689" spans="2:34" x14ac:dyDescent="0.2">
      <c r="B689" s="2">
        <f ca="1"/>
        <v>0.82879043128895447</v>
      </c>
      <c r="O689" s="2">
        <f ca="1"/>
        <v>-1.088204207658138</v>
      </c>
      <c r="X689" s="2">
        <f ca="1"/>
        <v>50.035911732932746</v>
      </c>
      <c r="AG689" s="2">
        <f ca="1"/>
        <v>0.30886503859941206</v>
      </c>
      <c r="AH689" s="2" t="str">
        <f ca="1"/>
        <v>OK</v>
      </c>
    </row>
    <row r="690" spans="2:34" x14ac:dyDescent="0.2">
      <c r="B690" s="2">
        <f ca="1"/>
        <v>0.35770371738486983</v>
      </c>
      <c r="O690" s="2">
        <f ca="1"/>
        <v>-0.35021828451351317</v>
      </c>
      <c r="X690" s="2">
        <f ca="1"/>
        <v>41.656691760880207</v>
      </c>
      <c r="AG690" s="2">
        <f ca="1"/>
        <v>0.6829298838764879</v>
      </c>
      <c r="AH690" s="2" t="str">
        <f ca="1"/>
        <v>Bad</v>
      </c>
    </row>
    <row r="691" spans="2:34" x14ac:dyDescent="0.2">
      <c r="B691" s="2">
        <f ca="1"/>
        <v>0.5329569260423126</v>
      </c>
      <c r="O691" s="2">
        <f ca="1"/>
        <v>2.6587845476142555</v>
      </c>
      <c r="X691" s="2">
        <f ca="1"/>
        <v>66.586805180419532</v>
      </c>
      <c r="AG691" s="2">
        <f ca="1"/>
        <v>0.17179002706829571</v>
      </c>
      <c r="AH691" s="2" t="str">
        <f ca="1"/>
        <v>OK</v>
      </c>
    </row>
    <row r="692" spans="2:34" x14ac:dyDescent="0.2">
      <c r="B692" s="2">
        <f ca="1"/>
        <v>0.25479112043585395</v>
      </c>
      <c r="O692" s="2">
        <f ca="1"/>
        <v>1.2668846860296714</v>
      </c>
      <c r="X692" s="2">
        <f ca="1"/>
        <v>112.49134737883398</v>
      </c>
      <c r="AG692" s="2">
        <f ca="1"/>
        <v>0.68837656872450981</v>
      </c>
      <c r="AH692" s="2" t="str">
        <f ca="1"/>
        <v>Bad</v>
      </c>
    </row>
    <row r="693" spans="2:34" x14ac:dyDescent="0.2">
      <c r="B693" s="2">
        <f ca="1"/>
        <v>0.61778451154452041</v>
      </c>
      <c r="O693" s="2">
        <f ca="1"/>
        <v>-0.75165709114137891</v>
      </c>
      <c r="X693" s="2">
        <f ca="1"/>
        <v>47.562238622444909</v>
      </c>
      <c r="AG693" s="2">
        <f ca="1"/>
        <v>0.65783203751394992</v>
      </c>
      <c r="AH693" s="2" t="str">
        <f ca="1"/>
        <v>Bad</v>
      </c>
    </row>
    <row r="694" spans="2:34" x14ac:dyDescent="0.2">
      <c r="B694" s="2">
        <f ca="1"/>
        <v>0.81840270827319506</v>
      </c>
      <c r="O694" s="2">
        <f ca="1"/>
        <v>-1.3215626744244049</v>
      </c>
      <c r="X694" s="2">
        <f ca="1"/>
        <v>55.992670373056598</v>
      </c>
      <c r="AG694" s="2">
        <f ca="1"/>
        <v>0.95988934119040814</v>
      </c>
      <c r="AH694" s="2" t="str">
        <f ca="1"/>
        <v>Bad</v>
      </c>
    </row>
    <row r="695" spans="2:34" x14ac:dyDescent="0.2">
      <c r="B695" s="2">
        <f ca="1"/>
        <v>0.55132658619655794</v>
      </c>
      <c r="O695" s="2">
        <f ca="1"/>
        <v>0.9919031057584623</v>
      </c>
      <c r="X695" s="2">
        <f ca="1"/>
        <v>56.769830148738023</v>
      </c>
      <c r="AG695" s="2">
        <f ca="1"/>
        <v>0.67764475064452112</v>
      </c>
      <c r="AH695" s="2" t="str">
        <f ca="1"/>
        <v>Bad</v>
      </c>
    </row>
    <row r="696" spans="2:34" x14ac:dyDescent="0.2">
      <c r="B696" s="2">
        <f ca="1"/>
        <v>0.59598230575782285</v>
      </c>
      <c r="O696" s="2">
        <f ca="1"/>
        <v>-1.0664908462558573</v>
      </c>
      <c r="X696" s="2">
        <f ca="1"/>
        <v>55.266167575703129</v>
      </c>
      <c r="AG696" s="2">
        <f ca="1"/>
        <v>0.95276870472722175</v>
      </c>
      <c r="AH696" s="2" t="str">
        <f ca="1"/>
        <v>Bad</v>
      </c>
    </row>
    <row r="697" spans="2:34" x14ac:dyDescent="0.2">
      <c r="B697" s="2">
        <f ca="1"/>
        <v>0.89468390127425423</v>
      </c>
      <c r="O697" s="2">
        <f ca="1"/>
        <v>0.39793059674097297</v>
      </c>
      <c r="X697" s="2">
        <f ca="1"/>
        <v>52.069874502173896</v>
      </c>
      <c r="AG697" s="2">
        <f ca="1"/>
        <v>0.44130420692847716</v>
      </c>
      <c r="AH697" s="2" t="str">
        <f ca="1"/>
        <v>Bad</v>
      </c>
    </row>
    <row r="698" spans="2:34" x14ac:dyDescent="0.2">
      <c r="B698" s="2">
        <f ca="1"/>
        <v>0.33896665771759649</v>
      </c>
      <c r="O698" s="2">
        <f ca="1"/>
        <v>-0.20697427034643842</v>
      </c>
      <c r="X698" s="2">
        <f ca="1"/>
        <v>30.242005029277021</v>
      </c>
      <c r="AG698" s="2">
        <f ca="1"/>
        <v>0.83340814643335714</v>
      </c>
      <c r="AH698" s="2" t="str">
        <f ca="1"/>
        <v>Bad</v>
      </c>
    </row>
    <row r="699" spans="2:34" x14ac:dyDescent="0.2">
      <c r="B699" s="2">
        <f ca="1"/>
        <v>0.50782793523743819</v>
      </c>
      <c r="O699" s="2">
        <f ca="1"/>
        <v>-0.26313961254372364</v>
      </c>
      <c r="X699" s="2">
        <f ca="1"/>
        <v>35.882203504235761</v>
      </c>
      <c r="AG699" s="2">
        <f ca="1"/>
        <v>0.93987934849171073</v>
      </c>
      <c r="AH699" s="2" t="str">
        <f ca="1"/>
        <v>Bad</v>
      </c>
    </row>
    <row r="700" spans="2:34" x14ac:dyDescent="0.2">
      <c r="B700" s="2">
        <f ca="1"/>
        <v>0.46026054170141473</v>
      </c>
      <c r="O700" s="2">
        <f ca="1"/>
        <v>-0.64610451727689189</v>
      </c>
      <c r="X700" s="2">
        <f ca="1"/>
        <v>74.509045893189224</v>
      </c>
      <c r="AG700" s="2">
        <f ca="1"/>
        <v>0.89255997322522629</v>
      </c>
      <c r="AH700" s="2" t="str">
        <f ca="1"/>
        <v>Bad</v>
      </c>
    </row>
    <row r="701" spans="2:34" x14ac:dyDescent="0.2">
      <c r="B701" s="2">
        <f ca="1"/>
        <v>0.28357800499924668</v>
      </c>
      <c r="O701" s="2">
        <f ca="1"/>
        <v>-0.92481410904425221</v>
      </c>
      <c r="X701" s="2">
        <f ca="1"/>
        <v>58.767118954365813</v>
      </c>
      <c r="AG701" s="2">
        <f ca="1"/>
        <v>0.21718007685622176</v>
      </c>
      <c r="AH701" s="2" t="str">
        <f ca="1"/>
        <v>OK</v>
      </c>
    </row>
    <row r="702" spans="2:34" x14ac:dyDescent="0.2">
      <c r="B702" s="2">
        <f ca="1"/>
        <v>0.43982847961505356</v>
      </c>
      <c r="O702" s="2">
        <f ca="1"/>
        <v>-5.9595492500255712E-2</v>
      </c>
      <c r="X702" s="2">
        <f ca="1"/>
        <v>59.672178715860433</v>
      </c>
      <c r="AG702" s="2">
        <f ca="1"/>
        <v>0.5566379169034219</v>
      </c>
      <c r="AH702" s="2" t="str">
        <f ca="1"/>
        <v>Bad</v>
      </c>
    </row>
    <row r="703" spans="2:34" x14ac:dyDescent="0.2">
      <c r="B703" s="2">
        <f ca="1"/>
        <v>0.32070873733151672</v>
      </c>
      <c r="O703" s="2">
        <f ca="1"/>
        <v>5.8237381947781226E-3</v>
      </c>
      <c r="X703" s="2">
        <f ca="1"/>
        <v>45.587850227053337</v>
      </c>
      <c r="AG703" s="2">
        <f ca="1"/>
        <v>0.25596316570289246</v>
      </c>
      <c r="AH703" s="2" t="str">
        <f ca="1"/>
        <v>OK</v>
      </c>
    </row>
    <row r="704" spans="2:34" x14ac:dyDescent="0.2">
      <c r="B704" s="2">
        <f ca="1"/>
        <v>0.48688878840734251</v>
      </c>
      <c r="O704" s="2">
        <f ca="1"/>
        <v>0.27343250089448312</v>
      </c>
      <c r="X704" s="2">
        <f ca="1"/>
        <v>52.30893763673663</v>
      </c>
      <c r="AG704" s="2">
        <f ca="1"/>
        <v>0.98943145659653542</v>
      </c>
      <c r="AH704" s="2" t="str">
        <f ca="1"/>
        <v>Bad</v>
      </c>
    </row>
    <row r="705" spans="2:34" x14ac:dyDescent="0.2">
      <c r="B705" s="2">
        <f ca="1"/>
        <v>4.252957921239453E-2</v>
      </c>
      <c r="O705" s="2">
        <f ca="1"/>
        <v>-0.42076607301948626</v>
      </c>
      <c r="X705" s="2">
        <f ca="1"/>
        <v>59.536036475299341</v>
      </c>
      <c r="AG705" s="2">
        <f ca="1"/>
        <v>1.7244408323096927E-2</v>
      </c>
      <c r="AH705" s="2" t="str">
        <f ca="1"/>
        <v>Good</v>
      </c>
    </row>
    <row r="706" spans="2:34" x14ac:dyDescent="0.2">
      <c r="B706" s="2">
        <f ca="1"/>
        <v>0.32993720584880681</v>
      </c>
      <c r="O706" s="2">
        <f ca="1"/>
        <v>-0.98595780019620949</v>
      </c>
      <c r="X706" s="2">
        <f ca="1"/>
        <v>29.115157640212807</v>
      </c>
      <c r="AG706" s="2">
        <f ca="1"/>
        <v>0.5095747970262241</v>
      </c>
      <c r="AH706" s="2" t="str">
        <f ca="1"/>
        <v>Bad</v>
      </c>
    </row>
    <row r="707" spans="2:34" x14ac:dyDescent="0.2">
      <c r="B707" s="2">
        <f ca="1"/>
        <v>0.47658377193932622</v>
      </c>
      <c r="O707" s="2">
        <f ca="1"/>
        <v>0.98094382930991586</v>
      </c>
      <c r="X707" s="2">
        <f ca="1"/>
        <v>46.146936695368517</v>
      </c>
      <c r="AG707" s="2">
        <f ca="1"/>
        <v>0.17059186678906846</v>
      </c>
      <c r="AH707" s="2" t="str">
        <f ca="1"/>
        <v>OK</v>
      </c>
    </row>
    <row r="708" spans="2:34" x14ac:dyDescent="0.2">
      <c r="B708" s="2">
        <f ca="1"/>
        <v>0.66202536290759673</v>
      </c>
      <c r="O708" s="2">
        <f ca="1"/>
        <v>1.108452688107407</v>
      </c>
      <c r="X708" s="2">
        <f ca="1"/>
        <v>51.171074817670004</v>
      </c>
      <c r="AG708" s="2">
        <f ca="1"/>
        <v>0.86946054939606499</v>
      </c>
      <c r="AH708" s="2" t="str">
        <f ca="1"/>
        <v>Bad</v>
      </c>
    </row>
    <row r="709" spans="2:34" x14ac:dyDescent="0.2">
      <c r="B709" s="2">
        <f ca="1"/>
        <v>0.27791446044953783</v>
      </c>
      <c r="O709" s="2">
        <f ca="1"/>
        <v>0.79745140669395131</v>
      </c>
      <c r="X709" s="2">
        <f ca="1"/>
        <v>26.696945808293947</v>
      </c>
      <c r="AG709" s="2">
        <f ca="1"/>
        <v>0.52197169897727846</v>
      </c>
      <c r="AH709" s="2" t="str">
        <f ca="1"/>
        <v>Bad</v>
      </c>
    </row>
    <row r="710" spans="2:34" x14ac:dyDescent="0.2">
      <c r="B710" s="2">
        <f ca="1"/>
        <v>0.20119888485950965</v>
      </c>
      <c r="O710" s="2">
        <f ca="1"/>
        <v>-0.82727776355223226</v>
      </c>
      <c r="X710" s="2">
        <f ca="1"/>
        <v>66.466379578253296</v>
      </c>
      <c r="AG710" s="2">
        <f ca="1"/>
        <v>0.21319227707492572</v>
      </c>
      <c r="AH710" s="2" t="str">
        <f ca="1"/>
        <v>OK</v>
      </c>
    </row>
    <row r="711" spans="2:34" x14ac:dyDescent="0.2">
      <c r="B711" s="2">
        <f ca="1"/>
        <v>0.94016677309433017</v>
      </c>
      <c r="O711" s="2">
        <f ca="1"/>
        <v>1.6366568070745144</v>
      </c>
      <c r="X711" s="2">
        <f ca="1"/>
        <v>61.161216892796872</v>
      </c>
      <c r="AG711" s="2">
        <f ca="1"/>
        <v>0.32446523172076747</v>
      </c>
      <c r="AH711" s="2" t="str">
        <f ca="1"/>
        <v>OK</v>
      </c>
    </row>
    <row r="712" spans="2:34" x14ac:dyDescent="0.2">
      <c r="B712" s="2">
        <f ca="1"/>
        <v>0.87904276362159894</v>
      </c>
      <c r="O712" s="2">
        <f ca="1"/>
        <v>-1.0770243077409865</v>
      </c>
      <c r="X712" s="2">
        <f ca="1"/>
        <v>27.193486029461361</v>
      </c>
      <c r="AG712" s="2">
        <f ca="1"/>
        <v>0.77588116460591627</v>
      </c>
      <c r="AH712" s="2" t="str">
        <f ca="1"/>
        <v>Bad</v>
      </c>
    </row>
    <row r="713" spans="2:34" x14ac:dyDescent="0.2">
      <c r="B713" s="2">
        <f ca="1"/>
        <v>0.56142888527663737</v>
      </c>
      <c r="O713" s="2">
        <f ca="1"/>
        <v>0.32140054351956787</v>
      </c>
      <c r="X713" s="2">
        <f ca="1"/>
        <v>64.112364377741699</v>
      </c>
      <c r="AG713" s="2">
        <f ca="1"/>
        <v>0.74117075501340524</v>
      </c>
      <c r="AH713" s="2" t="str">
        <f ca="1"/>
        <v>Bad</v>
      </c>
    </row>
    <row r="714" spans="2:34" x14ac:dyDescent="0.2">
      <c r="B714" s="2">
        <f ca="1"/>
        <v>0.72188717709474792</v>
      </c>
      <c r="O714" s="2">
        <f ca="1"/>
        <v>0.67620372018553732</v>
      </c>
      <c r="X714" s="2">
        <f ca="1"/>
        <v>45.281076949695958</v>
      </c>
      <c r="AG714" s="2">
        <f ca="1"/>
        <v>7.684531147763396E-2</v>
      </c>
      <c r="AH714" s="2" t="str">
        <f ca="1"/>
        <v>OK</v>
      </c>
    </row>
    <row r="715" spans="2:34" x14ac:dyDescent="0.2">
      <c r="B715" s="2">
        <f ca="1"/>
        <v>0.23515825139397095</v>
      </c>
      <c r="O715" s="2">
        <f ca="1"/>
        <v>-2.3560747002746709E-2</v>
      </c>
      <c r="X715" s="2">
        <f ca="1"/>
        <v>51.881586089610757</v>
      </c>
      <c r="AG715" s="2">
        <f ca="1"/>
        <v>0.46250077288789893</v>
      </c>
      <c r="AH715" s="2" t="str">
        <f ca="1"/>
        <v>Bad</v>
      </c>
    </row>
    <row r="716" spans="2:34" x14ac:dyDescent="0.2">
      <c r="B716" s="2">
        <f ca="1"/>
        <v>0.91553942889003737</v>
      </c>
      <c r="O716" s="2">
        <f ca="1"/>
        <v>0.27760727713550382</v>
      </c>
      <c r="X716" s="2">
        <f ca="1"/>
        <v>24.098441312992517</v>
      </c>
      <c r="AG716" s="2">
        <f ca="1"/>
        <v>0.76083511404393422</v>
      </c>
      <c r="AH716" s="2" t="str">
        <f ca="1"/>
        <v>Bad</v>
      </c>
    </row>
    <row r="717" spans="2:34" x14ac:dyDescent="0.2">
      <c r="B717" s="2">
        <f ca="1"/>
        <v>0.46381875600845013</v>
      </c>
      <c r="O717" s="2">
        <f ca="1"/>
        <v>0.80864990582930307</v>
      </c>
      <c r="X717" s="2">
        <f ca="1"/>
        <v>43.759705723360007</v>
      </c>
      <c r="AG717" s="2">
        <f ca="1"/>
        <v>0.41645015071547231</v>
      </c>
      <c r="AH717" s="2" t="str">
        <f ca="1"/>
        <v>Bad</v>
      </c>
    </row>
    <row r="718" spans="2:34" x14ac:dyDescent="0.2">
      <c r="B718" s="2">
        <f ca="1"/>
        <v>0.14194454138616552</v>
      </c>
      <c r="O718" s="2">
        <f ca="1"/>
        <v>-0.36341150718892784</v>
      </c>
      <c r="X718" s="2">
        <f ca="1"/>
        <v>34.929909896830488</v>
      </c>
      <c r="AG718" s="2">
        <f ca="1"/>
        <v>0.61336848111443865</v>
      </c>
      <c r="AH718" s="2" t="str">
        <f ca="1"/>
        <v>Bad</v>
      </c>
    </row>
    <row r="719" spans="2:34" x14ac:dyDescent="0.2">
      <c r="B719" s="2">
        <f ca="1"/>
        <v>0.4189596022098403</v>
      </c>
      <c r="O719" s="2">
        <f ca="1"/>
        <v>-0.85865163365682251</v>
      </c>
      <c r="X719" s="2">
        <f ca="1"/>
        <v>46.36321780445536</v>
      </c>
      <c r="AG719" s="2">
        <f ca="1"/>
        <v>0.9099308801847843</v>
      </c>
      <c r="AH719" s="2" t="str">
        <f ca="1"/>
        <v>Bad</v>
      </c>
    </row>
    <row r="720" spans="2:34" x14ac:dyDescent="0.2">
      <c r="B720" s="2">
        <f ca="1"/>
        <v>0.10454616352054313</v>
      </c>
      <c r="O720" s="2">
        <f ca="1"/>
        <v>1.2198388867402929</v>
      </c>
      <c r="X720" s="2">
        <f ca="1"/>
        <v>36.523641291900674</v>
      </c>
      <c r="AG720" s="2">
        <f ca="1"/>
        <v>0.13026284269146959</v>
      </c>
      <c r="AH720" s="2" t="str">
        <f ca="1"/>
        <v>OK</v>
      </c>
    </row>
    <row r="721" spans="2:34" x14ac:dyDescent="0.2">
      <c r="B721" s="2">
        <f ca="1"/>
        <v>0.53398731853813919</v>
      </c>
      <c r="O721" s="2">
        <f ca="1"/>
        <v>-1.1202654926022533</v>
      </c>
      <c r="X721" s="2">
        <f ca="1"/>
        <v>50.626063173101777</v>
      </c>
      <c r="AG721" s="2">
        <f ca="1"/>
        <v>0.19870813660817888</v>
      </c>
      <c r="AH721" s="2" t="str">
        <f ca="1"/>
        <v>OK</v>
      </c>
    </row>
    <row r="722" spans="2:34" x14ac:dyDescent="0.2">
      <c r="B722" s="2">
        <f ca="1"/>
        <v>0.55352487510691373</v>
      </c>
      <c r="O722" s="2">
        <f ca="1"/>
        <v>-3.8562221082346713E-2</v>
      </c>
      <c r="X722" s="2">
        <f ca="1"/>
        <v>74.793566185724515</v>
      </c>
      <c r="AG722" s="2">
        <f ca="1"/>
        <v>0.39106827286624912</v>
      </c>
      <c r="AH722" s="2" t="str">
        <f ca="1"/>
        <v>OK</v>
      </c>
    </row>
    <row r="723" spans="2:34" x14ac:dyDescent="0.2">
      <c r="B723" s="2">
        <f ca="1"/>
        <v>0.82414208771084452</v>
      </c>
      <c r="O723" s="2">
        <f ca="1"/>
        <v>0.18025468410006845</v>
      </c>
      <c r="X723" s="2">
        <f ca="1"/>
        <v>30.771510686669931</v>
      </c>
      <c r="AG723" s="2">
        <f ca="1"/>
        <v>0.75658041004607357</v>
      </c>
      <c r="AH723" s="2" t="str">
        <f ca="1"/>
        <v>Bad</v>
      </c>
    </row>
    <row r="724" spans="2:34" x14ac:dyDescent="0.2">
      <c r="B724" s="2">
        <f ca="1"/>
        <v>0.13877843190917138</v>
      </c>
      <c r="O724" s="2">
        <f ca="1"/>
        <v>0.377836585926347</v>
      </c>
      <c r="X724" s="2">
        <f ca="1"/>
        <v>62.740575350935885</v>
      </c>
      <c r="AG724" s="2">
        <f ca="1"/>
        <v>0.48984536789616495</v>
      </c>
      <c r="AH724" s="2" t="str">
        <f ca="1"/>
        <v>Bad</v>
      </c>
    </row>
    <row r="725" spans="2:34" x14ac:dyDescent="0.2">
      <c r="B725" s="2">
        <f ca="1"/>
        <v>9.552974559068339E-4</v>
      </c>
      <c r="O725" s="2">
        <f ca="1"/>
        <v>1.7000298757559102</v>
      </c>
      <c r="X725" s="2">
        <f ca="1"/>
        <v>43.770304194003202</v>
      </c>
      <c r="AG725" s="2">
        <f ca="1"/>
        <v>0.61018956137496416</v>
      </c>
      <c r="AH725" s="2" t="str">
        <f ca="1"/>
        <v>Bad</v>
      </c>
    </row>
    <row r="726" spans="2:34" x14ac:dyDescent="0.2">
      <c r="B726" s="2">
        <f ca="1"/>
        <v>0.46804372633221036</v>
      </c>
      <c r="O726" s="2">
        <f ca="1"/>
        <v>-0.19215082889500101</v>
      </c>
      <c r="X726" s="2">
        <f ca="1"/>
        <v>30.095892639144939</v>
      </c>
      <c r="AG726" s="2">
        <f ca="1"/>
        <v>0.9685558070794611</v>
      </c>
      <c r="AH726" s="2" t="str">
        <f ca="1"/>
        <v>Bad</v>
      </c>
    </row>
    <row r="727" spans="2:34" x14ac:dyDescent="0.2">
      <c r="B727" s="2">
        <f ca="1"/>
        <v>0.38144922920510083</v>
      </c>
      <c r="O727" s="2">
        <f ca="1"/>
        <v>-1.6199570643596219</v>
      </c>
      <c r="X727" s="2">
        <f ca="1"/>
        <v>69.171457186069745</v>
      </c>
      <c r="AG727" s="2">
        <f ca="1"/>
        <v>0.23959194884543344</v>
      </c>
      <c r="AH727" s="2" t="str">
        <f ca="1"/>
        <v>OK</v>
      </c>
    </row>
    <row r="728" spans="2:34" x14ac:dyDescent="0.2">
      <c r="B728" s="2">
        <f ca="1"/>
        <v>0.40481448793015895</v>
      </c>
      <c r="O728" s="2">
        <f ca="1"/>
        <v>0.69637568900738689</v>
      </c>
      <c r="X728" s="2">
        <f ca="1"/>
        <v>18.20468801215247</v>
      </c>
      <c r="AG728" s="2">
        <f ca="1"/>
        <v>0.42038188189839798</v>
      </c>
      <c r="AH728" s="2" t="str">
        <f ca="1"/>
        <v>Bad</v>
      </c>
    </row>
    <row r="729" spans="2:34" x14ac:dyDescent="0.2">
      <c r="B729" s="2">
        <f ca="1"/>
        <v>0.8842600902762483</v>
      </c>
      <c r="O729" s="2">
        <f ca="1"/>
        <v>1.1643735900137508</v>
      </c>
      <c r="X729" s="2">
        <f ca="1"/>
        <v>28.518725573866547</v>
      </c>
      <c r="AG729" s="2">
        <f ca="1"/>
        <v>0.27926153893472128</v>
      </c>
      <c r="AH729" s="2" t="str">
        <f ca="1"/>
        <v>OK</v>
      </c>
    </row>
    <row r="730" spans="2:34" x14ac:dyDescent="0.2">
      <c r="B730" s="2">
        <f ca="1"/>
        <v>0.62522990774202047</v>
      </c>
      <c r="O730" s="2">
        <f ca="1"/>
        <v>2.3451565888894144</v>
      </c>
      <c r="X730" s="2">
        <f ca="1"/>
        <v>26.036014910463535</v>
      </c>
      <c r="AG730" s="2">
        <f ca="1"/>
        <v>0.33015985176262963</v>
      </c>
      <c r="AH730" s="2" t="str">
        <f ca="1"/>
        <v>OK</v>
      </c>
    </row>
    <row r="731" spans="2:34" x14ac:dyDescent="0.2">
      <c r="B731" s="2">
        <f ca="1"/>
        <v>0.17487016887441209</v>
      </c>
      <c r="O731" s="2">
        <f ca="1"/>
        <v>0.54572606636481003</v>
      </c>
      <c r="X731" s="2">
        <f ca="1"/>
        <v>65.732507256486002</v>
      </c>
      <c r="AG731" s="2">
        <f ca="1"/>
        <v>0.70425824756803124</v>
      </c>
      <c r="AH731" s="2" t="str">
        <f ca="1"/>
        <v>Bad</v>
      </c>
    </row>
    <row r="732" spans="2:34" x14ac:dyDescent="0.2">
      <c r="B732" s="2">
        <f ca="1"/>
        <v>0.49776112496472247</v>
      </c>
      <c r="O732" s="2">
        <f ca="1"/>
        <v>1.0874905615557633</v>
      </c>
      <c r="X732" s="2">
        <f ca="1"/>
        <v>36.836066335457801</v>
      </c>
      <c r="AG732" s="2">
        <f ca="1"/>
        <v>0.52525060526719525</v>
      </c>
      <c r="AH732" s="2" t="str">
        <f ca="1"/>
        <v>Bad</v>
      </c>
    </row>
    <row r="733" spans="2:34" x14ac:dyDescent="0.2">
      <c r="B733" s="2">
        <f ca="1"/>
        <v>0.14233456583975101</v>
      </c>
      <c r="O733" s="2">
        <f ca="1"/>
        <v>-0.97398036234638419</v>
      </c>
      <c r="X733" s="2">
        <f ca="1"/>
        <v>59.301004060615945</v>
      </c>
      <c r="AG733" s="2">
        <f ca="1"/>
        <v>6.9077147378912018E-2</v>
      </c>
      <c r="AH733" s="2" t="str">
        <f ca="1"/>
        <v>OK</v>
      </c>
    </row>
    <row r="734" spans="2:34" x14ac:dyDescent="0.2">
      <c r="B734" s="2">
        <f ca="1"/>
        <v>0.70497982778344914</v>
      </c>
      <c r="O734" s="2">
        <f ca="1"/>
        <v>0.191725836097627</v>
      </c>
      <c r="X734" s="2">
        <f ca="1"/>
        <v>46.028812947813769</v>
      </c>
      <c r="AG734" s="2">
        <f ca="1"/>
        <v>0.99299223119852709</v>
      </c>
      <c r="AH734" s="2" t="str">
        <f ca="1"/>
        <v>Bad</v>
      </c>
    </row>
    <row r="735" spans="2:34" x14ac:dyDescent="0.2">
      <c r="B735" s="2">
        <f ca="1"/>
        <v>0.56601336902412558</v>
      </c>
      <c r="O735" s="2">
        <f ca="1"/>
        <v>-1.9540351977114172</v>
      </c>
      <c r="X735" s="2">
        <f ca="1"/>
        <v>64.272889191080878</v>
      </c>
      <c r="AG735" s="2">
        <f ca="1"/>
        <v>0.85406496834703494</v>
      </c>
      <c r="AH735" s="2" t="str">
        <f ca="1"/>
        <v>Bad</v>
      </c>
    </row>
    <row r="736" spans="2:34" x14ac:dyDescent="0.2">
      <c r="B736" s="2">
        <f ca="1"/>
        <v>0.99892733237979248</v>
      </c>
      <c r="O736" s="2">
        <f ca="1"/>
        <v>-0.68611631752698343</v>
      </c>
      <c r="X736" s="2">
        <f ca="1"/>
        <v>43.923497821454447</v>
      </c>
      <c r="AG736" s="2">
        <f ca="1"/>
        <v>0.34443170363502484</v>
      </c>
      <c r="AH736" s="2" t="str">
        <f ca="1"/>
        <v>OK</v>
      </c>
    </row>
    <row r="737" spans="2:34" x14ac:dyDescent="0.2">
      <c r="B737" s="2">
        <f ca="1"/>
        <v>0.14540741759888043</v>
      </c>
      <c r="O737" s="2">
        <f ca="1"/>
        <v>0.36273092400644386</v>
      </c>
      <c r="X737" s="2">
        <f ca="1"/>
        <v>43.119462986029902</v>
      </c>
      <c r="AG737" s="2">
        <f ca="1"/>
        <v>0.28346195608265057</v>
      </c>
      <c r="AH737" s="2" t="str">
        <f ca="1"/>
        <v>OK</v>
      </c>
    </row>
    <row r="738" spans="2:34" x14ac:dyDescent="0.2">
      <c r="B738" s="2">
        <f ca="1"/>
        <v>0.25805006773053663</v>
      </c>
      <c r="O738" s="2">
        <f ca="1"/>
        <v>9.5675920002684475E-2</v>
      </c>
      <c r="X738" s="2">
        <f ca="1"/>
        <v>43.0670545404395</v>
      </c>
      <c r="AG738" s="2">
        <f ca="1"/>
        <v>0.63999734366319716</v>
      </c>
      <c r="AH738" s="2" t="str">
        <f ca="1"/>
        <v>Bad</v>
      </c>
    </row>
    <row r="739" spans="2:34" x14ac:dyDescent="0.2">
      <c r="B739" s="2">
        <f ca="1"/>
        <v>0.73560570196674457</v>
      </c>
      <c r="O739" s="2">
        <f ca="1"/>
        <v>1.4719447444445608</v>
      </c>
      <c r="X739" s="2">
        <f ca="1"/>
        <v>47.649713632622692</v>
      </c>
      <c r="AG739" s="2">
        <f ca="1"/>
        <v>0.51068193773268722</v>
      </c>
      <c r="AH739" s="2" t="str">
        <f ca="1"/>
        <v>Bad</v>
      </c>
    </row>
    <row r="740" spans="2:34" x14ac:dyDescent="0.2">
      <c r="B740" s="2">
        <f ca="1"/>
        <v>0.58788365821888311</v>
      </c>
      <c r="O740" s="2">
        <f ca="1"/>
        <v>4.6653154118157601E-3</v>
      </c>
      <c r="X740" s="2">
        <f ca="1"/>
        <v>45.447389593509612</v>
      </c>
      <c r="AG740" s="2">
        <f ca="1"/>
        <v>4.5600723791075826E-2</v>
      </c>
      <c r="AH740" s="2" t="str">
        <f ca="1"/>
        <v>Good</v>
      </c>
    </row>
    <row r="741" spans="2:34" x14ac:dyDescent="0.2">
      <c r="B741" s="2">
        <f ca="1"/>
        <v>0.26651698545645708</v>
      </c>
      <c r="O741" s="2">
        <f ca="1"/>
        <v>-1.9726232593671009</v>
      </c>
      <c r="X741" s="2">
        <f ca="1"/>
        <v>51.670870705551486</v>
      </c>
      <c r="AG741" s="2">
        <f ca="1"/>
        <v>0.14955640651565361</v>
      </c>
      <c r="AH741" s="2" t="str">
        <f ca="1"/>
        <v>OK</v>
      </c>
    </row>
    <row r="742" spans="2:34" x14ac:dyDescent="0.2">
      <c r="B742" s="2">
        <f ca="1"/>
        <v>0.62368637178165254</v>
      </c>
      <c r="O742" s="2">
        <f ca="1"/>
        <v>-0.41100035625592712</v>
      </c>
      <c r="X742" s="2">
        <f ca="1"/>
        <v>50.392330168229435</v>
      </c>
      <c r="AG742" s="2">
        <f ca="1"/>
        <v>0.39612115148241944</v>
      </c>
      <c r="AH742" s="2" t="str">
        <f ca="1"/>
        <v>OK</v>
      </c>
    </row>
    <row r="743" spans="2:34" x14ac:dyDescent="0.2">
      <c r="B743" s="2">
        <f ca="1"/>
        <v>0.12904894219180085</v>
      </c>
      <c r="O743" s="2">
        <f ca="1"/>
        <v>-1.0919017449466124E-2</v>
      </c>
      <c r="X743" s="2">
        <f ca="1"/>
        <v>39.356615423946593</v>
      </c>
      <c r="AG743" s="2">
        <f ca="1"/>
        <v>0.70050217401195991</v>
      </c>
      <c r="AH743" s="2" t="str">
        <f ca="1"/>
        <v>Bad</v>
      </c>
    </row>
    <row r="744" spans="2:34" x14ac:dyDescent="0.2">
      <c r="B744" s="2">
        <f ca="1"/>
        <v>8.0728144652128853E-2</v>
      </c>
      <c r="O744" s="2">
        <f ca="1"/>
        <v>-1.5568179564054963</v>
      </c>
      <c r="X744" s="2">
        <f ca="1"/>
        <v>40.480891112090049</v>
      </c>
      <c r="AG744" s="2">
        <f ca="1"/>
        <v>0.65169096380617186</v>
      </c>
      <c r="AH744" s="2" t="str">
        <f ca="1"/>
        <v>Bad</v>
      </c>
    </row>
    <row r="745" spans="2:34" x14ac:dyDescent="0.2">
      <c r="B745" s="2">
        <f ca="1"/>
        <v>0.8700029650719403</v>
      </c>
      <c r="O745" s="2">
        <f ca="1"/>
        <v>-0.7740401603239796</v>
      </c>
      <c r="X745" s="2">
        <f ca="1"/>
        <v>64.637681071150311</v>
      </c>
      <c r="AG745" s="2">
        <f ca="1"/>
        <v>0.70668701687073399</v>
      </c>
      <c r="AH745" s="2" t="str">
        <f ca="1"/>
        <v>Bad</v>
      </c>
    </row>
    <row r="746" spans="2:34" x14ac:dyDescent="0.2">
      <c r="B746" s="2">
        <f ca="1"/>
        <v>0.1511147306747882</v>
      </c>
      <c r="O746" s="2">
        <f ca="1"/>
        <v>-0.35943084688604798</v>
      </c>
      <c r="X746" s="2">
        <f ca="1"/>
        <v>27.771217295051052</v>
      </c>
      <c r="AG746" s="2">
        <f ca="1"/>
        <v>0.75932812019879981</v>
      </c>
      <c r="AH746" s="2" t="str">
        <f ca="1"/>
        <v>Bad</v>
      </c>
    </row>
    <row r="747" spans="2:34" x14ac:dyDescent="0.2">
      <c r="B747" s="2">
        <f ca="1"/>
        <v>0.94203041809835586</v>
      </c>
      <c r="O747" s="2">
        <f ca="1"/>
        <v>-0.32228671230352623</v>
      </c>
      <c r="X747" s="2">
        <f ca="1"/>
        <v>33.056369012894976</v>
      </c>
      <c r="AG747" s="2">
        <f ca="1"/>
        <v>0.36528068675286929</v>
      </c>
      <c r="AH747" s="2" t="str">
        <f ca="1"/>
        <v>OK</v>
      </c>
    </row>
    <row r="748" spans="2:34" x14ac:dyDescent="0.2">
      <c r="B748" s="2">
        <f ca="1"/>
        <v>0.8709735474166318</v>
      </c>
      <c r="O748" s="2">
        <f ca="1"/>
        <v>1.0790876748249472</v>
      </c>
      <c r="X748" s="2">
        <f ca="1"/>
        <v>58.578141988097386</v>
      </c>
      <c r="AG748" s="2">
        <f ca="1"/>
        <v>0.79142041307493227</v>
      </c>
      <c r="AH748" s="2" t="str">
        <f ca="1"/>
        <v>Bad</v>
      </c>
    </row>
    <row r="749" spans="2:34" x14ac:dyDescent="0.2">
      <c r="B749" s="2">
        <f ca="1"/>
        <v>0.56858164128393529</v>
      </c>
      <c r="O749" s="2">
        <f ca="1"/>
        <v>1.7355871621848868</v>
      </c>
      <c r="X749" s="2">
        <f ca="1"/>
        <v>52.676549471416941</v>
      </c>
      <c r="AG749" s="2">
        <f ca="1"/>
        <v>0.64415787415497117</v>
      </c>
      <c r="AH749" s="2" t="str">
        <f ca="1"/>
        <v>Bad</v>
      </c>
    </row>
    <row r="750" spans="2:34" x14ac:dyDescent="0.2">
      <c r="B750" s="2">
        <f ca="1"/>
        <v>0.15820419989926271</v>
      </c>
      <c r="O750" s="2">
        <f ca="1"/>
        <v>-8.7567475832754552E-2</v>
      </c>
      <c r="X750" s="2">
        <f ca="1"/>
        <v>56.711703937078653</v>
      </c>
      <c r="AG750" s="2">
        <f ca="1"/>
        <v>0.624119168768549</v>
      </c>
      <c r="AH750" s="2" t="str">
        <f ca="1"/>
        <v>Bad</v>
      </c>
    </row>
    <row r="751" spans="2:34" x14ac:dyDescent="0.2">
      <c r="B751" s="2">
        <f ca="1"/>
        <v>0.48824940063106781</v>
      </c>
      <c r="O751" s="2">
        <f ca="1"/>
        <v>-0.62835267310834497</v>
      </c>
      <c r="X751" s="2">
        <f ca="1"/>
        <v>44.120475803633823</v>
      </c>
      <c r="AG751" s="2">
        <f ca="1"/>
        <v>1.317784640101527E-2</v>
      </c>
      <c r="AH751" s="2" t="str">
        <f ca="1"/>
        <v>Good</v>
      </c>
    </row>
    <row r="752" spans="2:34" x14ac:dyDescent="0.2">
      <c r="B752" s="2">
        <f ca="1"/>
        <v>0.40455748383568491</v>
      </c>
      <c r="O752" s="2">
        <f ca="1"/>
        <v>0.71112378346087424</v>
      </c>
      <c r="X752" s="2">
        <f ca="1"/>
        <v>53.465347564025578</v>
      </c>
      <c r="AG752" s="2">
        <f ca="1"/>
        <v>0.71053902498770083</v>
      </c>
      <c r="AH752" s="2" t="str">
        <f ca="1"/>
        <v>Bad</v>
      </c>
    </row>
    <row r="753" spans="2:34" x14ac:dyDescent="0.2">
      <c r="B753" s="2">
        <f ca="1"/>
        <v>0.65090497727807728</v>
      </c>
      <c r="O753" s="2">
        <f ca="1"/>
        <v>0.23147550996431476</v>
      </c>
      <c r="X753" s="2">
        <f ca="1"/>
        <v>48.214392399059477</v>
      </c>
      <c r="AG753" s="2">
        <f ca="1"/>
        <v>0.10063508421822354</v>
      </c>
      <c r="AH753" s="2" t="str">
        <f ca="1"/>
        <v>OK</v>
      </c>
    </row>
    <row r="754" spans="2:34" x14ac:dyDescent="0.2">
      <c r="B754" s="2">
        <f ca="1"/>
        <v>0.2428512261640341</v>
      </c>
      <c r="O754" s="2">
        <f ca="1"/>
        <v>0.2759339026389131</v>
      </c>
      <c r="X754" s="2">
        <f ca="1"/>
        <v>46.329179663022444</v>
      </c>
      <c r="AG754" s="2">
        <f ca="1"/>
        <v>0.38140070374254509</v>
      </c>
      <c r="AH754" s="2" t="str">
        <f ca="1"/>
        <v>OK</v>
      </c>
    </row>
    <row r="755" spans="2:34" x14ac:dyDescent="0.2">
      <c r="B755" s="2">
        <f ca="1"/>
        <v>0.34087871940003112</v>
      </c>
      <c r="O755" s="2">
        <f ca="1"/>
        <v>0.31637567131477246</v>
      </c>
      <c r="X755" s="2">
        <f ca="1"/>
        <v>77.802435297622324</v>
      </c>
      <c r="AG755" s="2">
        <f ca="1"/>
        <v>0.32895114578969475</v>
      </c>
      <c r="AH755" s="2" t="str">
        <f ca="1"/>
        <v>OK</v>
      </c>
    </row>
    <row r="756" spans="2:34" x14ac:dyDescent="0.2">
      <c r="B756" s="2">
        <f ca="1"/>
        <v>0.79489359786589708</v>
      </c>
      <c r="O756" s="2">
        <f ca="1"/>
        <v>-2.4305714233662048</v>
      </c>
      <c r="X756" s="2">
        <f ca="1"/>
        <v>50.465768006681003</v>
      </c>
      <c r="AG756" s="2">
        <f ca="1"/>
        <v>0.35384561158215866</v>
      </c>
      <c r="AH756" s="2" t="str">
        <f ca="1"/>
        <v>OK</v>
      </c>
    </row>
    <row r="757" spans="2:34" x14ac:dyDescent="0.2">
      <c r="B757" s="2">
        <f ca="1"/>
        <v>1.5377190934648288E-2</v>
      </c>
      <c r="O757" s="2">
        <f ca="1"/>
        <v>-1.7102373382739915</v>
      </c>
      <c r="X757" s="2">
        <f ca="1"/>
        <v>49.585763943666677</v>
      </c>
      <c r="AG757" s="2">
        <f ca="1"/>
        <v>0.81695052019473091</v>
      </c>
      <c r="AH757" s="2" t="str">
        <f ca="1"/>
        <v>Bad</v>
      </c>
    </row>
    <row r="758" spans="2:34" x14ac:dyDescent="0.2">
      <c r="B758" s="2">
        <f ca="1"/>
        <v>0.56434043213099261</v>
      </c>
      <c r="O758" s="2">
        <f ca="1"/>
        <v>-0.3228048683694848</v>
      </c>
      <c r="X758" s="2">
        <f ca="1"/>
        <v>50.239816640629456</v>
      </c>
      <c r="AG758" s="2">
        <f ca="1"/>
        <v>0.82322743679675381</v>
      </c>
      <c r="AH758" s="2" t="str">
        <f ca="1"/>
        <v>Bad</v>
      </c>
    </row>
    <row r="759" spans="2:34" x14ac:dyDescent="0.2">
      <c r="B759" s="2">
        <f ca="1"/>
        <v>0.52694172665359251</v>
      </c>
      <c r="O759" s="2">
        <f ca="1"/>
        <v>1.7720759863852689</v>
      </c>
      <c r="X759" s="2">
        <f ca="1"/>
        <v>47.360602652543889</v>
      </c>
      <c r="AG759" s="2">
        <f ca="1"/>
        <v>0.56460876322106657</v>
      </c>
      <c r="AH759" s="2" t="str">
        <f ca="1"/>
        <v>Bad</v>
      </c>
    </row>
    <row r="760" spans="2:34" x14ac:dyDescent="0.2">
      <c r="B760" s="2">
        <f ca="1"/>
        <v>0.74419120550437468</v>
      </c>
      <c r="O760" s="2">
        <f ca="1"/>
        <v>-0.27920631082937336</v>
      </c>
      <c r="X760" s="2">
        <f ca="1"/>
        <v>29.338400954037922</v>
      </c>
      <c r="AG760" s="2">
        <f ca="1"/>
        <v>0.57498640515847232</v>
      </c>
      <c r="AH760" s="2" t="str">
        <f ca="1"/>
        <v>Bad</v>
      </c>
    </row>
    <row r="761" spans="2:34" x14ac:dyDescent="0.2">
      <c r="B761" s="2">
        <f ca="1"/>
        <v>0.47106507665290431</v>
      </c>
      <c r="O761" s="2">
        <f ca="1"/>
        <v>1.5478873742277368</v>
      </c>
      <c r="X761" s="2">
        <f ca="1"/>
        <v>52.891988462875872</v>
      </c>
      <c r="AG761" s="2">
        <f ca="1"/>
        <v>0.17676764893677044</v>
      </c>
      <c r="AH761" s="2" t="str">
        <f ca="1"/>
        <v>OK</v>
      </c>
    </row>
    <row r="762" spans="2:34" x14ac:dyDescent="0.2">
      <c r="B762" s="2">
        <f ca="1"/>
        <v>0.56486663917187285</v>
      </c>
      <c r="O762" s="2">
        <f ca="1"/>
        <v>-0.64217805516011017</v>
      </c>
      <c r="X762" s="2">
        <f ca="1"/>
        <v>50.173193874174771</v>
      </c>
      <c r="AG762" s="2">
        <f ca="1"/>
        <v>0.6249147473797676</v>
      </c>
      <c r="AH762" s="2" t="str">
        <f ca="1"/>
        <v>Bad</v>
      </c>
    </row>
    <row r="763" spans="2:34" x14ac:dyDescent="0.2">
      <c r="B763" s="2">
        <f ca="1"/>
        <v>0.1843342894895863</v>
      </c>
      <c r="O763" s="2">
        <f ca="1"/>
        <v>0.28812862886176266</v>
      </c>
      <c r="X763" s="2">
        <f ca="1"/>
        <v>62.224610921484455</v>
      </c>
      <c r="AG763" s="2">
        <f ca="1"/>
        <v>0.93524421156459603</v>
      </c>
      <c r="AH763" s="2" t="str">
        <f ca="1"/>
        <v>Bad</v>
      </c>
    </row>
    <row r="764" spans="2:34" x14ac:dyDescent="0.2">
      <c r="B764" s="2">
        <f ca="1"/>
        <v>0.49799260081253793</v>
      </c>
      <c r="O764" s="2">
        <f ca="1"/>
        <v>-0.28483459699521518</v>
      </c>
      <c r="X764" s="2">
        <f ca="1"/>
        <v>58.345354193966045</v>
      </c>
      <c r="AG764" s="2">
        <f ca="1"/>
        <v>0.4129018380555185</v>
      </c>
      <c r="AH764" s="2" t="str">
        <f ca="1"/>
        <v>Bad</v>
      </c>
    </row>
    <row r="765" spans="2:34" x14ac:dyDescent="0.2">
      <c r="B765" s="2">
        <f ca="1"/>
        <v>0.18985521955659168</v>
      </c>
      <c r="O765" s="2">
        <f ca="1"/>
        <v>0.69872904192492558</v>
      </c>
      <c r="X765" s="2">
        <f ca="1"/>
        <v>63.092473721335061</v>
      </c>
      <c r="AG765" s="2">
        <f ca="1"/>
        <v>0.36144200448359243</v>
      </c>
      <c r="AH765" s="2" t="str">
        <f ca="1"/>
        <v>OK</v>
      </c>
    </row>
    <row r="766" spans="2:34" x14ac:dyDescent="0.2">
      <c r="B766" s="2">
        <f ca="1"/>
        <v>0.67626555705811864</v>
      </c>
      <c r="O766" s="2">
        <f ca="1"/>
        <v>-1.0068607566129344</v>
      </c>
      <c r="X766" s="2">
        <f ca="1"/>
        <v>52.330624271722584</v>
      </c>
      <c r="AG766" s="2">
        <f ca="1"/>
        <v>0.72384905445020586</v>
      </c>
      <c r="AH766" s="2" t="str">
        <f ca="1"/>
        <v>Bad</v>
      </c>
    </row>
    <row r="767" spans="2:34" x14ac:dyDescent="0.2">
      <c r="B767" s="2">
        <f ca="1"/>
        <v>0.18504496137564219</v>
      </c>
      <c r="O767" s="2">
        <f ca="1"/>
        <v>1.6525396457768808</v>
      </c>
      <c r="X767" s="2">
        <f ca="1"/>
        <v>47.65135080978726</v>
      </c>
      <c r="AG767" s="2">
        <f ca="1"/>
        <v>0.190912402785681</v>
      </c>
      <c r="AH767" s="2" t="str">
        <f ca="1"/>
        <v>OK</v>
      </c>
    </row>
    <row r="768" spans="2:34" x14ac:dyDescent="0.2">
      <c r="B768" s="2">
        <f ca="1"/>
        <v>0.7745417861080488</v>
      </c>
      <c r="O768" s="2">
        <f ca="1"/>
        <v>1.056689032333431</v>
      </c>
      <c r="X768" s="2">
        <f ca="1"/>
        <v>75.047335945553129</v>
      </c>
      <c r="AG768" s="2">
        <f ca="1"/>
        <v>0.81795232575776011</v>
      </c>
      <c r="AH768" s="2" t="str">
        <f ca="1"/>
        <v>Bad</v>
      </c>
    </row>
    <row r="769" spans="2:34" x14ac:dyDescent="0.2">
      <c r="B769" s="2">
        <f ca="1"/>
        <v>0.35630432391498568</v>
      </c>
      <c r="O769" s="2">
        <f ca="1"/>
        <v>0.48130940778286851</v>
      </c>
      <c r="X769" s="2">
        <f ca="1"/>
        <v>37.421936023816535</v>
      </c>
      <c r="AG769" s="2">
        <f ca="1"/>
        <v>0.48726355417828726</v>
      </c>
      <c r="AH769" s="2" t="str">
        <f ca="1"/>
        <v>Bad</v>
      </c>
    </row>
    <row r="770" spans="2:34" x14ac:dyDescent="0.2">
      <c r="B770" s="2">
        <f ca="1"/>
        <v>0.90233003435823234</v>
      </c>
      <c r="O770" s="2">
        <f ca="1"/>
        <v>0.38586857917410106</v>
      </c>
      <c r="X770" s="2">
        <f ca="1"/>
        <v>74.401948524633909</v>
      </c>
      <c r="AG770" s="2">
        <f ca="1"/>
        <v>0.46791410345914852</v>
      </c>
      <c r="AH770" s="2" t="str">
        <f ca="1"/>
        <v>Bad</v>
      </c>
    </row>
    <row r="771" spans="2:34" x14ac:dyDescent="0.2">
      <c r="B771" s="2">
        <f ca="1"/>
        <v>1.5304547144705083E-2</v>
      </c>
      <c r="O771" s="2">
        <f ca="1"/>
        <v>-0.24074737840543764</v>
      </c>
      <c r="X771" s="2">
        <f ca="1"/>
        <v>63.055370541989575</v>
      </c>
      <c r="AG771" s="2">
        <f ca="1"/>
        <v>0.21843084664402679</v>
      </c>
      <c r="AH771" s="2" t="str">
        <f ca="1"/>
        <v>OK</v>
      </c>
    </row>
    <row r="772" spans="2:34" x14ac:dyDescent="0.2">
      <c r="B772" s="2">
        <f ca="1"/>
        <v>0.99453096213114156</v>
      </c>
      <c r="O772" s="2">
        <f ca="1"/>
        <v>-1.1375668128037579</v>
      </c>
      <c r="X772" s="2">
        <f ca="1"/>
        <v>51.474458216286635</v>
      </c>
      <c r="AG772" s="2">
        <f ca="1"/>
        <v>0.15182227605274323</v>
      </c>
      <c r="AH772" s="2" t="str">
        <f ca="1"/>
        <v>OK</v>
      </c>
    </row>
    <row r="773" spans="2:34" x14ac:dyDescent="0.2">
      <c r="B773" s="2">
        <f ca="1"/>
        <v>0.83059963879601439</v>
      </c>
      <c r="O773" s="2">
        <f ca="1"/>
        <v>0.42124297375700914</v>
      </c>
      <c r="X773" s="2">
        <f ca="1"/>
        <v>38.339135619416098</v>
      </c>
      <c r="AG773" s="2">
        <f ca="1"/>
        <v>0.51026825552976285</v>
      </c>
      <c r="AH773" s="2" t="str">
        <f ca="1"/>
        <v>Bad</v>
      </c>
    </row>
    <row r="774" spans="2:34" x14ac:dyDescent="0.2">
      <c r="B774" s="2">
        <f ca="1"/>
        <v>0.15428705714861568</v>
      </c>
      <c r="O774" s="2">
        <f ca="1"/>
        <v>0.54740868413442723</v>
      </c>
      <c r="X774" s="2">
        <f ca="1"/>
        <v>55.725944856283654</v>
      </c>
      <c r="AG774" s="2">
        <f ca="1"/>
        <v>0.9558300678793481</v>
      </c>
      <c r="AH774" s="2" t="str">
        <f ca="1"/>
        <v>Bad</v>
      </c>
    </row>
    <row r="775" spans="2:34" x14ac:dyDescent="0.2">
      <c r="B775" s="2">
        <f ca="1"/>
        <v>0.11742494375432755</v>
      </c>
      <c r="O775" s="2">
        <f ca="1"/>
        <v>-0.30467668481799115</v>
      </c>
      <c r="X775" s="2">
        <f ca="1"/>
        <v>41.034665951624952</v>
      </c>
      <c r="AG775" s="2">
        <f ca="1"/>
        <v>0.9377222856656755</v>
      </c>
      <c r="AH775" s="2" t="str">
        <f ca="1"/>
        <v>Bad</v>
      </c>
    </row>
    <row r="776" spans="2:34" x14ac:dyDescent="0.2">
      <c r="B776" s="2">
        <f ca="1"/>
        <v>0.85981458045867742</v>
      </c>
      <c r="O776" s="2">
        <f ca="1"/>
        <v>0.82304297195779197</v>
      </c>
      <c r="X776" s="2">
        <f ca="1"/>
        <v>45.031589100409406</v>
      </c>
      <c r="AG776" s="2">
        <f ca="1"/>
        <v>0.80382928313923552</v>
      </c>
      <c r="AH776" s="2" t="str">
        <f ca="1"/>
        <v>Bad</v>
      </c>
    </row>
    <row r="777" spans="2:34" x14ac:dyDescent="0.2">
      <c r="B777" s="2">
        <f ca="1"/>
        <v>0.63710634233628993</v>
      </c>
      <c r="O777" s="2">
        <f ca="1"/>
        <v>-0.84559608480856885</v>
      </c>
      <c r="X777" s="2">
        <f ca="1"/>
        <v>44.121640886264672</v>
      </c>
      <c r="AG777" s="2">
        <f ca="1"/>
        <v>0.5844837085054615</v>
      </c>
      <c r="AH777" s="2" t="str">
        <f ca="1"/>
        <v>Bad</v>
      </c>
    </row>
    <row r="778" spans="2:34" x14ac:dyDescent="0.2">
      <c r="B778" s="2">
        <f ca="1"/>
        <v>0.22289921750743935</v>
      </c>
      <c r="O778" s="2">
        <f ca="1"/>
        <v>0.94612503070205123</v>
      </c>
      <c r="X778" s="2">
        <f ca="1"/>
        <v>57.899548101253735</v>
      </c>
      <c r="AG778" s="2">
        <f ca="1"/>
        <v>0.53218590451347647</v>
      </c>
      <c r="AH778" s="2" t="str">
        <f ca="1"/>
        <v>Bad</v>
      </c>
    </row>
    <row r="779" spans="2:34" x14ac:dyDescent="0.2">
      <c r="B779" s="2">
        <f ca="1"/>
        <v>0.15867480612725204</v>
      </c>
      <c r="O779" s="2">
        <f ca="1"/>
        <v>8.0825411724882959E-2</v>
      </c>
      <c r="X779" s="2">
        <f ca="1"/>
        <v>57.578195020537748</v>
      </c>
      <c r="AG779" s="2">
        <f ca="1"/>
        <v>0.28394454254611778</v>
      </c>
      <c r="AH779" s="2" t="str">
        <f ca="1"/>
        <v>OK</v>
      </c>
    </row>
    <row r="780" spans="2:34" x14ac:dyDescent="0.2">
      <c r="B780" s="2">
        <f ca="1"/>
        <v>0.11779577715061529</v>
      </c>
      <c r="O780" s="2">
        <f ca="1"/>
        <v>0.57198126200584654</v>
      </c>
      <c r="X780" s="2">
        <f ca="1"/>
        <v>37.771218786956481</v>
      </c>
      <c r="AG780" s="2">
        <f ca="1"/>
        <v>5.2497388433745629E-2</v>
      </c>
      <c r="AH780" s="2" t="str">
        <f ca="1"/>
        <v>OK</v>
      </c>
    </row>
    <row r="781" spans="2:34" x14ac:dyDescent="0.2">
      <c r="B781" s="2">
        <f ca="1"/>
        <v>0.29100375346393847</v>
      </c>
      <c r="O781" s="2">
        <f ca="1"/>
        <v>0.34789420937803445</v>
      </c>
      <c r="X781" s="2">
        <f ca="1"/>
        <v>42.428360508273748</v>
      </c>
      <c r="AG781" s="2">
        <f ca="1"/>
        <v>0.12710226898381016</v>
      </c>
      <c r="AH781" s="2" t="str">
        <f ca="1"/>
        <v>OK</v>
      </c>
    </row>
    <row r="782" spans="2:34" x14ac:dyDescent="0.2">
      <c r="B782" s="2">
        <f ca="1"/>
        <v>0.90985023577237167</v>
      </c>
      <c r="O782" s="2">
        <f ca="1"/>
        <v>0.93079335812503305</v>
      </c>
      <c r="X782" s="2">
        <f ca="1"/>
        <v>47.172076527843601</v>
      </c>
      <c r="AG782" s="2">
        <f ca="1"/>
        <v>0.50348787233254755</v>
      </c>
      <c r="AH782" s="2" t="str">
        <f ca="1"/>
        <v>Bad</v>
      </c>
    </row>
    <row r="783" spans="2:34" x14ac:dyDescent="0.2">
      <c r="B783" s="2">
        <f ca="1"/>
        <v>0.20619880841368365</v>
      </c>
      <c r="O783" s="2">
        <f ca="1"/>
        <v>-0.92325143804127152</v>
      </c>
      <c r="X783" s="2">
        <f ca="1"/>
        <v>55.962817096523978</v>
      </c>
      <c r="AG783" s="2">
        <f ca="1"/>
        <v>0.27070310491107019</v>
      </c>
      <c r="AH783" s="2" t="str">
        <f ca="1"/>
        <v>OK</v>
      </c>
    </row>
    <row r="784" spans="2:34" x14ac:dyDescent="0.2">
      <c r="B784" s="2">
        <f ca="1"/>
        <v>0.93880923295559393</v>
      </c>
      <c r="O784" s="2">
        <f ca="1"/>
        <v>1.2402182991767436</v>
      </c>
      <c r="X784" s="2">
        <f ca="1"/>
        <v>13.727216310584842</v>
      </c>
      <c r="AG784" s="2">
        <f ca="1"/>
        <v>0.56558260700706087</v>
      </c>
      <c r="AH784" s="2" t="str">
        <f ca="1"/>
        <v>Bad</v>
      </c>
    </row>
    <row r="785" spans="2:34" x14ac:dyDescent="0.2">
      <c r="B785" s="2">
        <f ca="1"/>
        <v>0.81605292451770017</v>
      </c>
      <c r="O785" s="2">
        <f ca="1"/>
        <v>-0.33474278682237663</v>
      </c>
      <c r="X785" s="2">
        <f ca="1"/>
        <v>47.015829032451705</v>
      </c>
      <c r="AG785" s="2">
        <f ca="1"/>
        <v>0.78778948988345299</v>
      </c>
      <c r="AH785" s="2" t="str">
        <f ca="1"/>
        <v>Bad</v>
      </c>
    </row>
    <row r="786" spans="2:34" x14ac:dyDescent="0.2">
      <c r="B786" s="2">
        <f ca="1"/>
        <v>0.33523184422285635</v>
      </c>
      <c r="O786" s="2">
        <f ca="1"/>
        <v>-1.7731434342829204</v>
      </c>
      <c r="X786" s="2">
        <f ca="1"/>
        <v>35.417733498168175</v>
      </c>
      <c r="AG786" s="2">
        <f ca="1"/>
        <v>0.65719122534268282</v>
      </c>
      <c r="AH786" s="2" t="str">
        <f ca="1"/>
        <v>Bad</v>
      </c>
    </row>
    <row r="787" spans="2:34" x14ac:dyDescent="0.2">
      <c r="B787" s="2">
        <f ca="1"/>
        <v>0.2488659582732784</v>
      </c>
      <c r="O787" s="2">
        <f ca="1"/>
        <v>0.84232516468979923</v>
      </c>
      <c r="X787" s="2">
        <f ca="1"/>
        <v>61.226944373057577</v>
      </c>
      <c r="AG787" s="2">
        <f ca="1"/>
        <v>0.61726121027433312</v>
      </c>
      <c r="AH787" s="2" t="str">
        <f ca="1"/>
        <v>Bad</v>
      </c>
    </row>
    <row r="788" spans="2:34" x14ac:dyDescent="0.2">
      <c r="B788" s="2">
        <f ca="1"/>
        <v>0.17292358738237112</v>
      </c>
      <c r="O788" s="2">
        <f ca="1"/>
        <v>-0.40876228240649537</v>
      </c>
      <c r="X788" s="2">
        <f ca="1"/>
        <v>28.853944775783042</v>
      </c>
      <c r="AG788" s="2">
        <f ca="1"/>
        <v>0.34172005078233503</v>
      </c>
      <c r="AH788" s="2" t="str">
        <f ca="1"/>
        <v>OK</v>
      </c>
    </row>
    <row r="789" spans="2:34" x14ac:dyDescent="0.2">
      <c r="B789" s="2">
        <f ca="1"/>
        <v>0.9196554490886204</v>
      </c>
      <c r="O789" s="2">
        <f ca="1"/>
        <v>-0.65245549533051495</v>
      </c>
      <c r="X789" s="2">
        <f ca="1"/>
        <v>58.365330336793804</v>
      </c>
      <c r="AG789" s="2">
        <f ca="1"/>
        <v>0.59225637784863938</v>
      </c>
      <c r="AH789" s="2" t="str">
        <f ca="1"/>
        <v>Bad</v>
      </c>
    </row>
    <row r="790" spans="2:34" x14ac:dyDescent="0.2">
      <c r="B790" s="2">
        <f ca="1"/>
        <v>0.18910301108590666</v>
      </c>
      <c r="O790" s="2">
        <f ca="1"/>
        <v>-0.42342727988853834</v>
      </c>
      <c r="X790" s="2">
        <f ca="1"/>
        <v>55.49866128330234</v>
      </c>
      <c r="AG790" s="2">
        <f ca="1"/>
        <v>0.41706929579402297</v>
      </c>
      <c r="AH790" s="2" t="str">
        <f ca="1"/>
        <v>Bad</v>
      </c>
    </row>
    <row r="791" spans="2:34" x14ac:dyDescent="0.2">
      <c r="B791" s="2">
        <f ca="1"/>
        <v>0.63484005271359378</v>
      </c>
      <c r="O791" s="2">
        <f ca="1"/>
        <v>0.42985265515241577</v>
      </c>
      <c r="X791" s="2">
        <f ca="1"/>
        <v>60.441984994988488</v>
      </c>
      <c r="AG791" s="2">
        <f ca="1"/>
        <v>0.47482807762018364</v>
      </c>
      <c r="AH791" s="2" t="str">
        <f ca="1"/>
        <v>Bad</v>
      </c>
    </row>
    <row r="792" spans="2:34" x14ac:dyDescent="0.2">
      <c r="B792" s="2">
        <f ca="1"/>
        <v>0.35432648973715164</v>
      </c>
      <c r="O792" s="2">
        <f ca="1"/>
        <v>0.42560416296833598</v>
      </c>
      <c r="X792" s="2">
        <f ca="1"/>
        <v>54.896481381360438</v>
      </c>
      <c r="AG792" s="2">
        <f ca="1"/>
        <v>0.59508165430738069</v>
      </c>
      <c r="AH792" s="2" t="str">
        <f ca="1"/>
        <v>Bad</v>
      </c>
    </row>
    <row r="793" spans="2:34" x14ac:dyDescent="0.2">
      <c r="B793" s="2">
        <f ca="1"/>
        <v>0.73873259439870487</v>
      </c>
      <c r="O793" s="2">
        <f ca="1"/>
        <v>-1.1376673805386599</v>
      </c>
      <c r="X793" s="2">
        <f ca="1"/>
        <v>65.757438479298756</v>
      </c>
      <c r="AG793" s="2">
        <f ca="1"/>
        <v>3.0673396271641007E-2</v>
      </c>
      <c r="AH793" s="2" t="str">
        <f ca="1"/>
        <v>Good</v>
      </c>
    </row>
    <row r="794" spans="2:34" x14ac:dyDescent="0.2">
      <c r="B794" s="2">
        <f ca="1"/>
        <v>5.8384019088564276E-3</v>
      </c>
      <c r="O794" s="2">
        <f ca="1"/>
        <v>1.2621375082875541</v>
      </c>
      <c r="X794" s="2">
        <f ca="1"/>
        <v>42.739779503326048</v>
      </c>
      <c r="AG794" s="2">
        <f ca="1"/>
        <v>0.63037872238675985</v>
      </c>
      <c r="AH794" s="2" t="str">
        <f ca="1"/>
        <v>Bad</v>
      </c>
    </row>
    <row r="795" spans="2:34" x14ac:dyDescent="0.2">
      <c r="B795" s="2">
        <f ca="1"/>
        <v>0.79370322297015661</v>
      </c>
      <c r="O795" s="2">
        <f ca="1"/>
        <v>2.2914752921310733</v>
      </c>
      <c r="X795" s="2">
        <f ca="1"/>
        <v>44.21456616781856</v>
      </c>
      <c r="AG795" s="2">
        <f ca="1"/>
        <v>0.99556948373120546</v>
      </c>
      <c r="AH795" s="2" t="str">
        <f ca="1"/>
        <v>Bad</v>
      </c>
    </row>
    <row r="796" spans="2:34" x14ac:dyDescent="0.2">
      <c r="B796" s="2">
        <f ca="1"/>
        <v>0.44370489298023785</v>
      </c>
      <c r="O796" s="2">
        <f ca="1"/>
        <v>-0.93594714816942282</v>
      </c>
      <c r="X796" s="2">
        <f ca="1"/>
        <v>50.510269569531644</v>
      </c>
      <c r="AG796" s="2">
        <f ca="1"/>
        <v>0.98658349317983118</v>
      </c>
      <c r="AH796" s="2" t="str">
        <f ca="1"/>
        <v>Bad</v>
      </c>
    </row>
    <row r="797" spans="2:34" x14ac:dyDescent="0.2">
      <c r="B797" s="2">
        <f ca="1"/>
        <v>0.77801656411164077</v>
      </c>
      <c r="O797" s="2">
        <f ca="1"/>
        <v>-0.78017275328669888</v>
      </c>
      <c r="X797" s="2">
        <f ca="1"/>
        <v>70.481417919433923</v>
      </c>
      <c r="AG797" s="2">
        <f ca="1"/>
        <v>0.98098681854506165</v>
      </c>
      <c r="AH797" s="2" t="str">
        <f ca="1"/>
        <v>Bad</v>
      </c>
    </row>
    <row r="798" spans="2:34" x14ac:dyDescent="0.2">
      <c r="B798" s="2">
        <f ca="1"/>
        <v>0.76879152886921864</v>
      </c>
      <c r="O798" s="2">
        <f ca="1"/>
        <v>0.72209568499867594</v>
      </c>
      <c r="X798" s="2">
        <f ca="1"/>
        <v>53.036803029256575</v>
      </c>
      <c r="AG798" s="2">
        <f ca="1"/>
        <v>0.93571146773321079</v>
      </c>
      <c r="AH798" s="2" t="str">
        <f ca="1"/>
        <v>Bad</v>
      </c>
    </row>
    <row r="799" spans="2:34" x14ac:dyDescent="0.2">
      <c r="B799" s="2">
        <f ca="1"/>
        <v>0.54817106445377828</v>
      </c>
      <c r="O799" s="2">
        <f ca="1"/>
        <v>0.79866778124502591</v>
      </c>
      <c r="X799" s="2">
        <f ca="1"/>
        <v>46.11714992345226</v>
      </c>
      <c r="AG799" s="2">
        <f ca="1"/>
        <v>0.94116327906243513</v>
      </c>
      <c r="AH799" s="2" t="str">
        <f ca="1"/>
        <v>Bad</v>
      </c>
    </row>
    <row r="800" spans="2:34" x14ac:dyDescent="0.2">
      <c r="B800" s="2">
        <f ca="1"/>
        <v>5.9427150946316898E-2</v>
      </c>
      <c r="O800" s="2">
        <f ca="1"/>
        <v>0.17737917991658103</v>
      </c>
      <c r="X800" s="2">
        <f ca="1"/>
        <v>49.14205606069509</v>
      </c>
      <c r="AG800" s="2">
        <f ca="1"/>
        <v>0.29751341266548192</v>
      </c>
      <c r="AH800" s="2" t="str">
        <f ca="1"/>
        <v>OK</v>
      </c>
    </row>
    <row r="801" spans="2:34" x14ac:dyDescent="0.2">
      <c r="B801" s="2">
        <f ca="1"/>
        <v>9.543316556070458E-2</v>
      </c>
      <c r="O801" s="2">
        <f ca="1"/>
        <v>-0.3081072647225308</v>
      </c>
      <c r="X801" s="2">
        <f ca="1"/>
        <v>36.323174655119189</v>
      </c>
      <c r="AG801" s="2">
        <f ca="1"/>
        <v>0.69471681091606929</v>
      </c>
      <c r="AH801" s="2" t="str">
        <f ca="1"/>
        <v>Bad</v>
      </c>
    </row>
    <row r="802" spans="2:34" x14ac:dyDescent="0.2">
      <c r="B802" s="2">
        <f ca="1"/>
        <v>0.9013528434869893</v>
      </c>
      <c r="O802" s="2">
        <f ca="1"/>
        <v>-0.62332508473662729</v>
      </c>
      <c r="X802" s="2">
        <f ca="1"/>
        <v>35.805914518879632</v>
      </c>
      <c r="AG802" s="2">
        <f ca="1"/>
        <v>0.40671563810426981</v>
      </c>
      <c r="AH802" s="2" t="str">
        <f ca="1"/>
        <v>Bad</v>
      </c>
    </row>
    <row r="803" spans="2:34" x14ac:dyDescent="0.2">
      <c r="B803" s="2">
        <f ca="1"/>
        <v>0.44946826949072971</v>
      </c>
      <c r="O803" s="2">
        <f ca="1"/>
        <v>-1.3494732718488918</v>
      </c>
      <c r="X803" s="2">
        <f ca="1"/>
        <v>44.793977622047777</v>
      </c>
      <c r="AG803" s="2">
        <f ca="1"/>
        <v>0.71358630325344796</v>
      </c>
      <c r="AH803" s="2" t="str">
        <f ca="1"/>
        <v>Bad</v>
      </c>
    </row>
    <row r="804" spans="2:34" x14ac:dyDescent="0.2">
      <c r="B804" s="2">
        <f ca="1"/>
        <v>0.31380302652278003</v>
      </c>
      <c r="O804" s="2">
        <f ca="1"/>
        <v>3.5579141561177571E-2</v>
      </c>
      <c r="X804" s="2">
        <f ca="1"/>
        <v>56.626396462612206</v>
      </c>
      <c r="AG804" s="2">
        <f ca="1"/>
        <v>0.63007452915574258</v>
      </c>
      <c r="AH804" s="2" t="str">
        <f ca="1"/>
        <v>Bad</v>
      </c>
    </row>
    <row r="805" spans="2:34" x14ac:dyDescent="0.2">
      <c r="B805" s="2">
        <f ca="1"/>
        <v>0.97303355482866283</v>
      </c>
      <c r="O805" s="2">
        <f ca="1"/>
        <v>-0.86127169303317086</v>
      </c>
      <c r="X805" s="2">
        <f ca="1"/>
        <v>65.255818406210224</v>
      </c>
      <c r="AG805" s="2">
        <f ca="1"/>
        <v>0.96726065824817398</v>
      </c>
      <c r="AH805" s="2" t="str">
        <f ca="1"/>
        <v>Bad</v>
      </c>
    </row>
    <row r="806" spans="2:34" x14ac:dyDescent="0.2">
      <c r="B806" s="2">
        <f ca="1"/>
        <v>0.75336677147262909</v>
      </c>
      <c r="O806" s="2">
        <f ca="1"/>
        <v>-0.5664568350709539</v>
      </c>
      <c r="X806" s="2">
        <f ca="1"/>
        <v>53.311376698187857</v>
      </c>
      <c r="AG806" s="2">
        <f ca="1"/>
        <v>0.6115186411202771</v>
      </c>
      <c r="AH806" s="2" t="str">
        <f ca="1"/>
        <v>Bad</v>
      </c>
    </row>
    <row r="807" spans="2:34" x14ac:dyDescent="0.2">
      <c r="B807" s="2">
        <f ca="1"/>
        <v>0.54471950555718407</v>
      </c>
      <c r="O807" s="2">
        <f ca="1"/>
        <v>-0.73781717405533809</v>
      </c>
      <c r="X807" s="2">
        <f ca="1"/>
        <v>46.142144793936396</v>
      </c>
      <c r="AG807" s="2">
        <f ca="1"/>
        <v>0.5476299965848419</v>
      </c>
      <c r="AH807" s="2" t="str">
        <f ca="1"/>
        <v>Bad</v>
      </c>
    </row>
    <row r="808" spans="2:34" x14ac:dyDescent="0.2">
      <c r="B808" s="2">
        <f ca="1"/>
        <v>0.34700401720519669</v>
      </c>
      <c r="O808" s="2">
        <f ca="1"/>
        <v>-0.17146019380185087</v>
      </c>
      <c r="X808" s="2">
        <f ca="1"/>
        <v>28.21183518566809</v>
      </c>
      <c r="AG808" s="2">
        <f ca="1"/>
        <v>0.86544479980541111</v>
      </c>
      <c r="AH808" s="2" t="str">
        <f ca="1"/>
        <v>Bad</v>
      </c>
    </row>
    <row r="809" spans="2:34" x14ac:dyDescent="0.2">
      <c r="B809" s="2">
        <f ca="1"/>
        <v>0.28542090063925185</v>
      </c>
      <c r="O809" s="2">
        <f ca="1"/>
        <v>1.2163442736896373</v>
      </c>
      <c r="X809" s="2">
        <f ca="1"/>
        <v>46.727588299792203</v>
      </c>
      <c r="AG809" s="2">
        <f ca="1"/>
        <v>0.37554734030442805</v>
      </c>
      <c r="AH809" s="2" t="str">
        <f ca="1"/>
        <v>OK</v>
      </c>
    </row>
    <row r="810" spans="2:34" x14ac:dyDescent="0.2">
      <c r="B810" s="2">
        <f ca="1"/>
        <v>0.90327755086152672</v>
      </c>
      <c r="O810" s="2">
        <f ca="1"/>
        <v>3.5629034146458113E-2</v>
      </c>
      <c r="X810" s="2">
        <f ca="1"/>
        <v>52.446783373580118</v>
      </c>
      <c r="AG810" s="2">
        <f ca="1"/>
        <v>0.8396877661482689</v>
      </c>
      <c r="AH810" s="2" t="str">
        <f ca="1"/>
        <v>Bad</v>
      </c>
    </row>
    <row r="811" spans="2:34" x14ac:dyDescent="0.2">
      <c r="B811" s="2">
        <f ca="1"/>
        <v>0.22100565550914553</v>
      </c>
      <c r="O811" s="2">
        <f ca="1"/>
        <v>1.3097220130252778</v>
      </c>
      <c r="X811" s="2">
        <f ca="1"/>
        <v>60.909509372156933</v>
      </c>
      <c r="AG811" s="2">
        <f ca="1"/>
        <v>0.5912161705125496</v>
      </c>
      <c r="AH811" s="2" t="str">
        <f ca="1"/>
        <v>Bad</v>
      </c>
    </row>
    <row r="812" spans="2:34" x14ac:dyDescent="0.2">
      <c r="B812" s="2">
        <f ca="1"/>
        <v>0.94907840366912888</v>
      </c>
      <c r="O812" s="2">
        <f ca="1"/>
        <v>0.86441899737773875</v>
      </c>
      <c r="X812" s="2">
        <f ca="1"/>
        <v>80.256586305950549</v>
      </c>
      <c r="AG812" s="2">
        <f ca="1"/>
        <v>0.9578895965411196</v>
      </c>
      <c r="AH812" s="2" t="str">
        <f ca="1"/>
        <v>Bad</v>
      </c>
    </row>
    <row r="813" spans="2:34" x14ac:dyDescent="0.2">
      <c r="B813" s="2">
        <f ca="1"/>
        <v>0.46569033660020498</v>
      </c>
      <c r="O813" s="2">
        <f ca="1"/>
        <v>0.1780608535832196</v>
      </c>
      <c r="X813" s="2">
        <f ca="1"/>
        <v>35.871577710475599</v>
      </c>
      <c r="AG813" s="2">
        <f ca="1"/>
        <v>0.27024683559932949</v>
      </c>
      <c r="AH813" s="2" t="str">
        <f ca="1"/>
        <v>OK</v>
      </c>
    </row>
    <row r="814" spans="2:34" x14ac:dyDescent="0.2">
      <c r="B814" s="2">
        <f ca="1"/>
        <v>0.45343349984186831</v>
      </c>
      <c r="O814" s="2">
        <f ca="1"/>
        <v>0.19734026097853949</v>
      </c>
      <c r="X814" s="2">
        <f ca="1"/>
        <v>57.02336526385313</v>
      </c>
      <c r="AG814" s="2">
        <f ca="1"/>
        <v>6.8699567308513787E-2</v>
      </c>
      <c r="AH814" s="2" t="str">
        <f ca="1"/>
        <v>OK</v>
      </c>
    </row>
    <row r="815" spans="2:34" x14ac:dyDescent="0.2">
      <c r="B815" s="2">
        <f ca="1"/>
        <v>0.74742544080588735</v>
      </c>
      <c r="O815" s="2">
        <f ca="1"/>
        <v>0.65545103723023479</v>
      </c>
      <c r="X815" s="2">
        <f ca="1"/>
        <v>46.510759963546363</v>
      </c>
      <c r="AG815" s="2">
        <f ca="1"/>
        <v>0.67780578068262476</v>
      </c>
      <c r="AH815" s="2" t="str">
        <f ca="1"/>
        <v>Bad</v>
      </c>
    </row>
    <row r="816" spans="2:34" x14ac:dyDescent="0.2">
      <c r="B816" s="2">
        <f ca="1"/>
        <v>0.45068545008227057</v>
      </c>
      <c r="O816" s="2">
        <f ca="1"/>
        <v>-0.29708053916221033</v>
      </c>
      <c r="X816" s="2">
        <f ca="1"/>
        <v>54.269419939818519</v>
      </c>
      <c r="AG816" s="2">
        <f ca="1"/>
        <v>0.92163226428225142</v>
      </c>
      <c r="AH816" s="2" t="str">
        <f ca="1"/>
        <v>Bad</v>
      </c>
    </row>
    <row r="817" spans="2:34" x14ac:dyDescent="0.2">
      <c r="B817" s="2">
        <f ca="1"/>
        <v>0.7488711353262314</v>
      </c>
      <c r="O817" s="2">
        <f ca="1"/>
        <v>0.72833724510817699</v>
      </c>
      <c r="X817" s="2">
        <f ca="1"/>
        <v>43.50944912407374</v>
      </c>
      <c r="AG817" s="2">
        <f ca="1"/>
        <v>0.75734430228687377</v>
      </c>
      <c r="AH817" s="2" t="str">
        <f ca="1"/>
        <v>Bad</v>
      </c>
    </row>
    <row r="818" spans="2:34" x14ac:dyDescent="0.2">
      <c r="B818" s="2">
        <f ca="1"/>
        <v>0.10203641170537825</v>
      </c>
      <c r="O818" s="2">
        <f ca="1"/>
        <v>0.27648257605731003</v>
      </c>
      <c r="X818" s="2">
        <f ca="1"/>
        <v>60.867995460458147</v>
      </c>
      <c r="AG818" s="2">
        <f ca="1"/>
        <v>0.35704275262664797</v>
      </c>
      <c r="AH818" s="2" t="str">
        <f ca="1"/>
        <v>OK</v>
      </c>
    </row>
    <row r="819" spans="2:34" x14ac:dyDescent="0.2">
      <c r="B819" s="2">
        <f ca="1"/>
        <v>0.45990948900630357</v>
      </c>
      <c r="O819" s="2">
        <f ca="1"/>
        <v>-0.19739930225334767</v>
      </c>
      <c r="X819" s="2">
        <f ca="1"/>
        <v>63.831171481265834</v>
      </c>
      <c r="AG819" s="2">
        <f ca="1"/>
        <v>0.16418689166098188</v>
      </c>
      <c r="AH819" s="2" t="str">
        <f ca="1"/>
        <v>OK</v>
      </c>
    </row>
    <row r="820" spans="2:34" x14ac:dyDescent="0.2">
      <c r="B820" s="2">
        <f ca="1"/>
        <v>0.22965539663032764</v>
      </c>
      <c r="O820" s="2">
        <f ca="1"/>
        <v>-1.3806481944094606</v>
      </c>
      <c r="X820" s="2">
        <f ca="1"/>
        <v>58.795956859566331</v>
      </c>
      <c r="AG820" s="2">
        <f ca="1"/>
        <v>1.2682187671480438E-2</v>
      </c>
      <c r="AH820" s="2" t="str">
        <f ca="1"/>
        <v>Good</v>
      </c>
    </row>
    <row r="821" spans="2:34" x14ac:dyDescent="0.2">
      <c r="B821" s="2">
        <f ca="1"/>
        <v>0.2649365568567863</v>
      </c>
      <c r="O821" s="2">
        <f ca="1"/>
        <v>1.5092739595027995</v>
      </c>
      <c r="X821" s="2">
        <f ca="1"/>
        <v>43.171204063951627</v>
      </c>
      <c r="AG821" s="2">
        <f ca="1"/>
        <v>8.2086470560102098E-2</v>
      </c>
      <c r="AH821" s="2" t="str">
        <f ca="1"/>
        <v>OK</v>
      </c>
    </row>
    <row r="822" spans="2:34" x14ac:dyDescent="0.2">
      <c r="B822" s="2">
        <f ca="1"/>
        <v>0.79026759430086235</v>
      </c>
      <c r="O822" s="2">
        <f ca="1"/>
        <v>6.8841619145153493E-2</v>
      </c>
      <c r="X822" s="2">
        <f ca="1"/>
        <v>68.260163877747971</v>
      </c>
      <c r="AG822" s="2">
        <f ca="1"/>
        <v>0.64149334886629261</v>
      </c>
      <c r="AH822" s="2" t="str">
        <f ca="1"/>
        <v>Bad</v>
      </c>
    </row>
    <row r="823" spans="2:34" x14ac:dyDescent="0.2">
      <c r="B823" s="2">
        <f ca="1"/>
        <v>0.9239935578137386</v>
      </c>
      <c r="O823" s="2">
        <f ca="1"/>
        <v>1.1969223383639942</v>
      </c>
      <c r="X823" s="2">
        <f ca="1"/>
        <v>65.611766617761873</v>
      </c>
      <c r="AG823" s="2">
        <f ca="1"/>
        <v>0.47754817931483418</v>
      </c>
      <c r="AH823" s="2" t="str">
        <f ca="1"/>
        <v>Bad</v>
      </c>
    </row>
    <row r="824" spans="2:34" x14ac:dyDescent="0.2">
      <c r="B824" s="2">
        <f ca="1"/>
        <v>6.2351487877911671E-2</v>
      </c>
      <c r="O824" s="2">
        <f ca="1"/>
        <v>-0.41967707266768617</v>
      </c>
      <c r="X824" s="2">
        <f ca="1"/>
        <v>48.185302449412347</v>
      </c>
      <c r="AG824" s="2">
        <f ca="1"/>
        <v>0.6285274784573065</v>
      </c>
      <c r="AH824" s="2" t="str">
        <f ca="1"/>
        <v>Bad</v>
      </c>
    </row>
    <row r="825" spans="2:34" x14ac:dyDescent="0.2">
      <c r="B825" s="2">
        <f ca="1"/>
        <v>0.28181000498353925</v>
      </c>
      <c r="O825" s="2">
        <f ca="1"/>
        <v>2.0916056773346581</v>
      </c>
      <c r="X825" s="2">
        <f ca="1"/>
        <v>33.426651021157284</v>
      </c>
      <c r="AG825" s="2">
        <f ca="1"/>
        <v>0.70696756722578691</v>
      </c>
      <c r="AH825" s="2" t="str">
        <f ca="1"/>
        <v>Bad</v>
      </c>
    </row>
    <row r="826" spans="2:34" x14ac:dyDescent="0.2">
      <c r="B826" s="2">
        <f ca="1"/>
        <v>4.5870367486256614E-2</v>
      </c>
      <c r="O826" s="2">
        <f ca="1"/>
        <v>-1.1468553875862446</v>
      </c>
      <c r="X826" s="2">
        <f ca="1"/>
        <v>56.149359081867274</v>
      </c>
      <c r="AG826" s="2">
        <f ca="1"/>
        <v>0.49323703941277719</v>
      </c>
      <c r="AH826" s="2" t="str">
        <f ca="1"/>
        <v>Bad</v>
      </c>
    </row>
    <row r="827" spans="2:34" x14ac:dyDescent="0.2">
      <c r="B827" s="2">
        <f ca="1"/>
        <v>0.6868969938676428</v>
      </c>
      <c r="O827" s="2">
        <f ca="1"/>
        <v>-0.68869594395342404</v>
      </c>
      <c r="X827" s="2">
        <f ca="1"/>
        <v>43.160268911277697</v>
      </c>
      <c r="AG827" s="2">
        <f ca="1"/>
        <v>0.45985333994362754</v>
      </c>
      <c r="AH827" s="2" t="str">
        <f ca="1"/>
        <v>Bad</v>
      </c>
    </row>
    <row r="828" spans="2:34" x14ac:dyDescent="0.2">
      <c r="B828" s="2">
        <f ca="1"/>
        <v>0.79167522694572923</v>
      </c>
      <c r="O828" s="2">
        <f ca="1"/>
        <v>-0.18575737387930893</v>
      </c>
      <c r="X828" s="2">
        <f ca="1"/>
        <v>44.915594005434045</v>
      </c>
      <c r="AG828" s="2">
        <f ca="1"/>
        <v>0.75915800120624266</v>
      </c>
      <c r="AH828" s="2" t="str">
        <f ca="1"/>
        <v>Bad</v>
      </c>
    </row>
    <row r="829" spans="2:34" x14ac:dyDescent="0.2">
      <c r="B829" s="2">
        <f ca="1"/>
        <v>0.72835585115018864</v>
      </c>
      <c r="O829" s="2">
        <f ca="1"/>
        <v>-1.8886660198472465</v>
      </c>
      <c r="X829" s="2">
        <f ca="1"/>
        <v>50.825123234238731</v>
      </c>
      <c r="AG829" s="2">
        <f ca="1"/>
        <v>0.66255643988220059</v>
      </c>
      <c r="AH829" s="2" t="str">
        <f ca="1"/>
        <v>Bad</v>
      </c>
    </row>
    <row r="830" spans="2:34" x14ac:dyDescent="0.2">
      <c r="B830" s="2">
        <f ca="1"/>
        <v>0.63135698066867274</v>
      </c>
      <c r="O830" s="2">
        <f ca="1"/>
        <v>-1.0055096457129842</v>
      </c>
      <c r="X830" s="2">
        <f ca="1"/>
        <v>28.649171066373693</v>
      </c>
      <c r="AG830" s="2">
        <f ca="1"/>
        <v>0.66540206109705391</v>
      </c>
      <c r="AH830" s="2" t="str">
        <f ca="1"/>
        <v>Bad</v>
      </c>
    </row>
    <row r="831" spans="2:34" x14ac:dyDescent="0.2">
      <c r="B831" s="2">
        <f ca="1"/>
        <v>0.67148249948597405</v>
      </c>
      <c r="O831" s="2">
        <f ca="1"/>
        <v>6.4424526623609053E-3</v>
      </c>
      <c r="X831" s="2">
        <f ca="1"/>
        <v>64.52944226179568</v>
      </c>
      <c r="AG831" s="2">
        <f ca="1"/>
        <v>0.19621844861625393</v>
      </c>
      <c r="AH831" s="2" t="str">
        <f ca="1"/>
        <v>OK</v>
      </c>
    </row>
    <row r="832" spans="2:34" x14ac:dyDescent="0.2">
      <c r="B832" s="2">
        <f ca="1"/>
        <v>0.18327100040606914</v>
      </c>
      <c r="O832" s="2">
        <f ca="1"/>
        <v>0.93369546707557782</v>
      </c>
      <c r="X832" s="2">
        <f ca="1"/>
        <v>31.442204612088602</v>
      </c>
      <c r="AG832" s="2">
        <f ca="1"/>
        <v>0.23339181666251463</v>
      </c>
      <c r="AH832" s="2" t="str">
        <f ca="1"/>
        <v>OK</v>
      </c>
    </row>
    <row r="833" spans="2:34" x14ac:dyDescent="0.2">
      <c r="B833" s="2">
        <f ca="1"/>
        <v>0.79688666868576719</v>
      </c>
      <c r="O833" s="2">
        <f ca="1"/>
        <v>0.73108246128997889</v>
      </c>
      <c r="X833" s="2">
        <f ca="1"/>
        <v>37.847237452355323</v>
      </c>
      <c r="AG833" s="2">
        <f ca="1"/>
        <v>0.47339897863542291</v>
      </c>
      <c r="AH833" s="2" t="str">
        <f ca="1"/>
        <v>Bad</v>
      </c>
    </row>
    <row r="834" spans="2:34" x14ac:dyDescent="0.2">
      <c r="B834" s="2">
        <f ca="1"/>
        <v>0.75146191573269494</v>
      </c>
      <c r="O834" s="2">
        <f ca="1"/>
        <v>0.88913483769061119</v>
      </c>
      <c r="X834" s="2">
        <f ca="1"/>
        <v>44.797657356717657</v>
      </c>
      <c r="AG834" s="2">
        <f ca="1"/>
        <v>0.23292591064887103</v>
      </c>
      <c r="AH834" s="2" t="str">
        <f ca="1"/>
        <v>OK</v>
      </c>
    </row>
    <row r="835" spans="2:34" x14ac:dyDescent="0.2">
      <c r="B835" s="2">
        <f ca="1"/>
        <v>0.63569919220697946</v>
      </c>
      <c r="O835" s="2">
        <f ca="1"/>
        <v>-0.50749060620502129</v>
      </c>
      <c r="X835" s="2">
        <f ca="1"/>
        <v>46.81447952931093</v>
      </c>
      <c r="AG835" s="2">
        <f ca="1"/>
        <v>0.72184999546171658</v>
      </c>
      <c r="AH835" s="2" t="str">
        <f ca="1"/>
        <v>Bad</v>
      </c>
    </row>
    <row r="836" spans="2:34" x14ac:dyDescent="0.2">
      <c r="B836" s="2">
        <f ca="1"/>
        <v>0.24590521755289618</v>
      </c>
      <c r="O836" s="2">
        <f ca="1"/>
        <v>1.1686359040375487</v>
      </c>
      <c r="X836" s="2">
        <f ca="1"/>
        <v>18.488477404246144</v>
      </c>
      <c r="AG836" s="2">
        <f ca="1"/>
        <v>0.54662421832077479</v>
      </c>
      <c r="AH836" s="2" t="str">
        <f ca="1"/>
        <v>Bad</v>
      </c>
    </row>
    <row r="837" spans="2:34" x14ac:dyDescent="0.2">
      <c r="B837" s="2">
        <f ca="1"/>
        <v>0.24630269782664005</v>
      </c>
      <c r="O837" s="2">
        <f ca="1"/>
        <v>0.40359408067168223</v>
      </c>
      <c r="X837" s="2">
        <f ca="1"/>
        <v>46.72941245990436</v>
      </c>
      <c r="AG837" s="2">
        <f ca="1"/>
        <v>0.92609289715468202</v>
      </c>
      <c r="AH837" s="2" t="str">
        <f ca="1"/>
        <v>Bad</v>
      </c>
    </row>
    <row r="838" spans="2:34" x14ac:dyDescent="0.2">
      <c r="B838" s="2">
        <f ca="1"/>
        <v>0.69432184184800194</v>
      </c>
      <c r="O838" s="2">
        <f ca="1"/>
        <v>0.60471945828989426</v>
      </c>
      <c r="X838" s="2">
        <f ca="1"/>
        <v>64.652085897626193</v>
      </c>
      <c r="AG838" s="2">
        <f ca="1"/>
        <v>0.49375688661524131</v>
      </c>
      <c r="AH838" s="2" t="str">
        <f ca="1"/>
        <v>Bad</v>
      </c>
    </row>
    <row r="839" spans="2:34" x14ac:dyDescent="0.2">
      <c r="B839" s="2">
        <f ca="1"/>
        <v>0.33795987774362968</v>
      </c>
      <c r="O839" s="2">
        <f ca="1"/>
        <v>-0.35446331061225272</v>
      </c>
      <c r="X839" s="2">
        <f ca="1"/>
        <v>49.688351359270868</v>
      </c>
      <c r="AG839" s="2">
        <f ca="1"/>
        <v>0.62847838418004209</v>
      </c>
      <c r="AH839" s="2" t="str">
        <f ca="1"/>
        <v>Bad</v>
      </c>
    </row>
    <row r="840" spans="2:34" x14ac:dyDescent="0.2">
      <c r="B840" s="2">
        <f ca="1"/>
        <v>8.1863873912293661E-2</v>
      </c>
      <c r="O840" s="2">
        <f ca="1"/>
        <v>-0.43304946962664465</v>
      </c>
      <c r="X840" s="2">
        <f ca="1"/>
        <v>63.714250045807972</v>
      </c>
      <c r="AG840" s="2">
        <f ca="1"/>
        <v>0.59942378596148327</v>
      </c>
      <c r="AH840" s="2" t="str">
        <f ca="1"/>
        <v>Bad</v>
      </c>
    </row>
    <row r="841" spans="2:34" x14ac:dyDescent="0.2">
      <c r="B841" s="2">
        <f ca="1"/>
        <v>0.35356442030426471</v>
      </c>
      <c r="O841" s="2">
        <f ca="1"/>
        <v>-0.32408527790100239</v>
      </c>
      <c r="X841" s="2">
        <f ca="1"/>
        <v>45.550605383089298</v>
      </c>
      <c r="AG841" s="2">
        <f ca="1"/>
        <v>0.98968708164659103</v>
      </c>
      <c r="AH841" s="2" t="str">
        <f ca="1"/>
        <v>Bad</v>
      </c>
    </row>
    <row r="842" spans="2:34" x14ac:dyDescent="0.2">
      <c r="B842" s="2">
        <f ca="1"/>
        <v>0.64397335034893843</v>
      </c>
      <c r="O842" s="2">
        <f ca="1"/>
        <v>2.041126792466299</v>
      </c>
      <c r="X842" s="2">
        <f ca="1"/>
        <v>80.85006059397864</v>
      </c>
      <c r="AG842" s="2">
        <f ca="1"/>
        <v>0.58678390638257771</v>
      </c>
      <c r="AH842" s="2" t="str">
        <f ca="1"/>
        <v>Bad</v>
      </c>
    </row>
    <row r="843" spans="2:34" x14ac:dyDescent="0.2">
      <c r="B843" s="2">
        <f ca="1"/>
        <v>0.39803462606404461</v>
      </c>
      <c r="O843" s="2">
        <f ca="1"/>
        <v>-2.4708615253899455</v>
      </c>
      <c r="X843" s="2">
        <f ca="1"/>
        <v>52.588003609247814</v>
      </c>
      <c r="AG843" s="2">
        <f ca="1"/>
        <v>0.16358949147106117</v>
      </c>
      <c r="AH843" s="2" t="str">
        <f ca="1"/>
        <v>OK</v>
      </c>
    </row>
    <row r="844" spans="2:34" x14ac:dyDescent="0.2">
      <c r="B844" s="2">
        <f ca="1"/>
        <v>0.9636296791618495</v>
      </c>
      <c r="O844" s="2">
        <f ca="1"/>
        <v>0.71173836542768276</v>
      </c>
      <c r="X844" s="2">
        <f ca="1"/>
        <v>19.470872816147274</v>
      </c>
      <c r="AG844" s="2">
        <f ca="1"/>
        <v>0.32824906953965294</v>
      </c>
      <c r="AH844" s="2" t="str">
        <f ca="1"/>
        <v>OK</v>
      </c>
    </row>
    <row r="845" spans="2:34" x14ac:dyDescent="0.2">
      <c r="B845" s="2">
        <f ca="1"/>
        <v>0.8333608531461294</v>
      </c>
      <c r="O845" s="2">
        <f ca="1"/>
        <v>5.61888856886891E-2</v>
      </c>
      <c r="X845" s="2">
        <f ca="1"/>
        <v>51.944048642711387</v>
      </c>
      <c r="AG845" s="2">
        <f ca="1"/>
        <v>0.2776455673677023</v>
      </c>
      <c r="AH845" s="2" t="str">
        <f ca="1"/>
        <v>OK</v>
      </c>
    </row>
    <row r="846" spans="2:34" x14ac:dyDescent="0.2">
      <c r="B846" s="2">
        <f ca="1"/>
        <v>0.56284942341761779</v>
      </c>
      <c r="O846" s="2">
        <f ca="1"/>
        <v>0.32714409515481552</v>
      </c>
      <c r="X846" s="2">
        <f ca="1"/>
        <v>33.467569766312451</v>
      </c>
      <c r="AG846" s="2">
        <f ca="1"/>
        <v>0.81290445257337351</v>
      </c>
      <c r="AH846" s="2" t="str">
        <f ca="1"/>
        <v>Bad</v>
      </c>
    </row>
    <row r="847" spans="2:34" x14ac:dyDescent="0.2">
      <c r="B847" s="2">
        <f ca="1"/>
        <v>3.3089220946948217E-2</v>
      </c>
      <c r="O847" s="2">
        <f ca="1"/>
        <v>-0.45449680771172107</v>
      </c>
      <c r="X847" s="2">
        <f ca="1"/>
        <v>49.211165005192214</v>
      </c>
      <c r="AG847" s="2">
        <f ca="1"/>
        <v>0.55186698226860953</v>
      </c>
      <c r="AH847" s="2" t="str">
        <f ca="1"/>
        <v>Bad</v>
      </c>
    </row>
    <row r="848" spans="2:34" x14ac:dyDescent="0.2">
      <c r="B848" s="2">
        <f ca="1"/>
        <v>0.6883254068917215</v>
      </c>
      <c r="O848" s="2">
        <f ca="1"/>
        <v>1.6571933061152984</v>
      </c>
      <c r="X848" s="2">
        <f ca="1"/>
        <v>84.593209441814025</v>
      </c>
      <c r="AG848" s="2">
        <f ca="1"/>
        <v>0.89724433143493854</v>
      </c>
      <c r="AH848" s="2" t="str">
        <f ca="1"/>
        <v>Bad</v>
      </c>
    </row>
    <row r="849" spans="2:34" x14ac:dyDescent="0.2">
      <c r="B849" s="2">
        <f ca="1"/>
        <v>0.88366469149589677</v>
      </c>
      <c r="O849" s="2">
        <f ca="1"/>
        <v>1.2364889944802753</v>
      </c>
      <c r="X849" s="2">
        <f ca="1"/>
        <v>43.690474312206611</v>
      </c>
      <c r="AG849" s="2">
        <f ca="1"/>
        <v>0.47109402121334454</v>
      </c>
      <c r="AH849" s="2" t="str">
        <f ca="1"/>
        <v>Bad</v>
      </c>
    </row>
    <row r="850" spans="2:34" x14ac:dyDescent="0.2">
      <c r="B850" s="2">
        <f ca="1"/>
        <v>6.313456825097763E-2</v>
      </c>
      <c r="O850" s="2">
        <f ca="1"/>
        <v>-0.53840926338977324</v>
      </c>
      <c r="X850" s="2">
        <f ca="1"/>
        <v>38.317353263565202</v>
      </c>
      <c r="AG850" s="2">
        <f ca="1"/>
        <v>0.32801365556205853</v>
      </c>
      <c r="AH850" s="2" t="str">
        <f ca="1"/>
        <v>OK</v>
      </c>
    </row>
    <row r="851" spans="2:34" x14ac:dyDescent="0.2">
      <c r="B851" s="2">
        <f ca="1"/>
        <v>0.4165440575776227</v>
      </c>
      <c r="O851" s="2">
        <f ca="1"/>
        <v>-1.0109693137979772</v>
      </c>
      <c r="X851" s="2">
        <f ca="1"/>
        <v>78.52994914495234</v>
      </c>
      <c r="AG851" s="2">
        <f ca="1"/>
        <v>0.60589163605852159</v>
      </c>
      <c r="AH851" s="2" t="str">
        <f ca="1"/>
        <v>Bad</v>
      </c>
    </row>
    <row r="852" spans="2:34" x14ac:dyDescent="0.2">
      <c r="B852" s="2">
        <f ca="1"/>
        <v>0.6909308025575509</v>
      </c>
      <c r="O852" s="2">
        <f ca="1"/>
        <v>-1.5491075949753139</v>
      </c>
      <c r="X852" s="2">
        <f ca="1"/>
        <v>35.548495755322698</v>
      </c>
      <c r="AG852" s="2">
        <f ca="1"/>
        <v>0.19041991925836599</v>
      </c>
      <c r="AH852" s="2" t="str">
        <f ca="1"/>
        <v>OK</v>
      </c>
    </row>
    <row r="853" spans="2:34" x14ac:dyDescent="0.2">
      <c r="B853" s="2">
        <f ca="1"/>
        <v>0.1673709936730976</v>
      </c>
      <c r="O853" s="2">
        <f ca="1"/>
        <v>-1.1946562631474473</v>
      </c>
      <c r="X853" s="2">
        <f ca="1"/>
        <v>42.948783540742824</v>
      </c>
      <c r="AG853" s="2">
        <f ca="1"/>
        <v>0.16497952244070602</v>
      </c>
      <c r="AH853" s="2" t="str">
        <f ca="1"/>
        <v>OK</v>
      </c>
    </row>
    <row r="854" spans="2:34" x14ac:dyDescent="0.2">
      <c r="B854" s="2">
        <f ca="1"/>
        <v>0.71520629066883878</v>
      </c>
      <c r="O854" s="2">
        <f ca="1"/>
        <v>-0.25667173358229473</v>
      </c>
      <c r="X854" s="2">
        <f ca="1"/>
        <v>35.063117000510154</v>
      </c>
      <c r="AG854" s="2">
        <f ca="1"/>
        <v>0.27452304064062805</v>
      </c>
      <c r="AH854" s="2" t="str">
        <f ca="1"/>
        <v>OK</v>
      </c>
    </row>
    <row r="855" spans="2:34" x14ac:dyDescent="0.2">
      <c r="B855" s="2">
        <f ca="1"/>
        <v>0.41040728850345753</v>
      </c>
      <c r="O855" s="2">
        <f ca="1"/>
        <v>1.4299096113547582</v>
      </c>
      <c r="X855" s="2">
        <f ca="1"/>
        <v>46.012124452457009</v>
      </c>
      <c r="AG855" s="2">
        <f ca="1"/>
        <v>0.25418191435553061</v>
      </c>
      <c r="AH855" s="2" t="str">
        <f ca="1"/>
        <v>OK</v>
      </c>
    </row>
    <row r="856" spans="2:34" x14ac:dyDescent="0.2">
      <c r="B856" s="2">
        <f ca="1"/>
        <v>0.76471466997783888</v>
      </c>
      <c r="O856" s="2">
        <f ca="1"/>
        <v>1.6132736515053032</v>
      </c>
      <c r="X856" s="2">
        <f ca="1"/>
        <v>56.939974516262488</v>
      </c>
      <c r="AG856" s="2">
        <f ca="1"/>
        <v>0.64498010238719017</v>
      </c>
      <c r="AH856" s="2" t="str">
        <f ca="1"/>
        <v>Bad</v>
      </c>
    </row>
    <row r="857" spans="2:34" x14ac:dyDescent="0.2">
      <c r="B857" s="2">
        <f ca="1"/>
        <v>0.13409255924317831</v>
      </c>
      <c r="O857" s="2">
        <f ca="1"/>
        <v>0.13555706879428006</v>
      </c>
      <c r="X857" s="2">
        <f ca="1"/>
        <v>57.199407819870842</v>
      </c>
      <c r="AG857" s="2">
        <f ca="1"/>
        <v>6.292858489778741E-2</v>
      </c>
      <c r="AH857" s="2" t="str">
        <f ca="1"/>
        <v>OK</v>
      </c>
    </row>
    <row r="858" spans="2:34" x14ac:dyDescent="0.2">
      <c r="B858" s="2">
        <f ca="1"/>
        <v>4.6693831521614104E-2</v>
      </c>
      <c r="O858" s="2">
        <f ca="1"/>
        <v>0.97869138843638548</v>
      </c>
      <c r="X858" s="2">
        <f ca="1"/>
        <v>33.689334872099693</v>
      </c>
      <c r="AG858" s="2">
        <f ca="1"/>
        <v>0.91571101238038022</v>
      </c>
      <c r="AH858" s="2" t="str">
        <f ca="1"/>
        <v>Bad</v>
      </c>
    </row>
    <row r="859" spans="2:34" x14ac:dyDescent="0.2">
      <c r="B859" s="2">
        <f ca="1"/>
        <v>0.97897382608425376</v>
      </c>
      <c r="O859" s="2">
        <f ca="1"/>
        <v>0.7609620720597583</v>
      </c>
      <c r="X859" s="2">
        <f ca="1"/>
        <v>40.243635458150102</v>
      </c>
      <c r="AG859" s="2">
        <f ca="1"/>
        <v>0.85969098137185562</v>
      </c>
      <c r="AH859" s="2" t="str">
        <f ca="1"/>
        <v>Bad</v>
      </c>
    </row>
    <row r="860" spans="2:34" x14ac:dyDescent="0.2">
      <c r="B860" s="2">
        <f ca="1"/>
        <v>0.94464753762402465</v>
      </c>
      <c r="O860" s="2">
        <f ca="1"/>
        <v>0.87608006406206629</v>
      </c>
      <c r="X860" s="2">
        <f ca="1"/>
        <v>56.538674746753813</v>
      </c>
      <c r="AG860" s="2">
        <f ca="1"/>
        <v>0.21357632358662704</v>
      </c>
      <c r="AH860" s="2" t="str">
        <f ca="1"/>
        <v>OK</v>
      </c>
    </row>
    <row r="861" spans="2:34" x14ac:dyDescent="0.2">
      <c r="B861" s="2">
        <f ca="1"/>
        <v>8.3322135717978973E-2</v>
      </c>
      <c r="O861" s="2">
        <f ca="1"/>
        <v>-0.2146974856220169</v>
      </c>
      <c r="X861" s="2">
        <f ca="1"/>
        <v>52.332939083400554</v>
      </c>
      <c r="AG861" s="2">
        <f ca="1"/>
        <v>0.60789262422031509</v>
      </c>
      <c r="AH861" s="2" t="str">
        <f ca="1"/>
        <v>Bad</v>
      </c>
    </row>
    <row r="862" spans="2:34" x14ac:dyDescent="0.2">
      <c r="B862" s="2">
        <f ca="1"/>
        <v>0.76295229572973211</v>
      </c>
      <c r="O862" s="2">
        <f ca="1"/>
        <v>-1.9790740305491712</v>
      </c>
      <c r="X862" s="2">
        <f ca="1"/>
        <v>80.473902385086816</v>
      </c>
      <c r="AG862" s="2">
        <f ca="1"/>
        <v>0.28243913743706961</v>
      </c>
      <c r="AH862" s="2" t="str">
        <f ca="1"/>
        <v>OK</v>
      </c>
    </row>
    <row r="863" spans="2:34" x14ac:dyDescent="0.2">
      <c r="B863" s="2">
        <f ca="1"/>
        <v>0.63831337422317747</v>
      </c>
      <c r="O863" s="2">
        <f ca="1"/>
        <v>-0.7415661023558956</v>
      </c>
      <c r="X863" s="2">
        <f ca="1"/>
        <v>29.534052014050648</v>
      </c>
      <c r="AG863" s="2">
        <f ca="1"/>
        <v>0.3491063751025445</v>
      </c>
      <c r="AH863" s="2" t="str">
        <f ca="1"/>
        <v>OK</v>
      </c>
    </row>
    <row r="864" spans="2:34" x14ac:dyDescent="0.2">
      <c r="B864" s="2">
        <f ca="1"/>
        <v>0.82038292719732309</v>
      </c>
      <c r="O864" s="2">
        <f ca="1"/>
        <v>0.43956522953801069</v>
      </c>
      <c r="X864" s="2">
        <f ca="1"/>
        <v>39.702325534478668</v>
      </c>
      <c r="AG864" s="2">
        <f ca="1"/>
        <v>0.66437049079364252</v>
      </c>
      <c r="AH864" s="2" t="str">
        <f ca="1"/>
        <v>Bad</v>
      </c>
    </row>
    <row r="865" spans="2:34" x14ac:dyDescent="0.2">
      <c r="B865" s="2">
        <f ca="1"/>
        <v>0.7345544630325398</v>
      </c>
      <c r="O865" s="2">
        <f ca="1"/>
        <v>0.47068854716623204</v>
      </c>
      <c r="X865" s="2">
        <f ca="1"/>
        <v>67.276324940328593</v>
      </c>
      <c r="AG865" s="2">
        <f ca="1"/>
        <v>0.17313240957981924</v>
      </c>
      <c r="AH865" s="2" t="str">
        <f ca="1"/>
        <v>OK</v>
      </c>
    </row>
    <row r="866" spans="2:34" x14ac:dyDescent="0.2">
      <c r="B866" s="2">
        <f ca="1"/>
        <v>0.90454994082393969</v>
      </c>
      <c r="O866" s="2">
        <f ca="1"/>
        <v>0.28458210826338404</v>
      </c>
      <c r="X866" s="2">
        <f ca="1"/>
        <v>56.975885342366688</v>
      </c>
      <c r="AG866" s="2">
        <f ca="1"/>
        <v>0.53541846825484107</v>
      </c>
      <c r="AH866" s="2" t="str">
        <f ca="1"/>
        <v>Bad</v>
      </c>
    </row>
    <row r="867" spans="2:34" x14ac:dyDescent="0.2">
      <c r="B867" s="2">
        <f ca="1"/>
        <v>3.1804567213303159E-2</v>
      </c>
      <c r="O867" s="2">
        <f ca="1"/>
        <v>1.2489044445587865</v>
      </c>
      <c r="X867" s="2">
        <f ca="1"/>
        <v>50.994499176722087</v>
      </c>
      <c r="AG867" s="2">
        <f ca="1"/>
        <v>0.70803548683242701</v>
      </c>
      <c r="AH867" s="2" t="str">
        <f ca="1"/>
        <v>Bad</v>
      </c>
    </row>
    <row r="868" spans="2:34" x14ac:dyDescent="0.2">
      <c r="B868" s="2">
        <f ca="1"/>
        <v>0.6938123636632989</v>
      </c>
      <c r="O868" s="2">
        <f ca="1"/>
        <v>-0.36929003997994742</v>
      </c>
      <c r="X868" s="2">
        <f ca="1"/>
        <v>40.936712432588564</v>
      </c>
      <c r="AG868" s="2">
        <f ca="1"/>
        <v>0.18285434031517078</v>
      </c>
      <c r="AH868" s="2" t="str">
        <f ca="1"/>
        <v>OK</v>
      </c>
    </row>
    <row r="869" spans="2:34" x14ac:dyDescent="0.2">
      <c r="B869" s="2">
        <f ca="1"/>
        <v>9.1666656726096862E-2</v>
      </c>
      <c r="O869" s="2">
        <f ca="1"/>
        <v>0.39987973235287883</v>
      </c>
      <c r="X869" s="2">
        <f ca="1"/>
        <v>32.433172929071425</v>
      </c>
      <c r="AG869" s="2">
        <f ca="1"/>
        <v>0.65359778511960198</v>
      </c>
      <c r="AH869" s="2" t="str">
        <f ca="1"/>
        <v>Bad</v>
      </c>
    </row>
    <row r="870" spans="2:34" x14ac:dyDescent="0.2">
      <c r="B870" s="2">
        <f ca="1"/>
        <v>0.88276236258083585</v>
      </c>
      <c r="O870" s="2">
        <f ca="1"/>
        <v>-1.8736116066617405</v>
      </c>
      <c r="X870" s="2">
        <f ca="1"/>
        <v>38.128531932704448</v>
      </c>
      <c r="AG870" s="2">
        <f ca="1"/>
        <v>0.15038124606383252</v>
      </c>
      <c r="AH870" s="2" t="str">
        <f ca="1"/>
        <v>OK</v>
      </c>
    </row>
    <row r="871" spans="2:34" x14ac:dyDescent="0.2">
      <c r="B871" s="2">
        <f ca="1"/>
        <v>8.2462079313809777E-3</v>
      </c>
      <c r="O871" s="2">
        <f ca="1"/>
        <v>0.37416251482967577</v>
      </c>
      <c r="X871" s="2">
        <f ca="1"/>
        <v>22.39339489988938</v>
      </c>
      <c r="AG871" s="2">
        <f ca="1"/>
        <v>0.36920701501863107</v>
      </c>
      <c r="AH871" s="2" t="str">
        <f ca="1"/>
        <v>OK</v>
      </c>
    </row>
    <row r="872" spans="2:34" x14ac:dyDescent="0.2">
      <c r="B872" s="2">
        <f ca="1"/>
        <v>0.25140186255722208</v>
      </c>
      <c r="O872" s="2">
        <f ca="1"/>
        <v>-0.39463112575491599</v>
      </c>
      <c r="X872" s="2">
        <f ca="1"/>
        <v>38.7103215561079</v>
      </c>
      <c r="AG872" s="2">
        <f ca="1"/>
        <v>6.3555933059351366E-2</v>
      </c>
      <c r="AH872" s="2" t="str">
        <f ca="1"/>
        <v>OK</v>
      </c>
    </row>
    <row r="873" spans="2:34" x14ac:dyDescent="0.2">
      <c r="B873" s="2">
        <f ca="1"/>
        <v>0.88249972314304448</v>
      </c>
      <c r="O873" s="2">
        <f ca="1"/>
        <v>2.1595275538842875</v>
      </c>
      <c r="X873" s="2">
        <f ca="1"/>
        <v>48.190308497232607</v>
      </c>
      <c r="AG873" s="2">
        <f ca="1"/>
        <v>7.8882148822430054E-3</v>
      </c>
      <c r="AH873" s="2" t="str">
        <f ca="1"/>
        <v>Good</v>
      </c>
    </row>
    <row r="874" spans="2:34" x14ac:dyDescent="0.2">
      <c r="B874" s="2">
        <f ca="1"/>
        <v>0.53751307858267783</v>
      </c>
      <c r="O874" s="2">
        <f ca="1"/>
        <v>0.29389151982476175</v>
      </c>
      <c r="X874" s="2">
        <f ca="1"/>
        <v>48.933743712472435</v>
      </c>
      <c r="AG874" s="2">
        <f ca="1"/>
        <v>0.63412679370316294</v>
      </c>
      <c r="AH874" s="2" t="str">
        <f ca="1"/>
        <v>Bad</v>
      </c>
    </row>
    <row r="875" spans="2:34" x14ac:dyDescent="0.2">
      <c r="B875" s="2">
        <f ca="1"/>
        <v>0.24709125646595131</v>
      </c>
      <c r="O875" s="2">
        <f ca="1"/>
        <v>2.5318324362488664</v>
      </c>
      <c r="X875" s="2">
        <f ca="1"/>
        <v>54.005652211553837</v>
      </c>
      <c r="AG875" s="2">
        <f ca="1"/>
        <v>0.58498824493103418</v>
      </c>
      <c r="AH875" s="2" t="str">
        <f ca="1"/>
        <v>Bad</v>
      </c>
    </row>
    <row r="876" spans="2:34" x14ac:dyDescent="0.2">
      <c r="B876" s="2">
        <f ca="1"/>
        <v>7.1799784420139678E-2</v>
      </c>
      <c r="O876" s="2">
        <f ca="1"/>
        <v>-7.3184491325640755E-2</v>
      </c>
      <c r="X876" s="2">
        <f ca="1"/>
        <v>54.614076101572564</v>
      </c>
      <c r="AG876" s="2">
        <f ca="1"/>
        <v>0.29063868231034928</v>
      </c>
      <c r="AH876" s="2" t="str">
        <f ca="1"/>
        <v>OK</v>
      </c>
    </row>
    <row r="877" spans="2:34" x14ac:dyDescent="0.2">
      <c r="B877" s="2">
        <f ca="1"/>
        <v>0.2925978064442385</v>
      </c>
      <c r="O877" s="2">
        <f ca="1"/>
        <v>-0.1200399913321831</v>
      </c>
      <c r="X877" s="2">
        <f ca="1"/>
        <v>44.579841543339562</v>
      </c>
      <c r="AG877" s="2">
        <f ca="1"/>
        <v>0.39197319120328</v>
      </c>
      <c r="AH877" s="2" t="str">
        <f ca="1"/>
        <v>OK</v>
      </c>
    </row>
    <row r="878" spans="2:34" x14ac:dyDescent="0.2">
      <c r="B878" s="2">
        <f ca="1"/>
        <v>0.90905727956127347</v>
      </c>
      <c r="O878" s="2">
        <f ca="1"/>
        <v>-0.76650175539602872</v>
      </c>
      <c r="X878" s="2">
        <f ca="1"/>
        <v>76.58847064402481</v>
      </c>
      <c r="AG878" s="2">
        <f ca="1"/>
        <v>0.33161171991041538</v>
      </c>
      <c r="AH878" s="2" t="str">
        <f ca="1"/>
        <v>OK</v>
      </c>
    </row>
    <row r="879" spans="2:34" x14ac:dyDescent="0.2">
      <c r="B879" s="2">
        <f ca="1"/>
        <v>0.15481500215780297</v>
      </c>
      <c r="O879" s="2">
        <f ca="1"/>
        <v>0.61335917449634758</v>
      </c>
      <c r="X879" s="2">
        <f ca="1"/>
        <v>39.313459017852885</v>
      </c>
      <c r="AG879" s="2">
        <f ca="1"/>
        <v>0.37407884771646027</v>
      </c>
      <c r="AH879" s="2" t="str">
        <f ca="1"/>
        <v>OK</v>
      </c>
    </row>
    <row r="880" spans="2:34" x14ac:dyDescent="0.2">
      <c r="B880" s="2">
        <f ca="1"/>
        <v>0.13895021120860274</v>
      </c>
      <c r="O880" s="2">
        <f ca="1"/>
        <v>-1.6395303225815314</v>
      </c>
      <c r="X880" s="2">
        <f ca="1"/>
        <v>24.369907833561616</v>
      </c>
      <c r="AG880" s="2">
        <f ca="1"/>
        <v>0.68266433668823479</v>
      </c>
      <c r="AH880" s="2" t="str">
        <f ca="1"/>
        <v>Bad</v>
      </c>
    </row>
    <row r="881" spans="2:34" x14ac:dyDescent="0.2">
      <c r="B881" s="2">
        <f ca="1"/>
        <v>0.20537459743858988</v>
      </c>
      <c r="O881" s="2">
        <f ca="1"/>
        <v>0.55731306009958981</v>
      </c>
      <c r="X881" s="2">
        <f ca="1"/>
        <v>46.834308474324871</v>
      </c>
      <c r="AG881" s="2">
        <f ca="1"/>
        <v>0.2054287632331524</v>
      </c>
      <c r="AH881" s="2" t="str">
        <f ca="1"/>
        <v>OK</v>
      </c>
    </row>
    <row r="882" spans="2:34" x14ac:dyDescent="0.2">
      <c r="B882" s="2">
        <f ca="1"/>
        <v>0.56686126749821986</v>
      </c>
      <c r="O882" s="2">
        <f ca="1"/>
        <v>1.0611968778515175</v>
      </c>
      <c r="X882" s="2">
        <f ca="1"/>
        <v>37.117398928777661</v>
      </c>
      <c r="AG882" s="2">
        <f ca="1"/>
        <v>0.23916889541499087</v>
      </c>
      <c r="AH882" s="2" t="str">
        <f ca="1"/>
        <v>OK</v>
      </c>
    </row>
    <row r="883" spans="2:34" x14ac:dyDescent="0.2">
      <c r="B883" s="2">
        <f ca="1"/>
        <v>0.2516032615941195</v>
      </c>
      <c r="O883" s="2">
        <f ca="1"/>
        <v>-0.6988596358549678</v>
      </c>
      <c r="X883" s="2">
        <f ca="1"/>
        <v>48.732398352499196</v>
      </c>
      <c r="AG883" s="2">
        <f ca="1"/>
        <v>0.51113689934078543</v>
      </c>
      <c r="AH883" s="2" t="str">
        <f ca="1"/>
        <v>Bad</v>
      </c>
    </row>
    <row r="884" spans="2:34" x14ac:dyDescent="0.2">
      <c r="B884" s="2">
        <f ca="1"/>
        <v>0.3413753646261497</v>
      </c>
      <c r="O884" s="2">
        <f ca="1"/>
        <v>0.16664562255678317</v>
      </c>
      <c r="X884" s="2">
        <f ca="1"/>
        <v>55.486539392080189</v>
      </c>
      <c r="AG884" s="2">
        <f ca="1"/>
        <v>1.4784967166979968E-2</v>
      </c>
      <c r="AH884" s="2" t="str">
        <f ca="1"/>
        <v>Good</v>
      </c>
    </row>
    <row r="885" spans="2:34" x14ac:dyDescent="0.2">
      <c r="B885" s="2">
        <f ca="1"/>
        <v>1.3812714043023311E-2</v>
      </c>
      <c r="O885" s="2">
        <f ca="1"/>
        <v>-0.39478635119243199</v>
      </c>
      <c r="X885" s="2">
        <f ca="1"/>
        <v>45.09961802297552</v>
      </c>
      <c r="AG885" s="2">
        <f ca="1"/>
        <v>0.66341486981271802</v>
      </c>
      <c r="AH885" s="2" t="str">
        <f ca="1"/>
        <v>Bad</v>
      </c>
    </row>
    <row r="886" spans="2:34" x14ac:dyDescent="0.2">
      <c r="B886" s="2">
        <f ca="1"/>
        <v>0.28214812480547469</v>
      </c>
      <c r="O886" s="2">
        <f ca="1"/>
        <v>-0.80151355559089699</v>
      </c>
      <c r="X886" s="2">
        <f ca="1"/>
        <v>38.78336468577568</v>
      </c>
      <c r="AG886" s="2">
        <f ca="1"/>
        <v>0.60160775158037594</v>
      </c>
      <c r="AH886" s="2" t="str">
        <f ca="1"/>
        <v>Bad</v>
      </c>
    </row>
    <row r="887" spans="2:34" x14ac:dyDescent="0.2">
      <c r="B887" s="2">
        <f ca="1"/>
        <v>0.19777941265668786</v>
      </c>
      <c r="O887" s="2">
        <f ca="1"/>
        <v>-0.48678428932592699</v>
      </c>
      <c r="X887" s="2">
        <f ca="1"/>
        <v>77.440498324220641</v>
      </c>
      <c r="AG887" s="2">
        <f ca="1"/>
        <v>0.83583105044907358</v>
      </c>
      <c r="AH887" s="2" t="str">
        <f ca="1"/>
        <v>Bad</v>
      </c>
    </row>
    <row r="888" spans="2:34" x14ac:dyDescent="0.2">
      <c r="B888" s="2">
        <f ca="1"/>
        <v>0.32633664679567032</v>
      </c>
      <c r="O888" s="2">
        <f ca="1"/>
        <v>-0.5965583098577224</v>
      </c>
      <c r="X888" s="2">
        <f ca="1"/>
        <v>60.013921950234661</v>
      </c>
      <c r="AG888" s="2">
        <f ca="1"/>
        <v>0.90198503540057096</v>
      </c>
      <c r="AH888" s="2" t="str">
        <f ca="1"/>
        <v>Bad</v>
      </c>
    </row>
    <row r="889" spans="2:34" x14ac:dyDescent="0.2">
      <c r="B889" s="2">
        <f ca="1"/>
        <v>0.87105309648584628</v>
      </c>
      <c r="O889" s="2">
        <f ca="1"/>
        <v>2.2912012538298772</v>
      </c>
      <c r="X889" s="2">
        <f ca="1"/>
        <v>57.429133684150671</v>
      </c>
      <c r="AG889" s="2">
        <f ca="1"/>
        <v>0.60583230410605826</v>
      </c>
      <c r="AH889" s="2" t="str">
        <f ca="1"/>
        <v>Bad</v>
      </c>
    </row>
    <row r="890" spans="2:34" x14ac:dyDescent="0.2">
      <c r="B890" s="2">
        <f ca="1"/>
        <v>0.47544886844161827</v>
      </c>
      <c r="O890" s="2">
        <f ca="1"/>
        <v>-3.6009808687979677E-3</v>
      </c>
      <c r="X890" s="2">
        <f ca="1"/>
        <v>36.397094031722069</v>
      </c>
      <c r="AG890" s="2">
        <f ca="1"/>
        <v>0.36027126791238206</v>
      </c>
      <c r="AH890" s="2" t="str">
        <f ca="1"/>
        <v>OK</v>
      </c>
    </row>
    <row r="891" spans="2:34" x14ac:dyDescent="0.2">
      <c r="B891" s="2">
        <f ca="1"/>
        <v>0.35694562309719724</v>
      </c>
      <c r="O891" s="2">
        <f ca="1"/>
        <v>1.5133392234083882</v>
      </c>
      <c r="X891" s="2">
        <f ca="1"/>
        <v>49.196347407917671</v>
      </c>
      <c r="AG891" s="2">
        <f ca="1"/>
        <v>0.53426950415783381</v>
      </c>
      <c r="AH891" s="2" t="str">
        <f ca="1"/>
        <v>Bad</v>
      </c>
    </row>
    <row r="892" spans="2:34" x14ac:dyDescent="0.2">
      <c r="B892" s="2">
        <f ca="1"/>
        <v>0.78886108848234349</v>
      </c>
      <c r="O892" s="2">
        <f ca="1"/>
        <v>-0.62970641599208943</v>
      </c>
      <c r="X892" s="2">
        <f ca="1"/>
        <v>43.033116463834133</v>
      </c>
      <c r="AG892" s="2">
        <f ca="1"/>
        <v>0.76187927392073385</v>
      </c>
      <c r="AH892" s="2" t="str">
        <f ca="1"/>
        <v>Bad</v>
      </c>
    </row>
    <row r="893" spans="2:34" x14ac:dyDescent="0.2">
      <c r="B893" s="2">
        <f ca="1"/>
        <v>0.91101044229981687</v>
      </c>
      <c r="O893" s="2">
        <f ca="1"/>
        <v>0.33565945091203014</v>
      </c>
      <c r="X893" s="2">
        <f ca="1"/>
        <v>38.588286797948108</v>
      </c>
      <c r="AG893" s="2">
        <f ca="1"/>
        <v>0.8505295280509737</v>
      </c>
      <c r="AH893" s="2" t="str">
        <f ca="1"/>
        <v>Bad</v>
      </c>
    </row>
    <row r="894" spans="2:34" x14ac:dyDescent="0.2">
      <c r="B894" s="2">
        <f ca="1"/>
        <v>0.32930998452942406</v>
      </c>
      <c r="O894" s="2">
        <f ca="1"/>
        <v>0.31739429323332563</v>
      </c>
      <c r="X894" s="2">
        <f ca="1"/>
        <v>52.730763175471608</v>
      </c>
      <c r="AG894" s="2">
        <f ca="1"/>
        <v>0.6704173814994292</v>
      </c>
      <c r="AH894" s="2" t="str">
        <f ca="1"/>
        <v>Bad</v>
      </c>
    </row>
    <row r="895" spans="2:34" x14ac:dyDescent="0.2">
      <c r="B895" s="2">
        <f ca="1"/>
        <v>7.0829478879254726E-2</v>
      </c>
      <c r="O895" s="2">
        <f ca="1"/>
        <v>0.56730239605805322</v>
      </c>
      <c r="X895" s="2">
        <f ca="1"/>
        <v>53.939526310605864</v>
      </c>
      <c r="AG895" s="2">
        <f ca="1"/>
        <v>0.24827483447102905</v>
      </c>
      <c r="AH895" s="2" t="str">
        <f ca="1"/>
        <v>OK</v>
      </c>
    </row>
    <row r="896" spans="2:34" x14ac:dyDescent="0.2">
      <c r="B896" s="2">
        <f ca="1"/>
        <v>1.7247050771273198E-2</v>
      </c>
      <c r="O896" s="2">
        <f ca="1"/>
        <v>-0.71021930285630563</v>
      </c>
      <c r="X896" s="2">
        <f ca="1"/>
        <v>68.675133630047668</v>
      </c>
      <c r="AG896" s="2">
        <f ca="1"/>
        <v>6.5356559362302891E-2</v>
      </c>
      <c r="AH896" s="2" t="str">
        <f ca="1"/>
        <v>OK</v>
      </c>
    </row>
    <row r="897" spans="2:34" x14ac:dyDescent="0.2">
      <c r="B897" s="2">
        <f ca="1"/>
        <v>0.11769055165484965</v>
      </c>
      <c r="O897" s="2">
        <f ca="1"/>
        <v>1.07220553538216</v>
      </c>
      <c r="X897" s="2">
        <f ca="1"/>
        <v>26.246001292378203</v>
      </c>
      <c r="AG897" s="2">
        <f ca="1"/>
        <v>0.15334179244503621</v>
      </c>
      <c r="AH897" s="2" t="str">
        <f ca="1"/>
        <v>OK</v>
      </c>
    </row>
    <row r="898" spans="2:34" x14ac:dyDescent="0.2">
      <c r="B898" s="2">
        <f ca="1"/>
        <v>0.88766926427468151</v>
      </c>
      <c r="O898" s="2">
        <f ca="1"/>
        <v>-0.40680186365879234</v>
      </c>
      <c r="X898" s="2">
        <f ca="1"/>
        <v>45.80697399352951</v>
      </c>
      <c r="AG898" s="2">
        <f ca="1"/>
        <v>0.32933650167746231</v>
      </c>
      <c r="AH898" s="2" t="str">
        <f ca="1"/>
        <v>OK</v>
      </c>
    </row>
    <row r="899" spans="2:34" x14ac:dyDescent="0.2">
      <c r="B899" s="2">
        <f ca="1"/>
        <v>0.30174602132116313</v>
      </c>
      <c r="O899" s="2">
        <f ca="1"/>
        <v>-0.78271392810435225</v>
      </c>
      <c r="X899" s="2">
        <f ca="1"/>
        <v>38.613284412067188</v>
      </c>
      <c r="AG899" s="2">
        <f ca="1"/>
        <v>0.25433388618198305</v>
      </c>
      <c r="AH899" s="2" t="str">
        <f ca="1"/>
        <v>OK</v>
      </c>
    </row>
    <row r="900" spans="2:34" x14ac:dyDescent="0.2">
      <c r="B900" s="2">
        <f ca="1"/>
        <v>0.96813541402942005</v>
      </c>
      <c r="O900" s="2">
        <f ca="1"/>
        <v>-0.53504151137074329</v>
      </c>
      <c r="X900" s="2">
        <f ca="1"/>
        <v>68.591561038514783</v>
      </c>
      <c r="AG900" s="2">
        <f ca="1"/>
        <v>0.52706878172236138</v>
      </c>
      <c r="AH900" s="2" t="str">
        <f ca="1"/>
        <v>Bad</v>
      </c>
    </row>
    <row r="901" spans="2:34" x14ac:dyDescent="0.2">
      <c r="B901" s="2">
        <f ca="1"/>
        <v>2.847868241547924E-2</v>
      </c>
      <c r="O901" s="2">
        <f ca="1"/>
        <v>-1.2870945253598729</v>
      </c>
      <c r="X901" s="2">
        <f ca="1"/>
        <v>53.356233082153146</v>
      </c>
      <c r="AG901" s="2">
        <f ca="1"/>
        <v>0.64875855372525715</v>
      </c>
      <c r="AH901" s="2" t="str">
        <f ca="1"/>
        <v>Bad</v>
      </c>
    </row>
    <row r="902" spans="2:34" x14ac:dyDescent="0.2">
      <c r="B902" s="2">
        <f ca="1"/>
        <v>0.93231340850007416</v>
      </c>
      <c r="O902" s="2">
        <f ca="1"/>
        <v>-0.91498344422381916</v>
      </c>
      <c r="X902" s="2">
        <f ca="1"/>
        <v>56.517306344846673</v>
      </c>
      <c r="AG902" s="2">
        <f ca="1"/>
        <v>0.38019325151210714</v>
      </c>
      <c r="AH902" s="2" t="str">
        <f ca="1"/>
        <v>OK</v>
      </c>
    </row>
    <row r="903" spans="2:34" x14ac:dyDescent="0.2">
      <c r="B903" s="2">
        <f ca="1"/>
        <v>0.39060169252716426</v>
      </c>
      <c r="O903" s="2">
        <f ca="1"/>
        <v>-0.16929040057210198</v>
      </c>
      <c r="X903" s="2">
        <f ca="1"/>
        <v>30.933634902415843</v>
      </c>
      <c r="AG903" s="2">
        <f ca="1"/>
        <v>0.53256352138989937</v>
      </c>
      <c r="AH903" s="2" t="str">
        <f ca="1"/>
        <v>Bad</v>
      </c>
    </row>
    <row r="904" spans="2:34" x14ac:dyDescent="0.2">
      <c r="B904" s="2">
        <f ca="1"/>
        <v>0.9057305604623791</v>
      </c>
      <c r="O904" s="2">
        <f ca="1"/>
        <v>1.8481849471524359</v>
      </c>
      <c r="X904" s="2">
        <f ca="1"/>
        <v>79.840200728802202</v>
      </c>
      <c r="AG904" s="2">
        <f ca="1"/>
        <v>1.3398502056967132E-3</v>
      </c>
      <c r="AH904" s="2" t="str">
        <f ca="1"/>
        <v>Good</v>
      </c>
    </row>
    <row r="905" spans="2:34" x14ac:dyDescent="0.2">
      <c r="B905" s="2">
        <f ca="1"/>
        <v>0.79403981750574526</v>
      </c>
      <c r="O905" s="2">
        <f ca="1"/>
        <v>-0.35113425112556462</v>
      </c>
      <c r="X905" s="2">
        <f ca="1"/>
        <v>44.990436047957672</v>
      </c>
      <c r="AG905" s="2">
        <f ca="1"/>
        <v>0.12264216201294342</v>
      </c>
      <c r="AH905" s="2" t="str">
        <f ca="1"/>
        <v>OK</v>
      </c>
    </row>
    <row r="906" spans="2:34" x14ac:dyDescent="0.2">
      <c r="B906" s="2">
        <f ca="1"/>
        <v>0.68591432152084275</v>
      </c>
      <c r="O906" s="2">
        <f ca="1"/>
        <v>0.18870985714063357</v>
      </c>
      <c r="X906" s="2">
        <f ca="1"/>
        <v>52.213603202170475</v>
      </c>
      <c r="AG906" s="2">
        <f ca="1"/>
        <v>0.37976907676563365</v>
      </c>
      <c r="AH906" s="2" t="str">
        <f ca="1"/>
        <v>OK</v>
      </c>
    </row>
    <row r="907" spans="2:34" x14ac:dyDescent="0.2">
      <c r="B907" s="2">
        <f ca="1"/>
        <v>0.96266932927970594</v>
      </c>
      <c r="O907" s="2">
        <f ca="1"/>
        <v>-0.67451591889078077</v>
      </c>
      <c r="X907" s="2">
        <f ca="1"/>
        <v>67.846143893708415</v>
      </c>
      <c r="AG907" s="2">
        <f ca="1"/>
        <v>0.40777376955512268</v>
      </c>
      <c r="AH907" s="2" t="str">
        <f ca="1"/>
        <v>Bad</v>
      </c>
    </row>
    <row r="908" spans="2:34" x14ac:dyDescent="0.2">
      <c r="B908" s="2">
        <f ca="1"/>
        <v>0.2858968812982905</v>
      </c>
      <c r="O908" s="2">
        <f ca="1"/>
        <v>-1.7348780750105284</v>
      </c>
      <c r="X908" s="2">
        <f ca="1"/>
        <v>46.835024073770448</v>
      </c>
      <c r="AG908" s="2">
        <f ca="1"/>
        <v>2.1954708029451986E-2</v>
      </c>
      <c r="AH908" s="2" t="str">
        <f ca="1"/>
        <v>Good</v>
      </c>
    </row>
    <row r="909" spans="2:34" x14ac:dyDescent="0.2">
      <c r="B909" s="2">
        <f ca="1"/>
        <v>0.28397510146332716</v>
      </c>
      <c r="O909" s="2">
        <f ca="1"/>
        <v>-1.3521649674572225</v>
      </c>
      <c r="X909" s="2">
        <f ca="1"/>
        <v>84.875615789599294</v>
      </c>
      <c r="AG909" s="2">
        <f ca="1"/>
        <v>7.2793747294290778E-3</v>
      </c>
      <c r="AH909" s="2" t="str">
        <f ca="1"/>
        <v>Good</v>
      </c>
    </row>
    <row r="910" spans="2:34" x14ac:dyDescent="0.2">
      <c r="B910" s="2">
        <f ca="1"/>
        <v>0.95316359939537665</v>
      </c>
      <c r="O910" s="2">
        <f ca="1"/>
        <v>0.64583024602388361</v>
      </c>
      <c r="X910" s="2">
        <f ca="1"/>
        <v>35.029800819388875</v>
      </c>
      <c r="AG910" s="2">
        <f ca="1"/>
        <v>0.30868300145942862</v>
      </c>
      <c r="AH910" s="2" t="str">
        <f ca="1"/>
        <v>OK</v>
      </c>
    </row>
    <row r="911" spans="2:34" x14ac:dyDescent="0.2">
      <c r="B911" s="2">
        <f ca="1"/>
        <v>0.40678746791368359</v>
      </c>
      <c r="O911" s="2">
        <f ca="1"/>
        <v>-1.6735878482347464</v>
      </c>
      <c r="X911" s="2">
        <f ca="1"/>
        <v>38.744226414069814</v>
      </c>
      <c r="AG911" s="2">
        <f ca="1"/>
        <v>0.23395045255864599</v>
      </c>
      <c r="AH911" s="2" t="str">
        <f ca="1"/>
        <v>OK</v>
      </c>
    </row>
    <row r="912" spans="2:34" x14ac:dyDescent="0.2">
      <c r="B912" s="2">
        <f ca="1"/>
        <v>0.19758119664195162</v>
      </c>
      <c r="O912" s="2">
        <f ca="1"/>
        <v>2.1402109320491167</v>
      </c>
      <c r="X912" s="2">
        <f ca="1"/>
        <v>48.377352141202365</v>
      </c>
      <c r="AG912" s="2">
        <f ca="1"/>
        <v>0.2249326410827619</v>
      </c>
      <c r="AH912" s="2" t="str">
        <f ca="1"/>
        <v>OK</v>
      </c>
    </row>
    <row r="913" spans="2:34" x14ac:dyDescent="0.2">
      <c r="B913" s="2">
        <f ca="1"/>
        <v>0.9431103710739619</v>
      </c>
      <c r="O913" s="2">
        <f ca="1"/>
        <v>1.1710147471762775</v>
      </c>
      <c r="X913" s="2">
        <f ca="1"/>
        <v>24.050153097695084</v>
      </c>
      <c r="AG913" s="2">
        <f ca="1"/>
        <v>0.73913277876329952</v>
      </c>
      <c r="AH913" s="2" t="str">
        <f ca="1"/>
        <v>Bad</v>
      </c>
    </row>
    <row r="914" spans="2:34" x14ac:dyDescent="0.2">
      <c r="B914" s="2">
        <f ca="1"/>
        <v>7.41759652670273E-2</v>
      </c>
      <c r="O914" s="2">
        <f ca="1"/>
        <v>-0.77892807199453262</v>
      </c>
      <c r="X914" s="2">
        <f ca="1"/>
        <v>37.638106137460312</v>
      </c>
      <c r="AG914" s="2">
        <f ca="1"/>
        <v>6.2782126713072817E-2</v>
      </c>
      <c r="AH914" s="2" t="str">
        <f ca="1"/>
        <v>OK</v>
      </c>
    </row>
    <row r="915" spans="2:34" x14ac:dyDescent="0.2">
      <c r="B915" s="2">
        <f ca="1"/>
        <v>0.32034624664399458</v>
      </c>
      <c r="O915" s="2">
        <f ca="1"/>
        <v>1.5315843114837122</v>
      </c>
      <c r="X915" s="2">
        <f ca="1"/>
        <v>36.357124308948599</v>
      </c>
      <c r="AG915" s="2">
        <f ca="1"/>
        <v>0.62542797920185689</v>
      </c>
      <c r="AH915" s="2" t="str">
        <f ca="1"/>
        <v>Bad</v>
      </c>
    </row>
    <row r="916" spans="2:34" x14ac:dyDescent="0.2">
      <c r="B916" s="2">
        <f ca="1"/>
        <v>0.83419796800945623</v>
      </c>
      <c r="O916" s="2">
        <f ca="1"/>
        <v>-0.23692829980549901</v>
      </c>
      <c r="X916" s="2">
        <f ca="1"/>
        <v>77.124267422108744</v>
      </c>
      <c r="AG916" s="2">
        <f ca="1"/>
        <v>0.90098122887397603</v>
      </c>
      <c r="AH916" s="2" t="str">
        <f ca="1"/>
        <v>Bad</v>
      </c>
    </row>
    <row r="917" spans="2:34" x14ac:dyDescent="0.2">
      <c r="B917" s="2">
        <f ca="1"/>
        <v>0.86003378582224754</v>
      </c>
      <c r="O917" s="2">
        <f ca="1"/>
        <v>0.88012915544004755</v>
      </c>
      <c r="X917" s="2">
        <f ca="1"/>
        <v>43.270626580655254</v>
      </c>
      <c r="AG917" s="2">
        <f ca="1"/>
        <v>0.68071240760408713</v>
      </c>
      <c r="AH917" s="2" t="str">
        <f ca="1"/>
        <v>Bad</v>
      </c>
    </row>
    <row r="918" spans="2:34" x14ac:dyDescent="0.2">
      <c r="B918" s="2">
        <f ca="1"/>
        <v>4.6054954467966702E-4</v>
      </c>
      <c r="O918" s="2">
        <f ca="1"/>
        <v>0.28048956324116064</v>
      </c>
      <c r="X918" s="2">
        <f ca="1"/>
        <v>65.290554724601364</v>
      </c>
      <c r="AG918" s="2">
        <f ca="1"/>
        <v>0.83020127497767882</v>
      </c>
      <c r="AH918" s="2" t="str">
        <f ca="1"/>
        <v>Bad</v>
      </c>
    </row>
    <row r="919" spans="2:34" x14ac:dyDescent="0.2">
      <c r="B919" s="2">
        <f ca="1"/>
        <v>0.76835835594534441</v>
      </c>
      <c r="O919" s="2">
        <f ca="1"/>
        <v>0.97671293816681515</v>
      </c>
      <c r="X919" s="2">
        <f ca="1"/>
        <v>54.41014952433639</v>
      </c>
      <c r="AG919" s="2">
        <f ca="1"/>
        <v>0.42409557658739239</v>
      </c>
      <c r="AH919" s="2" t="str">
        <f ca="1"/>
        <v>Bad</v>
      </c>
    </row>
    <row r="920" spans="2:34" x14ac:dyDescent="0.2">
      <c r="B920" s="2">
        <f ca="1"/>
        <v>0.89654329459467852</v>
      </c>
      <c r="O920" s="2">
        <f ca="1"/>
        <v>6.2776177322320062E-2</v>
      </c>
      <c r="X920" s="2">
        <f ca="1"/>
        <v>66.468240648420249</v>
      </c>
      <c r="AG920" s="2">
        <f ca="1"/>
        <v>0.98426980758433924</v>
      </c>
      <c r="AH920" s="2" t="str">
        <f ca="1"/>
        <v>Bad</v>
      </c>
    </row>
    <row r="921" spans="2:34" x14ac:dyDescent="0.2">
      <c r="B921" s="2">
        <f ca="1"/>
        <v>0.87419096176820865</v>
      </c>
      <c r="O921" s="2">
        <f ca="1"/>
        <v>-1.1002677363092954</v>
      </c>
      <c r="X921" s="2">
        <f ca="1"/>
        <v>61.567468318790731</v>
      </c>
      <c r="AG921" s="2">
        <f ca="1"/>
        <v>0.71958763275249193</v>
      </c>
      <c r="AH921" s="2" t="str">
        <f ca="1"/>
        <v>Bad</v>
      </c>
    </row>
    <row r="922" spans="2:34" x14ac:dyDescent="0.2">
      <c r="B922" s="2">
        <f ca="1"/>
        <v>0.2956957471578221</v>
      </c>
      <c r="O922" s="2">
        <f ca="1"/>
        <v>-1.4290475781369949</v>
      </c>
      <c r="X922" s="2">
        <f ca="1"/>
        <v>46.424886269148317</v>
      </c>
      <c r="AG922" s="2">
        <f ca="1"/>
        <v>0.69378501009667781</v>
      </c>
      <c r="AH922" s="2" t="str">
        <f ca="1"/>
        <v>Bad</v>
      </c>
    </row>
    <row r="923" spans="2:34" x14ac:dyDescent="0.2">
      <c r="B923" s="2">
        <f ca="1"/>
        <v>0.14929490648845278</v>
      </c>
      <c r="O923" s="2">
        <f ca="1"/>
        <v>0.20002227055368135</v>
      </c>
      <c r="X923" s="2">
        <f ca="1"/>
        <v>71.580758186295427</v>
      </c>
      <c r="AG923" s="2">
        <f ca="1"/>
        <v>0.3603424595893896</v>
      </c>
      <c r="AH923" s="2" t="str">
        <f ca="1"/>
        <v>OK</v>
      </c>
    </row>
    <row r="924" spans="2:34" x14ac:dyDescent="0.2">
      <c r="B924" s="2">
        <f ca="1"/>
        <v>0.20746622564214912</v>
      </c>
      <c r="O924" s="2">
        <f ca="1"/>
        <v>0.99367773061053899</v>
      </c>
      <c r="X924" s="2">
        <f ca="1"/>
        <v>32.034467704468042</v>
      </c>
      <c r="AG924" s="2">
        <f ca="1"/>
        <v>0.3681557681438834</v>
      </c>
      <c r="AH924" s="2" t="str">
        <f ca="1"/>
        <v>OK</v>
      </c>
    </row>
    <row r="925" spans="2:34" x14ac:dyDescent="0.2">
      <c r="B925" s="2">
        <f ca="1"/>
        <v>0.22296114654635768</v>
      </c>
      <c r="O925" s="2">
        <f ca="1"/>
        <v>0.51900863484244386</v>
      </c>
      <c r="X925" s="2">
        <f ca="1"/>
        <v>81.492421494819411</v>
      </c>
      <c r="AG925" s="2">
        <f ca="1"/>
        <v>5.5094186970704673E-2</v>
      </c>
      <c r="AH925" s="2" t="str">
        <f ca="1"/>
        <v>OK</v>
      </c>
    </row>
    <row r="926" spans="2:34" x14ac:dyDescent="0.2">
      <c r="B926" s="2">
        <f ca="1"/>
        <v>0.8090574124782024</v>
      </c>
      <c r="O926" s="2">
        <f ca="1"/>
        <v>1.0130321102139235</v>
      </c>
      <c r="X926" s="2">
        <f ca="1"/>
        <v>42.066879778808257</v>
      </c>
      <c r="AG926" s="2">
        <f ca="1"/>
        <v>0.64535988458909954</v>
      </c>
      <c r="AH926" s="2" t="str">
        <f ca="1"/>
        <v>Bad</v>
      </c>
    </row>
    <row r="927" spans="2:34" x14ac:dyDescent="0.2">
      <c r="B927" s="2">
        <f ca="1"/>
        <v>0.12232579679409894</v>
      </c>
      <c r="O927" s="2">
        <f ca="1"/>
        <v>0.58970451895827081</v>
      </c>
      <c r="X927" s="2">
        <f ca="1"/>
        <v>37.852870728702925</v>
      </c>
      <c r="AG927" s="2">
        <f ca="1"/>
        <v>0.55496994896272445</v>
      </c>
      <c r="AH927" s="2" t="str">
        <f ca="1"/>
        <v>Bad</v>
      </c>
    </row>
    <row r="928" spans="2:34" x14ac:dyDescent="0.2">
      <c r="B928" s="2">
        <f ca="1"/>
        <v>0.53627732664161298</v>
      </c>
      <c r="O928" s="2">
        <f ca="1"/>
        <v>0.18796800822157742</v>
      </c>
      <c r="X928" s="2">
        <f ca="1"/>
        <v>36.901882796560422</v>
      </c>
      <c r="AG928" s="2">
        <f ca="1"/>
        <v>0.34805488916968619</v>
      </c>
      <c r="AH928" s="2" t="str">
        <f ca="1"/>
        <v>OK</v>
      </c>
    </row>
    <row r="929" spans="2:34" x14ac:dyDescent="0.2">
      <c r="B929" s="2">
        <f ca="1"/>
        <v>0.18440023164175212</v>
      </c>
      <c r="O929" s="2">
        <f ca="1"/>
        <v>2.3966774044840449</v>
      </c>
      <c r="X929" s="2">
        <f ca="1"/>
        <v>38.439160406093073</v>
      </c>
      <c r="AG929" s="2">
        <f ca="1"/>
        <v>0.59154753180547459</v>
      </c>
      <c r="AH929" s="2" t="str">
        <f ca="1"/>
        <v>Bad</v>
      </c>
    </row>
    <row r="930" spans="2:34" x14ac:dyDescent="0.2">
      <c r="B930" s="2">
        <f ca="1"/>
        <v>0.81883148586495191</v>
      </c>
      <c r="O930" s="2">
        <f ca="1"/>
        <v>0.84624922040120321</v>
      </c>
      <c r="X930" s="2">
        <f ca="1"/>
        <v>51.728108782102247</v>
      </c>
      <c r="AG930" s="2">
        <f ca="1"/>
        <v>0.70820173316297264</v>
      </c>
      <c r="AH930" s="2" t="str">
        <f ca="1"/>
        <v>Bad</v>
      </c>
    </row>
    <row r="931" spans="2:34" x14ac:dyDescent="0.2">
      <c r="B931" s="2">
        <f ca="1"/>
        <v>0.9762726727410671</v>
      </c>
      <c r="O931" s="2">
        <f ca="1"/>
        <v>0.68820398117039261</v>
      </c>
      <c r="X931" s="2">
        <f ca="1"/>
        <v>52.665609375275622</v>
      </c>
      <c r="AG931" s="2">
        <f ca="1"/>
        <v>0.58815979453163969</v>
      </c>
      <c r="AH931" s="2" t="str">
        <f ca="1"/>
        <v>Bad</v>
      </c>
    </row>
    <row r="932" spans="2:34" x14ac:dyDescent="0.2">
      <c r="B932" s="2">
        <f ca="1"/>
        <v>0.78694850972015429</v>
      </c>
      <c r="O932" s="2">
        <f ca="1"/>
        <v>0.59945673494234653</v>
      </c>
      <c r="X932" s="2">
        <f ca="1"/>
        <v>45.722939286771691</v>
      </c>
      <c r="AG932" s="2">
        <f ca="1"/>
        <v>0.42845214378152008</v>
      </c>
      <c r="AH932" s="2" t="str">
        <f ca="1"/>
        <v>Bad</v>
      </c>
    </row>
    <row r="933" spans="2:34" x14ac:dyDescent="0.2">
      <c r="B933" s="2">
        <f ca="1"/>
        <v>2.4063195459201658E-2</v>
      </c>
      <c r="O933" s="2">
        <f ca="1"/>
        <v>0.98078750403167847</v>
      </c>
      <c r="X933" s="2">
        <f ca="1"/>
        <v>68.927846628670139</v>
      </c>
      <c r="AG933" s="2">
        <f ca="1"/>
        <v>0.68589146203165607</v>
      </c>
      <c r="AH933" s="2" t="str">
        <f ca="1"/>
        <v>Bad</v>
      </c>
    </row>
    <row r="934" spans="2:34" x14ac:dyDescent="0.2">
      <c r="B934" s="2">
        <f ca="1"/>
        <v>0.92517606511170025</v>
      </c>
      <c r="O934" s="2">
        <f ca="1"/>
        <v>1.3762644009070124</v>
      </c>
      <c r="X934" s="2">
        <f ca="1"/>
        <v>32.708746646733523</v>
      </c>
      <c r="AG934" s="2">
        <f ca="1"/>
        <v>0.38500260839447598</v>
      </c>
      <c r="AH934" s="2" t="str">
        <f ca="1"/>
        <v>OK</v>
      </c>
    </row>
    <row r="935" spans="2:34" x14ac:dyDescent="0.2">
      <c r="B935" s="2">
        <f ca="1"/>
        <v>0.17039592147732141</v>
      </c>
      <c r="O935" s="2">
        <f ca="1"/>
        <v>-0.56817690939609322</v>
      </c>
      <c r="X935" s="2">
        <f ca="1"/>
        <v>18.719051554867757</v>
      </c>
      <c r="AG935" s="2">
        <f ca="1"/>
        <v>0.10230062379556815</v>
      </c>
      <c r="AH935" s="2" t="str">
        <f ca="1"/>
        <v>OK</v>
      </c>
    </row>
    <row r="936" spans="2:34" x14ac:dyDescent="0.2">
      <c r="B936" s="2">
        <f ca="1"/>
        <v>0.51200442020386894</v>
      </c>
      <c r="O936" s="2">
        <f ca="1"/>
        <v>-0.44765417292331461</v>
      </c>
      <c r="X936" s="2">
        <f ca="1"/>
        <v>49.549643875520665</v>
      </c>
      <c r="AG936" s="2">
        <f ca="1"/>
        <v>0.8565498460163472</v>
      </c>
      <c r="AH936" s="2" t="str">
        <f ca="1"/>
        <v>Bad</v>
      </c>
    </row>
    <row r="937" spans="2:34" x14ac:dyDescent="0.2">
      <c r="B937" s="2">
        <f ca="1"/>
        <v>0.410035171202487</v>
      </c>
      <c r="O937" s="2">
        <f ca="1"/>
        <v>-1.8911432421747241</v>
      </c>
      <c r="X937" s="2">
        <f ca="1"/>
        <v>55.070535053818936</v>
      </c>
      <c r="AG937" s="2">
        <f ca="1"/>
        <v>0.46351024720318645</v>
      </c>
      <c r="AH937" s="2" t="str">
        <f ca="1"/>
        <v>Bad</v>
      </c>
    </row>
    <row r="938" spans="2:34" x14ac:dyDescent="0.2">
      <c r="B938" s="2">
        <f ca="1"/>
        <v>0.72480192841785285</v>
      </c>
      <c r="O938" s="2">
        <f ca="1"/>
        <v>1.1392048532777659</v>
      </c>
      <c r="X938" s="2">
        <f ca="1"/>
        <v>50.263124078574947</v>
      </c>
      <c r="AG938" s="2">
        <f ca="1"/>
        <v>0.33303850920408018</v>
      </c>
      <c r="AH938" s="2" t="str">
        <f ca="1"/>
        <v>OK</v>
      </c>
    </row>
    <row r="939" spans="2:34" x14ac:dyDescent="0.2">
      <c r="B939" s="2">
        <f ca="1"/>
        <v>6.0624303937009794E-2</v>
      </c>
      <c r="O939" s="2">
        <f ca="1"/>
        <v>0.68815708072522463</v>
      </c>
      <c r="X939" s="2">
        <f ca="1"/>
        <v>28.361716410801201</v>
      </c>
      <c r="AG939" s="2">
        <f ca="1"/>
        <v>0.73492536121367125</v>
      </c>
      <c r="AH939" s="2" t="str">
        <f ca="1"/>
        <v>Bad</v>
      </c>
    </row>
    <row r="940" spans="2:34" x14ac:dyDescent="0.2">
      <c r="B940" s="2">
        <f ca="1"/>
        <v>0.72342574340270116</v>
      </c>
      <c r="O940" s="2">
        <f ca="1"/>
        <v>0.14045167186730784</v>
      </c>
      <c r="X940" s="2">
        <f ca="1"/>
        <v>49.992025479470747</v>
      </c>
      <c r="AG940" s="2">
        <f ca="1"/>
        <v>0.11899449291671926</v>
      </c>
      <c r="AH940" s="2" t="str">
        <f ca="1"/>
        <v>OK</v>
      </c>
    </row>
    <row r="941" spans="2:34" x14ac:dyDescent="0.2">
      <c r="B941" s="2">
        <f ca="1"/>
        <v>0.38430421558903394</v>
      </c>
      <c r="O941" s="2">
        <f ca="1"/>
        <v>1.3530674476573021</v>
      </c>
      <c r="X941" s="2">
        <f ca="1"/>
        <v>21.635500985921283</v>
      </c>
      <c r="AG941" s="2">
        <f ca="1"/>
        <v>0.58683559422648046</v>
      </c>
      <c r="AH941" s="2" t="str">
        <f ca="1"/>
        <v>Bad</v>
      </c>
    </row>
    <row r="942" spans="2:34" x14ac:dyDescent="0.2">
      <c r="B942" s="2">
        <f ca="1"/>
        <v>0.14136419434625025</v>
      </c>
      <c r="O942" s="2">
        <f ca="1"/>
        <v>-1.2142296631588283</v>
      </c>
      <c r="X942" s="2">
        <f ca="1"/>
        <v>39.763850259188871</v>
      </c>
      <c r="AG942" s="2">
        <f ca="1"/>
        <v>2.0682724676894804E-3</v>
      </c>
      <c r="AH942" s="2" t="str">
        <f ca="1"/>
        <v>Good</v>
      </c>
    </row>
    <row r="943" spans="2:34" x14ac:dyDescent="0.2">
      <c r="B943" s="2">
        <f ca="1"/>
        <v>0.75425233586771712</v>
      </c>
      <c r="O943" s="2">
        <f ca="1"/>
        <v>0.33411282632410677</v>
      </c>
      <c r="X943" s="2">
        <f ca="1"/>
        <v>77.081596846698744</v>
      </c>
      <c r="AG943" s="2">
        <f ca="1"/>
        <v>0.8888122559613012</v>
      </c>
      <c r="AH943" s="2" t="str">
        <f ca="1"/>
        <v>Bad</v>
      </c>
    </row>
    <row r="944" spans="2:34" x14ac:dyDescent="0.2">
      <c r="B944" s="2">
        <f ca="1"/>
        <v>0.20527749220872171</v>
      </c>
      <c r="O944" s="2">
        <f ca="1"/>
        <v>-0.79575931596637206</v>
      </c>
      <c r="X944" s="2">
        <f ca="1"/>
        <v>49.676438353800798</v>
      </c>
      <c r="AG944" s="2">
        <f ca="1"/>
        <v>0.74217508438247792</v>
      </c>
      <c r="AH944" s="2" t="str">
        <f ca="1"/>
        <v>Bad</v>
      </c>
    </row>
    <row r="945" spans="2:34" x14ac:dyDescent="0.2">
      <c r="B945" s="2">
        <f ca="1"/>
        <v>0.73073143364281035</v>
      </c>
      <c r="O945" s="2">
        <f ca="1"/>
        <v>-0.10784861063798294</v>
      </c>
      <c r="X945" s="2">
        <f ca="1"/>
        <v>44.925170675013376</v>
      </c>
      <c r="AG945" s="2">
        <f ca="1"/>
        <v>0.57678885687564851</v>
      </c>
      <c r="AH945" s="2" t="str">
        <f ca="1"/>
        <v>Bad</v>
      </c>
    </row>
    <row r="946" spans="2:34" x14ac:dyDescent="0.2">
      <c r="B946" s="2">
        <f ca="1"/>
        <v>0.61522146267747613</v>
      </c>
      <c r="O946" s="2">
        <f ca="1"/>
        <v>0.56662718286946701</v>
      </c>
      <c r="X946" s="2">
        <f ca="1"/>
        <v>65.411889772259798</v>
      </c>
      <c r="AG946" s="2">
        <f ca="1"/>
        <v>0.21700947203921728</v>
      </c>
      <c r="AH946" s="2" t="str">
        <f ca="1"/>
        <v>OK</v>
      </c>
    </row>
    <row r="947" spans="2:34" x14ac:dyDescent="0.2">
      <c r="B947" s="2">
        <f ca="1"/>
        <v>0.91068011443111141</v>
      </c>
      <c r="O947" s="2">
        <f ca="1"/>
        <v>0.76535942118178002</v>
      </c>
      <c r="X947" s="2">
        <f ca="1"/>
        <v>42.711337952300859</v>
      </c>
      <c r="AG947" s="2">
        <f ca="1"/>
        <v>0.13602604842194599</v>
      </c>
      <c r="AH947" s="2" t="str">
        <f ca="1"/>
        <v>OK</v>
      </c>
    </row>
    <row r="948" spans="2:34" x14ac:dyDescent="0.2">
      <c r="B948" s="2">
        <f ca="1"/>
        <v>0.24054248571683923</v>
      </c>
      <c r="O948" s="2">
        <f ca="1"/>
        <v>0.7698587543823382</v>
      </c>
      <c r="X948" s="2">
        <f ca="1"/>
        <v>61.151620066436763</v>
      </c>
      <c r="AG948" s="2">
        <f ca="1"/>
        <v>0.74582822478035848</v>
      </c>
      <c r="AH948" s="2" t="str">
        <f ca="1"/>
        <v>Bad</v>
      </c>
    </row>
    <row r="949" spans="2:34" x14ac:dyDescent="0.2">
      <c r="B949" s="2">
        <f ca="1"/>
        <v>0.74165927227041784</v>
      </c>
      <c r="O949" s="2">
        <f ca="1"/>
        <v>1.2549228255969564</v>
      </c>
      <c r="X949" s="2">
        <f ca="1"/>
        <v>44.681800640789376</v>
      </c>
      <c r="AG949" s="2">
        <f ca="1"/>
        <v>0.46172778851522844</v>
      </c>
      <c r="AH949" s="2" t="str">
        <f ca="1"/>
        <v>Bad</v>
      </c>
    </row>
    <row r="950" spans="2:34" x14ac:dyDescent="0.2">
      <c r="B950" s="2">
        <f ca="1"/>
        <v>0.31654302438659765</v>
      </c>
      <c r="O950" s="2">
        <f ca="1"/>
        <v>0.73058119853544801</v>
      </c>
      <c r="X950" s="2">
        <f ca="1"/>
        <v>32.573203532974937</v>
      </c>
      <c r="AG950" s="2">
        <f ca="1"/>
        <v>0.98994118750842608</v>
      </c>
      <c r="AH950" s="2" t="str">
        <f ca="1"/>
        <v>Bad</v>
      </c>
    </row>
    <row r="951" spans="2:34" x14ac:dyDescent="0.2">
      <c r="B951" s="2">
        <f ca="1"/>
        <v>0.95997557942137846</v>
      </c>
      <c r="O951" s="2">
        <f ca="1"/>
        <v>0.34625572843798025</v>
      </c>
      <c r="X951" s="2">
        <f ca="1"/>
        <v>62.045039765806891</v>
      </c>
      <c r="AG951" s="2">
        <f ca="1"/>
        <v>0.44333083294420339</v>
      </c>
      <c r="AH951" s="2" t="str">
        <f ca="1"/>
        <v>Bad</v>
      </c>
    </row>
    <row r="952" spans="2:34" x14ac:dyDescent="0.2">
      <c r="B952" s="2">
        <f ca="1"/>
        <v>0.34728944699138053</v>
      </c>
      <c r="O952" s="2">
        <f ca="1"/>
        <v>0.28759357518508372</v>
      </c>
      <c r="X952" s="2">
        <f ca="1"/>
        <v>66.224848691887715</v>
      </c>
      <c r="AG952" s="2">
        <f ca="1"/>
        <v>3.3914148004086986E-2</v>
      </c>
      <c r="AH952" s="2" t="str">
        <f ca="1"/>
        <v>Good</v>
      </c>
    </row>
    <row r="953" spans="2:34" x14ac:dyDescent="0.2">
      <c r="B953" s="2">
        <f ca="1"/>
        <v>0.82721976090067617</v>
      </c>
      <c r="O953" s="2">
        <f ca="1"/>
        <v>-0.9131412800692793</v>
      </c>
      <c r="X953" s="2">
        <f ca="1"/>
        <v>31.861007969068289</v>
      </c>
      <c r="AG953" s="2">
        <f ca="1"/>
        <v>0.13645470332735554</v>
      </c>
      <c r="AH953" s="2" t="str">
        <f ca="1"/>
        <v>OK</v>
      </c>
    </row>
    <row r="954" spans="2:34" x14ac:dyDescent="0.2">
      <c r="B954" s="2">
        <f ca="1"/>
        <v>0.82397607978474152</v>
      </c>
      <c r="O954" s="2">
        <f ca="1"/>
        <v>-0.22997153034695969</v>
      </c>
      <c r="X954" s="2">
        <f ca="1"/>
        <v>43.535696537643751</v>
      </c>
      <c r="AG954" s="2">
        <f ca="1"/>
        <v>0.22223803377228202</v>
      </c>
      <c r="AH954" s="2" t="str">
        <f ca="1"/>
        <v>OK</v>
      </c>
    </row>
    <row r="955" spans="2:34" x14ac:dyDescent="0.2">
      <c r="B955" s="2">
        <f ca="1"/>
        <v>0.71462095566448758</v>
      </c>
      <c r="O955" s="2">
        <f ca="1"/>
        <v>-0.60294909474702185</v>
      </c>
      <c r="X955" s="2">
        <f ca="1"/>
        <v>30.701113102970517</v>
      </c>
      <c r="AG955" s="2">
        <f ca="1"/>
        <v>0.2360407651731713</v>
      </c>
      <c r="AH955" s="2" t="str">
        <f ca="1"/>
        <v>OK</v>
      </c>
    </row>
    <row r="956" spans="2:34" x14ac:dyDescent="0.2">
      <c r="B956" s="2">
        <f ca="1"/>
        <v>0.84785816887007792</v>
      </c>
      <c r="O956" s="2">
        <f ca="1"/>
        <v>-0.71806360170583972</v>
      </c>
      <c r="X956" s="2">
        <f ca="1"/>
        <v>58.714138298879291</v>
      </c>
      <c r="AG956" s="2">
        <f ca="1"/>
        <v>0.35489471404518325</v>
      </c>
      <c r="AH956" s="2" t="str">
        <f ca="1"/>
        <v>OK</v>
      </c>
    </row>
    <row r="957" spans="2:34" x14ac:dyDescent="0.2">
      <c r="B957" s="2">
        <f ca="1"/>
        <v>0.23615315416881177</v>
      </c>
      <c r="O957" s="2">
        <f ca="1"/>
        <v>-1.9213325265450942</v>
      </c>
      <c r="X957" s="2">
        <f ca="1"/>
        <v>53.746276339377658</v>
      </c>
      <c r="AG957" s="2">
        <f ca="1"/>
        <v>0.51367591406362489</v>
      </c>
      <c r="AH957" s="2" t="str">
        <f ca="1"/>
        <v>Bad</v>
      </c>
    </row>
    <row r="958" spans="2:34" x14ac:dyDescent="0.2">
      <c r="B958" s="2">
        <f ca="1"/>
        <v>0.74522784713364998</v>
      </c>
      <c r="O958" s="2">
        <f ca="1"/>
        <v>0.80198858762540459</v>
      </c>
      <c r="X958" s="2">
        <f ca="1"/>
        <v>51.207486197999977</v>
      </c>
      <c r="AG958" s="2">
        <f ca="1"/>
        <v>0.86219025815466899</v>
      </c>
      <c r="AH958" s="2" t="str">
        <f ca="1"/>
        <v>Bad</v>
      </c>
    </row>
    <row r="959" spans="2:34" x14ac:dyDescent="0.2">
      <c r="B959" s="2">
        <f ca="1"/>
        <v>0.6861135888491916</v>
      </c>
      <c r="O959" s="2">
        <f ca="1"/>
        <v>0.34583183018200725</v>
      </c>
      <c r="X959" s="2">
        <f ca="1"/>
        <v>75.376217852145061</v>
      </c>
      <c r="AG959" s="2">
        <f ca="1"/>
        <v>0.43862044792449528</v>
      </c>
      <c r="AH959" s="2" t="str">
        <f ca="1"/>
        <v>Bad</v>
      </c>
    </row>
    <row r="960" spans="2:34" x14ac:dyDescent="0.2">
      <c r="B960" s="2">
        <f ca="1"/>
        <v>0.53661699074740188</v>
      </c>
      <c r="O960" s="2">
        <f ca="1"/>
        <v>-0.93542707121158386</v>
      </c>
      <c r="X960" s="2">
        <f ca="1"/>
        <v>47.920425446565076</v>
      </c>
      <c r="AG960" s="2">
        <f ca="1"/>
        <v>0.85558086906269071</v>
      </c>
      <c r="AH960" s="2" t="str">
        <f ca="1"/>
        <v>Bad</v>
      </c>
    </row>
    <row r="961" spans="2:34" x14ac:dyDescent="0.2">
      <c r="B961" s="2">
        <f ca="1"/>
        <v>0.79926726347086752</v>
      </c>
      <c r="O961" s="2">
        <f ca="1"/>
        <v>0.63111041607224749</v>
      </c>
      <c r="X961" s="2">
        <f ca="1"/>
        <v>70.027574202795137</v>
      </c>
      <c r="AG961" s="2">
        <f ca="1"/>
        <v>0.44680280424492325</v>
      </c>
      <c r="AH961" s="2" t="str">
        <f ca="1"/>
        <v>Bad</v>
      </c>
    </row>
    <row r="962" spans="2:34" x14ac:dyDescent="0.2">
      <c r="B962" s="2">
        <f ca="1"/>
        <v>0.39928657477750695</v>
      </c>
      <c r="O962" s="2">
        <f ca="1"/>
        <v>0.19197685797294084</v>
      </c>
      <c r="X962" s="2">
        <f ca="1"/>
        <v>71.333983553732324</v>
      </c>
      <c r="AG962" s="2">
        <f ca="1"/>
        <v>0.17552337906035542</v>
      </c>
      <c r="AH962" s="2" t="str">
        <f ca="1"/>
        <v>OK</v>
      </c>
    </row>
    <row r="963" spans="2:34" x14ac:dyDescent="0.2">
      <c r="B963" s="2">
        <f ca="1"/>
        <v>0.37625838687170932</v>
      </c>
      <c r="O963" s="2">
        <f ca="1"/>
        <v>0.82370361446333573</v>
      </c>
      <c r="X963" s="2">
        <f ca="1"/>
        <v>47.545568125390346</v>
      </c>
      <c r="AG963" s="2">
        <f ca="1"/>
        <v>0.56771646859864333</v>
      </c>
      <c r="AH963" s="2" t="str">
        <f ca="1"/>
        <v>Bad</v>
      </c>
    </row>
    <row r="964" spans="2:34" x14ac:dyDescent="0.2">
      <c r="B964" s="2">
        <f ca="1"/>
        <v>0.85457051288219832</v>
      </c>
      <c r="O964" s="2">
        <f ca="1"/>
        <v>-1.4444297703926179</v>
      </c>
      <c r="X964" s="2">
        <f ca="1"/>
        <v>53.764322009788501</v>
      </c>
      <c r="AG964" s="2">
        <f ca="1"/>
        <v>0.36394246524681928</v>
      </c>
      <c r="AH964" s="2" t="str">
        <f ca="1"/>
        <v>OK</v>
      </c>
    </row>
    <row r="965" spans="2:34" x14ac:dyDescent="0.2">
      <c r="B965" s="2">
        <f ca="1"/>
        <v>0.21795160108761191</v>
      </c>
      <c r="O965" s="2">
        <f ca="1"/>
        <v>1.717076415464478</v>
      </c>
      <c r="X965" s="2">
        <f ca="1"/>
        <v>53.385888382199191</v>
      </c>
      <c r="AG965" s="2">
        <f ca="1"/>
        <v>0.98823696267296746</v>
      </c>
      <c r="AH965" s="2" t="str">
        <f ca="1"/>
        <v>Bad</v>
      </c>
    </row>
    <row r="966" spans="2:34" x14ac:dyDescent="0.2">
      <c r="B966" s="2">
        <f ca="1"/>
        <v>0.51236106293730876</v>
      </c>
      <c r="O966" s="2">
        <f ca="1"/>
        <v>-0.52233735913660462</v>
      </c>
      <c r="X966" s="2">
        <f ca="1"/>
        <v>55.650070880082893</v>
      </c>
      <c r="AG966" s="2">
        <f ca="1"/>
        <v>0.68900058490154747</v>
      </c>
      <c r="AH966" s="2" t="str">
        <f ca="1"/>
        <v>Bad</v>
      </c>
    </row>
    <row r="967" spans="2:34" x14ac:dyDescent="0.2">
      <c r="B967" s="2">
        <f ca="1"/>
        <v>0.48854259694379487</v>
      </c>
      <c r="O967" s="2">
        <f ca="1"/>
        <v>-0.57309962218311139</v>
      </c>
      <c r="X967" s="2">
        <f ca="1"/>
        <v>52.471494320721924</v>
      </c>
      <c r="AG967" s="2">
        <f ca="1"/>
        <v>0.82303411847368735</v>
      </c>
      <c r="AH967" s="2" t="str">
        <f ca="1"/>
        <v>Bad</v>
      </c>
    </row>
    <row r="968" spans="2:34" x14ac:dyDescent="0.2">
      <c r="B968" s="2">
        <f ca="1"/>
        <v>0.43652871328383536</v>
      </c>
      <c r="O968" s="2">
        <f ca="1"/>
        <v>2.34636331006458</v>
      </c>
      <c r="X968" s="2">
        <f ca="1"/>
        <v>47.244850659000761</v>
      </c>
      <c r="AG968" s="2">
        <f ca="1"/>
        <v>0.75298825912069778</v>
      </c>
      <c r="AH968" s="2" t="str">
        <f ca="1"/>
        <v>Bad</v>
      </c>
    </row>
    <row r="969" spans="2:34" x14ac:dyDescent="0.2">
      <c r="B969" s="2">
        <f ca="1"/>
        <v>0.78551591221071626</v>
      </c>
      <c r="O969" s="2">
        <f ca="1"/>
        <v>-0.48911641808946732</v>
      </c>
      <c r="X969" s="2">
        <f ca="1"/>
        <v>71.470242678445032</v>
      </c>
      <c r="AG969" s="2">
        <f ca="1"/>
        <v>0.67422894121868526</v>
      </c>
      <c r="AH969" s="2" t="str">
        <f ca="1"/>
        <v>Bad</v>
      </c>
    </row>
    <row r="970" spans="2:34" x14ac:dyDescent="0.2">
      <c r="B970" s="2">
        <f ca="1"/>
        <v>0.58878428795128213</v>
      </c>
      <c r="O970" s="2">
        <f ca="1"/>
        <v>-0.80446336024601739</v>
      </c>
      <c r="X970" s="2">
        <f ca="1"/>
        <v>53.08221657376307</v>
      </c>
      <c r="AG970" s="2">
        <f ca="1"/>
        <v>0.51821380633086389</v>
      </c>
      <c r="AH970" s="2" t="str">
        <f ca="1"/>
        <v>Bad</v>
      </c>
    </row>
    <row r="971" spans="2:34" x14ac:dyDescent="0.2">
      <c r="B971" s="2">
        <f ca="1"/>
        <v>0.26379909162949366</v>
      </c>
      <c r="O971" s="2">
        <f ca="1"/>
        <v>-1.0395287769582837</v>
      </c>
      <c r="X971" s="2">
        <f ca="1"/>
        <v>34.767025962762247</v>
      </c>
      <c r="AG971" s="2">
        <f ca="1"/>
        <v>0.44546883736284237</v>
      </c>
      <c r="AH971" s="2" t="str">
        <f ca="1"/>
        <v>Bad</v>
      </c>
    </row>
    <row r="972" spans="2:34" x14ac:dyDescent="0.2">
      <c r="B972" s="2">
        <f ca="1"/>
        <v>0.8462358712048057</v>
      </c>
      <c r="O972" s="2">
        <f ca="1"/>
        <v>0.47175992811945366</v>
      </c>
      <c r="X972" s="2">
        <f ca="1"/>
        <v>73.159260090693635</v>
      </c>
      <c r="AG972" s="2">
        <f ca="1"/>
        <v>0.82849577387230466</v>
      </c>
      <c r="AH972" s="2" t="str">
        <f ca="1"/>
        <v>Bad</v>
      </c>
    </row>
    <row r="973" spans="2:34" x14ac:dyDescent="0.2">
      <c r="B973" s="2">
        <f ca="1"/>
        <v>0.45125417324301176</v>
      </c>
      <c r="O973" s="2">
        <f ca="1"/>
        <v>0.69686192568000382</v>
      </c>
      <c r="X973" s="2">
        <f ca="1"/>
        <v>37.704862490846907</v>
      </c>
      <c r="AG973" s="2">
        <f ca="1"/>
        <v>0.2159238159431498</v>
      </c>
      <c r="AH973" s="2" t="str">
        <f ca="1"/>
        <v>OK</v>
      </c>
    </row>
    <row r="974" spans="2:34" x14ac:dyDescent="0.2">
      <c r="B974" s="2">
        <f ca="1"/>
        <v>0.34236967394272622</v>
      </c>
      <c r="O974" s="2">
        <f ca="1"/>
        <v>1.5907782892651763</v>
      </c>
      <c r="X974" s="2">
        <f ca="1"/>
        <v>42.306351214473274</v>
      </c>
      <c r="AG974" s="2">
        <f ca="1"/>
        <v>0.47938198285376132</v>
      </c>
      <c r="AH974" s="2" t="str">
        <f ca="1"/>
        <v>Bad</v>
      </c>
    </row>
    <row r="975" spans="2:34" x14ac:dyDescent="0.2">
      <c r="B975" s="2">
        <f ca="1"/>
        <v>0.48012562619778842</v>
      </c>
      <c r="O975" s="2">
        <f ca="1"/>
        <v>1.224195633537257</v>
      </c>
      <c r="X975" s="2">
        <f ca="1"/>
        <v>27.298556384889746</v>
      </c>
      <c r="AG975" s="2">
        <f ca="1"/>
        <v>0.7314539525653414</v>
      </c>
      <c r="AH975" s="2" t="str">
        <f ca="1"/>
        <v>Bad</v>
      </c>
    </row>
    <row r="976" spans="2:34" x14ac:dyDescent="0.2">
      <c r="B976" s="2">
        <f ca="1"/>
        <v>0.33701486341139764</v>
      </c>
      <c r="O976" s="2">
        <f ca="1"/>
        <v>0.37552624313702182</v>
      </c>
      <c r="X976" s="2">
        <f ca="1"/>
        <v>25.621893836589486</v>
      </c>
      <c r="AG976" s="2">
        <f ca="1"/>
        <v>0.66750524124160671</v>
      </c>
      <c r="AH976" s="2" t="str">
        <f ca="1"/>
        <v>Bad</v>
      </c>
    </row>
    <row r="977" spans="2:34" x14ac:dyDescent="0.2">
      <c r="B977" s="2">
        <f ca="1"/>
        <v>0.58546373937875673</v>
      </c>
      <c r="O977" s="2">
        <f ca="1"/>
        <v>-0.94527186139297981</v>
      </c>
      <c r="X977" s="2">
        <f ca="1"/>
        <v>31.988328267630791</v>
      </c>
      <c r="AG977" s="2">
        <f ca="1"/>
        <v>0.32848298116055075</v>
      </c>
      <c r="AH977" s="2" t="str">
        <f ca="1"/>
        <v>OK</v>
      </c>
    </row>
    <row r="978" spans="2:34" x14ac:dyDescent="0.2">
      <c r="B978" s="2">
        <f ca="1"/>
        <v>0.61356702594893719</v>
      </c>
      <c r="O978" s="2">
        <f ca="1"/>
        <v>1.9689102415449512E-2</v>
      </c>
      <c r="X978" s="2">
        <f ca="1"/>
        <v>33.859151413054008</v>
      </c>
      <c r="AG978" s="2">
        <f ca="1"/>
        <v>0.76353393450334051</v>
      </c>
      <c r="AH978" s="2" t="str">
        <f ca="1"/>
        <v>Bad</v>
      </c>
    </row>
    <row r="979" spans="2:34" x14ac:dyDescent="0.2">
      <c r="B979" s="2">
        <f ca="1"/>
        <v>0.60055594821186808</v>
      </c>
      <c r="O979" s="2">
        <f ca="1"/>
        <v>0.34615219132869829</v>
      </c>
      <c r="X979" s="2">
        <f ca="1"/>
        <v>42.815944170841917</v>
      </c>
      <c r="AG979" s="2">
        <f ca="1"/>
        <v>6.4079330985398197E-3</v>
      </c>
      <c r="AH979" s="2" t="str">
        <f ca="1"/>
        <v>Good</v>
      </c>
    </row>
    <row r="980" spans="2:34" x14ac:dyDescent="0.2">
      <c r="B980" s="2">
        <f ca="1"/>
        <v>0.79324388100965515</v>
      </c>
      <c r="O980" s="2">
        <f ca="1"/>
        <v>-0.51204255154190959</v>
      </c>
      <c r="X980" s="2">
        <f ca="1"/>
        <v>30.597507213861071</v>
      </c>
      <c r="AG980" s="2">
        <f ca="1"/>
        <v>3.3217030358584587E-2</v>
      </c>
      <c r="AH980" s="2" t="str">
        <f ca="1"/>
        <v>Good</v>
      </c>
    </row>
    <row r="981" spans="2:34" x14ac:dyDescent="0.2">
      <c r="B981" s="2">
        <f ca="1"/>
        <v>0.5474532118422677</v>
      </c>
      <c r="O981" s="2">
        <f ca="1"/>
        <v>-1.0823278214036314</v>
      </c>
      <c r="X981" s="2">
        <f ca="1"/>
        <v>23.271119148426077</v>
      </c>
      <c r="AG981" s="2">
        <f ca="1"/>
        <v>0.12709093356270995</v>
      </c>
      <c r="AH981" s="2" t="str">
        <f ca="1"/>
        <v>OK</v>
      </c>
    </row>
    <row r="982" spans="2:34" x14ac:dyDescent="0.2">
      <c r="B982" s="2">
        <f ca="1"/>
        <v>0.18935991303293376</v>
      </c>
      <c r="O982" s="2">
        <f ca="1"/>
        <v>1.1983698027452214</v>
      </c>
      <c r="X982" s="2">
        <f ca="1"/>
        <v>38.350840142110492</v>
      </c>
      <c r="AG982" s="2">
        <f ca="1"/>
        <v>0.39591958579170949</v>
      </c>
      <c r="AH982" s="2" t="str">
        <f ca="1"/>
        <v>OK</v>
      </c>
    </row>
    <row r="983" spans="2:34" x14ac:dyDescent="0.2">
      <c r="B983" s="2">
        <f ca="1"/>
        <v>0.23762970224585978</v>
      </c>
      <c r="O983" s="2">
        <f ca="1"/>
        <v>2.4281132196192305</v>
      </c>
      <c r="X983" s="2">
        <f ca="1"/>
        <v>68.712958292415379</v>
      </c>
      <c r="AG983" s="2">
        <f ca="1"/>
        <v>4.3098355533905064E-2</v>
      </c>
      <c r="AH983" s="2" t="str">
        <f ca="1"/>
        <v>Good</v>
      </c>
    </row>
    <row r="984" spans="2:34" x14ac:dyDescent="0.2">
      <c r="B984" s="2">
        <f ca="1"/>
        <v>0.65663408281448454</v>
      </c>
      <c r="O984" s="2">
        <f ca="1"/>
        <v>0.5803765502781727</v>
      </c>
      <c r="X984" s="2">
        <f ca="1"/>
        <v>79.10070816655778</v>
      </c>
      <c r="AG984" s="2">
        <f ca="1"/>
        <v>9.9145384588648744E-2</v>
      </c>
      <c r="AH984" s="2" t="str">
        <f ca="1"/>
        <v>OK</v>
      </c>
    </row>
    <row r="985" spans="2:34" x14ac:dyDescent="0.2">
      <c r="B985" s="2">
        <f ca="1"/>
        <v>0.93362247814478705</v>
      </c>
      <c r="O985" s="2">
        <f ca="1"/>
        <v>-8.248422086636388E-2</v>
      </c>
      <c r="X985" s="2">
        <f ca="1"/>
        <v>47.718226002970013</v>
      </c>
      <c r="AG985" s="2">
        <f ca="1"/>
        <v>0.96001326357798367</v>
      </c>
      <c r="AH985" s="2" t="str">
        <f ca="1"/>
        <v>Bad</v>
      </c>
    </row>
    <row r="986" spans="2:34" x14ac:dyDescent="0.2">
      <c r="B986" s="2">
        <f ca="1"/>
        <v>0.56511665261842303</v>
      </c>
      <c r="O986" s="2">
        <f ca="1"/>
        <v>0.91806414897994437</v>
      </c>
      <c r="X986" s="2">
        <f ca="1"/>
        <v>27.505633761911067</v>
      </c>
      <c r="AG986" s="2">
        <f ca="1"/>
        <v>0.48373062069570216</v>
      </c>
      <c r="AH986" s="2" t="str">
        <f ca="1"/>
        <v>Bad</v>
      </c>
    </row>
    <row r="987" spans="2:34" x14ac:dyDescent="0.2">
      <c r="B987" s="2">
        <f ca="1"/>
        <v>0.20956253359284993</v>
      </c>
      <c r="O987" s="2">
        <f ca="1"/>
        <v>-1.1641095793143308</v>
      </c>
      <c r="X987" s="2">
        <f ca="1"/>
        <v>49.87749275648298</v>
      </c>
      <c r="AG987" s="2">
        <f ca="1"/>
        <v>0.29145209037726172</v>
      </c>
      <c r="AH987" s="2" t="str">
        <f ca="1"/>
        <v>OK</v>
      </c>
    </row>
    <row r="988" spans="2:34" x14ac:dyDescent="0.2">
      <c r="B988" s="2">
        <f ca="1"/>
        <v>0.32053037227092962</v>
      </c>
      <c r="O988" s="2">
        <f ca="1"/>
        <v>-0.29872470992766664</v>
      </c>
      <c r="X988" s="2">
        <f ca="1"/>
        <v>29.146145443396485</v>
      </c>
      <c r="AG988" s="2">
        <f ca="1"/>
        <v>0.94403580170760226</v>
      </c>
      <c r="AH988" s="2" t="str">
        <f ca="1"/>
        <v>Bad</v>
      </c>
    </row>
    <row r="989" spans="2:34" x14ac:dyDescent="0.2">
      <c r="B989" s="2">
        <f ca="1"/>
        <v>0.34159318667283345</v>
      </c>
      <c r="O989" s="2">
        <f ca="1"/>
        <v>0.91127297900471449</v>
      </c>
      <c r="X989" s="2">
        <f ca="1"/>
        <v>40.26684916942672</v>
      </c>
      <c r="AG989" s="2">
        <f ca="1"/>
        <v>0.33193683529713192</v>
      </c>
      <c r="AH989" s="2" t="str">
        <f ca="1"/>
        <v>OK</v>
      </c>
    </row>
    <row r="990" spans="2:34" x14ac:dyDescent="0.2">
      <c r="B990" s="2">
        <f ca="1"/>
        <v>3.2533637708187513E-2</v>
      </c>
      <c r="O990" s="2">
        <f ca="1"/>
        <v>-2.294057012031685</v>
      </c>
      <c r="X990" s="2">
        <f ca="1"/>
        <v>47.423867585581398</v>
      </c>
      <c r="AG990" s="2">
        <f ca="1"/>
        <v>0.48017841233227454</v>
      </c>
      <c r="AH990" s="2" t="str">
        <f ca="1"/>
        <v>Bad</v>
      </c>
    </row>
    <row r="991" spans="2:34" x14ac:dyDescent="0.2">
      <c r="B991" s="2">
        <f ca="1"/>
        <v>0.32133924368814415</v>
      </c>
      <c r="O991" s="2">
        <f ca="1"/>
        <v>-0.30390053564788644</v>
      </c>
      <c r="X991" s="2">
        <f ca="1"/>
        <v>37.753686725252876</v>
      </c>
      <c r="AG991" s="2">
        <f ca="1"/>
        <v>0.29084259372576926</v>
      </c>
      <c r="AH991" s="2" t="str">
        <f ca="1"/>
        <v>OK</v>
      </c>
    </row>
    <row r="992" spans="2:34" x14ac:dyDescent="0.2">
      <c r="B992" s="2">
        <f ca="1"/>
        <v>0.24969417348828093</v>
      </c>
      <c r="O992" s="2">
        <f ca="1"/>
        <v>1.8132847638589122</v>
      </c>
      <c r="X992" s="2">
        <f ca="1"/>
        <v>38.167387811404964</v>
      </c>
      <c r="AG992" s="2">
        <f ca="1"/>
        <v>8.5537274150739195E-2</v>
      </c>
      <c r="AH992" s="2" t="str">
        <f ca="1"/>
        <v>OK</v>
      </c>
    </row>
    <row r="993" spans="2:34" x14ac:dyDescent="0.2">
      <c r="B993" s="2">
        <f ca="1"/>
        <v>0.94372008358544357</v>
      </c>
      <c r="O993" s="2">
        <f ca="1"/>
        <v>1.0830213124891503</v>
      </c>
      <c r="X993" s="2">
        <f ca="1"/>
        <v>50.600694266735431</v>
      </c>
      <c r="AG993" s="2">
        <f ca="1"/>
        <v>0.75281026132895623</v>
      </c>
      <c r="AH993" s="2" t="str">
        <f ca="1"/>
        <v>Bad</v>
      </c>
    </row>
    <row r="994" spans="2:34" x14ac:dyDescent="0.2">
      <c r="B994" s="2">
        <f ca="1"/>
        <v>0.6424602813046647</v>
      </c>
      <c r="O994" s="2">
        <f ca="1"/>
        <v>-1.6728869866416738</v>
      </c>
      <c r="X994" s="2">
        <f ca="1"/>
        <v>52.11101379501622</v>
      </c>
      <c r="AG994" s="2">
        <f ca="1"/>
        <v>0.34925400289775155</v>
      </c>
      <c r="AH994" s="2" t="str">
        <f ca="1"/>
        <v>OK</v>
      </c>
    </row>
    <row r="995" spans="2:34" x14ac:dyDescent="0.2">
      <c r="B995" s="2">
        <f ca="1"/>
        <v>0.61973183191846726</v>
      </c>
      <c r="O995" s="2">
        <f ca="1"/>
        <v>-1.3843435996003834</v>
      </c>
      <c r="X995" s="2">
        <f ca="1"/>
        <v>45.524871059035014</v>
      </c>
      <c r="AG995" s="2">
        <f ca="1"/>
        <v>0.15467414886655906</v>
      </c>
      <c r="AH995" s="2" t="str">
        <f ca="1"/>
        <v>OK</v>
      </c>
    </row>
    <row r="996" spans="2:34" x14ac:dyDescent="0.2">
      <c r="B996" s="2">
        <f ca="1"/>
        <v>8.4100939901468053E-3</v>
      </c>
      <c r="O996" s="2">
        <f ca="1"/>
        <v>-0.34275117511352782</v>
      </c>
      <c r="X996" s="2">
        <f ca="1"/>
        <v>50.067436091547329</v>
      </c>
      <c r="AG996" s="2">
        <f ca="1"/>
        <v>9.801014325841928E-2</v>
      </c>
      <c r="AH996" s="2" t="str">
        <f ca="1"/>
        <v>OK</v>
      </c>
    </row>
    <row r="997" spans="2:34" x14ac:dyDescent="0.2">
      <c r="B997" s="2">
        <f ca="1"/>
        <v>0.3037153214061592</v>
      </c>
      <c r="O997" s="2">
        <f ca="1"/>
        <v>0.28226630038362233</v>
      </c>
      <c r="X997" s="2">
        <f ca="1"/>
        <v>59.49902061674139</v>
      </c>
      <c r="AG997" s="2">
        <f ca="1"/>
        <v>0.56805343244222284</v>
      </c>
      <c r="AH997" s="2" t="str">
        <f ca="1"/>
        <v>Bad</v>
      </c>
    </row>
    <row r="998" spans="2:34" x14ac:dyDescent="0.2">
      <c r="B998" s="2">
        <f ca="1"/>
        <v>0.11932687038589451</v>
      </c>
      <c r="O998" s="2">
        <f ca="1"/>
        <v>-1.1832242746431469</v>
      </c>
      <c r="X998" s="2">
        <f ca="1"/>
        <v>55.116196070065122</v>
      </c>
      <c r="AG998" s="2">
        <f ca="1"/>
        <v>0.71498453099495518</v>
      </c>
      <c r="AH998" s="2" t="str">
        <f ca="1"/>
        <v>Bad</v>
      </c>
    </row>
    <row r="999" spans="2:34" x14ac:dyDescent="0.2">
      <c r="B999" s="2">
        <f ca="1"/>
        <v>0.35127209600111442</v>
      </c>
      <c r="O999" s="2">
        <f ca="1"/>
        <v>0.77774227206066637</v>
      </c>
      <c r="X999" s="2">
        <f ca="1"/>
        <v>41.113843354514486</v>
      </c>
      <c r="AG999" s="2">
        <f ca="1"/>
        <v>0.26708227743990509</v>
      </c>
      <c r="AH999" s="2" t="str">
        <f ca="1"/>
        <v>OK</v>
      </c>
    </row>
    <row r="1000" spans="2:34" x14ac:dyDescent="0.2">
      <c r="B1000" s="2">
        <f ca="1"/>
        <v>0.84303603555937112</v>
      </c>
      <c r="O1000" s="2">
        <f ca="1"/>
        <v>-0.61867491746195125</v>
      </c>
      <c r="X1000" s="2">
        <f ca="1"/>
        <v>33.818864976511719</v>
      </c>
      <c r="AG1000" s="2">
        <f ca="1"/>
        <v>0.51722645577616233</v>
      </c>
      <c r="AH1000" s="2" t="str">
        <f ca="1"/>
        <v>Bad</v>
      </c>
    </row>
    <row r="1001" spans="2:34" x14ac:dyDescent="0.2">
      <c r="B1001" s="2">
        <f ca="1"/>
        <v>8.3307524692695978E-2</v>
      </c>
      <c r="O1001" s="2">
        <f ca="1"/>
        <v>-3.5183282207540134E-2</v>
      </c>
      <c r="X1001" s="2">
        <f ca="1"/>
        <v>31.472975072494034</v>
      </c>
      <c r="AG1001" s="2">
        <f ca="1"/>
        <v>0.80708695226782834</v>
      </c>
      <c r="AH1001" s="2" t="str">
        <f ca="1"/>
        <v>Bad</v>
      </c>
    </row>
    <row r="1002" spans="2:34" x14ac:dyDescent="0.2">
      <c r="B1002" s="2">
        <f ca="1"/>
        <v>0.48377579349539168</v>
      </c>
      <c r="O1002" s="2">
        <f ca="1"/>
        <v>0.73413079658603142</v>
      </c>
      <c r="X1002" s="2">
        <f ca="1"/>
        <v>39.631300232441951</v>
      </c>
      <c r="AG1002" s="2">
        <f ca="1"/>
        <v>1.1604183103013366E-2</v>
      </c>
      <c r="AH1002" s="2" t="str">
        <f ca="1"/>
        <v>Good</v>
      </c>
    </row>
    <row r="1003" spans="2:34" x14ac:dyDescent="0.2">
      <c r="B1003" s="2">
        <f ca="1"/>
        <v>0.58464497821572614</v>
      </c>
      <c r="O1003" s="2">
        <f ca="1"/>
        <v>0.71006035303918891</v>
      </c>
      <c r="X1003" s="2">
        <f ca="1"/>
        <v>77.223562062582204</v>
      </c>
      <c r="AG1003" s="2">
        <f ca="1"/>
        <v>0.52553492986145578</v>
      </c>
      <c r="AH1003" s="2" t="str">
        <f ca="1"/>
        <v>Bad</v>
      </c>
    </row>
    <row r="1004" spans="2:34" x14ac:dyDescent="0.2">
      <c r="B1004" s="2">
        <f ca="1"/>
        <v>0.9032782625202318</v>
      </c>
      <c r="O1004" s="2">
        <f ca="1"/>
        <v>-1.9946774609180435</v>
      </c>
      <c r="X1004" s="2">
        <f ca="1"/>
        <v>39.820610813023265</v>
      </c>
      <c r="AG1004" s="2">
        <f ca="1"/>
        <v>0.29178103196619642</v>
      </c>
      <c r="AH1004" s="2" t="str">
        <f ca="1"/>
        <v>OK</v>
      </c>
    </row>
    <row r="1005" spans="2:34" x14ac:dyDescent="0.2">
      <c r="B1005" s="2">
        <f ca="1"/>
        <v>0.21459238046381057</v>
      </c>
      <c r="O1005" s="2">
        <f ca="1"/>
        <v>1.4412803110623811</v>
      </c>
      <c r="X1005" s="2">
        <f ca="1"/>
        <v>48.868102399090382</v>
      </c>
      <c r="AG1005" s="2">
        <f ca="1"/>
        <v>0.47379918295362788</v>
      </c>
      <c r="AH1005" s="2" t="str">
        <f ca="1"/>
        <v>Bad</v>
      </c>
    </row>
    <row r="1006" spans="2:34" x14ac:dyDescent="0.2">
      <c r="B1006" s="2">
        <f ca="1"/>
        <v>0.24332649313657373</v>
      </c>
      <c r="O1006" s="2">
        <f ca="1"/>
        <v>0.38957228534923144</v>
      </c>
      <c r="X1006" s="2">
        <f ca="1"/>
        <v>51.813426819448267</v>
      </c>
      <c r="AG1006" s="2">
        <f ca="1"/>
        <v>0.50739677277567807</v>
      </c>
      <c r="AH1006" s="2" t="str">
        <f ca="1"/>
        <v>Bad</v>
      </c>
    </row>
    <row r="1007" spans="2:34" x14ac:dyDescent="0.2">
      <c r="B1007" s="2">
        <f ca="1"/>
        <v>0.1108914621373549</v>
      </c>
      <c r="O1007" s="2">
        <f ca="1"/>
        <v>0.61672508268291915</v>
      </c>
      <c r="X1007" s="2">
        <f ca="1"/>
        <v>46.759805706349518</v>
      </c>
      <c r="AG1007" s="2">
        <f ca="1"/>
        <v>0.10811512829571979</v>
      </c>
      <c r="AH1007" s="2" t="str">
        <f ca="1"/>
        <v>OK</v>
      </c>
    </row>
    <row r="1008" spans="2:34" x14ac:dyDescent="0.2">
      <c r="B1008" s="2">
        <f ca="1"/>
        <v>0.74036890078350792</v>
      </c>
      <c r="O1008" s="2">
        <f ca="1"/>
        <v>1.1243564230398877</v>
      </c>
      <c r="X1008" s="2">
        <f ca="1"/>
        <v>47.482333861558665</v>
      </c>
      <c r="AG1008" s="2">
        <f ca="1"/>
        <v>0.43683106464824695</v>
      </c>
      <c r="AH1008" s="2" t="str">
        <f ca="1"/>
        <v>Bad</v>
      </c>
    </row>
    <row r="1009" spans="2:34" x14ac:dyDescent="0.2">
      <c r="B1009" s="2">
        <f ca="1"/>
        <v>4.2495108072902577E-2</v>
      </c>
      <c r="O1009" s="2">
        <f ca="1"/>
        <v>-0.90883425066459944</v>
      </c>
      <c r="X1009" s="2">
        <f ca="1"/>
        <v>40.439162910801642</v>
      </c>
      <c r="AG1009" s="2">
        <f ca="1"/>
        <v>9.0960800652058138E-2</v>
      </c>
      <c r="AH1009" s="2" t="str">
        <f ca="1"/>
        <v>OK</v>
      </c>
    </row>
    <row r="1010" spans="2:34" x14ac:dyDescent="0.2">
      <c r="B1010" s="2">
        <f ca="1"/>
        <v>0.91461923584841953</v>
      </c>
      <c r="O1010" s="2">
        <f ca="1"/>
        <v>-0.5723883465277082</v>
      </c>
      <c r="X1010" s="2">
        <f ca="1"/>
        <v>45.370591475671404</v>
      </c>
      <c r="AG1010" s="2">
        <f ca="1"/>
        <v>0.78315355755227589</v>
      </c>
      <c r="AH1010" s="2" t="str">
        <f ca="1"/>
        <v>Bad</v>
      </c>
    </row>
    <row r="1011" spans="2:34" x14ac:dyDescent="0.2">
      <c r="B1011" s="2">
        <f ca="1"/>
        <v>0.47081155788199291</v>
      </c>
      <c r="O1011" s="2">
        <f ca="1"/>
        <v>-1.9215614510613765</v>
      </c>
      <c r="X1011" s="2">
        <f ca="1"/>
        <v>43.031738915896376</v>
      </c>
      <c r="AG1011" s="2">
        <f ca="1"/>
        <v>0.90375470850093365</v>
      </c>
      <c r="AH1011" s="2" t="str">
        <f ca="1"/>
        <v>Bad</v>
      </c>
    </row>
    <row r="1012" spans="2:34" x14ac:dyDescent="0.2">
      <c r="B1012" s="2">
        <f ca="1"/>
        <v>0.68170114119912872</v>
      </c>
      <c r="O1012" s="2">
        <f ca="1"/>
        <v>-0.67453665405738805</v>
      </c>
      <c r="X1012" s="2">
        <f ca="1"/>
        <v>61.964575130773056</v>
      </c>
      <c r="AG1012" s="2">
        <f ca="1"/>
        <v>9.9689162753825666E-2</v>
      </c>
      <c r="AH1012" s="2" t="str">
        <f ca="1"/>
        <v>OK</v>
      </c>
    </row>
    <row r="1013" spans="2:34" x14ac:dyDescent="0.2">
      <c r="B1013" s="2">
        <f ca="1"/>
        <v>0.84725933049589153</v>
      </c>
      <c r="O1013" s="2">
        <f ca="1"/>
        <v>-1.3782396473558138</v>
      </c>
      <c r="X1013" s="2">
        <f ca="1"/>
        <v>31.676315512108548</v>
      </c>
      <c r="AG1013" s="2">
        <f ca="1"/>
        <v>0.38854474031592368</v>
      </c>
      <c r="AH1013" s="2" t="str">
        <f ca="1"/>
        <v>OK</v>
      </c>
    </row>
    <row r="1014" spans="2:34" x14ac:dyDescent="0.2">
      <c r="B1014" s="2">
        <f ca="1"/>
        <v>4.4244190785843074E-2</v>
      </c>
      <c r="O1014" s="2">
        <f ca="1"/>
        <v>0.26873803711164618</v>
      </c>
      <c r="X1014" s="2">
        <f ca="1"/>
        <v>39.919614290460231</v>
      </c>
      <c r="AG1014" s="2">
        <f ca="1"/>
        <v>0.54914116043923888</v>
      </c>
      <c r="AH1014" s="2" t="str">
        <f ca="1"/>
        <v>Bad</v>
      </c>
    </row>
    <row r="1015" spans="2:34" x14ac:dyDescent="0.2">
      <c r="B1015" s="2">
        <f ca="1"/>
        <v>3.4592159947277823E-2</v>
      </c>
      <c r="O1015" s="2">
        <f ca="1"/>
        <v>-2.0252907282258505E-2</v>
      </c>
      <c r="X1015" s="2">
        <f ca="1"/>
        <v>40.783950489403857</v>
      </c>
      <c r="AG1015" s="2">
        <f ca="1"/>
        <v>0.25674018649197072</v>
      </c>
      <c r="AH1015" s="2" t="str">
        <f ca="1"/>
        <v>OK</v>
      </c>
    </row>
    <row r="1016" spans="2:34" x14ac:dyDescent="0.2">
      <c r="B1016" s="2">
        <f ca="1"/>
        <v>0.63535798894603213</v>
      </c>
      <c r="O1016" s="2">
        <f ca="1"/>
        <v>1.454400508657181</v>
      </c>
      <c r="X1016" s="2">
        <f ca="1"/>
        <v>53.108798856044842</v>
      </c>
      <c r="AG1016" s="2">
        <f ca="1"/>
        <v>0.96367731683846203</v>
      </c>
      <c r="AH1016" s="2" t="str">
        <f ca="1"/>
        <v>Bad</v>
      </c>
    </row>
    <row r="1017" spans="2:34" x14ac:dyDescent="0.2">
      <c r="B1017" s="2">
        <f ca="1"/>
        <v>0.33684153381266269</v>
      </c>
      <c r="O1017" s="2">
        <f ca="1"/>
        <v>-1.1160183521856413</v>
      </c>
      <c r="X1017" s="2">
        <f ca="1"/>
        <v>32.236276838457769</v>
      </c>
      <c r="AG1017" s="2">
        <f ca="1"/>
        <v>0.8886308495568771</v>
      </c>
      <c r="AH1017" s="2" t="str">
        <f ca="1"/>
        <v>Bad</v>
      </c>
    </row>
    <row r="1018" spans="2:34" x14ac:dyDescent="0.2">
      <c r="B1018" s="2">
        <f ca="1"/>
        <v>0.47948270917363978</v>
      </c>
      <c r="O1018" s="2">
        <f ca="1"/>
        <v>-0.12149302223927494</v>
      </c>
      <c r="X1018" s="2">
        <f ca="1"/>
        <v>24.675649168408839</v>
      </c>
      <c r="AG1018" s="2">
        <f ca="1"/>
        <v>0.83337015589220709</v>
      </c>
      <c r="AH1018" s="2" t="str">
        <f ca="1"/>
        <v>Bad</v>
      </c>
    </row>
    <row r="1019" spans="2:34" x14ac:dyDescent="0.2">
      <c r="B1019" s="2">
        <f ca="1"/>
        <v>0.50978494432705634</v>
      </c>
      <c r="O1019" s="2">
        <f ca="1"/>
        <v>1.1781716030518747</v>
      </c>
      <c r="X1019" s="2">
        <f ca="1"/>
        <v>55.214442510360357</v>
      </c>
      <c r="AG1019" s="2">
        <f ca="1"/>
        <v>0.78302048571686456</v>
      </c>
      <c r="AH1019" s="2" t="str">
        <f ca="1"/>
        <v>Bad</v>
      </c>
    </row>
    <row r="1020" spans="2:34" x14ac:dyDescent="0.2">
      <c r="B1020" s="2">
        <f ca="1"/>
        <v>0.85356102432644954</v>
      </c>
      <c r="O1020" s="2">
        <f ca="1"/>
        <v>-3.3101106769919494E-2</v>
      </c>
      <c r="X1020" s="2">
        <f ca="1"/>
        <v>34.310987665216615</v>
      </c>
      <c r="AG1020" s="2">
        <f ca="1"/>
        <v>0.60410567784672842</v>
      </c>
      <c r="AH1020" s="2" t="str">
        <f ca="1"/>
        <v>Bad</v>
      </c>
    </row>
    <row r="1021" spans="2:34" x14ac:dyDescent="0.2">
      <c r="B1021" s="2">
        <f ca="1"/>
        <v>0.98411183725129092</v>
      </c>
      <c r="O1021" s="2">
        <f ca="1"/>
        <v>-1.2498189291048283</v>
      </c>
      <c r="X1021" s="2">
        <f ca="1"/>
        <v>67.531943877230702</v>
      </c>
      <c r="AG1021" s="2">
        <f ca="1"/>
        <v>0.76609974348170518</v>
      </c>
      <c r="AH1021" s="2" t="str">
        <f ca="1"/>
        <v>Bad</v>
      </c>
    </row>
    <row r="1022" spans="2:34" x14ac:dyDescent="0.2">
      <c r="B1022" s="2">
        <f ca="1"/>
        <v>0.50083210272511391</v>
      </c>
      <c r="O1022" s="2">
        <f ca="1"/>
        <v>0.78861371114880108</v>
      </c>
      <c r="X1022" s="2">
        <f ca="1"/>
        <v>43.751078894309501</v>
      </c>
      <c r="AG1022" s="2">
        <f ca="1"/>
        <v>4.4925256377480904E-2</v>
      </c>
      <c r="AH1022" s="2" t="str">
        <f ca="1"/>
        <v>Good</v>
      </c>
    </row>
    <row r="1023" spans="2:34" x14ac:dyDescent="0.2">
      <c r="B1023" s="2">
        <f ca="1"/>
        <v>0.77285490746928942</v>
      </c>
      <c r="O1023" s="2">
        <f ca="1"/>
        <v>-0.20484731211467161</v>
      </c>
      <c r="X1023" s="2">
        <f ca="1"/>
        <v>55.814787879100678</v>
      </c>
      <c r="AG1023" s="2">
        <f ca="1"/>
        <v>0.56025962817035224</v>
      </c>
      <c r="AH1023" s="2" t="str">
        <f ca="1"/>
        <v>Bad</v>
      </c>
    </row>
    <row r="1024" spans="2:34" x14ac:dyDescent="0.2">
      <c r="B1024" s="2">
        <f ca="1"/>
        <v>5.1086215840008942E-2</v>
      </c>
      <c r="O1024" s="2">
        <f ca="1"/>
        <v>-1.7809694839149994</v>
      </c>
      <c r="X1024" s="2">
        <f ca="1"/>
        <v>32.374721884948457</v>
      </c>
      <c r="AG1024" s="2">
        <f ca="1"/>
        <v>0.68599574126665863</v>
      </c>
      <c r="AH1024" s="2" t="str">
        <f ca="1"/>
        <v>Bad</v>
      </c>
    </row>
    <row r="1025" spans="2:34" x14ac:dyDescent="0.2">
      <c r="B1025" s="2">
        <f ca="1"/>
        <v>0.14271555815846426</v>
      </c>
      <c r="O1025" s="2">
        <f ca="1"/>
        <v>-1.1678660186901937</v>
      </c>
      <c r="X1025" s="2">
        <f ca="1"/>
        <v>30.551249452739881</v>
      </c>
      <c r="AG1025" s="2">
        <f ca="1"/>
        <v>3.4137569247290056E-3</v>
      </c>
      <c r="AH1025" s="2" t="str">
        <f ca="1"/>
        <v>Good</v>
      </c>
    </row>
    <row r="1026" spans="2:34" x14ac:dyDescent="0.2">
      <c r="B1026" s="2">
        <f ca="1"/>
        <v>0.61589516640242326</v>
      </c>
      <c r="O1026" s="2">
        <f ca="1"/>
        <v>1.2740022260416377</v>
      </c>
      <c r="X1026" s="2">
        <f ca="1"/>
        <v>20.435184123259415</v>
      </c>
      <c r="AG1026" s="2">
        <f ca="1"/>
        <v>0.2552099783089079</v>
      </c>
      <c r="AH1026" s="2" t="str">
        <f ca="1"/>
        <v>OK</v>
      </c>
    </row>
    <row r="1027" spans="2:34" x14ac:dyDescent="0.2">
      <c r="B1027" s="2">
        <f ca="1"/>
        <v>0.21649164837052326</v>
      </c>
      <c r="O1027" s="2">
        <f ca="1"/>
        <v>1.2411233437561224</v>
      </c>
      <c r="X1027" s="2">
        <f ca="1"/>
        <v>56.239101530777837</v>
      </c>
      <c r="AG1027" s="2">
        <f ca="1"/>
        <v>0.75367535770520333</v>
      </c>
      <c r="AH1027" s="2" t="str">
        <f ca="1"/>
        <v>Bad</v>
      </c>
    </row>
    <row r="1028" spans="2:34" x14ac:dyDescent="0.2">
      <c r="B1028" s="2">
        <f ca="1"/>
        <v>0.52173252236163359</v>
      </c>
      <c r="O1028" s="2">
        <f ca="1"/>
        <v>0.59513512679938885</v>
      </c>
      <c r="X1028" s="2">
        <f ca="1"/>
        <v>47.224877791343467</v>
      </c>
      <c r="AG1028" s="2">
        <f ca="1"/>
        <v>0.46804776063703613</v>
      </c>
      <c r="AH1028" s="2" t="str">
        <f ca="1"/>
        <v>Bad</v>
      </c>
    </row>
    <row r="1029" spans="2:34" x14ac:dyDescent="0.2">
      <c r="B1029" s="2">
        <f ca="1"/>
        <v>0.50559088619207704</v>
      </c>
      <c r="O1029" s="2">
        <f ca="1"/>
        <v>-2.0213750231596443</v>
      </c>
      <c r="X1029" s="2">
        <f ca="1"/>
        <v>54.264015431968559</v>
      </c>
      <c r="AG1029" s="2">
        <f ca="1"/>
        <v>0.69008278541764989</v>
      </c>
      <c r="AH1029" s="2" t="str">
        <f ca="1"/>
        <v>Bad</v>
      </c>
    </row>
    <row r="1030" spans="2:34" x14ac:dyDescent="0.2">
      <c r="B1030" s="2">
        <f ca="1"/>
        <v>9.179590292021711E-2</v>
      </c>
      <c r="O1030" s="2">
        <f ca="1"/>
        <v>-0.55922259079569503</v>
      </c>
      <c r="X1030" s="2">
        <f ca="1"/>
        <v>48.692238534551279</v>
      </c>
      <c r="AG1030" s="2">
        <f ca="1"/>
        <v>0.54021717765766208</v>
      </c>
      <c r="AH1030" s="2" t="str">
        <f ca="1"/>
        <v>Bad</v>
      </c>
    </row>
    <row r="1031" spans="2:34" x14ac:dyDescent="0.2">
      <c r="B1031" s="2">
        <f ca="1"/>
        <v>0.61206257352961413</v>
      </c>
      <c r="O1031" s="2">
        <f ca="1"/>
        <v>0.64416686958001268</v>
      </c>
      <c r="X1031" s="2">
        <f ca="1"/>
        <v>30.596124535270235</v>
      </c>
      <c r="AG1031" s="2">
        <f ca="1"/>
        <v>0.35601072919731203</v>
      </c>
      <c r="AH1031" s="2" t="str">
        <f ca="1"/>
        <v>OK</v>
      </c>
    </row>
    <row r="1032" spans="2:34" x14ac:dyDescent="0.2">
      <c r="B1032" s="2">
        <f ca="1"/>
        <v>0.19319596550683671</v>
      </c>
      <c r="O1032" s="2">
        <f ca="1"/>
        <v>-1.0667249480638235</v>
      </c>
      <c r="X1032" s="2">
        <f ca="1"/>
        <v>64.200380537956434</v>
      </c>
      <c r="AG1032" s="2">
        <f ca="1"/>
        <v>0.23916837319897666</v>
      </c>
      <c r="AH1032" s="2" t="str">
        <f ca="1"/>
        <v>OK</v>
      </c>
    </row>
    <row r="1033" spans="2:34" x14ac:dyDescent="0.2">
      <c r="B1033" s="2">
        <f ca="1"/>
        <v>0.48831888670201362</v>
      </c>
      <c r="O1033" s="2">
        <f ca="1"/>
        <v>1.2924000023425704</v>
      </c>
      <c r="X1033" s="2">
        <f ca="1"/>
        <v>73.600090909542629</v>
      </c>
      <c r="AG1033" s="2">
        <f ca="1"/>
        <v>0.78313534325124134</v>
      </c>
      <c r="AH1033" s="2" t="str">
        <f ca="1"/>
        <v>Bad</v>
      </c>
    </row>
    <row r="1034" spans="2:34" x14ac:dyDescent="0.2">
      <c r="B1034" s="2">
        <f ca="1"/>
        <v>0.15284400119109809</v>
      </c>
      <c r="O1034" s="2">
        <f ca="1"/>
        <v>-8.565487358649361E-2</v>
      </c>
      <c r="X1034" s="2">
        <f ca="1"/>
        <v>23.494602932244135</v>
      </c>
      <c r="AG1034" s="2">
        <f ca="1"/>
        <v>0.32127731400581672</v>
      </c>
      <c r="AH1034" s="2" t="str">
        <f ca="1"/>
        <v>OK</v>
      </c>
    </row>
    <row r="1035" spans="2:34" x14ac:dyDescent="0.2">
      <c r="B1035" s="2">
        <f ca="1"/>
        <v>0.95123493531755576</v>
      </c>
      <c r="O1035" s="2">
        <f ca="1"/>
        <v>-0.17889376117482292</v>
      </c>
      <c r="X1035" s="2">
        <f ca="1"/>
        <v>36.23013058315874</v>
      </c>
      <c r="AG1035" s="2">
        <f ca="1"/>
        <v>0.46553227646747097</v>
      </c>
      <c r="AH1035" s="2" t="str">
        <f ca="1"/>
        <v>Bad</v>
      </c>
    </row>
    <row r="1036" spans="2:34" x14ac:dyDescent="0.2">
      <c r="B1036" s="2">
        <f ca="1"/>
        <v>0.65780200818204793</v>
      </c>
      <c r="O1036" s="2">
        <f ca="1"/>
        <v>-0.55263168924314632</v>
      </c>
      <c r="X1036" s="2">
        <f ca="1"/>
        <v>47.194258371085979</v>
      </c>
      <c r="AG1036" s="2">
        <f ca="1"/>
        <v>0.50659096293095063</v>
      </c>
      <c r="AH1036" s="2" t="str">
        <f ca="1"/>
        <v>Bad</v>
      </c>
    </row>
    <row r="1037" spans="2:34" x14ac:dyDescent="0.2">
      <c r="B1037" s="2">
        <f ca="1"/>
        <v>0.34872207037556491</v>
      </c>
      <c r="O1037" s="2">
        <f ca="1"/>
        <v>-1.2384143753491768</v>
      </c>
      <c r="X1037" s="2">
        <f ca="1"/>
        <v>77.147421243914721</v>
      </c>
      <c r="AG1037" s="2">
        <f ca="1"/>
        <v>9.3274944061645382E-3</v>
      </c>
      <c r="AH1037" s="2" t="str">
        <f ca="1"/>
        <v>Good</v>
      </c>
    </row>
    <row r="1038" spans="2:34" x14ac:dyDescent="0.2">
      <c r="B1038" s="2">
        <f ca="1"/>
        <v>0.40601569259883918</v>
      </c>
      <c r="O1038" s="2">
        <f ca="1"/>
        <v>-0.7498737737504908</v>
      </c>
      <c r="X1038" s="2">
        <f ca="1"/>
        <v>29.841317693253423</v>
      </c>
      <c r="AG1038" s="2">
        <f ca="1"/>
        <v>0.16358158130452405</v>
      </c>
      <c r="AH1038" s="2" t="str">
        <f ca="1"/>
        <v>OK</v>
      </c>
    </row>
    <row r="1039" spans="2:34" x14ac:dyDescent="0.2">
      <c r="B1039" s="2">
        <f ca="1"/>
        <v>0.13012530918528098</v>
      </c>
      <c r="O1039" s="2">
        <f ca="1"/>
        <v>-5.6236083309822181E-2</v>
      </c>
      <c r="X1039" s="2">
        <f ca="1"/>
        <v>33.406190890339289</v>
      </c>
      <c r="AG1039" s="2">
        <f ca="1"/>
        <v>0.69906466028598246</v>
      </c>
      <c r="AH1039" s="2" t="str">
        <f ca="1"/>
        <v>Bad</v>
      </c>
    </row>
    <row r="1040" spans="2:34" x14ac:dyDescent="0.2">
      <c r="B1040" s="2">
        <f ca="1"/>
        <v>0.47889358997497111</v>
      </c>
      <c r="O1040" s="2">
        <f ca="1"/>
        <v>-2.2947321896587507</v>
      </c>
      <c r="X1040" s="2">
        <f ca="1"/>
        <v>53.758937949194241</v>
      </c>
      <c r="AG1040" s="2">
        <f ca="1"/>
        <v>0.29407896903520614</v>
      </c>
      <c r="AH1040" s="2" t="str">
        <f ca="1"/>
        <v>OK</v>
      </c>
    </row>
    <row r="1041" spans="2:34" x14ac:dyDescent="0.2">
      <c r="B1041" s="2">
        <f ca="1"/>
        <v>0.5740597681148174</v>
      </c>
      <c r="O1041" s="2">
        <f ca="1"/>
        <v>-0.30766434687220973</v>
      </c>
      <c r="X1041" s="2">
        <f ca="1"/>
        <v>33.190626926638572</v>
      </c>
      <c r="AG1041" s="2">
        <f ca="1"/>
        <v>0.67411876299411699</v>
      </c>
      <c r="AH1041" s="2" t="str">
        <f ca="1"/>
        <v>Bad</v>
      </c>
    </row>
    <row r="1042" spans="2:34" x14ac:dyDescent="0.2">
      <c r="B1042" s="2">
        <f ca="1"/>
        <v>0.31387785771146626</v>
      </c>
      <c r="O1042" s="2">
        <f ca="1"/>
        <v>-0.56469779305228351</v>
      </c>
      <c r="X1042" s="2">
        <f ca="1"/>
        <v>20.528619841690222</v>
      </c>
      <c r="AG1042" s="2">
        <f ca="1"/>
        <v>0.16240923370148463</v>
      </c>
      <c r="AH1042" s="2" t="str">
        <f ca="1"/>
        <v>OK</v>
      </c>
    </row>
    <row r="1043" spans="2:34" x14ac:dyDescent="0.2">
      <c r="B1043" s="2">
        <f ca="1"/>
        <v>0.12607364892034933</v>
      </c>
      <c r="O1043" s="2">
        <f ca="1"/>
        <v>0.8289076025908394</v>
      </c>
      <c r="X1043" s="2">
        <f ca="1"/>
        <v>60.385433535066824</v>
      </c>
      <c r="AG1043" s="2">
        <f ca="1"/>
        <v>0.78907263802820582</v>
      </c>
      <c r="AH1043" s="2" t="str">
        <f ca="1"/>
        <v>Bad</v>
      </c>
    </row>
    <row r="1044" spans="2:34" x14ac:dyDescent="0.2">
      <c r="B1044" s="2">
        <f ca="1"/>
        <v>0.93870908531542607</v>
      </c>
      <c r="O1044" s="2">
        <f ca="1"/>
        <v>-0.5638293974859927</v>
      </c>
      <c r="X1044" s="2">
        <f ca="1"/>
        <v>35.557594703903234</v>
      </c>
      <c r="AG1044" s="2">
        <f ca="1"/>
        <v>0.55258354138812438</v>
      </c>
      <c r="AH1044" s="2" t="str">
        <f ca="1"/>
        <v>Bad</v>
      </c>
    </row>
    <row r="1045" spans="2:34" x14ac:dyDescent="0.2">
      <c r="B1045" s="2">
        <f ca="1"/>
        <v>0.56900022241882731</v>
      </c>
      <c r="O1045" s="2">
        <f ca="1"/>
        <v>-2.4628116166738709</v>
      </c>
      <c r="X1045" s="2">
        <f ca="1"/>
        <v>34.45325770536293</v>
      </c>
      <c r="AG1045" s="2">
        <f ca="1"/>
        <v>0.95907301780305243</v>
      </c>
      <c r="AH1045" s="2" t="str">
        <f ca="1"/>
        <v>Bad</v>
      </c>
    </row>
    <row r="1046" spans="2:34" x14ac:dyDescent="0.2">
      <c r="B1046" s="2">
        <f ca="1"/>
        <v>0.26985698654212675</v>
      </c>
      <c r="O1046" s="2">
        <f ca="1"/>
        <v>-0.39624126934663295</v>
      </c>
      <c r="X1046" s="2">
        <f ca="1"/>
        <v>47.997555306915494</v>
      </c>
      <c r="AG1046" s="2">
        <f ca="1"/>
        <v>0.55238861385673244</v>
      </c>
      <c r="AH1046" s="2" t="str">
        <f ca="1"/>
        <v>Bad</v>
      </c>
    </row>
    <row r="1047" spans="2:34" x14ac:dyDescent="0.2">
      <c r="B1047" s="2">
        <f ca="1"/>
        <v>0.89283682565167477</v>
      </c>
      <c r="O1047" s="2">
        <f ca="1"/>
        <v>0.4043890801274494</v>
      </c>
      <c r="X1047" s="2">
        <f ca="1"/>
        <v>59.192501381379884</v>
      </c>
      <c r="AG1047" s="2">
        <f ca="1"/>
        <v>0.2739880029325592</v>
      </c>
      <c r="AH1047" s="2" t="str">
        <f ca="1"/>
        <v>OK</v>
      </c>
    </row>
    <row r="1048" spans="2:34" x14ac:dyDescent="0.2">
      <c r="B1048" s="2">
        <f ca="1"/>
        <v>0.3854252768600348</v>
      </c>
      <c r="O1048" s="2">
        <f ca="1"/>
        <v>-0.65681771295583191</v>
      </c>
      <c r="X1048" s="2">
        <f ca="1"/>
        <v>39.337412699762019</v>
      </c>
      <c r="AG1048" s="2">
        <f ca="1"/>
        <v>0.24517310468282072</v>
      </c>
      <c r="AH1048" s="2" t="str">
        <f ca="1"/>
        <v>OK</v>
      </c>
    </row>
    <row r="1049" spans="2:34" x14ac:dyDescent="0.2">
      <c r="B1049" s="2">
        <f ca="1"/>
        <v>0.91763222330739391</v>
      </c>
      <c r="O1049" s="2">
        <f ca="1"/>
        <v>-1.1702520848312483</v>
      </c>
      <c r="X1049" s="2">
        <f ca="1"/>
        <v>45.273079439415454</v>
      </c>
      <c r="AG1049" s="2">
        <f ca="1"/>
        <v>0.53917628217096891</v>
      </c>
      <c r="AH1049" s="2" t="str">
        <f ca="1"/>
        <v>Bad</v>
      </c>
    </row>
    <row r="1050" spans="2:34" x14ac:dyDescent="0.2">
      <c r="B1050" s="2">
        <f ca="1"/>
        <v>0.89417847481872159</v>
      </c>
      <c r="O1050" s="2">
        <f ca="1"/>
        <v>-0.42361156938796873</v>
      </c>
      <c r="X1050" s="2">
        <f ca="1"/>
        <v>50.865965602277129</v>
      </c>
      <c r="AG1050" s="2">
        <f ca="1"/>
        <v>0.23214385835529394</v>
      </c>
      <c r="AH1050" s="2" t="str">
        <f ca="1"/>
        <v>OK</v>
      </c>
    </row>
    <row r="1051" spans="2:34" x14ac:dyDescent="0.2">
      <c r="B1051" s="2">
        <f ca="1"/>
        <v>0.5578449480748755</v>
      </c>
      <c r="O1051" s="2">
        <f ca="1"/>
        <v>0.92590102929397167</v>
      </c>
      <c r="X1051" s="2">
        <f ca="1"/>
        <v>28.36885260244086</v>
      </c>
      <c r="AG1051" s="2">
        <f ca="1"/>
        <v>8.8503567245536097E-2</v>
      </c>
      <c r="AH1051" s="2" t="str">
        <f ca="1"/>
        <v>OK</v>
      </c>
    </row>
    <row r="1052" spans="2:34" x14ac:dyDescent="0.2">
      <c r="B1052" s="2">
        <f ca="1"/>
        <v>0.92240271669588059</v>
      </c>
      <c r="O1052" s="2">
        <f ca="1"/>
        <v>1.1192872589229561</v>
      </c>
      <c r="X1052" s="2">
        <f ca="1"/>
        <v>44.1958942438918</v>
      </c>
      <c r="AG1052" s="2">
        <f ca="1"/>
        <v>0.63044567829985354</v>
      </c>
      <c r="AH1052" s="2" t="str">
        <f ca="1"/>
        <v>Bad</v>
      </c>
    </row>
    <row r="1053" spans="2:34" x14ac:dyDescent="0.2">
      <c r="B1053" s="2">
        <f ca="1"/>
        <v>0.55196206171717477</v>
      </c>
      <c r="O1053" s="2">
        <f ca="1"/>
        <v>0.64591390745750821</v>
      </c>
      <c r="X1053" s="2">
        <f ca="1"/>
        <v>39.731188793827314</v>
      </c>
      <c r="AG1053" s="2">
        <f ca="1"/>
        <v>0.26196837284975905</v>
      </c>
      <c r="AH1053" s="2" t="str">
        <f ca="1"/>
        <v>OK</v>
      </c>
    </row>
    <row r="1054" spans="2:34" x14ac:dyDescent="0.2">
      <c r="B1054" s="2">
        <f ca="1"/>
        <v>0.13879847506404408</v>
      </c>
      <c r="O1054" s="2">
        <f ca="1"/>
        <v>-0.11914200678958624</v>
      </c>
      <c r="X1054" s="2">
        <f ca="1"/>
        <v>49.880007204738696</v>
      </c>
      <c r="AG1054" s="2">
        <f ca="1"/>
        <v>0.46304998339913728</v>
      </c>
      <c r="AH1054" s="2" t="str">
        <f ca="1"/>
        <v>Bad</v>
      </c>
    </row>
    <row r="1055" spans="2:34" x14ac:dyDescent="0.2">
      <c r="B1055" s="2">
        <f ca="1"/>
        <v>0.47702889540616122</v>
      </c>
      <c r="O1055" s="2">
        <f ca="1"/>
        <v>0.85192931970574481</v>
      </c>
      <c r="X1055" s="2">
        <f ca="1"/>
        <v>35.603713240701808</v>
      </c>
      <c r="AG1055" s="2">
        <f ca="1"/>
        <v>0.5388715514573521</v>
      </c>
      <c r="AH1055" s="2" t="str">
        <f ca="1"/>
        <v>Bad</v>
      </c>
    </row>
    <row r="1056" spans="2:34" x14ac:dyDescent="0.2">
      <c r="B1056" s="2">
        <f ca="1"/>
        <v>0.91816658968736364</v>
      </c>
      <c r="O1056" s="2">
        <f ca="1"/>
        <v>1.3520239994630103</v>
      </c>
      <c r="X1056" s="2">
        <f ca="1"/>
        <v>49.410174309239835</v>
      </c>
      <c r="AG1056" s="2">
        <f ca="1"/>
        <v>0.99476883914988856</v>
      </c>
      <c r="AH1056" s="2" t="str">
        <f ca="1"/>
        <v>Bad</v>
      </c>
    </row>
    <row r="1057" spans="2:34" x14ac:dyDescent="0.2">
      <c r="B1057" s="2">
        <f ca="1"/>
        <v>2.3176842090704808E-2</v>
      </c>
      <c r="O1057" s="2">
        <f ca="1"/>
        <v>1.3329838052938403</v>
      </c>
      <c r="X1057" s="2">
        <f ca="1"/>
        <v>57.584743178608363</v>
      </c>
      <c r="AG1057" s="2">
        <f ca="1"/>
        <v>9.084774792197603E-3</v>
      </c>
      <c r="AH1057" s="2" t="str">
        <f ca="1"/>
        <v>Good</v>
      </c>
    </row>
    <row r="1058" spans="2:34" x14ac:dyDescent="0.2">
      <c r="B1058" s="2">
        <f ca="1"/>
        <v>0.81383587543407865</v>
      </c>
      <c r="O1058" s="2">
        <f ca="1"/>
        <v>1.3248452643641313</v>
      </c>
      <c r="X1058" s="2">
        <f ca="1"/>
        <v>52.736740785186889</v>
      </c>
      <c r="AG1058" s="2">
        <f ca="1"/>
        <v>0.10088663102669448</v>
      </c>
      <c r="AH1058" s="2" t="str">
        <f ca="1"/>
        <v>OK</v>
      </c>
    </row>
    <row r="1059" spans="2:34" x14ac:dyDescent="0.2">
      <c r="B1059" s="2">
        <f ca="1"/>
        <v>0.57569141069726371</v>
      </c>
      <c r="O1059" s="2">
        <f ca="1"/>
        <v>-0.53867749393592446</v>
      </c>
      <c r="X1059" s="2">
        <f ca="1"/>
        <v>78.893763209884881</v>
      </c>
      <c r="AG1059" s="2">
        <f ca="1"/>
        <v>0.54936675650389799</v>
      </c>
      <c r="AH1059" s="2" t="str">
        <f ca="1"/>
        <v>Bad</v>
      </c>
    </row>
    <row r="1060" spans="2:34" x14ac:dyDescent="0.2">
      <c r="B1060" s="2">
        <f ca="1"/>
        <v>0.1101591395482806</v>
      </c>
      <c r="O1060" s="2">
        <f ca="1"/>
        <v>1.2721771170981486</v>
      </c>
      <c r="X1060" s="2">
        <f ca="1"/>
        <v>33.72550063383963</v>
      </c>
      <c r="AG1060" s="2">
        <f ca="1"/>
        <v>0.3950734204033266</v>
      </c>
      <c r="AH1060" s="2" t="str">
        <f ca="1"/>
        <v>OK</v>
      </c>
    </row>
    <row r="1061" spans="2:34" x14ac:dyDescent="0.2">
      <c r="B1061" s="2">
        <f ca="1"/>
        <v>0.42614851234255191</v>
      </c>
      <c r="O1061" s="2">
        <f ca="1"/>
        <v>-0.60735161130304161</v>
      </c>
      <c r="X1061" s="2">
        <f ca="1"/>
        <v>67.576211513964267</v>
      </c>
      <c r="AG1061" s="2">
        <f ca="1"/>
        <v>0.85313254455361287</v>
      </c>
      <c r="AH1061" s="2" t="str">
        <f ca="1"/>
        <v>Bad</v>
      </c>
    </row>
    <row r="1062" spans="2:34" x14ac:dyDescent="0.2">
      <c r="B1062" s="2">
        <f ca="1"/>
        <v>0.70039762842255038</v>
      </c>
      <c r="O1062" s="2">
        <f ca="1"/>
        <v>-0.18196253254825875</v>
      </c>
      <c r="X1062" s="2">
        <f ca="1"/>
        <v>64.263405363938688</v>
      </c>
      <c r="AG1062" s="2">
        <f ca="1"/>
        <v>8.090473359637862E-3</v>
      </c>
      <c r="AH1062" s="2" t="str">
        <f ca="1"/>
        <v>Good</v>
      </c>
    </row>
    <row r="1063" spans="2:34" x14ac:dyDescent="0.2">
      <c r="B1063" s="2">
        <f ca="1"/>
        <v>0.53423969911626323</v>
      </c>
      <c r="O1063" s="2">
        <f ca="1"/>
        <v>-1.1605829027026131</v>
      </c>
      <c r="X1063" s="2">
        <f ca="1"/>
        <v>21.112534225738809</v>
      </c>
      <c r="AG1063" s="2">
        <f ca="1"/>
        <v>0.96265325113323441</v>
      </c>
      <c r="AH1063" s="2" t="str">
        <f ca="1"/>
        <v>Bad</v>
      </c>
    </row>
    <row r="1064" spans="2:34" x14ac:dyDescent="0.2">
      <c r="B1064" s="2">
        <f ca="1"/>
        <v>2.8690625937985992E-3</v>
      </c>
      <c r="O1064" s="2">
        <f ca="1"/>
        <v>1.8639530136307167</v>
      </c>
      <c r="X1064" s="2">
        <f ca="1"/>
        <v>26.789173368107505</v>
      </c>
      <c r="AG1064" s="2">
        <f ca="1"/>
        <v>0.29592941623885816</v>
      </c>
      <c r="AH1064" s="2" t="str">
        <f ca="1"/>
        <v>OK</v>
      </c>
    </row>
    <row r="1065" spans="2:34" x14ac:dyDescent="0.2">
      <c r="B1065" s="2">
        <f ca="1"/>
        <v>0.44465258230838178</v>
      </c>
      <c r="O1065" s="2">
        <f ca="1"/>
        <v>-1.692485139196942</v>
      </c>
      <c r="X1065" s="2">
        <f ca="1"/>
        <v>62.30176302142943</v>
      </c>
      <c r="AG1065" s="2">
        <f ca="1"/>
        <v>0.89384487924676481</v>
      </c>
      <c r="AH1065" s="2" t="str">
        <f ca="1"/>
        <v>Bad</v>
      </c>
    </row>
    <row r="1066" spans="2:34" x14ac:dyDescent="0.2">
      <c r="B1066" s="2">
        <f ca="1"/>
        <v>0.87323292706772948</v>
      </c>
      <c r="O1066" s="2">
        <f ca="1"/>
        <v>-0.36632562479978387</v>
      </c>
      <c r="X1066" s="2">
        <f ca="1"/>
        <v>68.392440013914509</v>
      </c>
      <c r="AG1066" s="2">
        <f ca="1"/>
        <v>0.76909059277356606</v>
      </c>
      <c r="AH1066" s="2" t="str">
        <f ca="1"/>
        <v>Bad</v>
      </c>
    </row>
    <row r="1067" spans="2:34" x14ac:dyDescent="0.2">
      <c r="B1067" s="2">
        <f ca="1"/>
        <v>0.37386930300358689</v>
      </c>
      <c r="O1067" s="2">
        <f ca="1"/>
        <v>-0.31019064657816409</v>
      </c>
      <c r="X1067" s="2">
        <f ca="1"/>
        <v>59.986695023302303</v>
      </c>
      <c r="AG1067" s="2">
        <f ca="1"/>
        <v>0.54977558461960441</v>
      </c>
      <c r="AH1067" s="2" t="str">
        <f ca="1"/>
        <v>Bad</v>
      </c>
    </row>
    <row r="1068" spans="2:34" x14ac:dyDescent="0.2">
      <c r="B1068" s="2">
        <f ca="1"/>
        <v>0.25897124136613692</v>
      </c>
      <c r="O1068" s="2">
        <f ca="1"/>
        <v>-0.41860062915254087</v>
      </c>
      <c r="X1068" s="2">
        <f ca="1"/>
        <v>79.254235030100958</v>
      </c>
      <c r="AG1068" s="2">
        <f ca="1"/>
        <v>0.38489505863564033</v>
      </c>
      <c r="AH1068" s="2" t="str">
        <f ca="1"/>
        <v>OK</v>
      </c>
    </row>
    <row r="1069" spans="2:34" x14ac:dyDescent="0.2">
      <c r="B1069" s="2">
        <f ca="1"/>
        <v>0.44132988292171604</v>
      </c>
      <c r="O1069" s="2">
        <f ca="1"/>
        <v>0.96641227825353138</v>
      </c>
      <c r="X1069" s="2">
        <f ca="1"/>
        <v>35.635734926216578</v>
      </c>
      <c r="AG1069" s="2">
        <f ca="1"/>
        <v>0.82546126268813147</v>
      </c>
      <c r="AH1069" s="2" t="str">
        <f ca="1"/>
        <v>Bad</v>
      </c>
    </row>
    <row r="1070" spans="2:34" x14ac:dyDescent="0.2">
      <c r="B1070" s="2">
        <f ca="1"/>
        <v>0.48129101094804394</v>
      </c>
      <c r="O1070" s="2">
        <f ca="1"/>
        <v>-0.49791362168422093</v>
      </c>
      <c r="X1070" s="2">
        <f ca="1"/>
        <v>47.558504883007814</v>
      </c>
      <c r="AG1070" s="2">
        <f ca="1"/>
        <v>0.51221041816057267</v>
      </c>
      <c r="AH1070" s="2" t="str">
        <f ca="1"/>
        <v>Bad</v>
      </c>
    </row>
    <row r="1071" spans="2:34" x14ac:dyDescent="0.2">
      <c r="B1071" s="2">
        <f ca="1"/>
        <v>8.5739757932537186E-2</v>
      </c>
      <c r="O1071" s="2">
        <f ca="1"/>
        <v>-0.75875532832227466</v>
      </c>
      <c r="X1071" s="2">
        <f ca="1"/>
        <v>31.447037016808721</v>
      </c>
      <c r="AG1071" s="2">
        <f ca="1"/>
        <v>0.5836284063002608</v>
      </c>
      <c r="AH1071" s="2" t="str">
        <f ca="1"/>
        <v>Bad</v>
      </c>
    </row>
    <row r="1072" spans="2:34" x14ac:dyDescent="0.2">
      <c r="B1072" s="2">
        <f ca="1"/>
        <v>6.1753816087905422E-2</v>
      </c>
      <c r="O1072" s="2">
        <f ca="1"/>
        <v>-0.49368279049372332</v>
      </c>
      <c r="X1072" s="2">
        <f ca="1"/>
        <v>37.116014227611693</v>
      </c>
      <c r="AG1072" s="2">
        <f ca="1"/>
        <v>0.74500258299092281</v>
      </c>
      <c r="AH1072" s="2" t="str">
        <f ca="1"/>
        <v>Bad</v>
      </c>
    </row>
    <row r="1073" spans="2:34" x14ac:dyDescent="0.2">
      <c r="B1073" s="2">
        <f ca="1"/>
        <v>0.33581075138681382</v>
      </c>
      <c r="O1073" s="2">
        <f ca="1"/>
        <v>-1.5881332721390446</v>
      </c>
      <c r="X1073" s="2">
        <f ca="1"/>
        <v>54.838899898361063</v>
      </c>
      <c r="AG1073" s="2">
        <f ca="1"/>
        <v>0.69296483642530426</v>
      </c>
      <c r="AH1073" s="2" t="str">
        <f ca="1"/>
        <v>Bad</v>
      </c>
    </row>
    <row r="1074" spans="2:34" x14ac:dyDescent="0.2">
      <c r="B1074" s="2">
        <f ca="1"/>
        <v>0.94091855904490762</v>
      </c>
      <c r="O1074" s="2">
        <f ca="1"/>
        <v>-0.16708888216814555</v>
      </c>
      <c r="X1074" s="2">
        <f ca="1"/>
        <v>49.714524042396988</v>
      </c>
      <c r="AG1074" s="2">
        <f ca="1"/>
        <v>0.36137966629677165</v>
      </c>
      <c r="AH1074" s="2" t="str">
        <f ca="1"/>
        <v>OK</v>
      </c>
    </row>
    <row r="1075" spans="2:34" x14ac:dyDescent="0.2">
      <c r="B1075" s="2">
        <f ca="1"/>
        <v>0.57539753383856351</v>
      </c>
      <c r="O1075" s="2">
        <f ca="1"/>
        <v>-1.5604910349948837</v>
      </c>
      <c r="X1075" s="2">
        <f ca="1"/>
        <v>60.488070028025675</v>
      </c>
      <c r="AG1075" s="2">
        <f ca="1"/>
        <v>0.9254136588482067</v>
      </c>
      <c r="AH1075" s="2" t="str">
        <f ca="1"/>
        <v>Bad</v>
      </c>
    </row>
    <row r="1076" spans="2:34" x14ac:dyDescent="0.2">
      <c r="B1076" s="2">
        <f ca="1"/>
        <v>6.4627452714078881E-2</v>
      </c>
      <c r="O1076" s="2">
        <f ca="1"/>
        <v>-0.43733074400141281</v>
      </c>
      <c r="X1076" s="2">
        <f ca="1"/>
        <v>74.880121304910276</v>
      </c>
      <c r="AG1076" s="2">
        <f ca="1"/>
        <v>0.73493544945852207</v>
      </c>
      <c r="AH1076" s="2" t="str">
        <f ca="1"/>
        <v>Bad</v>
      </c>
    </row>
    <row r="1077" spans="2:34" x14ac:dyDescent="0.2">
      <c r="B1077" s="2">
        <f ca="1"/>
        <v>0.73274996724157315</v>
      </c>
      <c r="O1077" s="2">
        <f ca="1"/>
        <v>-1.1889929894102194</v>
      </c>
      <c r="X1077" s="2">
        <f ca="1"/>
        <v>54.009655882738372</v>
      </c>
      <c r="AG1077" s="2">
        <f ca="1"/>
        <v>0.66235658921799101</v>
      </c>
      <c r="AH1077" s="2" t="str">
        <f ca="1"/>
        <v>Bad</v>
      </c>
    </row>
    <row r="1078" spans="2:34" x14ac:dyDescent="0.2">
      <c r="B1078" s="2">
        <f ca="1"/>
        <v>0.82526644724173948</v>
      </c>
      <c r="O1078" s="2">
        <f ca="1"/>
        <v>1.1223971299019353</v>
      </c>
      <c r="X1078" s="2">
        <f ca="1"/>
        <v>64.52291275382666</v>
      </c>
      <c r="AG1078" s="2">
        <f ca="1"/>
        <v>0.89045314471150117</v>
      </c>
      <c r="AH1078" s="2" t="str">
        <f ca="1"/>
        <v>Bad</v>
      </c>
    </row>
    <row r="1079" spans="2:34" x14ac:dyDescent="0.2">
      <c r="B1079" s="2">
        <f ca="1"/>
        <v>0.88152171418361513</v>
      </c>
      <c r="O1079" s="2">
        <f ca="1"/>
        <v>-1.3398551130820389</v>
      </c>
      <c r="X1079" s="2">
        <f ca="1"/>
        <v>105.14121588644636</v>
      </c>
      <c r="AG1079" s="2">
        <f ca="1"/>
        <v>0.21135735925280752</v>
      </c>
      <c r="AH1079" s="2" t="str">
        <f ca="1"/>
        <v>OK</v>
      </c>
    </row>
    <row r="1080" spans="2:34" x14ac:dyDescent="0.2">
      <c r="B1080" s="2">
        <f ca="1"/>
        <v>0.61383888985981883</v>
      </c>
      <c r="O1080" s="2">
        <f ca="1"/>
        <v>0.54086263446805638</v>
      </c>
      <c r="X1080" s="2">
        <f ca="1"/>
        <v>45.455986892926035</v>
      </c>
      <c r="AG1080" s="2">
        <f ca="1"/>
        <v>0.20554286879483596</v>
      </c>
      <c r="AH1080" s="2" t="str">
        <f ca="1"/>
        <v>OK</v>
      </c>
    </row>
    <row r="1081" spans="2:34" x14ac:dyDescent="0.2">
      <c r="B1081" s="2">
        <f ca="1"/>
        <v>0.70713065156375388</v>
      </c>
      <c r="O1081" s="2">
        <f ca="1"/>
        <v>0.27242056644567608</v>
      </c>
      <c r="X1081" s="2">
        <f ca="1"/>
        <v>37.881564478078324</v>
      </c>
      <c r="AG1081" s="2">
        <f ca="1"/>
        <v>0.65948369179003774</v>
      </c>
      <c r="AH1081" s="2" t="str">
        <f ca="1"/>
        <v>Bad</v>
      </c>
    </row>
    <row r="1082" spans="2:34" x14ac:dyDescent="0.2">
      <c r="B1082" s="2">
        <f ca="1"/>
        <v>0.36182629258377208</v>
      </c>
      <c r="O1082" s="2">
        <f ca="1"/>
        <v>0.32446690388838312</v>
      </c>
      <c r="X1082" s="2">
        <f ca="1"/>
        <v>42.53562025059481</v>
      </c>
      <c r="AG1082" s="2">
        <f ca="1"/>
        <v>0.24820180649791057</v>
      </c>
      <c r="AH1082" s="2" t="str">
        <f ca="1"/>
        <v>OK</v>
      </c>
    </row>
    <row r="1083" spans="2:34" x14ac:dyDescent="0.2">
      <c r="B1083" s="2">
        <f ca="1"/>
        <v>0.25992288291352739</v>
      </c>
      <c r="O1083" s="2">
        <f ca="1"/>
        <v>0.74327988199406603</v>
      </c>
      <c r="X1083" s="2">
        <f ca="1"/>
        <v>66.63844455320671</v>
      </c>
      <c r="AG1083" s="2">
        <f ca="1"/>
        <v>0.62501685483512781</v>
      </c>
      <c r="AH1083" s="2" t="str">
        <f ca="1"/>
        <v>Bad</v>
      </c>
    </row>
    <row r="1084" spans="2:34" x14ac:dyDescent="0.2">
      <c r="B1084" s="2">
        <f ca="1"/>
        <v>0.34281540125008303</v>
      </c>
      <c r="O1084" s="2">
        <f ca="1"/>
        <v>2.048073524911698E-2</v>
      </c>
      <c r="X1084" s="2">
        <f ca="1"/>
        <v>44.55256972305871</v>
      </c>
      <c r="AG1084" s="2">
        <f ca="1"/>
        <v>0.24413852809669656</v>
      </c>
      <c r="AH1084" s="2" t="str">
        <f ca="1"/>
        <v>OK</v>
      </c>
    </row>
    <row r="1085" spans="2:34" x14ac:dyDescent="0.2">
      <c r="B1085" s="2">
        <f ca="1"/>
        <v>0.39427036168716834</v>
      </c>
      <c r="O1085" s="2">
        <f ca="1"/>
        <v>0.93638678598802172</v>
      </c>
      <c r="X1085" s="2">
        <f ca="1"/>
        <v>32.264455548727938</v>
      </c>
      <c r="AG1085" s="2">
        <f ca="1"/>
        <v>0.88603225773372052</v>
      </c>
      <c r="AH1085" s="2" t="str">
        <f ca="1"/>
        <v>Bad</v>
      </c>
    </row>
    <row r="1086" spans="2:34" x14ac:dyDescent="0.2">
      <c r="B1086" s="2">
        <f ca="1"/>
        <v>0.17912734916485684</v>
      </c>
      <c r="O1086" s="2">
        <f ca="1"/>
        <v>-0.45265607999282631</v>
      </c>
      <c r="X1086" s="2">
        <f ca="1"/>
        <v>75.016402838436832</v>
      </c>
      <c r="AG1086" s="2">
        <f ca="1"/>
        <v>0.13776841319717548</v>
      </c>
      <c r="AH1086" s="2" t="str">
        <f ca="1"/>
        <v>OK</v>
      </c>
    </row>
    <row r="1087" spans="2:34" x14ac:dyDescent="0.2">
      <c r="B1087" s="2">
        <f ca="1"/>
        <v>0.70748804236988239</v>
      </c>
      <c r="O1087" s="2">
        <f ca="1"/>
        <v>0.86547916110289413</v>
      </c>
      <c r="X1087" s="2">
        <f ca="1"/>
        <v>32.570123085908598</v>
      </c>
      <c r="AG1087" s="2">
        <f ca="1"/>
        <v>0.29402488131087634</v>
      </c>
      <c r="AH1087" s="2" t="str">
        <f ca="1"/>
        <v>OK</v>
      </c>
    </row>
    <row r="1088" spans="2:34" x14ac:dyDescent="0.2">
      <c r="B1088" s="2">
        <f ca="1"/>
        <v>0.13868860942914019</v>
      </c>
      <c r="O1088" s="2">
        <f ca="1"/>
        <v>-1.7979173601995477</v>
      </c>
      <c r="X1088" s="2">
        <f ca="1"/>
        <v>26.610974498561362</v>
      </c>
      <c r="AG1088" s="2">
        <f ca="1"/>
        <v>7.265136921340476E-2</v>
      </c>
      <c r="AH1088" s="2" t="str">
        <f ca="1"/>
        <v>OK</v>
      </c>
    </row>
    <row r="1089" spans="2:34" x14ac:dyDescent="0.2">
      <c r="B1089" s="2">
        <f ca="1"/>
        <v>0.25207461729362635</v>
      </c>
      <c r="O1089" s="2">
        <f ca="1"/>
        <v>0.70469794744341685</v>
      </c>
      <c r="X1089" s="2">
        <f ca="1"/>
        <v>25.362350082200859</v>
      </c>
      <c r="AG1089" s="2">
        <f ca="1"/>
        <v>0.49470061627745121</v>
      </c>
      <c r="AH1089" s="2" t="str">
        <f ca="1"/>
        <v>Bad</v>
      </c>
    </row>
    <row r="1090" spans="2:34" x14ac:dyDescent="0.2">
      <c r="B1090" s="2">
        <f ca="1"/>
        <v>0.46518924357171754</v>
      </c>
      <c r="O1090" s="2">
        <f ca="1"/>
        <v>0.93271231659361342</v>
      </c>
      <c r="X1090" s="2">
        <f ca="1"/>
        <v>60.683965448584551</v>
      </c>
      <c r="AG1090" s="2">
        <f ca="1"/>
        <v>0.25837397014458507</v>
      </c>
      <c r="AH1090" s="2" t="str">
        <f ca="1"/>
        <v>OK</v>
      </c>
    </row>
    <row r="1091" spans="2:34" x14ac:dyDescent="0.2">
      <c r="B1091" s="2">
        <f ca="1"/>
        <v>0.34739010587194774</v>
      </c>
      <c r="O1091" s="2">
        <f ca="1"/>
        <v>-0.91890609916147448</v>
      </c>
      <c r="X1091" s="2">
        <f ca="1"/>
        <v>53.477532731892893</v>
      </c>
      <c r="AG1091" s="2">
        <f ca="1"/>
        <v>0.34854394239421982</v>
      </c>
      <c r="AH1091" s="2" t="str">
        <f ca="1"/>
        <v>OK</v>
      </c>
    </row>
    <row r="1092" spans="2:34" x14ac:dyDescent="0.2">
      <c r="B1092" s="2">
        <f ca="1"/>
        <v>0.58688809316389223</v>
      </c>
      <c r="O1092" s="2">
        <f ca="1"/>
        <v>1.4430819560068542</v>
      </c>
      <c r="X1092" s="2">
        <f ca="1"/>
        <v>52.483908638007904</v>
      </c>
      <c r="AG1092" s="2">
        <f ca="1"/>
        <v>0.80336395680936934</v>
      </c>
      <c r="AH1092" s="2" t="str">
        <f ca="1"/>
        <v>Bad</v>
      </c>
    </row>
    <row r="1093" spans="2:34" x14ac:dyDescent="0.2">
      <c r="B1093" s="2">
        <f ca="1"/>
        <v>0.25657858747764095</v>
      </c>
      <c r="O1093" s="2">
        <f ca="1"/>
        <v>-2.1395158666721867</v>
      </c>
      <c r="X1093" s="2">
        <f ca="1"/>
        <v>20.512537483674599</v>
      </c>
      <c r="AG1093" s="2">
        <f ca="1"/>
        <v>0.19306865956904717</v>
      </c>
      <c r="AH1093" s="2" t="str">
        <f ca="1"/>
        <v>OK</v>
      </c>
    </row>
    <row r="1094" spans="2:34" x14ac:dyDescent="0.2">
      <c r="B1094" s="2">
        <f ca="1"/>
        <v>0.27919915319462985</v>
      </c>
      <c r="O1094" s="2">
        <f ca="1"/>
        <v>1.2437116901445895</v>
      </c>
      <c r="X1094" s="2">
        <f ca="1"/>
        <v>39.286715206567216</v>
      </c>
      <c r="AG1094" s="2">
        <f ca="1"/>
        <v>0.19511363683428273</v>
      </c>
      <c r="AH1094" s="2" t="str">
        <f ca="1"/>
        <v>OK</v>
      </c>
    </row>
    <row r="1095" spans="2:34" x14ac:dyDescent="0.2">
      <c r="B1095" s="2">
        <f ca="1"/>
        <v>0.49756017371367367</v>
      </c>
      <c r="O1095" s="2">
        <f ca="1"/>
        <v>-1.1008084578635551</v>
      </c>
      <c r="X1095" s="2">
        <f ca="1"/>
        <v>49.792132481214757</v>
      </c>
      <c r="AG1095" s="2">
        <f ca="1"/>
        <v>0.95322828851197783</v>
      </c>
      <c r="AH1095" s="2" t="str">
        <f ca="1"/>
        <v>Bad</v>
      </c>
    </row>
    <row r="1096" spans="2:34" x14ac:dyDescent="0.2">
      <c r="B1096" s="2">
        <f ca="1"/>
        <v>0.45230116185156732</v>
      </c>
      <c r="O1096" s="2">
        <f ca="1"/>
        <v>-0.26056483672153891</v>
      </c>
      <c r="X1096" s="2">
        <f ca="1"/>
        <v>82.781617285654107</v>
      </c>
      <c r="AG1096" s="2">
        <f ca="1"/>
        <v>0.25130947502868439</v>
      </c>
      <c r="AH1096" s="2" t="str">
        <f ca="1"/>
        <v>OK</v>
      </c>
    </row>
    <row r="1097" spans="2:34" x14ac:dyDescent="0.2">
      <c r="B1097" s="2">
        <f ca="1"/>
        <v>2.2496370885044303E-2</v>
      </c>
      <c r="O1097" s="2">
        <f ca="1"/>
        <v>0.19613217141926406</v>
      </c>
      <c r="X1097" s="2">
        <f ca="1"/>
        <v>47.771429925378214</v>
      </c>
      <c r="AG1097" s="2">
        <f ca="1"/>
        <v>0.31815552558680227</v>
      </c>
      <c r="AH1097" s="2" t="str">
        <f ca="1"/>
        <v>OK</v>
      </c>
    </row>
    <row r="1098" spans="2:34" x14ac:dyDescent="0.2">
      <c r="B1098" s="2">
        <f ca="1"/>
        <v>0.19624722022716057</v>
      </c>
      <c r="O1098" s="2">
        <f ca="1"/>
        <v>1.4042324285189709</v>
      </c>
      <c r="X1098" s="2">
        <f ca="1"/>
        <v>53.171940515555434</v>
      </c>
      <c r="AG1098" s="2">
        <f ca="1"/>
        <v>0.53128178677555504</v>
      </c>
      <c r="AH1098" s="2" t="str">
        <f ca="1"/>
        <v>Bad</v>
      </c>
    </row>
    <row r="1099" spans="2:34" x14ac:dyDescent="0.2">
      <c r="B1099" s="2">
        <f ca="1"/>
        <v>0.9459441689224195</v>
      </c>
      <c r="O1099" s="2">
        <f ca="1"/>
        <v>-0.47467673082362483</v>
      </c>
      <c r="X1099" s="2">
        <f ca="1"/>
        <v>23.796172291159618</v>
      </c>
      <c r="AG1099" s="2">
        <f ca="1"/>
        <v>0.27606535388711495</v>
      </c>
      <c r="AH1099" s="2" t="str">
        <f ca="1"/>
        <v>OK</v>
      </c>
    </row>
    <row r="1100" spans="2:34" x14ac:dyDescent="0.2">
      <c r="B1100" s="2">
        <f ca="1"/>
        <v>0.81999071531530143</v>
      </c>
      <c r="O1100" s="2">
        <f ca="1"/>
        <v>2.3154554494414659</v>
      </c>
      <c r="X1100" s="2">
        <f ca="1"/>
        <v>46.621323395066156</v>
      </c>
      <c r="AG1100" s="2">
        <f ca="1"/>
        <v>0.85159005264049581</v>
      </c>
      <c r="AH1100" s="2" t="str">
        <f ca="1"/>
        <v>Bad</v>
      </c>
    </row>
    <row r="1101" spans="2:34" x14ac:dyDescent="0.2">
      <c r="B1101" s="2">
        <f ca="1"/>
        <v>0.48509767672967796</v>
      </c>
      <c r="O1101" s="2">
        <f ca="1"/>
        <v>0.79574961541013856</v>
      </c>
      <c r="X1101" s="2">
        <f ca="1"/>
        <v>67.099662437673331</v>
      </c>
      <c r="AG1101" s="2">
        <f ca="1"/>
        <v>0.52733027380964859</v>
      </c>
      <c r="AH1101" s="2" t="str">
        <f ca="1"/>
        <v>Bad</v>
      </c>
    </row>
    <row r="1102" spans="2:34" x14ac:dyDescent="0.2">
      <c r="B1102" s="2">
        <f ca="1"/>
        <v>0.78874664015447138</v>
      </c>
      <c r="O1102" s="2">
        <f ca="1"/>
        <v>-0.87514535104197766</v>
      </c>
      <c r="X1102" s="2">
        <f ca="1"/>
        <v>35.53852153852413</v>
      </c>
      <c r="AG1102" s="2">
        <f ca="1"/>
        <v>0.94615553522660201</v>
      </c>
      <c r="AH1102" s="2" t="str">
        <f ca="1"/>
        <v>Bad</v>
      </c>
    </row>
    <row r="1103" spans="2:34" x14ac:dyDescent="0.2">
      <c r="B1103" s="2">
        <f ca="1"/>
        <v>0.23166135449676539</v>
      </c>
      <c r="O1103" s="2">
        <f ca="1"/>
        <v>-0.10548794518658217</v>
      </c>
      <c r="X1103" s="2">
        <f ca="1"/>
        <v>54.419631024375057</v>
      </c>
      <c r="AG1103" s="2">
        <f ca="1"/>
        <v>2.9735461167407662E-2</v>
      </c>
      <c r="AH1103" s="2" t="str">
        <f ca="1"/>
        <v>Good</v>
      </c>
    </row>
    <row r="1104" spans="2:34" x14ac:dyDescent="0.2">
      <c r="B1104" s="2">
        <f ca="1"/>
        <v>0.11991913355824568</v>
      </c>
      <c r="O1104" s="2">
        <f ca="1"/>
        <v>0.53696008129596606</v>
      </c>
      <c r="X1104" s="2">
        <f ca="1"/>
        <v>52.124924580592385</v>
      </c>
      <c r="AG1104" s="2">
        <f ca="1"/>
        <v>0.10188493517228969</v>
      </c>
      <c r="AH1104" s="2" t="str">
        <f ca="1"/>
        <v>OK</v>
      </c>
    </row>
    <row r="1105" spans="2:34" x14ac:dyDescent="0.2">
      <c r="B1105" s="2">
        <f ca="1"/>
        <v>1.082055842231755E-2</v>
      </c>
      <c r="O1105" s="2">
        <f ca="1"/>
        <v>0.19802138885835388</v>
      </c>
      <c r="X1105" s="2">
        <f ca="1"/>
        <v>39.074728879164283</v>
      </c>
      <c r="AG1105" s="2">
        <f ca="1"/>
        <v>0.39039493383794022</v>
      </c>
      <c r="AH1105" s="2" t="str">
        <f ca="1"/>
        <v>OK</v>
      </c>
    </row>
    <row r="1106" spans="2:34" x14ac:dyDescent="0.2">
      <c r="B1106" s="2">
        <f ca="1"/>
        <v>0.87665655558450784</v>
      </c>
      <c r="O1106" s="2">
        <f ca="1"/>
        <v>-0.2911920486795983</v>
      </c>
      <c r="X1106" s="2">
        <f ca="1"/>
        <v>49.863392792774548</v>
      </c>
      <c r="AG1106" s="2">
        <f ca="1"/>
        <v>2.9147930056422799E-2</v>
      </c>
      <c r="AH1106" s="2" t="str">
        <f ca="1"/>
        <v>Good</v>
      </c>
    </row>
    <row r="1107" spans="2:34" x14ac:dyDescent="0.2">
      <c r="B1107" s="2">
        <f ca="1"/>
        <v>0.48899207355783036</v>
      </c>
      <c r="O1107" s="2">
        <f ca="1"/>
        <v>-1.0047142820630603</v>
      </c>
      <c r="X1107" s="2">
        <f ca="1"/>
        <v>45.258646652254335</v>
      </c>
      <c r="AG1107" s="2">
        <f ca="1"/>
        <v>0.87490145978310574</v>
      </c>
      <c r="AH1107" s="2" t="str">
        <f ca="1"/>
        <v>Bad</v>
      </c>
    </row>
    <row r="1108" spans="2:34" x14ac:dyDescent="0.2">
      <c r="B1108" s="2">
        <f ca="1"/>
        <v>0.9454723458351646</v>
      </c>
      <c r="O1108" s="2">
        <f ca="1"/>
        <v>1.6068983107527843</v>
      </c>
      <c r="X1108" s="2">
        <f ca="1"/>
        <v>39.349967441234703</v>
      </c>
      <c r="AG1108" s="2">
        <f ca="1"/>
        <v>0.94479800354317311</v>
      </c>
      <c r="AH1108" s="2" t="str">
        <f ca="1"/>
        <v>Bad</v>
      </c>
    </row>
    <row r="1109" spans="2:34" x14ac:dyDescent="0.2">
      <c r="B1109" s="2">
        <f ca="1"/>
        <v>0.81926884114089349</v>
      </c>
      <c r="O1109" s="2">
        <f ca="1"/>
        <v>0.86010955932783906</v>
      </c>
      <c r="X1109" s="2">
        <f ca="1"/>
        <v>61.465794370341413</v>
      </c>
      <c r="AG1109" s="2">
        <f ca="1"/>
        <v>9.4303052507537011E-2</v>
      </c>
      <c r="AH1109" s="2" t="str">
        <f ca="1"/>
        <v>OK</v>
      </c>
    </row>
    <row r="1110" spans="2:34" x14ac:dyDescent="0.2">
      <c r="B1110" s="2">
        <f ca="1"/>
        <v>0.90765347281437814</v>
      </c>
      <c r="O1110" s="2">
        <f ca="1"/>
        <v>-0.76231878644189133</v>
      </c>
      <c r="X1110" s="2">
        <f ca="1"/>
        <v>70.804175200788706</v>
      </c>
      <c r="AG1110" s="2">
        <f ca="1"/>
        <v>0.29065954318144005</v>
      </c>
      <c r="AH1110" s="2" t="str">
        <f ca="1"/>
        <v>OK</v>
      </c>
    </row>
    <row r="1111" spans="2:34" x14ac:dyDescent="0.2">
      <c r="B1111" s="2">
        <f ca="1"/>
        <v>0.47287702493892647</v>
      </c>
      <c r="O1111" s="2">
        <f ca="1"/>
        <v>0.81438215785216894</v>
      </c>
      <c r="X1111" s="2">
        <f ca="1"/>
        <v>49.094313636826648</v>
      </c>
      <c r="AG1111" s="2">
        <f ca="1"/>
        <v>0.1253585320845152</v>
      </c>
      <c r="AH1111" s="2" t="str">
        <f ca="1"/>
        <v>OK</v>
      </c>
    </row>
    <row r="1112" spans="2:34" x14ac:dyDescent="0.2">
      <c r="B1112" s="2">
        <f ca="1"/>
        <v>0.90323332256399524</v>
      </c>
      <c r="O1112" s="2">
        <f ca="1"/>
        <v>-1.7833171408158783E-2</v>
      </c>
      <c r="X1112" s="2">
        <f ca="1"/>
        <v>21.850471021830543</v>
      </c>
      <c r="AG1112" s="2">
        <f ca="1"/>
        <v>0.66719685809477558</v>
      </c>
      <c r="AH1112" s="2" t="str">
        <f ca="1"/>
        <v>Bad</v>
      </c>
    </row>
    <row r="1113" spans="2:34" x14ac:dyDescent="0.2">
      <c r="B1113" s="2">
        <f ca="1"/>
        <v>0.80429524799678198</v>
      </c>
      <c r="O1113" s="2">
        <f ca="1"/>
        <v>1.8351985645932432</v>
      </c>
      <c r="X1113" s="2">
        <f ca="1"/>
        <v>50.916517990515246</v>
      </c>
      <c r="AG1113" s="2">
        <f ca="1"/>
        <v>0.57701037596370819</v>
      </c>
      <c r="AH1113" s="2" t="str">
        <f ca="1"/>
        <v>Bad</v>
      </c>
    </row>
    <row r="1114" spans="2:34" x14ac:dyDescent="0.2">
      <c r="B1114" s="2">
        <f ca="1"/>
        <v>0.46189666739509971</v>
      </c>
      <c r="O1114" s="2">
        <f ca="1"/>
        <v>0.94176143297069248</v>
      </c>
      <c r="X1114" s="2">
        <f ca="1"/>
        <v>47.657608897219134</v>
      </c>
      <c r="AG1114" s="2">
        <f ca="1"/>
        <v>0.42269696790220346</v>
      </c>
      <c r="AH1114" s="2" t="str">
        <f ca="1"/>
        <v>Bad</v>
      </c>
    </row>
    <row r="1115" spans="2:34" x14ac:dyDescent="0.2">
      <c r="B1115" s="2">
        <f ca="1"/>
        <v>0.39370134164715731</v>
      </c>
      <c r="O1115" s="2">
        <f ca="1"/>
        <v>2.4316950036267349</v>
      </c>
      <c r="X1115" s="2">
        <f ca="1"/>
        <v>44.297218740988377</v>
      </c>
      <c r="AG1115" s="2">
        <f ca="1"/>
        <v>0.55437776258589544</v>
      </c>
      <c r="AH1115" s="2" t="str">
        <f ca="1"/>
        <v>Bad</v>
      </c>
    </row>
    <row r="1116" spans="2:34" x14ac:dyDescent="0.2">
      <c r="B1116" s="2">
        <f ca="1"/>
        <v>0.18935677625537095</v>
      </c>
      <c r="O1116" s="2">
        <f ca="1"/>
        <v>-1.8383202910560175</v>
      </c>
      <c r="X1116" s="2">
        <f ca="1"/>
        <v>90.534630557206157</v>
      </c>
      <c r="AG1116" s="2">
        <f ca="1"/>
        <v>5.3941598317918116E-2</v>
      </c>
      <c r="AH1116" s="2" t="str">
        <f ca="1"/>
        <v>OK</v>
      </c>
    </row>
    <row r="1117" spans="2:34" x14ac:dyDescent="0.2">
      <c r="B1117" s="2">
        <f ca="1"/>
        <v>0.62816764525238744</v>
      </c>
      <c r="O1117" s="2">
        <f ca="1"/>
        <v>0.61033472458924953</v>
      </c>
      <c r="X1117" s="2">
        <f ca="1"/>
        <v>68.570851082092048</v>
      </c>
      <c r="AG1117" s="2">
        <f ca="1"/>
        <v>0.78012519225815624</v>
      </c>
      <c r="AH1117" s="2" t="str">
        <f ca="1"/>
        <v>Bad</v>
      </c>
    </row>
    <row r="1118" spans="2:34" x14ac:dyDescent="0.2">
      <c r="B1118" s="2">
        <f ca="1"/>
        <v>0.1016476526629615</v>
      </c>
      <c r="O1118" s="2">
        <f ca="1"/>
        <v>1.0638213480599576</v>
      </c>
      <c r="X1118" s="2">
        <f ca="1"/>
        <v>51.774688902252201</v>
      </c>
      <c r="AG1118" s="2">
        <f ca="1"/>
        <v>0.43029864723149092</v>
      </c>
      <c r="AH1118" s="2" t="str">
        <f ca="1"/>
        <v>Bad</v>
      </c>
    </row>
    <row r="1119" spans="2:34" x14ac:dyDescent="0.2">
      <c r="B1119" s="2">
        <f ca="1"/>
        <v>2.3047505600644502E-2</v>
      </c>
      <c r="O1119" s="2">
        <f ca="1"/>
        <v>7.842783763597691E-2</v>
      </c>
      <c r="X1119" s="2">
        <f ca="1"/>
        <v>78.291914919465626</v>
      </c>
      <c r="AG1119" s="2">
        <f ca="1"/>
        <v>0.88637006536036744</v>
      </c>
      <c r="AH1119" s="2" t="str">
        <f ca="1"/>
        <v>Bad</v>
      </c>
    </row>
    <row r="1120" spans="2:34" x14ac:dyDescent="0.2">
      <c r="B1120" s="2">
        <f ca="1"/>
        <v>0.61785448244589958</v>
      </c>
      <c r="O1120" s="2">
        <f ca="1"/>
        <v>-1.1732828948433784</v>
      </c>
      <c r="X1120" s="2">
        <f ca="1"/>
        <v>48.614869086880333</v>
      </c>
      <c r="AG1120" s="2">
        <f ca="1"/>
        <v>2.5263589016595311E-3</v>
      </c>
      <c r="AH1120" s="2" t="str">
        <f ca="1"/>
        <v>Good</v>
      </c>
    </row>
    <row r="1121" spans="2:34" x14ac:dyDescent="0.2">
      <c r="B1121" s="2">
        <f ca="1"/>
        <v>0.13700870359917738</v>
      </c>
      <c r="O1121" s="2">
        <f ca="1"/>
        <v>-0.77935398547088131</v>
      </c>
      <c r="X1121" s="2">
        <f ca="1"/>
        <v>37.955505367947936</v>
      </c>
      <c r="AG1121" s="2">
        <f ca="1"/>
        <v>0.73998787305772229</v>
      </c>
      <c r="AH1121" s="2" t="str">
        <f ca="1"/>
        <v>Bad</v>
      </c>
    </row>
    <row r="1122" spans="2:34" x14ac:dyDescent="0.2">
      <c r="B1122" s="2">
        <f ca="1"/>
        <v>5.1347948929771903E-3</v>
      </c>
      <c r="O1122" s="2">
        <f ca="1"/>
        <v>0.64403783862417108</v>
      </c>
      <c r="X1122" s="2">
        <f ca="1"/>
        <v>47.422862944559192</v>
      </c>
      <c r="AG1122" s="2">
        <f ca="1"/>
        <v>0.18579485189821265</v>
      </c>
      <c r="AH1122" s="2" t="str">
        <f ca="1"/>
        <v>OK</v>
      </c>
    </row>
    <row r="1123" spans="2:34" x14ac:dyDescent="0.2">
      <c r="B1123" s="2">
        <f ca="1"/>
        <v>0.85350382753334131</v>
      </c>
      <c r="O1123" s="2">
        <f ca="1"/>
        <v>-0.28759063465283169</v>
      </c>
      <c r="X1123" s="2">
        <f ca="1"/>
        <v>40.197233304300326</v>
      </c>
      <c r="AG1123" s="2">
        <f ca="1"/>
        <v>0.80034044832827766</v>
      </c>
      <c r="AH1123" s="2" t="str">
        <f ca="1"/>
        <v>Bad</v>
      </c>
    </row>
    <row r="1124" spans="2:34" x14ac:dyDescent="0.2">
      <c r="B1124" s="2">
        <f ca="1"/>
        <v>0.94029202930919342</v>
      </c>
      <c r="O1124" s="2">
        <f ca="1"/>
        <v>-0.44892372328200975</v>
      </c>
      <c r="X1124" s="2">
        <f ca="1"/>
        <v>53.694409464323265</v>
      </c>
      <c r="AG1124" s="2">
        <f ca="1"/>
        <v>7.4723347367492199E-2</v>
      </c>
      <c r="AH1124" s="2" t="str">
        <f ca="1"/>
        <v>OK</v>
      </c>
    </row>
    <row r="1125" spans="2:34" x14ac:dyDescent="0.2">
      <c r="B1125" s="2">
        <f ca="1"/>
        <v>0.12125306075531417</v>
      </c>
      <c r="O1125" s="2">
        <f ca="1"/>
        <v>-0.81136971060665863</v>
      </c>
      <c r="X1125" s="2">
        <f ca="1"/>
        <v>36.297840882692313</v>
      </c>
      <c r="AG1125" s="2">
        <f ca="1"/>
        <v>0.85474666195218463</v>
      </c>
      <c r="AH1125" s="2" t="str">
        <f ca="1"/>
        <v>Bad</v>
      </c>
    </row>
    <row r="1126" spans="2:34" x14ac:dyDescent="0.2">
      <c r="B1126" s="2">
        <f ca="1"/>
        <v>0.38479681346470507</v>
      </c>
      <c r="O1126" s="2">
        <f ca="1"/>
        <v>0.73599163512728416</v>
      </c>
      <c r="X1126" s="2">
        <f ca="1"/>
        <v>65.605920704804632</v>
      </c>
      <c r="AG1126" s="2">
        <f ca="1"/>
        <v>0.76788337394215755</v>
      </c>
      <c r="AH1126" s="2" t="str">
        <f ca="1"/>
        <v>Bad</v>
      </c>
    </row>
    <row r="1127" spans="2:34" x14ac:dyDescent="0.2">
      <c r="B1127" s="2">
        <f ca="1"/>
        <v>0.27124026575766735</v>
      </c>
      <c r="O1127" s="2">
        <f ca="1"/>
        <v>-0.23407373456915323</v>
      </c>
      <c r="X1127" s="2">
        <f ca="1"/>
        <v>54.97314610951301</v>
      </c>
      <c r="AG1127" s="2">
        <f ca="1"/>
        <v>0.31378041675714652</v>
      </c>
      <c r="AH1127" s="2" t="str">
        <f ca="1"/>
        <v>OK</v>
      </c>
    </row>
    <row r="1128" spans="2:34" x14ac:dyDescent="0.2">
      <c r="B1128" s="2">
        <f ca="1"/>
        <v>0.92764102380738089</v>
      </c>
      <c r="O1128" s="2">
        <f ca="1"/>
        <v>-1.5925017748379835</v>
      </c>
      <c r="X1128" s="2">
        <f ca="1"/>
        <v>76.620350109369056</v>
      </c>
      <c r="AG1128" s="2">
        <f ca="1"/>
        <v>0.79850081661115202</v>
      </c>
      <c r="AH1128" s="2" t="str">
        <f ca="1"/>
        <v>Bad</v>
      </c>
    </row>
    <row r="1129" spans="2:34" x14ac:dyDescent="0.2">
      <c r="B1129" s="2">
        <f ca="1"/>
        <v>0.10214641496050758</v>
      </c>
      <c r="O1129" s="2">
        <f ca="1"/>
        <v>3.015195467210998E-2</v>
      </c>
      <c r="X1129" s="2">
        <f ca="1"/>
        <v>41.865301884216393</v>
      </c>
      <c r="AG1129" s="2">
        <f ca="1"/>
        <v>4.4513117392043E-2</v>
      </c>
      <c r="AH1129" s="2" t="str">
        <f ca="1"/>
        <v>Good</v>
      </c>
    </row>
    <row r="1130" spans="2:34" x14ac:dyDescent="0.2">
      <c r="B1130" s="2">
        <f ca="1"/>
        <v>0.27590193714567524</v>
      </c>
      <c r="O1130" s="2">
        <f ca="1"/>
        <v>-3.6668091639233927E-3</v>
      </c>
      <c r="X1130" s="2">
        <f ca="1"/>
        <v>68.448865638591101</v>
      </c>
      <c r="AG1130" s="2">
        <f ca="1"/>
        <v>0.71871169121309886</v>
      </c>
      <c r="AH1130" s="2" t="str">
        <f ca="1"/>
        <v>Bad</v>
      </c>
    </row>
    <row r="1131" spans="2:34" x14ac:dyDescent="0.2">
      <c r="B1131" s="2">
        <f ca="1"/>
        <v>0.83154748228732878</v>
      </c>
      <c r="O1131" s="2">
        <f ca="1"/>
        <v>0.36784024350192812</v>
      </c>
      <c r="X1131" s="2">
        <f ca="1"/>
        <v>40.413081012610846</v>
      </c>
      <c r="AG1131" s="2">
        <f ca="1"/>
        <v>0.83607194939163842</v>
      </c>
      <c r="AH1131" s="2" t="str">
        <f ca="1"/>
        <v>Bad</v>
      </c>
    </row>
    <row r="1132" spans="2:34" x14ac:dyDescent="0.2">
      <c r="B1132" s="2">
        <f ca="1"/>
        <v>0.84581055535194505</v>
      </c>
      <c r="O1132" s="2">
        <f ca="1"/>
        <v>0.27202255782958429</v>
      </c>
      <c r="X1132" s="2">
        <f ca="1"/>
        <v>51.769273845186731</v>
      </c>
      <c r="AG1132" s="2">
        <f ca="1"/>
        <v>0.47156696226396355</v>
      </c>
      <c r="AH1132" s="2" t="str">
        <f ca="1"/>
        <v>Bad</v>
      </c>
    </row>
    <row r="1133" spans="2:34" x14ac:dyDescent="0.2">
      <c r="B1133" s="2">
        <f ca="1"/>
        <v>0.34874913905085059</v>
      </c>
      <c r="O1133" s="2">
        <f ca="1"/>
        <v>1.2008707725882226</v>
      </c>
      <c r="X1133" s="2">
        <f ca="1"/>
        <v>66.632814928054614</v>
      </c>
      <c r="AG1133" s="2">
        <f ca="1"/>
        <v>0.68018160929986426</v>
      </c>
      <c r="AH1133" s="2" t="str">
        <f ca="1"/>
        <v>Bad</v>
      </c>
    </row>
    <row r="1134" spans="2:34" x14ac:dyDescent="0.2">
      <c r="B1134" s="2">
        <f ca="1"/>
        <v>7.1022345708448675E-2</v>
      </c>
      <c r="O1134" s="2">
        <f ca="1"/>
        <v>0.40298919865425853</v>
      </c>
      <c r="X1134" s="2">
        <f ca="1"/>
        <v>42.160315957285512</v>
      </c>
      <c r="AG1134" s="2">
        <f ca="1"/>
        <v>0.33368269664489425</v>
      </c>
      <c r="AH1134" s="2" t="str">
        <f ca="1"/>
        <v>OK</v>
      </c>
    </row>
    <row r="1135" spans="2:34" x14ac:dyDescent="0.2">
      <c r="B1135" s="2">
        <f ca="1"/>
        <v>0.74310111468849516</v>
      </c>
      <c r="O1135" s="2">
        <f ca="1"/>
        <v>0.95025261990432253</v>
      </c>
      <c r="X1135" s="2">
        <f ca="1"/>
        <v>30.001976222035374</v>
      </c>
      <c r="AG1135" s="2">
        <f ca="1"/>
        <v>0.55632229859546034</v>
      </c>
      <c r="AH1135" s="2" t="str">
        <f ca="1"/>
        <v>Bad</v>
      </c>
    </row>
    <row r="1136" spans="2:34" x14ac:dyDescent="0.2">
      <c r="B1136" s="2">
        <f ca="1"/>
        <v>0.36992713647435704</v>
      </c>
      <c r="O1136" s="2">
        <f ca="1"/>
        <v>0.22409499841139763</v>
      </c>
      <c r="X1136" s="2">
        <f ca="1"/>
        <v>28.343712319328631</v>
      </c>
      <c r="AG1136" s="2">
        <f ca="1"/>
        <v>0.66605142672769602</v>
      </c>
      <c r="AH1136" s="2" t="str">
        <f ca="1"/>
        <v>Bad</v>
      </c>
    </row>
    <row r="1137" spans="2:34" x14ac:dyDescent="0.2">
      <c r="B1137" s="2">
        <f ca="1"/>
        <v>3.591752321152164E-3</v>
      </c>
      <c r="O1137" s="2">
        <f ca="1"/>
        <v>0.46609441172231181</v>
      </c>
      <c r="X1137" s="2">
        <f ca="1"/>
        <v>48.603684048289125</v>
      </c>
      <c r="AG1137" s="2">
        <f ca="1"/>
        <v>0.32260171827121908</v>
      </c>
      <c r="AH1137" s="2" t="str">
        <f ca="1"/>
        <v>OK</v>
      </c>
    </row>
    <row r="1138" spans="2:34" x14ac:dyDescent="0.2">
      <c r="B1138" s="2">
        <f ca="1"/>
        <v>6.128319613915667E-2</v>
      </c>
      <c r="O1138" s="2">
        <f ca="1"/>
        <v>-1.6701732944353322</v>
      </c>
      <c r="X1138" s="2">
        <f ca="1"/>
        <v>54.754582935955028</v>
      </c>
      <c r="AG1138" s="2">
        <f ca="1"/>
        <v>0.94785652856246605</v>
      </c>
      <c r="AH1138" s="2" t="str">
        <f ca="1"/>
        <v>Bad</v>
      </c>
    </row>
    <row r="1139" spans="2:34" x14ac:dyDescent="0.2">
      <c r="B1139" s="2">
        <f ca="1"/>
        <v>0.65460090800753679</v>
      </c>
      <c r="O1139" s="2">
        <f ca="1"/>
        <v>-0.50959519315641066</v>
      </c>
      <c r="X1139" s="2">
        <f ca="1"/>
        <v>35.902077909587248</v>
      </c>
      <c r="AG1139" s="2">
        <f ca="1"/>
        <v>0.10446475578554493</v>
      </c>
      <c r="AH1139" s="2" t="str">
        <f ca="1"/>
        <v>OK</v>
      </c>
    </row>
    <row r="1140" spans="2:34" x14ac:dyDescent="0.2">
      <c r="B1140" s="2">
        <f ca="1"/>
        <v>0.1796316810006231</v>
      </c>
      <c r="O1140" s="2">
        <f ca="1"/>
        <v>-0.51974667394043517</v>
      </c>
      <c r="X1140" s="2">
        <f ca="1"/>
        <v>29.721196702780045</v>
      </c>
      <c r="AG1140" s="2">
        <f ca="1"/>
        <v>0.96423178447080105</v>
      </c>
      <c r="AH1140" s="2" t="str">
        <f ca="1"/>
        <v>Bad</v>
      </c>
    </row>
    <row r="1141" spans="2:34" x14ac:dyDescent="0.2">
      <c r="B1141" s="2">
        <f ca="1"/>
        <v>0.43768541224291524</v>
      </c>
      <c r="O1141" s="2">
        <f ca="1"/>
        <v>-0.48018670071724623</v>
      </c>
      <c r="X1141" s="2">
        <f ca="1"/>
        <v>48.977770494219151</v>
      </c>
      <c r="AG1141" s="2">
        <f ca="1"/>
        <v>0.45159545982068394</v>
      </c>
      <c r="AH1141" s="2" t="str">
        <f ca="1"/>
        <v>Bad</v>
      </c>
    </row>
    <row r="1142" spans="2:34" x14ac:dyDescent="0.2">
      <c r="B1142" s="2">
        <f ca="1"/>
        <v>0.63981253867677035</v>
      </c>
      <c r="O1142" s="2">
        <f ca="1"/>
        <v>-0.84789570238315171</v>
      </c>
      <c r="X1142" s="2">
        <f ca="1"/>
        <v>75.072992179971735</v>
      </c>
      <c r="AG1142" s="2">
        <f ca="1"/>
        <v>0.12280132588261128</v>
      </c>
      <c r="AH1142" s="2" t="str">
        <f ca="1"/>
        <v>OK</v>
      </c>
    </row>
    <row r="1143" spans="2:34" x14ac:dyDescent="0.2">
      <c r="B1143" s="2">
        <f ca="1"/>
        <v>0.32400844776341398</v>
      </c>
      <c r="O1143" s="2">
        <f ca="1"/>
        <v>1.1106921706127157</v>
      </c>
      <c r="X1143" s="2">
        <f ca="1"/>
        <v>51.356521197428371</v>
      </c>
      <c r="AG1143" s="2">
        <f ca="1"/>
        <v>0.2042062350599938</v>
      </c>
      <c r="AH1143" s="2" t="str">
        <f ca="1"/>
        <v>OK</v>
      </c>
    </row>
    <row r="1144" spans="2:34" x14ac:dyDescent="0.2">
      <c r="B1144" s="2">
        <f ca="1"/>
        <v>0.11377748534143306</v>
      </c>
      <c r="O1144" s="2">
        <f ca="1"/>
        <v>-0.20735906044750343</v>
      </c>
      <c r="X1144" s="2">
        <f ca="1"/>
        <v>73.637492205163127</v>
      </c>
      <c r="AG1144" s="2">
        <f ca="1"/>
        <v>0.74229353008899435</v>
      </c>
      <c r="AH1144" s="2" t="str">
        <f ca="1"/>
        <v>Bad</v>
      </c>
    </row>
    <row r="1145" spans="2:34" x14ac:dyDescent="0.2">
      <c r="B1145" s="2">
        <f ca="1"/>
        <v>9.4078196719600049E-2</v>
      </c>
      <c r="O1145" s="2">
        <f ca="1"/>
        <v>0.20189192442472448</v>
      </c>
      <c r="X1145" s="2">
        <f ca="1"/>
        <v>31.744989479279244</v>
      </c>
      <c r="AG1145" s="2">
        <f ca="1"/>
        <v>0.49916903527478262</v>
      </c>
      <c r="AH1145" s="2" t="str">
        <f ca="1"/>
        <v>Bad</v>
      </c>
    </row>
    <row r="1146" spans="2:34" x14ac:dyDescent="0.2">
      <c r="B1146" s="2">
        <f ca="1"/>
        <v>0.10089041611201521</v>
      </c>
      <c r="O1146" s="2">
        <f ca="1"/>
        <v>1.3249988884708859</v>
      </c>
      <c r="X1146" s="2">
        <f ca="1"/>
        <v>63.841075301473829</v>
      </c>
      <c r="AG1146" s="2">
        <f ca="1"/>
        <v>0.71271700521672043</v>
      </c>
      <c r="AH1146" s="2" t="str">
        <f ca="1"/>
        <v>Bad</v>
      </c>
    </row>
    <row r="1147" spans="2:34" x14ac:dyDescent="0.2">
      <c r="B1147" s="2">
        <f ca="1"/>
        <v>0.64414373237847689</v>
      </c>
      <c r="O1147" s="2">
        <f ca="1"/>
        <v>0.36012406247625273</v>
      </c>
      <c r="X1147" s="2">
        <f ca="1"/>
        <v>67.118297994913192</v>
      </c>
      <c r="AG1147" s="2">
        <f ca="1"/>
        <v>0.53722657849378175</v>
      </c>
      <c r="AH1147" s="2" t="str">
        <f ca="1"/>
        <v>Bad</v>
      </c>
    </row>
    <row r="1148" spans="2:34" x14ac:dyDescent="0.2">
      <c r="B1148" s="2">
        <f ca="1"/>
        <v>0.99935126523276385</v>
      </c>
      <c r="O1148" s="2">
        <f ca="1"/>
        <v>-1.1356910438629311</v>
      </c>
      <c r="X1148" s="2">
        <f ca="1"/>
        <v>29.359717257516134</v>
      </c>
      <c r="AG1148" s="2">
        <f ca="1"/>
        <v>2.1232401949330848E-2</v>
      </c>
      <c r="AH1148" s="2" t="str">
        <f ca="1"/>
        <v>Good</v>
      </c>
    </row>
    <row r="1149" spans="2:34" x14ac:dyDescent="0.2">
      <c r="B1149" s="2">
        <f ca="1"/>
        <v>0.3477403779510897</v>
      </c>
      <c r="O1149" s="2">
        <f ca="1"/>
        <v>1.4973841865458877</v>
      </c>
      <c r="X1149" s="2">
        <f ca="1"/>
        <v>37.193247620941591</v>
      </c>
      <c r="AG1149" s="2">
        <f ca="1"/>
        <v>0.79759353868019467</v>
      </c>
      <c r="AH1149" s="2" t="str">
        <f ca="1"/>
        <v>Bad</v>
      </c>
    </row>
    <row r="1150" spans="2:34" x14ac:dyDescent="0.2">
      <c r="B1150" s="2">
        <f ca="1"/>
        <v>0.48916157131792803</v>
      </c>
      <c r="O1150" s="2">
        <f ca="1"/>
        <v>-0.6606935570997885</v>
      </c>
      <c r="X1150" s="2">
        <f ca="1"/>
        <v>41.851867962141817</v>
      </c>
      <c r="AG1150" s="2">
        <f ca="1"/>
        <v>0.57396835640950972</v>
      </c>
      <c r="AH1150" s="2" t="str">
        <f ca="1"/>
        <v>Bad</v>
      </c>
    </row>
    <row r="1151" spans="2:34" x14ac:dyDescent="0.2">
      <c r="B1151" s="2">
        <f ca="1"/>
        <v>0.32908823120002939</v>
      </c>
      <c r="O1151" s="2">
        <f ca="1"/>
        <v>-1.1246588480855011</v>
      </c>
      <c r="X1151" s="2">
        <f ca="1"/>
        <v>56.683720371883872</v>
      </c>
      <c r="AG1151" s="2">
        <f ca="1"/>
        <v>0.65331632618562496</v>
      </c>
      <c r="AH1151" s="2" t="str">
        <f ca="1"/>
        <v>Bad</v>
      </c>
    </row>
    <row r="1152" spans="2:34" x14ac:dyDescent="0.2">
      <c r="B1152" s="2">
        <f ca="1"/>
        <v>0.91239602031453271</v>
      </c>
      <c r="O1152" s="2">
        <f ca="1"/>
        <v>0.9821088463659492</v>
      </c>
      <c r="X1152" s="2">
        <f ca="1"/>
        <v>41.4159986720638</v>
      </c>
      <c r="AG1152" s="2">
        <f ca="1"/>
        <v>0.11863761228780767</v>
      </c>
      <c r="AH1152" s="2" t="str">
        <f ca="1"/>
        <v>OK</v>
      </c>
    </row>
    <row r="1153" spans="2:34" x14ac:dyDescent="0.2">
      <c r="B1153" s="2">
        <f ca="1"/>
        <v>0.50641870081729623</v>
      </c>
      <c r="O1153" s="2">
        <f ca="1"/>
        <v>-1.0219486628865917</v>
      </c>
      <c r="X1153" s="2">
        <f ca="1"/>
        <v>40.196336092747501</v>
      </c>
      <c r="AG1153" s="2">
        <f ca="1"/>
        <v>0.67569360112034871</v>
      </c>
      <c r="AH1153" s="2" t="str">
        <f ca="1"/>
        <v>Bad</v>
      </c>
    </row>
    <row r="1154" spans="2:34" x14ac:dyDescent="0.2">
      <c r="B1154" s="2">
        <f ca="1"/>
        <v>0.51656735681086707</v>
      </c>
      <c r="O1154" s="2">
        <f ca="1"/>
        <v>0.22713910551157757</v>
      </c>
      <c r="X1154" s="2">
        <f ca="1"/>
        <v>68.563840666339289</v>
      </c>
      <c r="AG1154" s="2">
        <f ca="1"/>
        <v>0.58920532630132327</v>
      </c>
      <c r="AH1154" s="2" t="str">
        <f ca="1"/>
        <v>Bad</v>
      </c>
    </row>
    <row r="1155" spans="2:34" x14ac:dyDescent="0.2">
      <c r="B1155" s="2">
        <f ca="1"/>
        <v>0.62895088517810582</v>
      </c>
      <c r="O1155" s="2">
        <f ca="1"/>
        <v>-4.6617511988747029E-2</v>
      </c>
      <c r="X1155" s="2">
        <f ca="1"/>
        <v>27.215511761838734</v>
      </c>
      <c r="AG1155" s="2">
        <f ca="1"/>
        <v>0.17573972009413219</v>
      </c>
      <c r="AH1155" s="2" t="str">
        <f ca="1"/>
        <v>OK</v>
      </c>
    </row>
    <row r="1156" spans="2:34" x14ac:dyDescent="0.2">
      <c r="B1156" s="2">
        <f ca="1"/>
        <v>9.7141794408259985E-2</v>
      </c>
      <c r="O1156" s="2">
        <f ca="1"/>
        <v>-0.1048211088618461</v>
      </c>
      <c r="X1156" s="2">
        <f ca="1"/>
        <v>64.304973646609312</v>
      </c>
      <c r="AG1156" s="2">
        <f ca="1"/>
        <v>0.74874565281062844</v>
      </c>
      <c r="AH1156" s="2" t="str">
        <f ca="1"/>
        <v>Bad</v>
      </c>
    </row>
    <row r="1157" spans="2:34" x14ac:dyDescent="0.2">
      <c r="B1157" s="2">
        <f ca="1"/>
        <v>0.44848202187433328</v>
      </c>
      <c r="O1157" s="2">
        <f ca="1"/>
        <v>1.1477296065291334</v>
      </c>
      <c r="X1157" s="2">
        <f ca="1"/>
        <v>44.618389553574787</v>
      </c>
      <c r="AG1157" s="2">
        <f ca="1"/>
        <v>0.53401954546573727</v>
      </c>
      <c r="AH1157" s="2" t="str">
        <f ca="1"/>
        <v>Bad</v>
      </c>
    </row>
    <row r="1158" spans="2:34" x14ac:dyDescent="0.2">
      <c r="B1158" s="2">
        <f ca="1"/>
        <v>0.28839203876315112</v>
      </c>
      <c r="O1158" s="2">
        <f ca="1"/>
        <v>0.3583601492012301</v>
      </c>
      <c r="X1158" s="2">
        <f ca="1"/>
        <v>28.379013749053001</v>
      </c>
      <c r="AG1158" s="2">
        <f ca="1"/>
        <v>0.8139796580031915</v>
      </c>
      <c r="AH1158" s="2" t="str">
        <f ca="1"/>
        <v>Bad</v>
      </c>
    </row>
    <row r="1159" spans="2:34" x14ac:dyDescent="0.2">
      <c r="B1159" s="2">
        <f ca="1"/>
        <v>0.82386204857247591</v>
      </c>
      <c r="O1159" s="2">
        <f ca="1"/>
        <v>-0.32488261926339568</v>
      </c>
      <c r="X1159" s="2">
        <f ca="1"/>
        <v>40.173345420111232</v>
      </c>
      <c r="AG1159" s="2">
        <f ca="1"/>
        <v>3.0805628043114153E-2</v>
      </c>
      <c r="AH1159" s="2" t="str">
        <f ca="1"/>
        <v>Good</v>
      </c>
    </row>
    <row r="1160" spans="2:34" x14ac:dyDescent="0.2">
      <c r="B1160" s="2">
        <f ca="1"/>
        <v>0.47537690921449283</v>
      </c>
      <c r="O1160" s="2">
        <f ca="1"/>
        <v>-4.1388445422418992E-2</v>
      </c>
      <c r="X1160" s="2">
        <f ca="1"/>
        <v>73.390529582457134</v>
      </c>
      <c r="AG1160" s="2">
        <f ca="1"/>
        <v>0.72465620531106478</v>
      </c>
      <c r="AH1160" s="2" t="str">
        <f ca="1"/>
        <v>Bad</v>
      </c>
    </row>
    <row r="1161" spans="2:34" x14ac:dyDescent="0.2">
      <c r="B1161" s="2">
        <f ca="1"/>
        <v>0.39247710161879734</v>
      </c>
      <c r="O1161" s="2">
        <f ca="1"/>
        <v>-1.1206677693314939</v>
      </c>
      <c r="X1161" s="2">
        <f ca="1"/>
        <v>35.623097072669033</v>
      </c>
      <c r="AG1161" s="2">
        <f ca="1"/>
        <v>0.55587234513297723</v>
      </c>
      <c r="AH1161" s="2" t="str">
        <f ca="1"/>
        <v>Bad</v>
      </c>
    </row>
    <row r="1162" spans="2:34" x14ac:dyDescent="0.2">
      <c r="B1162" s="2">
        <f ca="1"/>
        <v>0.9127832666372182</v>
      </c>
      <c r="O1162" s="2">
        <f ca="1"/>
        <v>-0.43719711336841288</v>
      </c>
      <c r="X1162" s="2">
        <f ca="1"/>
        <v>82.238578245762412</v>
      </c>
      <c r="AG1162" s="2">
        <f ca="1"/>
        <v>0.99660454005921251</v>
      </c>
      <c r="AH1162" s="2" t="str">
        <f ca="1"/>
        <v>Bad</v>
      </c>
    </row>
    <row r="1163" spans="2:34" x14ac:dyDescent="0.2">
      <c r="B1163" s="2">
        <f ca="1"/>
        <v>0.98526578804142195</v>
      </c>
      <c r="O1163" s="2">
        <f ca="1"/>
        <v>-0.37315835911442213</v>
      </c>
      <c r="X1163" s="2">
        <f ca="1"/>
        <v>57.973432783824933</v>
      </c>
      <c r="AG1163" s="2">
        <f ca="1"/>
        <v>0.94567618750241622</v>
      </c>
      <c r="AH1163" s="2" t="str">
        <f ca="1"/>
        <v>Bad</v>
      </c>
    </row>
    <row r="1164" spans="2:34" x14ac:dyDescent="0.2">
      <c r="B1164" s="2">
        <f ca="1"/>
        <v>0.29140084921543496</v>
      </c>
      <c r="O1164" s="2">
        <f ca="1"/>
        <v>-1.2591126058733211</v>
      </c>
      <c r="X1164" s="2">
        <f ca="1"/>
        <v>52.603419157550746</v>
      </c>
      <c r="AG1164" s="2">
        <f ca="1"/>
        <v>0.42273226550347731</v>
      </c>
      <c r="AH1164" s="2" t="str">
        <f ca="1"/>
        <v>Bad</v>
      </c>
    </row>
    <row r="1165" spans="2:34" x14ac:dyDescent="0.2">
      <c r="B1165" s="2">
        <f ca="1"/>
        <v>0.87986819734143862</v>
      </c>
      <c r="O1165" s="2">
        <f ca="1"/>
        <v>0.35807571414068662</v>
      </c>
      <c r="X1165" s="2">
        <f ca="1"/>
        <v>53.086007769660235</v>
      </c>
      <c r="AG1165" s="2">
        <f ca="1"/>
        <v>0.56765352031016203</v>
      </c>
      <c r="AH1165" s="2" t="str">
        <f ca="1"/>
        <v>Bad</v>
      </c>
    </row>
    <row r="1166" spans="2:34" x14ac:dyDescent="0.2">
      <c r="B1166" s="2">
        <f ca="1"/>
        <v>0.14851825454520484</v>
      </c>
      <c r="O1166" s="2">
        <f ca="1"/>
        <v>-0.87632984891135945</v>
      </c>
      <c r="X1166" s="2">
        <f ca="1"/>
        <v>34.513478602961051</v>
      </c>
      <c r="AG1166" s="2">
        <f ca="1"/>
        <v>0.19130512226526442</v>
      </c>
      <c r="AH1166" s="2" t="str">
        <f ca="1"/>
        <v>OK</v>
      </c>
    </row>
    <row r="1167" spans="2:34" x14ac:dyDescent="0.2">
      <c r="B1167" s="2">
        <f ca="1"/>
        <v>0.71172734599082599</v>
      </c>
      <c r="O1167" s="2">
        <f ca="1"/>
        <v>2.309970794880237</v>
      </c>
      <c r="X1167" s="2">
        <f ca="1"/>
        <v>23.257798011264185</v>
      </c>
      <c r="AG1167" s="2">
        <f ca="1"/>
        <v>0.39715522826235472</v>
      </c>
      <c r="AH1167" s="2" t="str">
        <f ca="1"/>
        <v>OK</v>
      </c>
    </row>
    <row r="1168" spans="2:34" x14ac:dyDescent="0.2">
      <c r="B1168" s="2">
        <f ca="1"/>
        <v>0.51146917703438266</v>
      </c>
      <c r="O1168" s="2">
        <f ca="1"/>
        <v>-2.0964985493914914</v>
      </c>
      <c r="X1168" s="2">
        <f ca="1"/>
        <v>54.286681400215826</v>
      </c>
      <c r="AG1168" s="2">
        <f ca="1"/>
        <v>0.63053561174245476</v>
      </c>
      <c r="AH1168" s="2" t="str">
        <f ca="1"/>
        <v>Bad</v>
      </c>
    </row>
    <row r="1169" spans="2:34" x14ac:dyDescent="0.2">
      <c r="B1169" s="2">
        <f ca="1"/>
        <v>0.30954734415359431</v>
      </c>
      <c r="O1169" s="2">
        <f ca="1"/>
        <v>-0.37683855727781373</v>
      </c>
      <c r="X1169" s="2">
        <f ca="1"/>
        <v>55.091222744644114</v>
      </c>
      <c r="AG1169" s="2">
        <f ca="1"/>
        <v>0.56730991005018105</v>
      </c>
      <c r="AH1169" s="2" t="str">
        <f ca="1"/>
        <v>Bad</v>
      </c>
    </row>
    <row r="1170" spans="2:34" x14ac:dyDescent="0.2">
      <c r="B1170" s="2">
        <f ca="1"/>
        <v>0.59573979529003518</v>
      </c>
      <c r="O1170" s="2">
        <f ca="1"/>
        <v>2.725717348989674</v>
      </c>
      <c r="X1170" s="2">
        <f ca="1"/>
        <v>61.534826606028133</v>
      </c>
      <c r="AG1170" s="2">
        <f ca="1"/>
        <v>0.99924497299939485</v>
      </c>
      <c r="AH1170" s="2" t="str">
        <f ca="1"/>
        <v>Bad</v>
      </c>
    </row>
    <row r="1171" spans="2:34" x14ac:dyDescent="0.2">
      <c r="B1171" s="2">
        <f ca="1"/>
        <v>4.5136653184173481E-2</v>
      </c>
      <c r="O1171" s="2">
        <f ca="1"/>
        <v>1.4329742986520773</v>
      </c>
      <c r="X1171" s="2">
        <f ca="1"/>
        <v>120.73721341458609</v>
      </c>
      <c r="AG1171" s="2">
        <f ca="1"/>
        <v>0.13321071794118877</v>
      </c>
      <c r="AH1171" s="2" t="str">
        <f ca="1"/>
        <v>OK</v>
      </c>
    </row>
    <row r="1172" spans="2:34" x14ac:dyDescent="0.2">
      <c r="B1172" s="2">
        <f ca="1"/>
        <v>0.2083815498000936</v>
      </c>
      <c r="O1172" s="2">
        <f ca="1"/>
        <v>0.47263453492246427</v>
      </c>
      <c r="X1172" s="2">
        <f ca="1"/>
        <v>45.372606144297492</v>
      </c>
      <c r="AG1172" s="2">
        <f ca="1"/>
        <v>2.0843625342908512E-2</v>
      </c>
      <c r="AH1172" s="2" t="str">
        <f ca="1"/>
        <v>Good</v>
      </c>
    </row>
    <row r="1173" spans="2:34" x14ac:dyDescent="0.2">
      <c r="B1173" s="2">
        <f ca="1"/>
        <v>0.29803326202103642</v>
      </c>
      <c r="O1173" s="2">
        <f ca="1"/>
        <v>-1.1330700354765388</v>
      </c>
      <c r="X1173" s="2">
        <f ca="1"/>
        <v>14.013280506471572</v>
      </c>
      <c r="AG1173" s="2">
        <f ca="1"/>
        <v>0.14295038128027171</v>
      </c>
      <c r="AH1173" s="2" t="str">
        <f ca="1"/>
        <v>OK</v>
      </c>
    </row>
    <row r="1174" spans="2:34" x14ac:dyDescent="0.2">
      <c r="B1174" s="2">
        <f ca="1"/>
        <v>5.7688391693556218E-2</v>
      </c>
      <c r="O1174" s="2">
        <f ca="1"/>
        <v>0.38096978118913599</v>
      </c>
      <c r="X1174" s="2">
        <f ca="1"/>
        <v>44.590350504179156</v>
      </c>
      <c r="AG1174" s="2">
        <f ca="1"/>
        <v>8.1977821224550551E-2</v>
      </c>
      <c r="AH1174" s="2" t="str">
        <f ca="1"/>
        <v>OK</v>
      </c>
    </row>
    <row r="1175" spans="2:34" x14ac:dyDescent="0.2">
      <c r="B1175" s="2">
        <f ca="1"/>
        <v>7.5114263395546166E-2</v>
      </c>
      <c r="O1175" s="2">
        <f ca="1"/>
        <v>-0.27453232068439137</v>
      </c>
      <c r="X1175" s="2">
        <f ca="1"/>
        <v>76.35774281402648</v>
      </c>
      <c r="AG1175" s="2">
        <f ca="1"/>
        <v>0.95352366496712038</v>
      </c>
      <c r="AH1175" s="2" t="str">
        <f ca="1"/>
        <v>Bad</v>
      </c>
    </row>
    <row r="1176" spans="2:34" x14ac:dyDescent="0.2">
      <c r="B1176" s="2">
        <f ca="1"/>
        <v>0.79078983106560496</v>
      </c>
      <c r="O1176" s="2">
        <f ca="1"/>
        <v>-0.55978689154542294</v>
      </c>
      <c r="X1176" s="2">
        <f ca="1"/>
        <v>20.642153883611066</v>
      </c>
      <c r="AG1176" s="2">
        <f ca="1"/>
        <v>0.4692748938314768</v>
      </c>
      <c r="AH1176" s="2" t="str">
        <f ca="1"/>
        <v>Bad</v>
      </c>
    </row>
    <row r="1177" spans="2:34" x14ac:dyDescent="0.2">
      <c r="B1177" s="2">
        <f ca="1"/>
        <v>0.66212438256652439</v>
      </c>
      <c r="O1177" s="2">
        <f ca="1"/>
        <v>0.50952550796555007</v>
      </c>
      <c r="X1177" s="2">
        <f ca="1"/>
        <v>58.694610733262891</v>
      </c>
      <c r="AG1177" s="2">
        <f ca="1"/>
        <v>0.38184815826798624</v>
      </c>
      <c r="AH1177" s="2" t="str">
        <f ca="1"/>
        <v>OK</v>
      </c>
    </row>
    <row r="1178" spans="2:34" x14ac:dyDescent="0.2">
      <c r="B1178" s="2">
        <f ca="1"/>
        <v>0.63676342982550382</v>
      </c>
      <c r="O1178" s="2">
        <f ca="1"/>
        <v>-0.45181839976085314</v>
      </c>
      <c r="X1178" s="2">
        <f ca="1"/>
        <v>70.676926316067153</v>
      </c>
      <c r="AG1178" s="2">
        <f ca="1"/>
        <v>0.78869796923547852</v>
      </c>
      <c r="AH1178" s="2" t="str">
        <f ca="1"/>
        <v>Bad</v>
      </c>
    </row>
    <row r="1179" spans="2:34" x14ac:dyDescent="0.2">
      <c r="B1179" s="2">
        <f ca="1"/>
        <v>0.80763861571438489</v>
      </c>
      <c r="O1179" s="2">
        <f ca="1"/>
        <v>1.2173067271687639</v>
      </c>
      <c r="X1179" s="2">
        <f ca="1"/>
        <v>53.100948217198138</v>
      </c>
      <c r="AG1179" s="2">
        <f ca="1"/>
        <v>0.97022020769615858</v>
      </c>
      <c r="AH1179" s="2" t="str">
        <f ca="1"/>
        <v>Bad</v>
      </c>
    </row>
    <row r="1180" spans="2:34" x14ac:dyDescent="0.2">
      <c r="B1180" s="2">
        <f ca="1"/>
        <v>0.42206865038748775</v>
      </c>
      <c r="O1180" s="2">
        <f ca="1"/>
        <v>-0.25473011443751925</v>
      </c>
      <c r="X1180" s="2">
        <f ca="1"/>
        <v>25.107335605245794</v>
      </c>
      <c r="AG1180" s="2">
        <f ca="1"/>
        <v>0.74611690723504154</v>
      </c>
      <c r="AH1180" s="2" t="str">
        <f ca="1"/>
        <v>Bad</v>
      </c>
    </row>
    <row r="1181" spans="2:34" x14ac:dyDescent="0.2">
      <c r="B1181" s="2">
        <f ca="1"/>
        <v>0.79523084825831947</v>
      </c>
      <c r="O1181" s="2">
        <f ca="1"/>
        <v>0.12846192081754176</v>
      </c>
      <c r="X1181" s="2">
        <f ca="1"/>
        <v>39.835474951736252</v>
      </c>
      <c r="AG1181" s="2">
        <f ca="1"/>
        <v>0.53945451771416031</v>
      </c>
      <c r="AH1181" s="2" t="str">
        <f ca="1"/>
        <v>Bad</v>
      </c>
    </row>
    <row r="1182" spans="2:34" x14ac:dyDescent="0.2">
      <c r="B1182" s="2">
        <f ca="1"/>
        <v>0.59602574951380549</v>
      </c>
      <c r="O1182" s="2">
        <f ca="1"/>
        <v>-0.14848048882073767</v>
      </c>
      <c r="X1182" s="2">
        <f ca="1"/>
        <v>33.833335610435419</v>
      </c>
      <c r="AG1182" s="2">
        <f ca="1"/>
        <v>0.40453519815413785</v>
      </c>
      <c r="AH1182" s="2" t="str">
        <f ca="1"/>
        <v>Bad</v>
      </c>
    </row>
    <row r="1183" spans="2:34" x14ac:dyDescent="0.2">
      <c r="B1183" s="2">
        <f ca="1"/>
        <v>0.97256694450625858</v>
      </c>
      <c r="O1183" s="2">
        <f ca="1"/>
        <v>-1.4521286479180984</v>
      </c>
      <c r="X1183" s="2">
        <f ca="1"/>
        <v>75.615848495399746</v>
      </c>
      <c r="AG1183" s="2">
        <f ca="1"/>
        <v>0.5676321477995343</v>
      </c>
      <c r="AH1183" s="2" t="str">
        <f ca="1"/>
        <v>Bad</v>
      </c>
    </row>
    <row r="1184" spans="2:34" x14ac:dyDescent="0.2">
      <c r="B1184" s="2">
        <f ca="1"/>
        <v>0.25084270731538849</v>
      </c>
      <c r="O1184" s="2">
        <f ca="1"/>
        <v>0.47010128054902572</v>
      </c>
      <c r="X1184" s="2">
        <f ca="1"/>
        <v>19.187437657750483</v>
      </c>
      <c r="AG1184" s="2">
        <f ca="1"/>
        <v>0.19098576142537027</v>
      </c>
      <c r="AH1184" s="2" t="str">
        <f ca="1"/>
        <v>OK</v>
      </c>
    </row>
    <row r="1185" spans="2:34" x14ac:dyDescent="0.2">
      <c r="B1185" s="2">
        <f ca="1"/>
        <v>0.43332570140036908</v>
      </c>
      <c r="O1185" s="2">
        <f ca="1"/>
        <v>0.57632546255021133</v>
      </c>
      <c r="X1185" s="2">
        <f ca="1"/>
        <v>34.628564066005474</v>
      </c>
      <c r="AG1185" s="2">
        <f ca="1"/>
        <v>0.78593241912555611</v>
      </c>
      <c r="AH1185" s="2" t="str">
        <f ca="1"/>
        <v>Bad</v>
      </c>
    </row>
    <row r="1186" spans="2:34" x14ac:dyDescent="0.2">
      <c r="B1186" s="2">
        <f ca="1"/>
        <v>0.83611690379130277</v>
      </c>
      <c r="O1186" s="2">
        <f ca="1"/>
        <v>-1.2959043178688885</v>
      </c>
      <c r="X1186" s="2">
        <f ca="1"/>
        <v>34.264835907128116</v>
      </c>
      <c r="AG1186" s="2">
        <f ca="1"/>
        <v>0.18502197156361921</v>
      </c>
      <c r="AH1186" s="2" t="str">
        <f ca="1"/>
        <v>OK</v>
      </c>
    </row>
    <row r="1187" spans="2:34" x14ac:dyDescent="0.2">
      <c r="B1187" s="2">
        <f ca="1"/>
        <v>0.18367218006027475</v>
      </c>
      <c r="O1187" s="2">
        <f ca="1"/>
        <v>-1.0318410305393337</v>
      </c>
      <c r="X1187" s="2">
        <f ca="1"/>
        <v>44.490424083354377</v>
      </c>
      <c r="AG1187" s="2">
        <f ca="1"/>
        <v>0.81863845791282364</v>
      </c>
      <c r="AH1187" s="2" t="str">
        <f ca="1"/>
        <v>Bad</v>
      </c>
    </row>
    <row r="1188" spans="2:34" x14ac:dyDescent="0.2">
      <c r="B1188" s="2">
        <f ca="1"/>
        <v>0.39491892238992365</v>
      </c>
      <c r="O1188" s="2">
        <f ca="1"/>
        <v>-0.74833759430752467</v>
      </c>
      <c r="X1188" s="2">
        <f ca="1"/>
        <v>51.398649270249024</v>
      </c>
      <c r="AG1188" s="2">
        <f ca="1"/>
        <v>0.95439942233886277</v>
      </c>
      <c r="AH1188" s="2" t="str">
        <f ca="1"/>
        <v>Bad</v>
      </c>
    </row>
    <row r="1189" spans="2:34" x14ac:dyDescent="0.2">
      <c r="B1189" s="2">
        <f ca="1"/>
        <v>0.52801032102191625</v>
      </c>
      <c r="O1189" s="2">
        <f ca="1"/>
        <v>-7.3889639664135153E-3</v>
      </c>
      <c r="X1189" s="2">
        <f ca="1"/>
        <v>34.178099829070206</v>
      </c>
      <c r="AG1189" s="2">
        <f ca="1"/>
        <v>0.61777018148565777</v>
      </c>
      <c r="AH1189" s="2" t="str">
        <f ca="1"/>
        <v>Bad</v>
      </c>
    </row>
    <row r="1190" spans="2:34" x14ac:dyDescent="0.2">
      <c r="B1190" s="2">
        <f ca="1"/>
        <v>0.45377843134475238</v>
      </c>
      <c r="O1190" s="2">
        <f ca="1"/>
        <v>-0.91667776230312481</v>
      </c>
      <c r="X1190" s="2">
        <f ca="1"/>
        <v>43.811042457682568</v>
      </c>
      <c r="AG1190" s="2">
        <f ca="1"/>
        <v>0.37478376782108858</v>
      </c>
      <c r="AH1190" s="2" t="str">
        <f ca="1"/>
        <v>OK</v>
      </c>
    </row>
    <row r="1191" spans="2:34" x14ac:dyDescent="0.2">
      <c r="B1191" s="2">
        <f ca="1"/>
        <v>0.46389681292876017</v>
      </c>
      <c r="O1191" s="2">
        <f ca="1"/>
        <v>-0.70814663463875727</v>
      </c>
      <c r="X1191" s="2">
        <f ca="1"/>
        <v>52.88925769810109</v>
      </c>
      <c r="AG1191" s="2">
        <f ca="1"/>
        <v>0.37039355259434514</v>
      </c>
      <c r="AH1191" s="2" t="str">
        <f ca="1"/>
        <v>OK</v>
      </c>
    </row>
    <row r="1192" spans="2:34" x14ac:dyDescent="0.2">
      <c r="B1192" s="2">
        <f ca="1"/>
        <v>0.5550234888468879</v>
      </c>
      <c r="O1192" s="2">
        <f ca="1"/>
        <v>1.450859554610717</v>
      </c>
      <c r="X1192" s="2">
        <f ca="1"/>
        <v>55.434375362391947</v>
      </c>
      <c r="AG1192" s="2">
        <f ca="1"/>
        <v>0.22479947132821931</v>
      </c>
      <c r="AH1192" s="2" t="str">
        <f ca="1"/>
        <v>OK</v>
      </c>
    </row>
    <row r="1193" spans="2:34" x14ac:dyDescent="0.2">
      <c r="B1193" s="2">
        <f ca="1"/>
        <v>0.42952473289462523</v>
      </c>
      <c r="O1193" s="2">
        <f ca="1"/>
        <v>0.48010513090437368</v>
      </c>
      <c r="X1193" s="2">
        <f ca="1"/>
        <v>59.650320207808285</v>
      </c>
      <c r="AG1193" s="2">
        <f ca="1"/>
        <v>0.19240273426224896</v>
      </c>
      <c r="AH1193" s="2" t="str">
        <f ca="1"/>
        <v>OK</v>
      </c>
    </row>
    <row r="1194" spans="2:34" x14ac:dyDescent="0.2">
      <c r="B1194" s="2">
        <f ca="1"/>
        <v>0.71596856970229439</v>
      </c>
      <c r="O1194" s="2">
        <f ca="1"/>
        <v>-0.48505463527922837</v>
      </c>
      <c r="X1194" s="2">
        <f ca="1"/>
        <v>36.613827048759276</v>
      </c>
      <c r="AG1194" s="2">
        <f ca="1"/>
        <v>0.7763776977006609</v>
      </c>
      <c r="AH1194" s="2" t="str">
        <f ca="1"/>
        <v>Bad</v>
      </c>
    </row>
    <row r="1195" spans="2:34" x14ac:dyDescent="0.2">
      <c r="B1195" s="2">
        <f ca="1"/>
        <v>0.25344875287069613</v>
      </c>
      <c r="O1195" s="2">
        <f ca="1"/>
        <v>0.55859517477712162</v>
      </c>
      <c r="X1195" s="2">
        <f ca="1"/>
        <v>51.15917639996988</v>
      </c>
      <c r="AG1195" s="2">
        <f ca="1"/>
        <v>0.31979406501382579</v>
      </c>
      <c r="AH1195" s="2" t="str">
        <f ca="1"/>
        <v>OK</v>
      </c>
    </row>
    <row r="1196" spans="2:34" x14ac:dyDescent="0.2">
      <c r="B1196" s="2">
        <f ca="1"/>
        <v>0.30379929947380013</v>
      </c>
      <c r="O1196" s="2">
        <f ca="1"/>
        <v>1.0710231594011583</v>
      </c>
      <c r="X1196" s="2">
        <f ca="1"/>
        <v>32.925564529281374</v>
      </c>
      <c r="AG1196" s="2">
        <f ca="1"/>
        <v>0.12220907137403692</v>
      </c>
      <c r="AH1196" s="2" t="str">
        <f ca="1"/>
        <v>OK</v>
      </c>
    </row>
    <row r="1197" spans="2:34" x14ac:dyDescent="0.2">
      <c r="B1197" s="2">
        <f ca="1"/>
        <v>0.94885565174380426</v>
      </c>
      <c r="O1197" s="2">
        <f ca="1"/>
        <v>1.7336895777917207</v>
      </c>
      <c r="X1197" s="2">
        <f ca="1"/>
        <v>45.966802131732607</v>
      </c>
      <c r="AG1197" s="2">
        <f ca="1"/>
        <v>0.70616123293754085</v>
      </c>
      <c r="AH1197" s="2" t="str">
        <f ca="1"/>
        <v>Bad</v>
      </c>
    </row>
    <row r="1198" spans="2:34" x14ac:dyDescent="0.2">
      <c r="B1198" s="2">
        <f ca="1"/>
        <v>0.92913891914990576</v>
      </c>
      <c r="O1198" s="2">
        <f ca="1"/>
        <v>-1.4408010751903408</v>
      </c>
      <c r="X1198" s="2">
        <f ca="1"/>
        <v>19.29415405697198</v>
      </c>
      <c r="AG1198" s="2">
        <f ca="1"/>
        <v>3.0493552747545172E-2</v>
      </c>
      <c r="AH1198" s="2" t="str">
        <f ca="1"/>
        <v>Good</v>
      </c>
    </row>
    <row r="1199" spans="2:34" x14ac:dyDescent="0.2">
      <c r="B1199" s="2">
        <f ca="1"/>
        <v>0.25596567537533255</v>
      </c>
      <c r="O1199" s="2">
        <f ca="1"/>
        <v>-0.50825594214299996</v>
      </c>
      <c r="X1199" s="2">
        <f ca="1"/>
        <v>51.92459350695011</v>
      </c>
      <c r="AG1199" s="2">
        <f ca="1"/>
        <v>0.9183361141954991</v>
      </c>
      <c r="AH1199" s="2" t="str">
        <f ca="1"/>
        <v>Bad</v>
      </c>
    </row>
    <row r="1200" spans="2:34" x14ac:dyDescent="0.2">
      <c r="B1200" s="2">
        <f ca="1"/>
        <v>0.10287798352165911</v>
      </c>
      <c r="O1200" s="2">
        <f ca="1"/>
        <v>-0.11889487065782389</v>
      </c>
      <c r="X1200" s="2">
        <f ca="1"/>
        <v>30.063595166936359</v>
      </c>
      <c r="AG1200" s="2">
        <f ca="1"/>
        <v>0.40085892470726625</v>
      </c>
      <c r="AH1200" s="2" t="str">
        <f ca="1"/>
        <v>Bad</v>
      </c>
    </row>
    <row r="1201" spans="2:34" x14ac:dyDescent="0.2">
      <c r="B1201" s="2">
        <f ca="1"/>
        <v>0.16694805932072576</v>
      </c>
      <c r="O1201" s="2">
        <f ca="1"/>
        <v>1.3089877606123936</v>
      </c>
      <c r="X1201" s="2">
        <f ca="1"/>
        <v>49.624295009820337</v>
      </c>
      <c r="AG1201" s="2">
        <f ca="1"/>
        <v>0.42575115747907333</v>
      </c>
      <c r="AH1201" s="2" t="str">
        <f ca="1"/>
        <v>Bad</v>
      </c>
    </row>
    <row r="1202" spans="2:34" x14ac:dyDescent="0.2">
      <c r="B1202" s="2">
        <f ca="1"/>
        <v>0.67393257651132843</v>
      </c>
      <c r="O1202" s="2">
        <f ca="1"/>
        <v>-7.7985853457258419E-2</v>
      </c>
      <c r="X1202" s="2">
        <f ca="1"/>
        <v>28.249612776132437</v>
      </c>
      <c r="AG1202" s="2">
        <f ca="1"/>
        <v>0.62713002662015715</v>
      </c>
      <c r="AH1202" s="2" t="str">
        <f ca="1"/>
        <v>Bad</v>
      </c>
    </row>
    <row r="1203" spans="2:34" x14ac:dyDescent="0.2">
      <c r="B1203" s="2">
        <f ca="1"/>
        <v>0.5455643048236769</v>
      </c>
      <c r="O1203" s="2">
        <f ca="1"/>
        <v>-1.5012532404316132</v>
      </c>
      <c r="X1203" s="2">
        <f ca="1"/>
        <v>61.127621963414896</v>
      </c>
      <c r="AG1203" s="2">
        <f ca="1"/>
        <v>0.33460854243676152</v>
      </c>
      <c r="AH1203" s="2" t="str">
        <f ca="1"/>
        <v>OK</v>
      </c>
    </row>
    <row r="1204" spans="2:34" x14ac:dyDescent="0.2">
      <c r="B1204" s="2">
        <f ca="1"/>
        <v>0.96264710629869654</v>
      </c>
      <c r="O1204" s="2">
        <f ca="1"/>
        <v>-1.7116900668326109</v>
      </c>
      <c r="X1204" s="2">
        <f ca="1"/>
        <v>36.095796503424019</v>
      </c>
      <c r="AG1204" s="2">
        <f ca="1"/>
        <v>0.38047958723633313</v>
      </c>
      <c r="AH1204" s="2" t="str">
        <f ca="1"/>
        <v>OK</v>
      </c>
    </row>
    <row r="1205" spans="2:34" x14ac:dyDescent="0.2">
      <c r="B1205" s="2">
        <f ca="1"/>
        <v>0.11017888663690623</v>
      </c>
      <c r="O1205" s="2">
        <f ca="1"/>
        <v>-1.7823995426527857</v>
      </c>
      <c r="X1205" s="2">
        <f ca="1"/>
        <v>59.349551808118044</v>
      </c>
      <c r="AG1205" s="2">
        <f ca="1"/>
        <v>0.61854529774930622</v>
      </c>
      <c r="AH1205" s="2" t="str">
        <f ca="1"/>
        <v>Bad</v>
      </c>
    </row>
    <row r="1206" spans="2:34" x14ac:dyDescent="0.2">
      <c r="B1206" s="2">
        <f ca="1"/>
        <v>0.95901957440412922</v>
      </c>
      <c r="O1206" s="2">
        <f ca="1"/>
        <v>-0.15142970039954876</v>
      </c>
      <c r="X1206" s="2">
        <f ca="1"/>
        <v>27.099974784113851</v>
      </c>
      <c r="AG1206" s="2">
        <f ca="1"/>
        <v>0.15847274325492355</v>
      </c>
      <c r="AH1206" s="2" t="str">
        <f ca="1"/>
        <v>OK</v>
      </c>
    </row>
    <row r="1207" spans="2:34" x14ac:dyDescent="0.2">
      <c r="B1207" s="2">
        <f ca="1"/>
        <v>0.72713509640459506</v>
      </c>
      <c r="O1207" s="2">
        <f ca="1"/>
        <v>0.93613013852722016</v>
      </c>
      <c r="X1207" s="2">
        <f ca="1"/>
        <v>34.763655961066618</v>
      </c>
      <c r="AG1207" s="2">
        <f ca="1"/>
        <v>0.55748859574207232</v>
      </c>
      <c r="AH1207" s="2" t="str">
        <f ca="1"/>
        <v>Bad</v>
      </c>
    </row>
    <row r="1208" spans="2:34" x14ac:dyDescent="0.2">
      <c r="B1208" s="2">
        <f ca="1"/>
        <v>0.17984634438311575</v>
      </c>
      <c r="O1208" s="2">
        <f ca="1"/>
        <v>-1.3306085550708584</v>
      </c>
      <c r="X1208" s="2">
        <f ca="1"/>
        <v>35.066261033175707</v>
      </c>
      <c r="AG1208" s="2">
        <f ca="1"/>
        <v>0.8202350481170988</v>
      </c>
      <c r="AH1208" s="2" t="str">
        <f ca="1"/>
        <v>Bad</v>
      </c>
    </row>
    <row r="1209" spans="2:34" x14ac:dyDescent="0.2">
      <c r="B1209" s="2">
        <f ca="1"/>
        <v>0.70224505506458668</v>
      </c>
      <c r="O1209" s="2">
        <f ca="1"/>
        <v>0.74424726594614987</v>
      </c>
      <c r="X1209" s="2">
        <f ca="1"/>
        <v>63.997676376649125</v>
      </c>
      <c r="AG1209" s="2">
        <f ca="1"/>
        <v>0.1124455791131389</v>
      </c>
      <c r="AH1209" s="2" t="str">
        <f ca="1"/>
        <v>OK</v>
      </c>
    </row>
    <row r="1210" spans="2:34" x14ac:dyDescent="0.2">
      <c r="B1210" s="2">
        <f ca="1"/>
        <v>0.95699931334852639</v>
      </c>
      <c r="O1210" s="2">
        <f ca="1"/>
        <v>-0.13420511686220662</v>
      </c>
      <c r="X1210" s="2">
        <f ca="1"/>
        <v>66.389303418594594</v>
      </c>
      <c r="AG1210" s="2">
        <f ca="1"/>
        <v>0.14802885408847843</v>
      </c>
      <c r="AH1210" s="2" t="str">
        <f ca="1"/>
        <v>OK</v>
      </c>
    </row>
    <row r="1211" spans="2:34" x14ac:dyDescent="0.2">
      <c r="B1211" s="2">
        <f ca="1"/>
        <v>0.63533551325173243</v>
      </c>
      <c r="O1211" s="2">
        <f ca="1"/>
        <v>2.3059645186910176</v>
      </c>
      <c r="X1211" s="2">
        <f ca="1"/>
        <v>48.865134383412787</v>
      </c>
      <c r="AG1211" s="2">
        <f ca="1"/>
        <v>8.9662414552261094E-2</v>
      </c>
      <c r="AH1211" s="2" t="str">
        <f ca="1"/>
        <v>OK</v>
      </c>
    </row>
    <row r="1212" spans="2:34" x14ac:dyDescent="0.2">
      <c r="B1212" s="2">
        <f ca="1"/>
        <v>0.12090321320123154</v>
      </c>
      <c r="O1212" s="2">
        <f ca="1"/>
        <v>1.2692150479067161</v>
      </c>
      <c r="X1212" s="2">
        <f ca="1"/>
        <v>66.117494998089995</v>
      </c>
      <c r="AG1212" s="2">
        <f ca="1"/>
        <v>0.83862460779764114</v>
      </c>
      <c r="AH1212" s="2" t="str">
        <f ca="1"/>
        <v>Bad</v>
      </c>
    </row>
    <row r="1213" spans="2:34" x14ac:dyDescent="0.2">
      <c r="B1213" s="2">
        <f ca="1"/>
        <v>0.34036713514466399</v>
      </c>
      <c r="O1213" s="2">
        <f ca="1"/>
        <v>0.92321272331388948</v>
      </c>
      <c r="X1213" s="2">
        <f ca="1"/>
        <v>80.194813053803387</v>
      </c>
      <c r="AG1213" s="2">
        <f ca="1"/>
        <v>0.89315684817124108</v>
      </c>
      <c r="AH1213" s="2" t="str">
        <f ca="1"/>
        <v>Bad</v>
      </c>
    </row>
    <row r="1214" spans="2:34" x14ac:dyDescent="0.2">
      <c r="B1214" s="2">
        <f ca="1"/>
        <v>0.11941255310452159</v>
      </c>
      <c r="O1214" s="2">
        <f ca="1"/>
        <v>0.64845266193542672</v>
      </c>
      <c r="X1214" s="2">
        <f ca="1"/>
        <v>65.102801234266934</v>
      </c>
      <c r="AG1214" s="2">
        <f ca="1"/>
        <v>0.85986420384348561</v>
      </c>
      <c r="AH1214" s="2" t="str">
        <f ca="1"/>
        <v>Bad</v>
      </c>
    </row>
    <row r="1215" spans="2:34" x14ac:dyDescent="0.2">
      <c r="B1215" s="2">
        <f ca="1"/>
        <v>0.38547613590684082</v>
      </c>
      <c r="O1215" s="2">
        <f ca="1"/>
        <v>0.48130141028910445</v>
      </c>
      <c r="X1215" s="2">
        <f ca="1"/>
        <v>54.658757164100074</v>
      </c>
      <c r="AG1215" s="2">
        <f ca="1"/>
        <v>0.97405110135900852</v>
      </c>
      <c r="AH1215" s="2" t="str">
        <f ca="1"/>
        <v>Bad</v>
      </c>
    </row>
    <row r="1216" spans="2:34" x14ac:dyDescent="0.2">
      <c r="B1216" s="2">
        <f ca="1"/>
        <v>4.8937333408531236E-2</v>
      </c>
      <c r="O1216" s="2">
        <f ca="1"/>
        <v>-0.5441046823450949</v>
      </c>
      <c r="X1216" s="2">
        <f ca="1"/>
        <v>47.748458806443125</v>
      </c>
      <c r="AG1216" s="2">
        <f ca="1"/>
        <v>0.43428888479393191</v>
      </c>
      <c r="AH1216" s="2" t="str">
        <f ca="1"/>
        <v>Bad</v>
      </c>
    </row>
    <row r="1217" spans="2:34" x14ac:dyDescent="0.2">
      <c r="B1217" s="2">
        <f ca="1"/>
        <v>0.66389575449256255</v>
      </c>
      <c r="O1217" s="2">
        <f ca="1"/>
        <v>-0.64368502932673399</v>
      </c>
      <c r="X1217" s="2">
        <f ca="1"/>
        <v>37.25598365913163</v>
      </c>
      <c r="AG1217" s="2">
        <f ca="1"/>
        <v>9.8453813627277897E-2</v>
      </c>
      <c r="AH1217" s="2" t="str">
        <f ca="1"/>
        <v>OK</v>
      </c>
    </row>
    <row r="1218" spans="2:34" x14ac:dyDescent="0.2">
      <c r="B1218" s="2">
        <f ca="1"/>
        <v>0.38776172373782702</v>
      </c>
      <c r="O1218" s="2">
        <f ca="1"/>
        <v>2.5434367571155687</v>
      </c>
      <c r="X1218" s="2">
        <f ca="1"/>
        <v>48.847142651783429</v>
      </c>
      <c r="AG1218" s="2">
        <f ca="1"/>
        <v>0.95441325484557349</v>
      </c>
      <c r="AH1218" s="2" t="str">
        <f ca="1"/>
        <v>Bad</v>
      </c>
    </row>
    <row r="1219" spans="2:34" x14ac:dyDescent="0.2">
      <c r="B1219" s="2">
        <f ca="1"/>
        <v>0.26254177141646928</v>
      </c>
      <c r="O1219" s="2">
        <f ca="1"/>
        <v>-1.3964308715638241</v>
      </c>
      <c r="X1219" s="2">
        <f ca="1"/>
        <v>79.925198892415821</v>
      </c>
      <c r="AG1219" s="2">
        <f ca="1"/>
        <v>0.51235809131366361</v>
      </c>
      <c r="AH1219" s="2" t="str">
        <f ca="1"/>
        <v>Bad</v>
      </c>
    </row>
    <row r="1220" spans="2:34" x14ac:dyDescent="0.2">
      <c r="B1220" s="2">
        <f ca="1"/>
        <v>0.58092235805904191</v>
      </c>
      <c r="O1220" s="2">
        <f ca="1"/>
        <v>-0.97556258626885206</v>
      </c>
      <c r="X1220" s="2">
        <f ca="1"/>
        <v>27.159843145870251</v>
      </c>
      <c r="AG1220" s="2">
        <f ca="1"/>
        <v>0.53683666277000519</v>
      </c>
      <c r="AH1220" s="2" t="str">
        <f ca="1"/>
        <v>Bad</v>
      </c>
    </row>
    <row r="1221" spans="2:34" x14ac:dyDescent="0.2">
      <c r="B1221" s="2">
        <f ca="1"/>
        <v>0.76118333900112578</v>
      </c>
      <c r="O1221" s="2">
        <f ca="1"/>
        <v>-0.83128353810091227</v>
      </c>
      <c r="X1221" s="2">
        <f ca="1"/>
        <v>71.313522450339534</v>
      </c>
      <c r="AG1221" s="2">
        <f ca="1"/>
        <v>0.22738729137240554</v>
      </c>
      <c r="AH1221" s="2" t="str">
        <f ca="1"/>
        <v>OK</v>
      </c>
    </row>
    <row r="1222" spans="2:34" x14ac:dyDescent="0.2">
      <c r="B1222" s="2">
        <f ca="1"/>
        <v>0.22693188183764645</v>
      </c>
      <c r="O1222" s="2">
        <f ca="1"/>
        <v>0.19628078992538087</v>
      </c>
      <c r="X1222" s="2">
        <f ca="1"/>
        <v>96.745367608828985</v>
      </c>
      <c r="AG1222" s="2">
        <f ca="1"/>
        <v>0.17928639921825784</v>
      </c>
      <c r="AH1222" s="2" t="str">
        <f ca="1"/>
        <v>OK</v>
      </c>
    </row>
    <row r="1223" spans="2:34" x14ac:dyDescent="0.2">
      <c r="B1223" s="2">
        <f ca="1"/>
        <v>0.85317900386465206</v>
      </c>
      <c r="O1223" s="2">
        <f ca="1"/>
        <v>-0.17966634973132226</v>
      </c>
      <c r="X1223" s="2">
        <f ca="1"/>
        <v>28.537759599252848</v>
      </c>
      <c r="AG1223" s="2">
        <f ca="1"/>
        <v>9.6421113479435272E-2</v>
      </c>
      <c r="AH1223" s="2" t="str">
        <f ca="1"/>
        <v>OK</v>
      </c>
    </row>
    <row r="1224" spans="2:34" x14ac:dyDescent="0.2">
      <c r="B1224" s="2">
        <f ca="1"/>
        <v>0.72967668025649046</v>
      </c>
      <c r="O1224" s="2">
        <f ca="1"/>
        <v>-0.46266546370063544</v>
      </c>
      <c r="X1224" s="2">
        <f ca="1"/>
        <v>49.872104003180205</v>
      </c>
      <c r="AG1224" s="2">
        <f ca="1"/>
        <v>0.44339447552966282</v>
      </c>
      <c r="AH1224" s="2" t="str">
        <f ca="1"/>
        <v>Bad</v>
      </c>
    </row>
    <row r="1225" spans="2:34" x14ac:dyDescent="0.2">
      <c r="B1225" s="2">
        <f ca="1"/>
        <v>0.97904707067173669</v>
      </c>
      <c r="O1225" s="2">
        <f ca="1"/>
        <v>0.30514242106837403</v>
      </c>
      <c r="X1225" s="2">
        <f ca="1"/>
        <v>34.821510524103175</v>
      </c>
      <c r="AG1225" s="2">
        <f ca="1"/>
        <v>0.71403709095976153</v>
      </c>
      <c r="AH1225" s="2" t="str">
        <f ca="1"/>
        <v>Bad</v>
      </c>
    </row>
    <row r="1226" spans="2:34" x14ac:dyDescent="0.2">
      <c r="B1226" s="2">
        <f ca="1"/>
        <v>0.67690287375802893</v>
      </c>
      <c r="O1226" s="2">
        <f ca="1"/>
        <v>-0.361740195520865</v>
      </c>
      <c r="X1226" s="2">
        <f ca="1"/>
        <v>70.969969757628434</v>
      </c>
      <c r="AG1226" s="2">
        <f ca="1"/>
        <v>0.66448104385160112</v>
      </c>
      <c r="AH1226" s="2" t="str">
        <f ca="1"/>
        <v>Bad</v>
      </c>
    </row>
    <row r="1227" spans="2:34" x14ac:dyDescent="0.2">
      <c r="B1227" s="2">
        <f ca="1"/>
        <v>0.75790289744447481</v>
      </c>
      <c r="O1227" s="2">
        <f ca="1"/>
        <v>0.2908076081423237</v>
      </c>
      <c r="X1227" s="2">
        <f ca="1"/>
        <v>26.897182368042841</v>
      </c>
      <c r="AG1227" s="2">
        <f ca="1"/>
        <v>0.79999659461438433</v>
      </c>
      <c r="AH1227" s="2" t="str">
        <f ca="1"/>
        <v>Bad</v>
      </c>
    </row>
    <row r="1228" spans="2:34" x14ac:dyDescent="0.2">
      <c r="B1228" s="2">
        <f ca="1"/>
        <v>0.11570414828593778</v>
      </c>
      <c r="O1228" s="2">
        <f ca="1"/>
        <v>1.9941103075570239</v>
      </c>
      <c r="X1228" s="2">
        <f ca="1"/>
        <v>73.145163411031888</v>
      </c>
      <c r="AG1228" s="2">
        <f ca="1"/>
        <v>0.65125455446677472</v>
      </c>
      <c r="AH1228" s="2" t="str">
        <f ca="1"/>
        <v>Bad</v>
      </c>
    </row>
    <row r="1229" spans="2:34" x14ac:dyDescent="0.2">
      <c r="B1229" s="2">
        <f ca="1"/>
        <v>7.829094969346273E-2</v>
      </c>
      <c r="O1229" s="2">
        <f ca="1"/>
        <v>-0.15413494054063251</v>
      </c>
      <c r="X1229" s="2">
        <f ca="1"/>
        <v>27.570067867597796</v>
      </c>
      <c r="AG1229" s="2">
        <f ca="1"/>
        <v>0.53626545449823815</v>
      </c>
      <c r="AH1229" s="2" t="str">
        <f ca="1"/>
        <v>Bad</v>
      </c>
    </row>
    <row r="1230" spans="2:34" x14ac:dyDescent="0.2">
      <c r="B1230" s="2">
        <f ca="1"/>
        <v>0.37047510116139404</v>
      </c>
      <c r="O1230" s="2">
        <f ca="1"/>
        <v>-1.2086059642293916</v>
      </c>
      <c r="X1230" s="2">
        <f ca="1"/>
        <v>47.711801114201783</v>
      </c>
      <c r="AG1230" s="2">
        <f ca="1"/>
        <v>0.90950620086485601</v>
      </c>
      <c r="AH1230" s="2" t="str">
        <f ca="1"/>
        <v>Bad</v>
      </c>
    </row>
    <row r="1231" spans="2:34" x14ac:dyDescent="0.2">
      <c r="B1231" s="2">
        <f ca="1"/>
        <v>0.50906714888968052</v>
      </c>
      <c r="O1231" s="2">
        <f ca="1"/>
        <v>-0.3968966495678517</v>
      </c>
      <c r="X1231" s="2">
        <f ca="1"/>
        <v>48.237981124662994</v>
      </c>
      <c r="AG1231" s="2">
        <f ca="1"/>
        <v>0.46718258725145811</v>
      </c>
      <c r="AH1231" s="2" t="str">
        <f ca="1"/>
        <v>Bad</v>
      </c>
    </row>
    <row r="1232" spans="2:34" x14ac:dyDescent="0.2">
      <c r="B1232" s="2">
        <f ca="1"/>
        <v>0.22616912742789141</v>
      </c>
      <c r="O1232" s="2">
        <f ca="1"/>
        <v>1.0081782591235635</v>
      </c>
      <c r="X1232" s="2">
        <f ca="1"/>
        <v>69.817007880262395</v>
      </c>
      <c r="AG1232" s="2">
        <f ca="1"/>
        <v>0.25570613344645898</v>
      </c>
      <c r="AH1232" s="2" t="str">
        <f ca="1"/>
        <v>OK</v>
      </c>
    </row>
    <row r="1233" spans="2:34" x14ac:dyDescent="0.2">
      <c r="B1233" s="2">
        <f ca="1"/>
        <v>0.41555065093808685</v>
      </c>
      <c r="O1233" s="2">
        <f ca="1"/>
        <v>0.61493465501183464</v>
      </c>
      <c r="X1233" s="2">
        <f ca="1"/>
        <v>22.152775773312353</v>
      </c>
      <c r="AG1233" s="2">
        <f ca="1"/>
        <v>8.6690587282755915E-2</v>
      </c>
      <c r="AH1233" s="2" t="str">
        <f ca="1"/>
        <v>OK</v>
      </c>
    </row>
    <row r="1234" spans="2:34" x14ac:dyDescent="0.2">
      <c r="B1234" s="2">
        <f ca="1"/>
        <v>0.15452345568795578</v>
      </c>
      <c r="O1234" s="2">
        <f ca="1"/>
        <v>-2.1598398367832079</v>
      </c>
      <c r="X1234" s="2">
        <f ca="1"/>
        <v>51.771357221333602</v>
      </c>
      <c r="AG1234" s="2">
        <f ca="1"/>
        <v>0.60450658977846916</v>
      </c>
      <c r="AH1234" s="2" t="str">
        <f ca="1"/>
        <v>Bad</v>
      </c>
    </row>
    <row r="1235" spans="2:34" x14ac:dyDescent="0.2">
      <c r="B1235" s="2">
        <f ca="1"/>
        <v>0.18973268946406163</v>
      </c>
      <c r="O1235" s="2">
        <f ca="1"/>
        <v>0.63460552755734478</v>
      </c>
      <c r="X1235" s="2">
        <f ca="1"/>
        <v>40.711871657872479</v>
      </c>
      <c r="AG1235" s="2">
        <f ca="1"/>
        <v>0.48732968224712159</v>
      </c>
      <c r="AH1235" s="2" t="str">
        <f ca="1"/>
        <v>Bad</v>
      </c>
    </row>
    <row r="1236" spans="2:34" x14ac:dyDescent="0.2">
      <c r="B1236" s="2">
        <f ca="1"/>
        <v>0.87468151641697278</v>
      </c>
      <c r="O1236" s="2">
        <f ca="1"/>
        <v>-0.36990240170901073</v>
      </c>
      <c r="X1236" s="2">
        <f ca="1"/>
        <v>53.926749727063843</v>
      </c>
      <c r="AG1236" s="2">
        <f ca="1"/>
        <v>0.68297162522948041</v>
      </c>
      <c r="AH1236" s="2" t="str">
        <f ca="1"/>
        <v>Bad</v>
      </c>
    </row>
    <row r="1237" spans="2:34" x14ac:dyDescent="0.2">
      <c r="B1237" s="2">
        <f ca="1"/>
        <v>0.80785413117876836</v>
      </c>
      <c r="O1237" s="2">
        <f ca="1"/>
        <v>-0.98386958147781189</v>
      </c>
      <c r="X1237" s="2">
        <f ca="1"/>
        <v>33.332377413047396</v>
      </c>
      <c r="AG1237" s="2">
        <f ca="1"/>
        <v>0.84617045992493289</v>
      </c>
      <c r="AH1237" s="2" t="str">
        <f ca="1"/>
        <v>Bad</v>
      </c>
    </row>
    <row r="1238" spans="2:34" x14ac:dyDescent="0.2">
      <c r="B1238" s="2">
        <f ca="1"/>
        <v>0.31344897755282264</v>
      </c>
      <c r="O1238" s="2">
        <f ca="1"/>
        <v>2.9759790540835475E-2</v>
      </c>
      <c r="X1238" s="2">
        <f ca="1"/>
        <v>31.317091994817574</v>
      </c>
      <c r="AG1238" s="2">
        <f ca="1"/>
        <v>0.79618592456865955</v>
      </c>
      <c r="AH1238" s="2" t="str">
        <f ca="1"/>
        <v>Bad</v>
      </c>
    </row>
    <row r="1239" spans="2:34" x14ac:dyDescent="0.2">
      <c r="B1239" s="2">
        <f ca="1"/>
        <v>0.168867063641299</v>
      </c>
      <c r="O1239" s="2">
        <f ca="1"/>
        <v>-0.80651314320890266</v>
      </c>
      <c r="X1239" s="2">
        <f ca="1"/>
        <v>131.15208534829972</v>
      </c>
      <c r="AG1239" s="2">
        <f ca="1"/>
        <v>0.21006390170662614</v>
      </c>
      <c r="AH1239" s="2" t="str">
        <f ca="1"/>
        <v>OK</v>
      </c>
    </row>
    <row r="1240" spans="2:34" x14ac:dyDescent="0.2">
      <c r="B1240" s="2">
        <f ca="1"/>
        <v>0.49327598370168824</v>
      </c>
      <c r="O1240" s="2">
        <f ca="1"/>
        <v>-0.80255142819764003</v>
      </c>
      <c r="X1240" s="2">
        <f ca="1"/>
        <v>35.800445973737368</v>
      </c>
      <c r="AG1240" s="2">
        <f ca="1"/>
        <v>0.86802775187546954</v>
      </c>
      <c r="AH1240" s="2" t="str">
        <f ca="1"/>
        <v>Bad</v>
      </c>
    </row>
    <row r="1241" spans="2:34" x14ac:dyDescent="0.2">
      <c r="B1241" s="2">
        <f ca="1"/>
        <v>0.67036808955695526</v>
      </c>
      <c r="O1241" s="2">
        <f ca="1"/>
        <v>0.98641687005417977</v>
      </c>
      <c r="X1241" s="2">
        <f ca="1"/>
        <v>73.45323660037775</v>
      </c>
      <c r="AG1241" s="2">
        <f ca="1"/>
        <v>0.83760932751194384</v>
      </c>
      <c r="AH1241" s="2" t="str">
        <f ca="1"/>
        <v>Bad</v>
      </c>
    </row>
    <row r="1242" spans="2:34" x14ac:dyDescent="0.2">
      <c r="B1242" s="2">
        <f ca="1"/>
        <v>0.98436324530800579</v>
      </c>
      <c r="O1242" s="2">
        <f ca="1"/>
        <v>0.2403948288203305</v>
      </c>
      <c r="X1242" s="2">
        <f ca="1"/>
        <v>54.065642875494731</v>
      </c>
      <c r="AG1242" s="2">
        <f ca="1"/>
        <v>0.11602882533812231</v>
      </c>
      <c r="AH1242" s="2" t="str">
        <f ca="1"/>
        <v>OK</v>
      </c>
    </row>
    <row r="1243" spans="2:34" x14ac:dyDescent="0.2">
      <c r="B1243" s="2">
        <f ca="1"/>
        <v>0.18459481485514484</v>
      </c>
      <c r="O1243" s="2">
        <f ca="1"/>
        <v>-6.8745577329804186E-2</v>
      </c>
      <c r="X1243" s="2">
        <f ca="1"/>
        <v>68.02384683403379</v>
      </c>
      <c r="AG1243" s="2">
        <f ca="1"/>
        <v>0.94361082629440873</v>
      </c>
      <c r="AH1243" s="2" t="str">
        <f ca="1"/>
        <v>Bad</v>
      </c>
    </row>
    <row r="1244" spans="2:34" x14ac:dyDescent="0.2">
      <c r="B1244" s="2">
        <f ca="1"/>
        <v>0.14249150976315939</v>
      </c>
      <c r="O1244" s="2">
        <f ca="1"/>
        <v>-0.84092838858882779</v>
      </c>
      <c r="X1244" s="2">
        <f ca="1"/>
        <v>45.992581048417463</v>
      </c>
      <c r="AG1244" s="2">
        <f ca="1"/>
        <v>0.50978053603737705</v>
      </c>
      <c r="AH1244" s="2" t="str">
        <f ca="1"/>
        <v>Bad</v>
      </c>
    </row>
    <row r="1245" spans="2:34" x14ac:dyDescent="0.2">
      <c r="B1245" s="2">
        <f ca="1"/>
        <v>0.10823668028970945</v>
      </c>
      <c r="O1245" s="2">
        <f ca="1"/>
        <v>1.2201219008548734</v>
      </c>
      <c r="X1245" s="2">
        <f ca="1"/>
        <v>70.464777965240032</v>
      </c>
      <c r="AG1245" s="2">
        <f ca="1"/>
        <v>0.27702791199778765</v>
      </c>
      <c r="AH1245" s="2" t="str">
        <f ca="1"/>
        <v>OK</v>
      </c>
    </row>
    <row r="1246" spans="2:34" x14ac:dyDescent="0.2">
      <c r="B1246" s="2">
        <f ca="1"/>
        <v>0.97271927083366516</v>
      </c>
      <c r="O1246" s="2">
        <f ca="1"/>
        <v>0.60342011120446604</v>
      </c>
      <c r="X1246" s="2">
        <f ca="1"/>
        <v>22.636669749258999</v>
      </c>
      <c r="AG1246" s="2">
        <f ca="1"/>
        <v>0.65311605903205017</v>
      </c>
      <c r="AH1246" s="2" t="str">
        <f ca="1"/>
        <v>Bad</v>
      </c>
    </row>
    <row r="1247" spans="2:34" x14ac:dyDescent="0.2">
      <c r="B1247" s="2">
        <f ca="1"/>
        <v>0.25638127902378804</v>
      </c>
      <c r="O1247" s="2">
        <f ca="1"/>
        <v>0.81358320853431521</v>
      </c>
      <c r="X1247" s="2">
        <f ca="1"/>
        <v>41.593070036189765</v>
      </c>
      <c r="AG1247" s="2">
        <f ca="1"/>
        <v>0.13925140690103377</v>
      </c>
      <c r="AH1247" s="2" t="str">
        <f ca="1"/>
        <v>OK</v>
      </c>
    </row>
    <row r="1248" spans="2:34" x14ac:dyDescent="0.2">
      <c r="B1248" s="2">
        <f ca="1"/>
        <v>0.84643904501853306</v>
      </c>
      <c r="O1248" s="2">
        <f ca="1"/>
        <v>-0.11927560435250746</v>
      </c>
      <c r="X1248" s="2">
        <f ca="1"/>
        <v>16.781068564647828</v>
      </c>
      <c r="AG1248" s="2">
        <f ca="1"/>
        <v>0.57941462986500691</v>
      </c>
      <c r="AH1248" s="2" t="str">
        <f ca="1"/>
        <v>Bad</v>
      </c>
    </row>
    <row r="1249" spans="2:34" x14ac:dyDescent="0.2">
      <c r="B1249" s="2">
        <f ca="1"/>
        <v>0.88850764362353174</v>
      </c>
      <c r="O1249" s="2">
        <f ca="1"/>
        <v>5.313968022609674E-2</v>
      </c>
      <c r="X1249" s="2">
        <f ca="1"/>
        <v>54.118912054919683</v>
      </c>
      <c r="AG1249" s="2">
        <f ca="1"/>
        <v>0.37357863451462614</v>
      </c>
      <c r="AH1249" s="2" t="str">
        <f ca="1"/>
        <v>OK</v>
      </c>
    </row>
    <row r="1250" spans="2:34" x14ac:dyDescent="0.2">
      <c r="B1250" s="2">
        <f ca="1"/>
        <v>0.90306231813225013</v>
      </c>
      <c r="O1250" s="2">
        <f ca="1"/>
        <v>8.6318171197449764E-2</v>
      </c>
      <c r="X1250" s="2">
        <f ca="1"/>
        <v>43.400419951565617</v>
      </c>
      <c r="AG1250" s="2">
        <f ca="1"/>
        <v>0.63528362712448416</v>
      </c>
      <c r="AH1250" s="2" t="str">
        <f ca="1"/>
        <v>Bad</v>
      </c>
    </row>
    <row r="1251" spans="2:34" x14ac:dyDescent="0.2">
      <c r="B1251" s="2">
        <f ca="1"/>
        <v>0.26392027829041842</v>
      </c>
      <c r="O1251" s="2">
        <f ca="1"/>
        <v>1.586783924383522</v>
      </c>
      <c r="X1251" s="2">
        <f ca="1"/>
        <v>56.028423288621802</v>
      </c>
      <c r="AG1251" s="2">
        <f ca="1"/>
        <v>0.21973371844353329</v>
      </c>
      <c r="AH1251" s="2" t="str">
        <f ca="1"/>
        <v>OK</v>
      </c>
    </row>
    <row r="1252" spans="2:34" x14ac:dyDescent="0.2">
      <c r="B1252" s="2">
        <f ca="1"/>
        <v>0.10496553186727597</v>
      </c>
      <c r="O1252" s="2">
        <f ca="1"/>
        <v>1.9345765478752883</v>
      </c>
      <c r="X1252" s="2">
        <f ca="1"/>
        <v>60.390173002339722</v>
      </c>
      <c r="AG1252" s="2">
        <f ca="1"/>
        <v>0.31887045481063003</v>
      </c>
      <c r="AH1252" s="2" t="str">
        <f ca="1"/>
        <v>OK</v>
      </c>
    </row>
    <row r="1253" spans="2:34" x14ac:dyDescent="0.2">
      <c r="B1253" s="2">
        <f ca="1"/>
        <v>0.63137542994723872</v>
      </c>
      <c r="O1253" s="2">
        <f ca="1"/>
        <v>-1.3747363318267642</v>
      </c>
      <c r="X1253" s="2">
        <f ca="1"/>
        <v>55.506170527509852</v>
      </c>
      <c r="AG1253" s="2">
        <f ca="1"/>
        <v>0.15243628286458</v>
      </c>
      <c r="AH1253" s="2" t="str">
        <f ca="1"/>
        <v>OK</v>
      </c>
    </row>
    <row r="1254" spans="2:34" x14ac:dyDescent="0.2">
      <c r="B1254" s="2">
        <f ca="1"/>
        <v>0.93376192040228023</v>
      </c>
      <c r="O1254" s="2">
        <f ca="1"/>
        <v>-0.97572092536397259</v>
      </c>
      <c r="X1254" s="2">
        <f ca="1"/>
        <v>38.743101439676067</v>
      </c>
      <c r="AG1254" s="2">
        <f ca="1"/>
        <v>0.50179407860885616</v>
      </c>
      <c r="AH1254" s="2" t="str">
        <f ca="1"/>
        <v>Bad</v>
      </c>
    </row>
    <row r="1255" spans="2:34" x14ac:dyDescent="0.2">
      <c r="B1255" s="2">
        <f ca="1"/>
        <v>0.73336193718700238</v>
      </c>
      <c r="O1255" s="2">
        <f ca="1"/>
        <v>2.3818039076284969</v>
      </c>
      <c r="X1255" s="2">
        <f ca="1"/>
        <v>39.02663048623161</v>
      </c>
      <c r="AG1255" s="2">
        <f ca="1"/>
        <v>0.78773673590858651</v>
      </c>
      <c r="AH1255" s="2" t="str">
        <f ca="1"/>
        <v>Bad</v>
      </c>
    </row>
    <row r="1256" spans="2:34" x14ac:dyDescent="0.2">
      <c r="B1256" s="2">
        <f ca="1"/>
        <v>0.93051192708349517</v>
      </c>
      <c r="O1256" s="2">
        <f ca="1"/>
        <v>-1.1216399695731463</v>
      </c>
      <c r="X1256" s="2">
        <f ca="1"/>
        <v>73.418865799218793</v>
      </c>
      <c r="AG1256" s="2">
        <f ca="1"/>
        <v>0.59894842093458522</v>
      </c>
      <c r="AH1256" s="2" t="str">
        <f ca="1"/>
        <v>Bad</v>
      </c>
    </row>
    <row r="1257" spans="2:34" x14ac:dyDescent="0.2">
      <c r="B1257" s="2">
        <f ca="1"/>
        <v>0.44943427371237266</v>
      </c>
      <c r="O1257" s="2">
        <f ca="1"/>
        <v>0.9384962514262194</v>
      </c>
      <c r="X1257" s="2">
        <f ca="1"/>
        <v>58.070854070440262</v>
      </c>
      <c r="AG1257" s="2">
        <f ca="1"/>
        <v>0.4266379481737208</v>
      </c>
      <c r="AH1257" s="2" t="str">
        <f ca="1"/>
        <v>Bad</v>
      </c>
    </row>
    <row r="1258" spans="2:34" x14ac:dyDescent="0.2">
      <c r="B1258" s="2">
        <f ca="1"/>
        <v>0.64893846430710433</v>
      </c>
      <c r="O1258" s="2">
        <f ca="1"/>
        <v>0.61846999679140446</v>
      </c>
      <c r="X1258" s="2">
        <f ca="1"/>
        <v>32.88855804878115</v>
      </c>
      <c r="AG1258" s="2">
        <f ca="1"/>
        <v>0.73853820910788426</v>
      </c>
      <c r="AH1258" s="2" t="str">
        <f ca="1"/>
        <v>Bad</v>
      </c>
    </row>
    <row r="1259" spans="2:34" x14ac:dyDescent="0.2">
      <c r="B1259" s="2">
        <f ca="1"/>
        <v>0.59428419454677051</v>
      </c>
      <c r="O1259" s="2">
        <f ca="1"/>
        <v>1.4513080954254307</v>
      </c>
      <c r="X1259" s="2">
        <f ca="1"/>
        <v>68.156836058254399</v>
      </c>
      <c r="AG1259" s="2">
        <f ca="1"/>
        <v>0.77165908321534094</v>
      </c>
      <c r="AH1259" s="2" t="str">
        <f ca="1"/>
        <v>Bad</v>
      </c>
    </row>
    <row r="1260" spans="2:34" x14ac:dyDescent="0.2">
      <c r="B1260" s="2">
        <f ca="1"/>
        <v>0.91039486445039031</v>
      </c>
      <c r="O1260" s="2">
        <f ca="1"/>
        <v>0.91608389511628041</v>
      </c>
      <c r="X1260" s="2">
        <f ca="1"/>
        <v>24.357739840182848</v>
      </c>
      <c r="AG1260" s="2">
        <f ca="1"/>
        <v>0.68384831955671843</v>
      </c>
      <c r="AH1260" s="2" t="str">
        <f ca="1"/>
        <v>Bad</v>
      </c>
    </row>
    <row r="1261" spans="2:34" x14ac:dyDescent="0.2">
      <c r="B1261" s="2">
        <f ca="1"/>
        <v>0.43255440221846064</v>
      </c>
      <c r="O1261" s="2">
        <f ca="1"/>
        <v>0.65716322245550107</v>
      </c>
      <c r="X1261" s="2">
        <f ca="1"/>
        <v>49.915575301656673</v>
      </c>
      <c r="AG1261" s="2">
        <f ca="1"/>
        <v>0.77646245663911073</v>
      </c>
      <c r="AH1261" s="2" t="str">
        <f ca="1"/>
        <v>Bad</v>
      </c>
    </row>
    <row r="1262" spans="2:34" x14ac:dyDescent="0.2">
      <c r="B1262" s="2">
        <f ca="1"/>
        <v>0.65172107422269487</v>
      </c>
      <c r="O1262" s="2">
        <f ca="1"/>
        <v>-0.23850808758673661</v>
      </c>
      <c r="X1262" s="2">
        <f ca="1"/>
        <v>56.598345757314448</v>
      </c>
      <c r="AG1262" s="2">
        <f ca="1"/>
        <v>0.96251444890494864</v>
      </c>
      <c r="AH1262" s="2" t="str">
        <f ca="1"/>
        <v>Bad</v>
      </c>
    </row>
    <row r="1263" spans="2:34" x14ac:dyDescent="0.2">
      <c r="B1263" s="2">
        <f ca="1"/>
        <v>6.197676025193477E-2</v>
      </c>
      <c r="O1263" s="2">
        <f ca="1"/>
        <v>1.2770296933539098</v>
      </c>
      <c r="X1263" s="2">
        <f ca="1"/>
        <v>53.176961209387166</v>
      </c>
      <c r="AG1263" s="2">
        <f ca="1"/>
        <v>7.4442173334537509E-2</v>
      </c>
      <c r="AH1263" s="2" t="str">
        <f ca="1"/>
        <v>OK</v>
      </c>
    </row>
    <row r="1264" spans="2:34" x14ac:dyDescent="0.2">
      <c r="B1264" s="2">
        <f ca="1"/>
        <v>0.33735088616707665</v>
      </c>
      <c r="O1264" s="2">
        <f ca="1"/>
        <v>-0.82907999061003279</v>
      </c>
      <c r="X1264" s="2">
        <f ca="1"/>
        <v>55.066567251079057</v>
      </c>
      <c r="AG1264" s="2">
        <f ca="1"/>
        <v>0.19385462291493694</v>
      </c>
      <c r="AH1264" s="2" t="str">
        <f ca="1"/>
        <v>OK</v>
      </c>
    </row>
    <row r="1265" spans="2:34" x14ac:dyDescent="0.2">
      <c r="B1265" s="2">
        <f ca="1"/>
        <v>4.4937778614123403E-2</v>
      </c>
      <c r="O1265" s="2">
        <f ca="1"/>
        <v>-0.6114012137369359</v>
      </c>
      <c r="X1265" s="2">
        <f ca="1"/>
        <v>92.529289680367484</v>
      </c>
      <c r="AG1265" s="2">
        <f ca="1"/>
        <v>0.6494791516358851</v>
      </c>
      <c r="AH1265" s="2" t="str">
        <f ca="1"/>
        <v>Bad</v>
      </c>
    </row>
    <row r="1266" spans="2:34" x14ac:dyDescent="0.2">
      <c r="B1266" s="2">
        <f ca="1"/>
        <v>0.15093976068932302</v>
      </c>
      <c r="O1266" s="2">
        <f ca="1"/>
        <v>-0.34658393482484284</v>
      </c>
      <c r="X1266" s="2">
        <f ca="1"/>
        <v>37.543757066800374</v>
      </c>
      <c r="AG1266" s="2">
        <f ca="1"/>
        <v>0.63817755360518791</v>
      </c>
      <c r="AH1266" s="2" t="str">
        <f ca="1"/>
        <v>Bad</v>
      </c>
    </row>
    <row r="1267" spans="2:34" x14ac:dyDescent="0.2">
      <c r="B1267" s="2">
        <f ca="1"/>
        <v>0.83445966374389391</v>
      </c>
      <c r="O1267" s="2">
        <f ca="1"/>
        <v>0.37819384362398156</v>
      </c>
      <c r="X1267" s="2">
        <f ca="1"/>
        <v>49.512740321846714</v>
      </c>
      <c r="AG1267" s="2">
        <f ca="1"/>
        <v>0.3042463563128377</v>
      </c>
      <c r="AH1267" s="2" t="str">
        <f ca="1"/>
        <v>OK</v>
      </c>
    </row>
    <row r="1268" spans="2:34" x14ac:dyDescent="0.2">
      <c r="B1268" s="2">
        <f ca="1"/>
        <v>7.5898943041792233E-2</v>
      </c>
      <c r="O1268" s="2">
        <f ca="1"/>
        <v>0.48095424688937288</v>
      </c>
      <c r="X1268" s="2">
        <f ca="1"/>
        <v>82.083373126586565</v>
      </c>
      <c r="AG1268" s="2">
        <f ca="1"/>
        <v>0.86894847411691267</v>
      </c>
      <c r="AH1268" s="2" t="str">
        <f ca="1"/>
        <v>Bad</v>
      </c>
    </row>
    <row r="1269" spans="2:34" x14ac:dyDescent="0.2">
      <c r="B1269" s="2">
        <f ca="1"/>
        <v>0.67936649382295577</v>
      </c>
      <c r="O1269" s="2">
        <f ca="1"/>
        <v>-1.0683122533427885</v>
      </c>
      <c r="X1269" s="2">
        <f ca="1"/>
        <v>40.869756587211768</v>
      </c>
      <c r="AG1269" s="2">
        <f ca="1"/>
        <v>0.72948625371032838</v>
      </c>
      <c r="AH1269" s="2" t="str">
        <f ca="1"/>
        <v>Bad</v>
      </c>
    </row>
    <row r="1270" spans="2:34" x14ac:dyDescent="0.2">
      <c r="B1270" s="2">
        <f ca="1"/>
        <v>0.46186138902228469</v>
      </c>
      <c r="O1270" s="2">
        <f ca="1"/>
        <v>-0.29862701272361292</v>
      </c>
      <c r="X1270" s="2">
        <f ca="1"/>
        <v>58.928548285292976</v>
      </c>
      <c r="AG1270" s="2">
        <f ca="1"/>
        <v>0.92864591270180386</v>
      </c>
      <c r="AH1270" s="2" t="str">
        <f ca="1"/>
        <v>Bad</v>
      </c>
    </row>
    <row r="1271" spans="2:34" x14ac:dyDescent="0.2">
      <c r="B1271" s="2">
        <f ca="1"/>
        <v>0.45484777767687157</v>
      </c>
      <c r="O1271" s="2">
        <f ca="1"/>
        <v>0.26190602223989551</v>
      </c>
      <c r="X1271" s="2">
        <f ca="1"/>
        <v>49.730949320978226</v>
      </c>
      <c r="AG1271" s="2">
        <f ca="1"/>
        <v>0.71467916392645647</v>
      </c>
      <c r="AH1271" s="2" t="str">
        <f ca="1"/>
        <v>Bad</v>
      </c>
    </row>
    <row r="1272" spans="2:34" x14ac:dyDescent="0.2">
      <c r="B1272" s="2">
        <f ca="1"/>
        <v>0.96362312628705027</v>
      </c>
      <c r="O1272" s="2">
        <f ca="1"/>
        <v>-0.34390196178147364</v>
      </c>
      <c r="X1272" s="2">
        <f ca="1"/>
        <v>43.222052231867025</v>
      </c>
      <c r="AG1272" s="2">
        <f ca="1"/>
        <v>0.30283736793970961</v>
      </c>
      <c r="AH1272" s="2" t="str">
        <f ca="1"/>
        <v>OK</v>
      </c>
    </row>
    <row r="1273" spans="2:34" x14ac:dyDescent="0.2">
      <c r="B1273" s="2">
        <f ca="1"/>
        <v>0.11241002992411886</v>
      </c>
      <c r="O1273" s="2">
        <f ca="1"/>
        <v>0.43081382545975178</v>
      </c>
      <c r="X1273" s="2">
        <f ca="1"/>
        <v>27.597529602606251</v>
      </c>
      <c r="AG1273" s="2">
        <f ca="1"/>
        <v>3.0859392121867613E-2</v>
      </c>
      <c r="AH1273" s="2" t="str">
        <f ca="1"/>
        <v>Good</v>
      </c>
    </row>
    <row r="1274" spans="2:34" x14ac:dyDescent="0.2">
      <c r="B1274" s="2">
        <f ca="1"/>
        <v>0.16937663837671257</v>
      </c>
      <c r="O1274" s="2">
        <f ca="1"/>
        <v>-1.9848530402408853</v>
      </c>
      <c r="X1274" s="2">
        <f ca="1"/>
        <v>59.508793795951462</v>
      </c>
      <c r="AG1274" s="2">
        <f ca="1"/>
        <v>0.85399995518215421</v>
      </c>
      <c r="AH1274" s="2" t="str">
        <f ca="1"/>
        <v>Bad</v>
      </c>
    </row>
    <row r="1275" spans="2:34" x14ac:dyDescent="0.2">
      <c r="B1275" s="2">
        <f ca="1"/>
        <v>0.58191318862993779</v>
      </c>
      <c r="O1275" s="2">
        <f ca="1"/>
        <v>0.34733425809749452</v>
      </c>
      <c r="X1275" s="2">
        <f ca="1"/>
        <v>48.087037526121897</v>
      </c>
      <c r="AG1275" s="2">
        <f ca="1"/>
        <v>0.14556380890915976</v>
      </c>
      <c r="AH1275" s="2" t="str">
        <f ca="1"/>
        <v>OK</v>
      </c>
    </row>
    <row r="1276" spans="2:34" x14ac:dyDescent="0.2">
      <c r="B1276" s="2">
        <f ca="1"/>
        <v>0.55600449496174309</v>
      </c>
      <c r="O1276" s="2">
        <f ca="1"/>
        <v>0.15538839277257946</v>
      </c>
      <c r="X1276" s="2">
        <f ca="1"/>
        <v>36.533915382281329</v>
      </c>
      <c r="AG1276" s="2">
        <f ca="1"/>
        <v>0.48742933891359574</v>
      </c>
      <c r="AH1276" s="2" t="str">
        <f ca="1"/>
        <v>Bad</v>
      </c>
    </row>
    <row r="1277" spans="2:34" x14ac:dyDescent="0.2">
      <c r="B1277" s="2">
        <f ca="1"/>
        <v>0.83218919067470476</v>
      </c>
      <c r="O1277" s="2">
        <f ca="1"/>
        <v>1.7158572187892913</v>
      </c>
      <c r="X1277" s="2">
        <f ca="1"/>
        <v>50.299157965378775</v>
      </c>
      <c r="AG1277" s="2">
        <f ca="1"/>
        <v>0.50378464481731733</v>
      </c>
      <c r="AH1277" s="2" t="str">
        <f ca="1"/>
        <v>Bad</v>
      </c>
    </row>
    <row r="1278" spans="2:34" x14ac:dyDescent="0.2">
      <c r="B1278" s="2">
        <f ca="1"/>
        <v>0.93827713872420149</v>
      </c>
      <c r="O1278" s="2">
        <f ca="1"/>
        <v>0.95916912828878653</v>
      </c>
      <c r="X1278" s="2">
        <f ca="1"/>
        <v>63.91507822379883</v>
      </c>
      <c r="AG1278" s="2">
        <f ca="1"/>
        <v>0.8087356175961864</v>
      </c>
      <c r="AH1278" s="2" t="str">
        <f ca="1"/>
        <v>Bad</v>
      </c>
    </row>
    <row r="1279" spans="2:34" x14ac:dyDescent="0.2">
      <c r="B1279" s="2">
        <f ca="1"/>
        <v>0.72218397593263006</v>
      </c>
      <c r="O1279" s="2">
        <f ca="1"/>
        <v>0.55508468821124124</v>
      </c>
      <c r="X1279" s="2">
        <f ca="1"/>
        <v>32.821503078408917</v>
      </c>
      <c r="AG1279" s="2">
        <f ca="1"/>
        <v>0.65736484727867728</v>
      </c>
      <c r="AH1279" s="2" t="str">
        <f ca="1"/>
        <v>Bad</v>
      </c>
    </row>
    <row r="1280" spans="2:34" x14ac:dyDescent="0.2">
      <c r="B1280" s="2">
        <f ca="1"/>
        <v>0.16285038968881782</v>
      </c>
      <c r="O1280" s="2">
        <f ca="1"/>
        <v>1.4060104991768441</v>
      </c>
      <c r="X1280" s="2">
        <f ca="1"/>
        <v>54.004166610200748</v>
      </c>
      <c r="AG1280" s="2">
        <f ca="1"/>
        <v>0.92051326057494043</v>
      </c>
      <c r="AH1280" s="2" t="str">
        <f ca="1"/>
        <v>Bad</v>
      </c>
    </row>
    <row r="1281" spans="2:34" x14ac:dyDescent="0.2">
      <c r="B1281" s="2">
        <f ca="1"/>
        <v>0.81974691063107974</v>
      </c>
      <c r="O1281" s="2">
        <f ca="1"/>
        <v>-0.45187148211616041</v>
      </c>
      <c r="X1281" s="2">
        <f ca="1"/>
        <v>20.513025541417505</v>
      </c>
      <c r="AG1281" s="2">
        <f ca="1"/>
        <v>0.66017733223054553</v>
      </c>
      <c r="AH1281" s="2" t="str">
        <f ca="1"/>
        <v>Bad</v>
      </c>
    </row>
    <row r="1282" spans="2:34" x14ac:dyDescent="0.2">
      <c r="B1282" s="2">
        <f ca="1"/>
        <v>0.7919724230266183</v>
      </c>
      <c r="O1282" s="2">
        <f ca="1"/>
        <v>-0.15933017476564862</v>
      </c>
      <c r="X1282" s="2">
        <f ca="1"/>
        <v>46.813610320638873</v>
      </c>
      <c r="AG1282" s="2">
        <f ca="1"/>
        <v>0.51587466618508659</v>
      </c>
      <c r="AH1282" s="2" t="str">
        <f ca="1"/>
        <v>Bad</v>
      </c>
    </row>
    <row r="1283" spans="2:34" x14ac:dyDescent="0.2">
      <c r="B1283" s="2">
        <f ca="1"/>
        <v>0.9320818453975428</v>
      </c>
      <c r="O1283" s="2">
        <f ca="1"/>
        <v>-0.13087863823605358</v>
      </c>
      <c r="X1283" s="2">
        <f ca="1"/>
        <v>58.92848723813789</v>
      </c>
      <c r="AG1283" s="2">
        <f ca="1"/>
        <v>0.199820738119872</v>
      </c>
      <c r="AH1283" s="2" t="str">
        <f ca="1"/>
        <v>OK</v>
      </c>
    </row>
    <row r="1284" spans="2:34" x14ac:dyDescent="0.2">
      <c r="B1284" s="2">
        <f ca="1"/>
        <v>0.90407367477992961</v>
      </c>
      <c r="O1284" s="2">
        <f ca="1"/>
        <v>2.6486211443236956</v>
      </c>
      <c r="X1284" s="2">
        <f ca="1"/>
        <v>54.337107638438617</v>
      </c>
      <c r="AG1284" s="2">
        <f ca="1"/>
        <v>0.17473407594857626</v>
      </c>
      <c r="AH1284" s="2" t="str">
        <f ca="1"/>
        <v>OK</v>
      </c>
    </row>
    <row r="1285" spans="2:34" x14ac:dyDescent="0.2">
      <c r="B1285" s="2">
        <f ca="1"/>
        <v>0.82201134470534165</v>
      </c>
      <c r="O1285" s="2">
        <f ca="1"/>
        <v>-1.8367010773470742</v>
      </c>
      <c r="X1285" s="2">
        <f ca="1"/>
        <v>42.826252320173793</v>
      </c>
      <c r="AG1285" s="2">
        <f ca="1"/>
        <v>0.36487707674568193</v>
      </c>
      <c r="AH1285" s="2" t="str">
        <f ca="1"/>
        <v>OK</v>
      </c>
    </row>
    <row r="1286" spans="2:34" x14ac:dyDescent="0.2">
      <c r="B1286" s="2">
        <f ca="1"/>
        <v>0.73544725218812523</v>
      </c>
      <c r="O1286" s="2">
        <f ca="1"/>
        <v>-1.1275069797927604</v>
      </c>
      <c r="X1286" s="2">
        <f ca="1"/>
        <v>65.35699314168086</v>
      </c>
      <c r="AG1286" s="2">
        <f ca="1"/>
        <v>0.74916240773670717</v>
      </c>
      <c r="AH1286" s="2" t="str">
        <f ca="1"/>
        <v>Bad</v>
      </c>
    </row>
    <row r="1287" spans="2:34" x14ac:dyDescent="0.2">
      <c r="B1287" s="2">
        <f ca="1"/>
        <v>0.25874863881898547</v>
      </c>
      <c r="O1287" s="2">
        <f ca="1"/>
        <v>-0.58600098066533235</v>
      </c>
      <c r="X1287" s="2">
        <f ca="1"/>
        <v>45.821206206434006</v>
      </c>
      <c r="AG1287" s="2">
        <f ca="1"/>
        <v>0.47972572795275092</v>
      </c>
      <c r="AH1287" s="2" t="str">
        <f ca="1"/>
        <v>Bad</v>
      </c>
    </row>
    <row r="1288" spans="2:34" x14ac:dyDescent="0.2">
      <c r="B1288" s="2">
        <f ca="1"/>
        <v>0.12951560611123858</v>
      </c>
      <c r="O1288" s="2">
        <f ca="1"/>
        <v>1.0257978742759215</v>
      </c>
      <c r="X1288" s="2">
        <f ca="1"/>
        <v>35.595810211497025</v>
      </c>
      <c r="AG1288" s="2">
        <f ca="1"/>
        <v>0.82867932676232425</v>
      </c>
      <c r="AH1288" s="2" t="str">
        <f ca="1"/>
        <v>Bad</v>
      </c>
    </row>
    <row r="1289" spans="2:34" x14ac:dyDescent="0.2">
      <c r="B1289" s="2">
        <f ca="1"/>
        <v>0.26317277701921737</v>
      </c>
      <c r="O1289" s="2">
        <f ca="1"/>
        <v>0.75222015217566707</v>
      </c>
      <c r="X1289" s="2">
        <f ca="1"/>
        <v>77.10358820437682</v>
      </c>
      <c r="AG1289" s="2">
        <f ca="1"/>
        <v>0.58828252483610632</v>
      </c>
      <c r="AH1289" s="2" t="str">
        <f ca="1"/>
        <v>Bad</v>
      </c>
    </row>
    <row r="1290" spans="2:34" x14ac:dyDescent="0.2">
      <c r="B1290" s="2">
        <f ca="1"/>
        <v>0.87256396957970139</v>
      </c>
      <c r="O1290" s="2">
        <f ca="1"/>
        <v>0.89792895257565108</v>
      </c>
      <c r="X1290" s="2">
        <f ca="1"/>
        <v>45.223434817853096</v>
      </c>
      <c r="AG1290" s="2">
        <f ca="1"/>
        <v>0.97445792525633745</v>
      </c>
      <c r="AH1290" s="2" t="str">
        <f ca="1"/>
        <v>Bad</v>
      </c>
    </row>
    <row r="1291" spans="2:34" x14ac:dyDescent="0.2">
      <c r="B1291" s="2">
        <f ca="1"/>
        <v>0.6219336830315656</v>
      </c>
      <c r="O1291" s="2">
        <f ca="1"/>
        <v>-1.4388964129356601</v>
      </c>
      <c r="X1291" s="2">
        <f ca="1"/>
        <v>56.03755604954209</v>
      </c>
      <c r="AG1291" s="2">
        <f ca="1"/>
        <v>5.4978557602113787E-2</v>
      </c>
      <c r="AH1291" s="2" t="str">
        <f ca="1"/>
        <v>OK</v>
      </c>
    </row>
    <row r="1292" spans="2:34" x14ac:dyDescent="0.2">
      <c r="B1292" s="2">
        <f ca="1"/>
        <v>0.64460025190722114</v>
      </c>
      <c r="O1292" s="2">
        <f ca="1"/>
        <v>-1.7982181595453515</v>
      </c>
      <c r="X1292" s="2">
        <f ca="1"/>
        <v>38.849815793747119</v>
      </c>
      <c r="AG1292" s="2">
        <f ca="1"/>
        <v>0.38671734942274938</v>
      </c>
      <c r="AH1292" s="2" t="str">
        <f ca="1"/>
        <v>OK</v>
      </c>
    </row>
    <row r="1293" spans="2:34" x14ac:dyDescent="0.2">
      <c r="B1293" s="2">
        <f ca="1"/>
        <v>0.75250405292155764</v>
      </c>
      <c r="O1293" s="2">
        <f ca="1"/>
        <v>1.2871152017202185</v>
      </c>
      <c r="X1293" s="2">
        <f ca="1"/>
        <v>56.957524027033685</v>
      </c>
      <c r="AG1293" s="2">
        <f ca="1"/>
        <v>0.52603930234730778</v>
      </c>
      <c r="AH1293" s="2" t="str">
        <f ca="1"/>
        <v>Bad</v>
      </c>
    </row>
    <row r="1294" spans="2:34" x14ac:dyDescent="0.2">
      <c r="B1294" s="2">
        <f ca="1"/>
        <v>0.2188545583954622</v>
      </c>
      <c r="O1294" s="2">
        <f ca="1"/>
        <v>-0.55785160486738994</v>
      </c>
      <c r="X1294" s="2">
        <f ca="1"/>
        <v>36.203449660159237</v>
      </c>
      <c r="AG1294" s="2">
        <f ca="1"/>
        <v>0.83161741679143719</v>
      </c>
      <c r="AH1294" s="2" t="str">
        <f ca="1"/>
        <v>Bad</v>
      </c>
    </row>
    <row r="1295" spans="2:34" x14ac:dyDescent="0.2">
      <c r="B1295" s="2">
        <f ca="1"/>
        <v>0.97052469963875287</v>
      </c>
      <c r="O1295" s="2">
        <f ca="1"/>
        <v>0.62340788037651618</v>
      </c>
      <c r="X1295" s="2">
        <f ca="1"/>
        <v>50.442294763779216</v>
      </c>
      <c r="AG1295" s="2">
        <f ca="1"/>
        <v>0.40292968035451238</v>
      </c>
      <c r="AH1295" s="2" t="str">
        <f ca="1"/>
        <v>Bad</v>
      </c>
    </row>
    <row r="1296" spans="2:34" x14ac:dyDescent="0.2">
      <c r="B1296" s="2">
        <f ca="1"/>
        <v>0.52561910652248356</v>
      </c>
      <c r="O1296" s="2">
        <f ca="1"/>
        <v>1.6460887164585165</v>
      </c>
      <c r="X1296" s="2">
        <f ca="1"/>
        <v>29.107680720014773</v>
      </c>
      <c r="AG1296" s="2">
        <f ca="1"/>
        <v>0.77500811389120128</v>
      </c>
      <c r="AH1296" s="2" t="str">
        <f ca="1"/>
        <v>Bad</v>
      </c>
    </row>
    <row r="1297" spans="2:34" x14ac:dyDescent="0.2">
      <c r="B1297" s="2">
        <f ca="1"/>
        <v>0.8945270644035701</v>
      </c>
      <c r="O1297" s="2">
        <f ca="1"/>
        <v>0.46794474512033951</v>
      </c>
      <c r="X1297" s="2">
        <f ca="1"/>
        <v>26.703425820541455</v>
      </c>
      <c r="AG1297" s="2">
        <f ca="1"/>
        <v>6.7345095353423812E-2</v>
      </c>
      <c r="AH1297" s="2" t="str">
        <f ca="1"/>
        <v>OK</v>
      </c>
    </row>
    <row r="1298" spans="2:34" x14ac:dyDescent="0.2">
      <c r="B1298" s="2">
        <f ca="1"/>
        <v>0.37965897358200396</v>
      </c>
      <c r="O1298" s="2">
        <f ca="1"/>
        <v>0.22221532391254212</v>
      </c>
      <c r="X1298" s="2">
        <f ca="1"/>
        <v>75.775480881873548</v>
      </c>
      <c r="AG1298" s="2">
        <f ca="1"/>
        <v>0.4461647274563505</v>
      </c>
      <c r="AH1298" s="2" t="str">
        <f ca="1"/>
        <v>Bad</v>
      </c>
    </row>
    <row r="1299" spans="2:34" x14ac:dyDescent="0.2">
      <c r="B1299" s="2">
        <f ca="1"/>
        <v>0.2564195898946191</v>
      </c>
      <c r="O1299" s="2">
        <f ca="1"/>
        <v>-1.263601562177991</v>
      </c>
      <c r="X1299" s="2">
        <f ca="1"/>
        <v>56.219017390113223</v>
      </c>
      <c r="AG1299" s="2">
        <f ca="1"/>
        <v>0.5332351145764167</v>
      </c>
      <c r="AH1299" s="2" t="str">
        <f ca="1"/>
        <v>Bad</v>
      </c>
    </row>
    <row r="1300" spans="2:34" x14ac:dyDescent="0.2">
      <c r="B1300" s="2">
        <f ca="1"/>
        <v>0.98068927612512047</v>
      </c>
      <c r="O1300" s="2">
        <f ca="1"/>
        <v>-0.99828629596911156</v>
      </c>
      <c r="X1300" s="2">
        <f ca="1"/>
        <v>68.01595642031215</v>
      </c>
      <c r="AG1300" s="2">
        <f ca="1"/>
        <v>5.7559334929132566E-2</v>
      </c>
      <c r="AH1300" s="2" t="str">
        <f ca="1"/>
        <v>OK</v>
      </c>
    </row>
    <row r="1301" spans="2:34" x14ac:dyDescent="0.2">
      <c r="B1301" s="2">
        <f ca="1"/>
        <v>4.5479440696253315E-2</v>
      </c>
      <c r="O1301" s="2">
        <f ca="1"/>
        <v>2.7843433017296231E-2</v>
      </c>
      <c r="X1301" s="2">
        <f ca="1"/>
        <v>50.385679513982012</v>
      </c>
      <c r="AG1301" s="2">
        <f ca="1"/>
        <v>0.36141873737763408</v>
      </c>
      <c r="AH1301" s="2" t="str">
        <f ca="1"/>
        <v>OK</v>
      </c>
    </row>
    <row r="1302" spans="2:34" x14ac:dyDescent="0.2">
      <c r="B1302" s="2">
        <f ca="1"/>
        <v>0.39614163586178552</v>
      </c>
      <c r="O1302" s="2">
        <f ca="1"/>
        <v>-1.0936784742611816</v>
      </c>
      <c r="X1302" s="2">
        <f ca="1"/>
        <v>74.238230855604826</v>
      </c>
      <c r="AG1302" s="2">
        <f ca="1"/>
        <v>0.73429995987305041</v>
      </c>
      <c r="AH1302" s="2" t="str">
        <f ca="1"/>
        <v>Bad</v>
      </c>
    </row>
    <row r="1303" spans="2:34" x14ac:dyDescent="0.2">
      <c r="B1303" s="2">
        <f ca="1"/>
        <v>7.0037269235336597E-2</v>
      </c>
      <c r="O1303" s="2">
        <f ca="1"/>
        <v>0.701386732818706</v>
      </c>
      <c r="X1303" s="2">
        <f ca="1"/>
        <v>63.117281281440057</v>
      </c>
      <c r="AG1303" s="2">
        <f ca="1"/>
        <v>0.68509423247768608</v>
      </c>
      <c r="AH1303" s="2" t="str">
        <f ca="1"/>
        <v>Bad</v>
      </c>
    </row>
    <row r="1304" spans="2:34" x14ac:dyDescent="0.2">
      <c r="B1304" s="2">
        <f ca="1"/>
        <v>0.39368801424879019</v>
      </c>
      <c r="O1304" s="2">
        <f ca="1"/>
        <v>-0.11460206997741693</v>
      </c>
      <c r="X1304" s="2">
        <f ca="1"/>
        <v>61.694239182314575</v>
      </c>
      <c r="AG1304" s="2">
        <f ca="1"/>
        <v>0.61005258874655244</v>
      </c>
      <c r="AH1304" s="2" t="str">
        <f ca="1"/>
        <v>Bad</v>
      </c>
    </row>
    <row r="1305" spans="2:34" x14ac:dyDescent="0.2">
      <c r="B1305" s="2">
        <f ca="1"/>
        <v>0.62246862530923974</v>
      </c>
      <c r="O1305" s="2">
        <f ca="1"/>
        <v>5.0627954133753511E-2</v>
      </c>
      <c r="X1305" s="2">
        <f ca="1"/>
        <v>56.633130083833898</v>
      </c>
      <c r="AG1305" s="2">
        <f ca="1"/>
        <v>0.75489584305547397</v>
      </c>
      <c r="AH1305" s="2" t="str">
        <f ca="1"/>
        <v>Bad</v>
      </c>
    </row>
    <row r="1306" spans="2:34" x14ac:dyDescent="0.2">
      <c r="B1306" s="2">
        <f ca="1"/>
        <v>0.13120600683757178</v>
      </c>
      <c r="O1306" s="2">
        <f ca="1"/>
        <v>0.63761987822674593</v>
      </c>
      <c r="X1306" s="2">
        <f ca="1"/>
        <v>54.560922125475386</v>
      </c>
      <c r="AG1306" s="2">
        <f ca="1"/>
        <v>0.54451754845357403</v>
      </c>
      <c r="AH1306" s="2" t="str">
        <f ca="1"/>
        <v>Bad</v>
      </c>
    </row>
    <row r="1307" spans="2:34" x14ac:dyDescent="0.2">
      <c r="B1307" s="2">
        <f ca="1"/>
        <v>0.64925838246345235</v>
      </c>
      <c r="O1307" s="2">
        <f ca="1"/>
        <v>1.7365965006001043</v>
      </c>
      <c r="X1307" s="2">
        <f ca="1"/>
        <v>45.062795968048512</v>
      </c>
      <c r="AG1307" s="2">
        <f ca="1"/>
        <v>0.219232179748583</v>
      </c>
      <c r="AH1307" s="2" t="str">
        <f ca="1"/>
        <v>OK</v>
      </c>
    </row>
    <row r="1308" spans="2:34" x14ac:dyDescent="0.2">
      <c r="B1308" s="2">
        <f ca="1"/>
        <v>0.45955197640867995</v>
      </c>
      <c r="O1308" s="2">
        <f ca="1"/>
        <v>0.33645596813676348</v>
      </c>
      <c r="X1308" s="2">
        <f ca="1"/>
        <v>50.867412249336049</v>
      </c>
      <c r="AG1308" s="2">
        <f ca="1"/>
        <v>0.13051961553350377</v>
      </c>
      <c r="AH1308" s="2" t="str">
        <f ca="1"/>
        <v>OK</v>
      </c>
    </row>
    <row r="1309" spans="2:34" x14ac:dyDescent="0.2">
      <c r="B1309" s="2">
        <f ca="1"/>
        <v>0.70192317913821456</v>
      </c>
      <c r="O1309" s="2">
        <f ca="1"/>
        <v>-1.7291923759998606E-2</v>
      </c>
      <c r="X1309" s="2">
        <f ca="1"/>
        <v>36.515232240013745</v>
      </c>
      <c r="AG1309" s="2">
        <f ca="1"/>
        <v>0.90997984054105974</v>
      </c>
      <c r="AH1309" s="2" t="str">
        <f ca="1"/>
        <v>Bad</v>
      </c>
    </row>
    <row r="1310" spans="2:34" x14ac:dyDescent="0.2">
      <c r="B1310" s="2">
        <f ca="1"/>
        <v>0.83364387741931356</v>
      </c>
      <c r="O1310" s="2">
        <f ca="1"/>
        <v>1.4179101174853899</v>
      </c>
      <c r="X1310" s="2">
        <f ca="1"/>
        <v>46.931486443076309</v>
      </c>
      <c r="AG1310" s="2">
        <f ca="1"/>
        <v>3.0517770905395869E-2</v>
      </c>
      <c r="AH1310" s="2" t="str">
        <f ca="1"/>
        <v>Good</v>
      </c>
    </row>
    <row r="1311" spans="2:34" x14ac:dyDescent="0.2">
      <c r="B1311" s="2">
        <f ca="1"/>
        <v>0.80209029452864367</v>
      </c>
      <c r="O1311" s="2">
        <f ca="1"/>
        <v>0.66488720260068068</v>
      </c>
      <c r="X1311" s="2">
        <f ca="1"/>
        <v>63.288178390075657</v>
      </c>
      <c r="AG1311" s="2">
        <f ca="1"/>
        <v>8.1007322321067665E-2</v>
      </c>
      <c r="AH1311" s="2" t="str">
        <f ca="1"/>
        <v>OK</v>
      </c>
    </row>
    <row r="1312" spans="2:34" x14ac:dyDescent="0.2">
      <c r="B1312" s="2">
        <f ca="1"/>
        <v>0.95612494001963766</v>
      </c>
      <c r="O1312" s="2">
        <f ca="1"/>
        <v>-7.3195129516145513E-2</v>
      </c>
      <c r="X1312" s="2">
        <f ca="1"/>
        <v>43.402042615147025</v>
      </c>
      <c r="AG1312" s="2">
        <f ca="1"/>
        <v>0.66090045849771006</v>
      </c>
      <c r="AH1312" s="2" t="str">
        <f ca="1"/>
        <v>Bad</v>
      </c>
    </row>
    <row r="1313" spans="2:34" x14ac:dyDescent="0.2">
      <c r="B1313" s="2">
        <f ca="1"/>
        <v>0.446449315878227</v>
      </c>
      <c r="O1313" s="2">
        <f ca="1"/>
        <v>-0.87123455613500067</v>
      </c>
      <c r="X1313" s="2">
        <f ca="1"/>
        <v>52.882946296685716</v>
      </c>
      <c r="AG1313" s="2">
        <f ca="1"/>
        <v>0.6635680283357166</v>
      </c>
      <c r="AH1313" s="2" t="str">
        <f ca="1"/>
        <v>Bad</v>
      </c>
    </row>
    <row r="1314" spans="2:34" x14ac:dyDescent="0.2">
      <c r="B1314" s="2">
        <f ca="1"/>
        <v>0.23690856710093278</v>
      </c>
      <c r="O1314" s="2">
        <f ca="1"/>
        <v>0.51252736920168585</v>
      </c>
      <c r="X1314" s="2">
        <f ca="1"/>
        <v>45.740251856062727</v>
      </c>
      <c r="AG1314" s="2">
        <f ca="1"/>
        <v>0.96585619950708357</v>
      </c>
      <c r="AH1314" s="2" t="str">
        <f ca="1"/>
        <v>Bad</v>
      </c>
    </row>
    <row r="1315" spans="2:34" x14ac:dyDescent="0.2">
      <c r="B1315" s="2">
        <f ca="1"/>
        <v>0.91106048586690846</v>
      </c>
      <c r="O1315" s="2">
        <f ca="1"/>
        <v>-0.53216696660987106</v>
      </c>
      <c r="X1315" s="2">
        <f ca="1"/>
        <v>49.829090419940698</v>
      </c>
      <c r="AG1315" s="2">
        <f ca="1"/>
        <v>0.12002806063719018</v>
      </c>
      <c r="AH1315" s="2" t="str">
        <f ca="1"/>
        <v>OK</v>
      </c>
    </row>
    <row r="1316" spans="2:34" x14ac:dyDescent="0.2">
      <c r="B1316" s="2">
        <f ca="1"/>
        <v>0.59003350569520308</v>
      </c>
      <c r="O1316" s="2">
        <f ca="1"/>
        <v>-1.2428111271532003</v>
      </c>
      <c r="X1316" s="2">
        <f ca="1"/>
        <v>42.503289222244305</v>
      </c>
      <c r="AG1316" s="2">
        <f ca="1"/>
        <v>0.68870930527280039</v>
      </c>
      <c r="AH1316" s="2" t="str">
        <f ca="1"/>
        <v>Bad</v>
      </c>
    </row>
    <row r="1317" spans="2:34" x14ac:dyDescent="0.2">
      <c r="B1317" s="2">
        <f ca="1"/>
        <v>0.36436219197693509</v>
      </c>
      <c r="O1317" s="2">
        <f ca="1"/>
        <v>1.0618615154728981</v>
      </c>
      <c r="X1317" s="2">
        <f ca="1"/>
        <v>62.860666220821628</v>
      </c>
      <c r="AG1317" s="2">
        <f ca="1"/>
        <v>0.1512856157130793</v>
      </c>
      <c r="AH1317" s="2" t="str">
        <f ca="1"/>
        <v>OK</v>
      </c>
    </row>
    <row r="1318" spans="2:34" x14ac:dyDescent="0.2">
      <c r="B1318" s="2">
        <f ca="1"/>
        <v>0.2558012625108872</v>
      </c>
      <c r="O1318" s="2">
        <f ca="1"/>
        <v>1.7268401346805136</v>
      </c>
      <c r="X1318" s="2">
        <f ca="1"/>
        <v>59.762999767136606</v>
      </c>
      <c r="AG1318" s="2">
        <f ca="1"/>
        <v>0.40503736153066927</v>
      </c>
      <c r="AH1318" s="2" t="str">
        <f ca="1"/>
        <v>Bad</v>
      </c>
    </row>
    <row r="1319" spans="2:34" x14ac:dyDescent="0.2">
      <c r="B1319" s="2">
        <f ca="1"/>
        <v>0.86276948541530962</v>
      </c>
      <c r="O1319" s="2">
        <f ca="1"/>
        <v>-5.4915120532634367E-3</v>
      </c>
      <c r="X1319" s="2">
        <f ca="1"/>
        <v>29.02666425269674</v>
      </c>
      <c r="AG1319" s="2">
        <f ca="1"/>
        <v>0.38463202116249939</v>
      </c>
      <c r="AH1319" s="2" t="str">
        <f ca="1"/>
        <v>OK</v>
      </c>
    </row>
    <row r="1320" spans="2:34" x14ac:dyDescent="0.2">
      <c r="B1320" s="2">
        <f ca="1"/>
        <v>0.93104531259653567</v>
      </c>
      <c r="O1320" s="2">
        <f ca="1"/>
        <v>-0.38395742881398354</v>
      </c>
      <c r="X1320" s="2">
        <f ca="1"/>
        <v>69.032834438701741</v>
      </c>
      <c r="AG1320" s="2">
        <f ca="1"/>
        <v>0.23378484609276806</v>
      </c>
      <c r="AH1320" s="2" t="str">
        <f ca="1"/>
        <v>OK</v>
      </c>
    </row>
    <row r="1321" spans="2:34" x14ac:dyDescent="0.2">
      <c r="B1321" s="2">
        <f ca="1"/>
        <v>0.73249279490173413</v>
      </c>
      <c r="O1321" s="2">
        <f ca="1"/>
        <v>-1.6063672455846691</v>
      </c>
      <c r="X1321" s="2">
        <f ca="1"/>
        <v>32.374329105601362</v>
      </c>
      <c r="AG1321" s="2">
        <f ca="1"/>
        <v>0.10228425101701832</v>
      </c>
      <c r="AH1321" s="2" t="str">
        <f ca="1"/>
        <v>OK</v>
      </c>
    </row>
    <row r="1322" spans="2:34" x14ac:dyDescent="0.2">
      <c r="B1322" s="2">
        <f ca="1"/>
        <v>0.22100498645914302</v>
      </c>
      <c r="O1322" s="2">
        <f ca="1"/>
        <v>-1.1003534664504939</v>
      </c>
      <c r="X1322" s="2">
        <f ca="1"/>
        <v>32.470279521188317</v>
      </c>
      <c r="AG1322" s="2">
        <f ca="1"/>
        <v>0.55053509633711872</v>
      </c>
      <c r="AH1322" s="2" t="str">
        <f ca="1"/>
        <v>Bad</v>
      </c>
    </row>
    <row r="1323" spans="2:34" x14ac:dyDescent="0.2">
      <c r="B1323" s="2">
        <f ca="1"/>
        <v>0.32165299047195872</v>
      </c>
      <c r="O1323" s="2">
        <f ca="1"/>
        <v>-0.72390856925488112</v>
      </c>
      <c r="X1323" s="2">
        <f ca="1"/>
        <v>79.170605073676739</v>
      </c>
      <c r="AG1323" s="2">
        <f ca="1"/>
        <v>6.5662846149946885E-2</v>
      </c>
      <c r="AH1323" s="2" t="str">
        <f ca="1"/>
        <v>OK</v>
      </c>
    </row>
    <row r="1324" spans="2:34" x14ac:dyDescent="0.2">
      <c r="B1324" s="2">
        <f ca="1"/>
        <v>0.30101983768263341</v>
      </c>
      <c r="O1324" s="2">
        <f ca="1"/>
        <v>-0.66729033829247586</v>
      </c>
      <c r="X1324" s="2">
        <f ca="1"/>
        <v>44.564707643312509</v>
      </c>
      <c r="AG1324" s="2">
        <f ca="1"/>
        <v>0.95253813370158236</v>
      </c>
      <c r="AH1324" s="2" t="str">
        <f ca="1"/>
        <v>Bad</v>
      </c>
    </row>
    <row r="1325" spans="2:34" x14ac:dyDescent="0.2">
      <c r="B1325" s="2">
        <f ca="1"/>
        <v>0.67104311535073391</v>
      </c>
      <c r="O1325" s="2">
        <f ca="1"/>
        <v>-0.46290898088210247</v>
      </c>
      <c r="X1325" s="2">
        <f ca="1"/>
        <v>38.506492508226437</v>
      </c>
      <c r="AG1325" s="2">
        <f ca="1"/>
        <v>0.31876619405664397</v>
      </c>
      <c r="AH1325" s="2" t="str">
        <f ca="1"/>
        <v>OK</v>
      </c>
    </row>
    <row r="1326" spans="2:34" x14ac:dyDescent="0.2">
      <c r="B1326" s="2">
        <f ca="1"/>
        <v>0.12657669560711571</v>
      </c>
      <c r="O1326" s="2">
        <f ca="1"/>
        <v>-0.2053152056106205</v>
      </c>
      <c r="X1326" s="2">
        <f ca="1"/>
        <v>28.598871245268967</v>
      </c>
      <c r="AG1326" s="2">
        <f ca="1"/>
        <v>0.29902970398503936</v>
      </c>
      <c r="AH1326" s="2" t="str">
        <f ca="1"/>
        <v>OK</v>
      </c>
    </row>
    <row r="1327" spans="2:34" x14ac:dyDescent="0.2">
      <c r="B1327" s="2">
        <f ca="1"/>
        <v>0.12713261476183968</v>
      </c>
      <c r="O1327" s="2">
        <f ca="1"/>
        <v>-0.66001736820459211</v>
      </c>
      <c r="X1327" s="2">
        <f ca="1"/>
        <v>34.389184973413258</v>
      </c>
      <c r="AG1327" s="2">
        <f ca="1"/>
        <v>0.28958411745944801</v>
      </c>
      <c r="AH1327" s="2" t="str">
        <f ca="1"/>
        <v>OK</v>
      </c>
    </row>
    <row r="1328" spans="2:34" x14ac:dyDescent="0.2">
      <c r="B1328" s="2">
        <f ca="1"/>
        <v>0.80968115512290151</v>
      </c>
      <c r="O1328" s="2">
        <f ca="1"/>
        <v>0.76061953124067261</v>
      </c>
      <c r="X1328" s="2">
        <f ca="1"/>
        <v>64.607500427851861</v>
      </c>
      <c r="AG1328" s="2">
        <f ca="1"/>
        <v>7.1387102521572876E-2</v>
      </c>
      <c r="AH1328" s="2" t="str">
        <f ca="1"/>
        <v>OK</v>
      </c>
    </row>
    <row r="1329" spans="2:34" x14ac:dyDescent="0.2">
      <c r="B1329" s="2">
        <f ca="1"/>
        <v>0.64753304933906808</v>
      </c>
      <c r="O1329" s="2">
        <f ca="1"/>
        <v>-0.1549293551147882</v>
      </c>
      <c r="X1329" s="2">
        <f ca="1"/>
        <v>54.229776532673114</v>
      </c>
      <c r="AG1329" s="2">
        <f ca="1"/>
        <v>0.44221645484355432</v>
      </c>
      <c r="AH1329" s="2" t="str">
        <f ca="1"/>
        <v>Bad</v>
      </c>
    </row>
    <row r="1330" spans="2:34" x14ac:dyDescent="0.2">
      <c r="B1330" s="2">
        <f ca="1"/>
        <v>0.1637642016458023</v>
      </c>
      <c r="O1330" s="2">
        <f ca="1"/>
        <v>9.1002117728661222E-2</v>
      </c>
      <c r="X1330" s="2">
        <f ca="1"/>
        <v>81.967276336735438</v>
      </c>
      <c r="AG1330" s="2">
        <f ca="1"/>
        <v>0.15648549708880988</v>
      </c>
      <c r="AH1330" s="2" t="str">
        <f ca="1"/>
        <v>OK</v>
      </c>
    </row>
    <row r="1331" spans="2:34" x14ac:dyDescent="0.2">
      <c r="B1331" s="2">
        <f ca="1"/>
        <v>0.18357465185920407</v>
      </c>
      <c r="O1331" s="2">
        <f ca="1"/>
        <v>-1.1388920937293177</v>
      </c>
      <c r="X1331" s="2">
        <f ca="1"/>
        <v>76.30160840207256</v>
      </c>
      <c r="AG1331" s="2">
        <f ca="1"/>
        <v>0.26840483425154682</v>
      </c>
      <c r="AH1331" s="2" t="str">
        <f ca="1"/>
        <v>OK</v>
      </c>
    </row>
    <row r="1332" spans="2:34" x14ac:dyDescent="0.2">
      <c r="B1332" s="2">
        <f ca="1"/>
        <v>0.27838941160034247</v>
      </c>
      <c r="O1332" s="2">
        <f ca="1"/>
        <v>-1.7759895580623632</v>
      </c>
      <c r="X1332" s="2">
        <f ca="1"/>
        <v>21.463127435490744</v>
      </c>
      <c r="AG1332" s="2">
        <f ca="1"/>
        <v>0.51847429952422019</v>
      </c>
      <c r="AH1332" s="2" t="str">
        <f ca="1"/>
        <v>Bad</v>
      </c>
    </row>
    <row r="1333" spans="2:34" x14ac:dyDescent="0.2">
      <c r="B1333" s="2">
        <f ca="1"/>
        <v>0.47805603503721139</v>
      </c>
      <c r="O1333" s="2">
        <f ca="1"/>
        <v>-1.3203090574064669</v>
      </c>
      <c r="X1333" s="2">
        <f ca="1"/>
        <v>58.65435800076596</v>
      </c>
      <c r="AG1333" s="2">
        <f ca="1"/>
        <v>5.8302423521045865E-2</v>
      </c>
      <c r="AH1333" s="2" t="str">
        <f ca="1"/>
        <v>OK</v>
      </c>
    </row>
    <row r="1334" spans="2:34" x14ac:dyDescent="0.2">
      <c r="B1334" s="2">
        <f ca="1"/>
        <v>0.23886104741809011</v>
      </c>
      <c r="O1334" s="2">
        <f ca="1"/>
        <v>-1.6170807425271501</v>
      </c>
      <c r="X1334" s="2">
        <f ca="1"/>
        <v>54.580730305196212</v>
      </c>
      <c r="AG1334" s="2">
        <f ca="1"/>
        <v>0.24828198286033798</v>
      </c>
      <c r="AH1334" s="2" t="str">
        <f ca="1"/>
        <v>OK</v>
      </c>
    </row>
    <row r="1335" spans="2:34" x14ac:dyDescent="0.2">
      <c r="B1335" s="2">
        <f ca="1"/>
        <v>0.28492794647241326</v>
      </c>
      <c r="O1335" s="2">
        <f ca="1"/>
        <v>-1.2005259786520615</v>
      </c>
      <c r="X1335" s="2">
        <f ca="1"/>
        <v>48.205574809213381</v>
      </c>
      <c r="AG1335" s="2">
        <f ca="1"/>
        <v>0.53534974227510435</v>
      </c>
      <c r="AH1335" s="2" t="str">
        <f ca="1"/>
        <v>Bad</v>
      </c>
    </row>
    <row r="1336" spans="2:34" x14ac:dyDescent="0.2">
      <c r="B1336" s="2">
        <f ca="1"/>
        <v>0.18004925072097877</v>
      </c>
      <c r="O1336" s="2">
        <f ca="1"/>
        <v>-0.39333671807839377</v>
      </c>
      <c r="X1336" s="2">
        <f ca="1"/>
        <v>93.428277253680335</v>
      </c>
      <c r="AG1336" s="2">
        <f ca="1"/>
        <v>0.30806239306706784</v>
      </c>
      <c r="AH1336" s="2" t="str">
        <f ca="1"/>
        <v>OK</v>
      </c>
    </row>
    <row r="1337" spans="2:34" x14ac:dyDescent="0.2">
      <c r="B1337" s="2">
        <f ca="1"/>
        <v>0.33485044022884081</v>
      </c>
      <c r="O1337" s="2">
        <f ca="1"/>
        <v>-1.4554112187234463</v>
      </c>
      <c r="X1337" s="2">
        <f ca="1"/>
        <v>79.85553096076589</v>
      </c>
      <c r="AG1337" s="2">
        <f ca="1"/>
        <v>0.28209525353887477</v>
      </c>
      <c r="AH1337" s="2" t="str">
        <f ca="1"/>
        <v>OK</v>
      </c>
    </row>
    <row r="1338" spans="2:34" x14ac:dyDescent="0.2">
      <c r="B1338" s="2">
        <f ca="1"/>
        <v>0.84556028647381387</v>
      </c>
      <c r="O1338" s="2">
        <f ca="1"/>
        <v>-0.28904200025287446</v>
      </c>
      <c r="X1338" s="2">
        <f ca="1"/>
        <v>65.865501116498123</v>
      </c>
      <c r="AG1338" s="2">
        <f ca="1"/>
        <v>0.98787163093574915</v>
      </c>
      <c r="AH1338" s="2" t="str">
        <f ca="1"/>
        <v>Bad</v>
      </c>
    </row>
    <row r="1339" spans="2:34" x14ac:dyDescent="0.2">
      <c r="B1339" s="2">
        <f ca="1"/>
        <v>0.23704918645227813</v>
      </c>
      <c r="O1339" s="2">
        <f ca="1"/>
        <v>-0.17364095551283826</v>
      </c>
      <c r="X1339" s="2">
        <f ca="1"/>
        <v>35.699651572284949</v>
      </c>
      <c r="AG1339" s="2">
        <f ca="1"/>
        <v>0.71987183157085854</v>
      </c>
      <c r="AH1339" s="2" t="str">
        <f ca="1"/>
        <v>Bad</v>
      </c>
    </row>
    <row r="1340" spans="2:34" x14ac:dyDescent="0.2">
      <c r="B1340" s="2">
        <f ca="1"/>
        <v>0.73504083108114315</v>
      </c>
      <c r="O1340" s="2">
        <f ca="1"/>
        <v>1.0520222171306117</v>
      </c>
      <c r="X1340" s="2">
        <f ca="1"/>
        <v>44.973815356359808</v>
      </c>
      <c r="AG1340" s="2">
        <f ca="1"/>
        <v>0.94149701188321711</v>
      </c>
      <c r="AH1340" s="2" t="str">
        <f ca="1"/>
        <v>Bad</v>
      </c>
    </row>
    <row r="1341" spans="2:34" x14ac:dyDescent="0.2">
      <c r="B1341" s="2">
        <f ca="1"/>
        <v>0.70867724564294177</v>
      </c>
      <c r="O1341" s="2">
        <f ca="1"/>
        <v>-0.21774876040584712</v>
      </c>
      <c r="X1341" s="2">
        <f ca="1"/>
        <v>19.799079925763625</v>
      </c>
      <c r="AG1341" s="2">
        <f ca="1"/>
        <v>0.84409531406250649</v>
      </c>
      <c r="AH1341" s="2" t="str">
        <f ca="1"/>
        <v>Bad</v>
      </c>
    </row>
    <row r="1342" spans="2:34" x14ac:dyDescent="0.2">
      <c r="B1342" s="2">
        <f ca="1"/>
        <v>0.99101165748877773</v>
      </c>
      <c r="O1342" s="2">
        <f ca="1"/>
        <v>0.48519007613250853</v>
      </c>
      <c r="X1342" s="2">
        <f ca="1"/>
        <v>49.773241173745419</v>
      </c>
      <c r="AG1342" s="2">
        <f ca="1"/>
        <v>0.98701978063006313</v>
      </c>
      <c r="AH1342" s="2" t="str">
        <f ca="1"/>
        <v>Bad</v>
      </c>
    </row>
    <row r="1343" spans="2:34" x14ac:dyDescent="0.2">
      <c r="B1343" s="2">
        <f ca="1"/>
        <v>0.27995143996576699</v>
      </c>
      <c r="O1343" s="2">
        <f ca="1"/>
        <v>0.95316318591028337</v>
      </c>
      <c r="X1343" s="2">
        <f ca="1"/>
        <v>30.785912232369547</v>
      </c>
      <c r="AG1343" s="2">
        <f ca="1"/>
        <v>0.67374240510216588</v>
      </c>
      <c r="AH1343" s="2" t="str">
        <f ca="1"/>
        <v>Bad</v>
      </c>
    </row>
    <row r="1344" spans="2:34" x14ac:dyDescent="0.2">
      <c r="B1344" s="2">
        <f ca="1"/>
        <v>0.44408661462543986</v>
      </c>
      <c r="O1344" s="2">
        <f ca="1"/>
        <v>9.9286594876794768E-2</v>
      </c>
      <c r="X1344" s="2">
        <f ca="1"/>
        <v>37.558842431085374</v>
      </c>
      <c r="AG1344" s="2">
        <f ca="1"/>
        <v>0.17509127198561281</v>
      </c>
      <c r="AH1344" s="2" t="str">
        <f ca="1"/>
        <v>OK</v>
      </c>
    </row>
    <row r="1345" spans="2:34" x14ac:dyDescent="0.2">
      <c r="B1345" s="2">
        <f ca="1"/>
        <v>0.74321475382791435</v>
      </c>
      <c r="O1345" s="2">
        <f ca="1"/>
        <v>1.523308693103653</v>
      </c>
      <c r="X1345" s="2">
        <f ca="1"/>
        <v>49.79077527660597</v>
      </c>
      <c r="AG1345" s="2">
        <f ca="1"/>
        <v>0.95260270568664884</v>
      </c>
      <c r="AH1345" s="2" t="str">
        <f ca="1"/>
        <v>Bad</v>
      </c>
    </row>
    <row r="1346" spans="2:34" x14ac:dyDescent="0.2">
      <c r="B1346" s="2">
        <f ca="1"/>
        <v>0.20836577113762944</v>
      </c>
      <c r="O1346" s="2">
        <f ca="1"/>
        <v>0.25274487797141154</v>
      </c>
      <c r="X1346" s="2">
        <f ca="1"/>
        <v>74.156913941088007</v>
      </c>
      <c r="AG1346" s="2">
        <f ca="1"/>
        <v>3.4023764261417178E-2</v>
      </c>
      <c r="AH1346" s="2" t="str">
        <f ca="1"/>
        <v>Good</v>
      </c>
    </row>
    <row r="1347" spans="2:34" x14ac:dyDescent="0.2">
      <c r="B1347" s="2">
        <f ca="1"/>
        <v>0.41229290850801825</v>
      </c>
      <c r="O1347" s="2">
        <f ca="1"/>
        <v>0.43369088294976743</v>
      </c>
      <c r="X1347" s="2">
        <f ca="1"/>
        <v>41.626084829480526</v>
      </c>
      <c r="AG1347" s="2">
        <f ca="1"/>
        <v>0.79117255263392949</v>
      </c>
      <c r="AH1347" s="2" t="str">
        <f ca="1"/>
        <v>Bad</v>
      </c>
    </row>
    <row r="1348" spans="2:34" x14ac:dyDescent="0.2">
      <c r="B1348" s="2">
        <f ca="1"/>
        <v>8.6554886086150695E-2</v>
      </c>
      <c r="O1348" s="2">
        <f ca="1"/>
        <v>1.0888496939177785</v>
      </c>
      <c r="X1348" s="2">
        <f ca="1"/>
        <v>65.176376941879909</v>
      </c>
      <c r="AG1348" s="2">
        <f ca="1"/>
        <v>0.28172444295277033</v>
      </c>
      <c r="AH1348" s="2" t="str">
        <f ca="1"/>
        <v>OK</v>
      </c>
    </row>
    <row r="1349" spans="2:34" x14ac:dyDescent="0.2">
      <c r="B1349" s="2">
        <f ca="1"/>
        <v>0.30942638845420145</v>
      </c>
      <c r="O1349" s="2">
        <f ca="1"/>
        <v>0.22002584530531433</v>
      </c>
      <c r="X1349" s="2">
        <f ca="1"/>
        <v>61.298853142448749</v>
      </c>
      <c r="AG1349" s="2">
        <f ca="1"/>
        <v>0.30703096552875353</v>
      </c>
      <c r="AH1349" s="2" t="str">
        <f ca="1"/>
        <v>OK</v>
      </c>
    </row>
    <row r="1350" spans="2:34" x14ac:dyDescent="0.2">
      <c r="B1350" s="2">
        <f ca="1"/>
        <v>0.28851421048094927</v>
      </c>
      <c r="O1350" s="2">
        <f ca="1"/>
        <v>0.61294996306506455</v>
      </c>
      <c r="X1350" s="2">
        <f ca="1"/>
        <v>45.158872650386527</v>
      </c>
      <c r="AG1350" s="2">
        <f ca="1"/>
        <v>0.44066535490614478</v>
      </c>
      <c r="AH1350" s="2" t="str">
        <f ca="1"/>
        <v>Bad</v>
      </c>
    </row>
    <row r="1351" spans="2:34" x14ac:dyDescent="0.2">
      <c r="B1351" s="2">
        <f ca="1"/>
        <v>0.44401736160387406</v>
      </c>
      <c r="O1351" s="2">
        <f ca="1"/>
        <v>1.8484122151506464</v>
      </c>
      <c r="X1351" s="2">
        <f ca="1"/>
        <v>36.340663140601379</v>
      </c>
      <c r="AG1351" s="2">
        <f ca="1"/>
        <v>0.64573921746586782</v>
      </c>
      <c r="AH1351" s="2" t="str">
        <f ca="1"/>
        <v>Bad</v>
      </c>
    </row>
    <row r="1352" spans="2:34" x14ac:dyDescent="0.2">
      <c r="B1352" s="2">
        <f ca="1"/>
        <v>0.97840344388795786</v>
      </c>
      <c r="O1352" s="2">
        <f ca="1"/>
        <v>-1.9570515274486198</v>
      </c>
      <c r="X1352" s="2">
        <f ca="1"/>
        <v>32.098856174108931</v>
      </c>
      <c r="AG1352" s="2">
        <f ca="1"/>
        <v>0.61498756482375794</v>
      </c>
      <c r="AH1352" s="2" t="str">
        <f ca="1"/>
        <v>Bad</v>
      </c>
    </row>
    <row r="1353" spans="2:34" x14ac:dyDescent="0.2">
      <c r="B1353" s="2">
        <f ca="1"/>
        <v>7.0212329123661377E-2</v>
      </c>
      <c r="O1353" s="2">
        <f ca="1"/>
        <v>0.11077353548077636</v>
      </c>
      <c r="X1353" s="2">
        <f ca="1"/>
        <v>85.859627473059916</v>
      </c>
      <c r="AG1353" s="2">
        <f ca="1"/>
        <v>0.47221690535680549</v>
      </c>
      <c r="AH1353" s="2" t="str">
        <f ca="1"/>
        <v>Bad</v>
      </c>
    </row>
    <row r="1354" spans="2:34" x14ac:dyDescent="0.2">
      <c r="B1354" s="2">
        <f ca="1"/>
        <v>0.82381299505947281</v>
      </c>
      <c r="O1354" s="2">
        <f ca="1"/>
        <v>1.3533707452504204</v>
      </c>
      <c r="X1354" s="2">
        <f ca="1"/>
        <v>30.491305399008098</v>
      </c>
      <c r="AG1354" s="2">
        <f ca="1"/>
        <v>0.25759496988722064</v>
      </c>
      <c r="AH1354" s="2" t="str">
        <f ca="1"/>
        <v>OK</v>
      </c>
    </row>
    <row r="1355" spans="2:34" x14ac:dyDescent="0.2">
      <c r="B1355" s="2">
        <f ca="1"/>
        <v>0.71114579381048881</v>
      </c>
      <c r="O1355" s="2">
        <f ca="1"/>
        <v>-1.3994418879947266</v>
      </c>
      <c r="X1355" s="2">
        <f ca="1"/>
        <v>55.8285990591108</v>
      </c>
      <c r="AG1355" s="2">
        <f ca="1"/>
        <v>0.9210801728807394</v>
      </c>
      <c r="AH1355" s="2" t="str">
        <f ca="1"/>
        <v>Bad</v>
      </c>
    </row>
    <row r="1356" spans="2:34" x14ac:dyDescent="0.2">
      <c r="B1356" s="2">
        <f ca="1"/>
        <v>0.21091422444111374</v>
      </c>
      <c r="O1356" s="2">
        <f ca="1"/>
        <v>-0.5862066109571753</v>
      </c>
      <c r="X1356" s="2">
        <f ca="1"/>
        <v>116.19390271032469</v>
      </c>
      <c r="AG1356" s="2">
        <f ca="1"/>
        <v>0.1867146224432783</v>
      </c>
      <c r="AH1356" s="2" t="str">
        <f ca="1"/>
        <v>OK</v>
      </c>
    </row>
    <row r="1357" spans="2:34" x14ac:dyDescent="0.2">
      <c r="B1357" s="2">
        <f ca="1"/>
        <v>0.86782455171260775</v>
      </c>
      <c r="O1357" s="2">
        <f ca="1"/>
        <v>0.7690617079708707</v>
      </c>
      <c r="X1357" s="2">
        <f ca="1"/>
        <v>46.364679084737091</v>
      </c>
      <c r="AG1357" s="2">
        <f ca="1"/>
        <v>0.55303354585116304</v>
      </c>
      <c r="AH1357" s="2" t="str">
        <f ca="1"/>
        <v>Bad</v>
      </c>
    </row>
    <row r="1358" spans="2:34" x14ac:dyDescent="0.2">
      <c r="B1358" s="2">
        <f ca="1"/>
        <v>0.3654239037037581</v>
      </c>
      <c r="O1358" s="2">
        <f ca="1"/>
        <v>0.40120181499259422</v>
      </c>
      <c r="X1358" s="2">
        <f ca="1"/>
        <v>50.613005297232966</v>
      </c>
      <c r="AG1358" s="2">
        <f ca="1"/>
        <v>0.59638791604375907</v>
      </c>
      <c r="AH1358" s="2" t="str">
        <f ca="1"/>
        <v>Bad</v>
      </c>
    </row>
    <row r="1359" spans="2:34" x14ac:dyDescent="0.2">
      <c r="B1359" s="2">
        <f ca="1"/>
        <v>0.37688051386073784</v>
      </c>
      <c r="O1359" s="2">
        <f ca="1"/>
        <v>0.40059960967084834</v>
      </c>
      <c r="X1359" s="2">
        <f ca="1"/>
        <v>62.424611506136117</v>
      </c>
      <c r="AG1359" s="2">
        <f ca="1"/>
        <v>0.80380951381701182</v>
      </c>
      <c r="AH1359" s="2" t="str">
        <f ca="1"/>
        <v>Bad</v>
      </c>
    </row>
    <row r="1360" spans="2:34" x14ac:dyDescent="0.2">
      <c r="B1360" s="2">
        <f ca="1"/>
        <v>0.77350173692991775</v>
      </c>
      <c r="O1360" s="2">
        <f ca="1"/>
        <v>0.41615399640926432</v>
      </c>
      <c r="X1360" s="2">
        <f ca="1"/>
        <v>60.121707000814155</v>
      </c>
      <c r="AG1360" s="2">
        <f ca="1"/>
        <v>0.56891689379142663</v>
      </c>
      <c r="AH1360" s="2" t="str">
        <f ca="1"/>
        <v>Bad</v>
      </c>
    </row>
    <row r="1361" spans="2:34" x14ac:dyDescent="0.2">
      <c r="B1361" s="2">
        <f ca="1"/>
        <v>0.72979683803920037</v>
      </c>
      <c r="O1361" s="2">
        <f ca="1"/>
        <v>-1.1952827705251556</v>
      </c>
      <c r="X1361" s="2">
        <f ca="1"/>
        <v>26.78742667158869</v>
      </c>
      <c r="AG1361" s="2">
        <f ca="1"/>
        <v>0.34776410379726252</v>
      </c>
      <c r="AH1361" s="2" t="str">
        <f ca="1"/>
        <v>OK</v>
      </c>
    </row>
    <row r="1362" spans="2:34" x14ac:dyDescent="0.2">
      <c r="B1362" s="2">
        <f ca="1"/>
        <v>0.47787519248061239</v>
      </c>
      <c r="O1362" s="2">
        <f ca="1"/>
        <v>9.0261956786136008E-2</v>
      </c>
      <c r="X1362" s="2">
        <f ca="1"/>
        <v>39.75295355140554</v>
      </c>
      <c r="AG1362" s="2">
        <f ca="1"/>
        <v>2.626529074752737E-2</v>
      </c>
      <c r="AH1362" s="2" t="str">
        <f ca="1"/>
        <v>Good</v>
      </c>
    </row>
    <row r="1363" spans="2:34" x14ac:dyDescent="0.2">
      <c r="B1363" s="2">
        <f ca="1"/>
        <v>9.4674210475526932E-2</v>
      </c>
      <c r="O1363" s="2">
        <f ca="1"/>
        <v>0.16055248184328821</v>
      </c>
      <c r="X1363" s="2">
        <f ca="1"/>
        <v>23.370654134923559</v>
      </c>
      <c r="AG1363" s="2">
        <f ca="1"/>
        <v>0.95989973703443154</v>
      </c>
      <c r="AH1363" s="2" t="str">
        <f ca="1"/>
        <v>Bad</v>
      </c>
    </row>
    <row r="1364" spans="2:34" x14ac:dyDescent="0.2">
      <c r="B1364" s="2">
        <f ca="1"/>
        <v>0.2468403416541185</v>
      </c>
      <c r="O1364" s="2">
        <f ca="1"/>
        <v>0.35273668626731997</v>
      </c>
      <c r="X1364" s="2">
        <f ca="1"/>
        <v>49.795034570136792</v>
      </c>
      <c r="AG1364" s="2">
        <f ca="1"/>
        <v>0.54096182164163498</v>
      </c>
      <c r="AH1364" s="2" t="str">
        <f ca="1"/>
        <v>Bad</v>
      </c>
    </row>
    <row r="1365" spans="2:34" x14ac:dyDescent="0.2">
      <c r="B1365" s="2">
        <f ca="1"/>
        <v>0.89036763871152402</v>
      </c>
      <c r="O1365" s="2">
        <f ca="1"/>
        <v>-3.1698238314424101E-2</v>
      </c>
      <c r="X1365" s="2">
        <f ca="1"/>
        <v>61.499210727053608</v>
      </c>
      <c r="AG1365" s="2">
        <f ca="1"/>
        <v>0.27281075264105814</v>
      </c>
      <c r="AH1365" s="2" t="str">
        <f ca="1"/>
        <v>OK</v>
      </c>
    </row>
    <row r="1366" spans="2:34" x14ac:dyDescent="0.2">
      <c r="B1366" s="2">
        <f ca="1"/>
        <v>0.19590923549329298</v>
      </c>
      <c r="O1366" s="2">
        <f ca="1"/>
        <v>-2.2968308795848356</v>
      </c>
      <c r="X1366" s="2">
        <f ca="1"/>
        <v>75.788890111466415</v>
      </c>
      <c r="AG1366" s="2">
        <f ca="1"/>
        <v>0.15970954810705651</v>
      </c>
      <c r="AH1366" s="2" t="str">
        <f ca="1"/>
        <v>OK</v>
      </c>
    </row>
    <row r="1367" spans="2:34" x14ac:dyDescent="0.2">
      <c r="B1367" s="2">
        <f ca="1"/>
        <v>0.84923801370990115</v>
      </c>
      <c r="O1367" s="2">
        <f ca="1"/>
        <v>1.4050737318397579</v>
      </c>
      <c r="X1367" s="2">
        <f ca="1"/>
        <v>55.765380961681899</v>
      </c>
      <c r="AG1367" s="2">
        <f ca="1"/>
        <v>0.48858240197207325</v>
      </c>
      <c r="AH1367" s="2" t="str">
        <f ca="1"/>
        <v>Bad</v>
      </c>
    </row>
    <row r="1368" spans="2:34" x14ac:dyDescent="0.2">
      <c r="B1368" s="2">
        <f ca="1"/>
        <v>0.4969494245874384</v>
      </c>
      <c r="O1368" s="2">
        <f ca="1"/>
        <v>-2.8420195444220107E-2</v>
      </c>
      <c r="X1368" s="2">
        <f ca="1"/>
        <v>71.49840629689561</v>
      </c>
      <c r="AG1368" s="2">
        <f ca="1"/>
        <v>0.3242810947001884</v>
      </c>
      <c r="AH1368" s="2" t="str">
        <f ca="1"/>
        <v>OK</v>
      </c>
    </row>
    <row r="1369" spans="2:34" x14ac:dyDescent="0.2">
      <c r="B1369" s="2">
        <f ca="1"/>
        <v>0.93396221766490384</v>
      </c>
      <c r="O1369" s="2">
        <f ca="1"/>
        <v>0.26342081367921322</v>
      </c>
      <c r="X1369" s="2">
        <f ca="1"/>
        <v>55.968995596006899</v>
      </c>
      <c r="AG1369" s="2">
        <f ca="1"/>
        <v>0.72530175444494072</v>
      </c>
      <c r="AH1369" s="2" t="str">
        <f ca="1"/>
        <v>Bad</v>
      </c>
    </row>
    <row r="1370" spans="2:34" x14ac:dyDescent="0.2">
      <c r="B1370" s="2">
        <f ca="1"/>
        <v>0.74880538347908998</v>
      </c>
      <c r="O1370" s="2">
        <f ca="1"/>
        <v>-0.10528421542860618</v>
      </c>
      <c r="X1370" s="2">
        <f ca="1"/>
        <v>34.181597552926931</v>
      </c>
      <c r="AG1370" s="2">
        <f ca="1"/>
        <v>0.19168317730766038</v>
      </c>
      <c r="AH1370" s="2" t="str">
        <f ca="1"/>
        <v>OK</v>
      </c>
    </row>
    <row r="1371" spans="2:34" x14ac:dyDescent="0.2">
      <c r="B1371" s="2">
        <f ca="1"/>
        <v>0.97840684054078286</v>
      </c>
      <c r="O1371" s="2">
        <f ca="1"/>
        <v>-1.6555709735288877</v>
      </c>
      <c r="X1371" s="2">
        <f ca="1"/>
        <v>47.965376391426332</v>
      </c>
      <c r="AG1371" s="2">
        <f ca="1"/>
        <v>0.2427288612220786</v>
      </c>
      <c r="AH1371" s="2" t="str">
        <f ca="1"/>
        <v>OK</v>
      </c>
    </row>
    <row r="1372" spans="2:34" x14ac:dyDescent="0.2">
      <c r="B1372" s="2">
        <f ca="1"/>
        <v>0.92311007965990788</v>
      </c>
      <c r="O1372" s="2">
        <f ca="1"/>
        <v>1.4423366820003953</v>
      </c>
      <c r="X1372" s="2">
        <f ca="1"/>
        <v>45.14979995854128</v>
      </c>
      <c r="AG1372" s="2">
        <f ca="1"/>
        <v>0.63673119863616634</v>
      </c>
      <c r="AH1372" s="2" t="str">
        <f ca="1"/>
        <v>Bad</v>
      </c>
    </row>
    <row r="1373" spans="2:34" x14ac:dyDescent="0.2">
      <c r="B1373" s="2">
        <f ca="1"/>
        <v>0.50976582496153267</v>
      </c>
      <c r="O1373" s="2">
        <f ca="1"/>
        <v>-0.84084455584302509</v>
      </c>
      <c r="X1373" s="2">
        <f ca="1"/>
        <v>52.144008622718935</v>
      </c>
      <c r="AG1373" s="2">
        <f ca="1"/>
        <v>0.3550689507749456</v>
      </c>
      <c r="AH1373" s="2" t="str">
        <f ca="1"/>
        <v>OK</v>
      </c>
    </row>
    <row r="1374" spans="2:34" x14ac:dyDescent="0.2">
      <c r="B1374" s="2">
        <f ca="1"/>
        <v>0.1420611470788089</v>
      </c>
      <c r="O1374" s="2">
        <f ca="1"/>
        <v>-0.27646604377222994</v>
      </c>
      <c r="X1374" s="2">
        <f ca="1"/>
        <v>19.220477076630104</v>
      </c>
      <c r="AG1374" s="2">
        <f ca="1"/>
        <v>0.92872972092098416</v>
      </c>
      <c r="AH1374" s="2" t="str">
        <f ca="1"/>
        <v>Bad</v>
      </c>
    </row>
    <row r="1375" spans="2:34" x14ac:dyDescent="0.2">
      <c r="B1375" s="2">
        <f ca="1"/>
        <v>4.1421276064051993E-2</v>
      </c>
      <c r="O1375" s="2">
        <f ca="1"/>
        <v>0.16002230939421419</v>
      </c>
      <c r="X1375" s="2">
        <f ca="1"/>
        <v>35.156126832673074</v>
      </c>
      <c r="AG1375" s="2">
        <f ca="1"/>
        <v>0.9076434614124993</v>
      </c>
      <c r="AH1375" s="2" t="str">
        <f ca="1"/>
        <v>Bad</v>
      </c>
    </row>
    <row r="1376" spans="2:34" x14ac:dyDescent="0.2">
      <c r="B1376" s="2">
        <f ca="1"/>
        <v>0.20650943931064014</v>
      </c>
      <c r="O1376" s="2">
        <f ca="1"/>
        <v>0.69161633351111129</v>
      </c>
      <c r="X1376" s="2">
        <f ca="1"/>
        <v>33.938322306179572</v>
      </c>
      <c r="AG1376" s="2">
        <f ca="1"/>
        <v>0.39798432007771356</v>
      </c>
      <c r="AH1376" s="2" t="str">
        <f ca="1"/>
        <v>OK</v>
      </c>
    </row>
    <row r="1377" spans="2:34" x14ac:dyDescent="0.2">
      <c r="B1377" s="2">
        <f ca="1"/>
        <v>0.32971473653802841</v>
      </c>
      <c r="O1377" s="2">
        <f ca="1"/>
        <v>1.0327869524894318</v>
      </c>
      <c r="X1377" s="2">
        <f ca="1"/>
        <v>48.038914844196164</v>
      </c>
      <c r="AG1377" s="2">
        <f ca="1"/>
        <v>0.98923959256259808</v>
      </c>
      <c r="AH1377" s="2" t="str">
        <f ca="1"/>
        <v>Bad</v>
      </c>
    </row>
    <row r="1378" spans="2:34" x14ac:dyDescent="0.2">
      <c r="B1378" s="2">
        <f ca="1"/>
        <v>0.29190261939505513</v>
      </c>
      <c r="O1378" s="2">
        <f ca="1"/>
        <v>1.1762595048300497</v>
      </c>
      <c r="X1378" s="2">
        <f ca="1"/>
        <v>37.870986469036424</v>
      </c>
      <c r="AG1378" s="2">
        <f ca="1"/>
        <v>0.91820171214464441</v>
      </c>
      <c r="AH1378" s="2" t="str">
        <f ca="1"/>
        <v>Bad</v>
      </c>
    </row>
    <row r="1379" spans="2:34" x14ac:dyDescent="0.2">
      <c r="B1379" s="2">
        <f ca="1"/>
        <v>0.16648584607159655</v>
      </c>
      <c r="O1379" s="2">
        <f ca="1"/>
        <v>-0.22276037807882604</v>
      </c>
      <c r="X1379" s="2">
        <f ca="1"/>
        <v>36.649902462540808</v>
      </c>
      <c r="AG1379" s="2">
        <f ca="1"/>
        <v>0.27348057461860997</v>
      </c>
      <c r="AH1379" s="2" t="str">
        <f ca="1"/>
        <v>OK</v>
      </c>
    </row>
    <row r="1380" spans="2:34" x14ac:dyDescent="0.2">
      <c r="B1380" s="2">
        <f ca="1"/>
        <v>0.11414311439104496</v>
      </c>
      <c r="O1380" s="2">
        <f ca="1"/>
        <v>0.70161388690584481</v>
      </c>
      <c r="X1380" s="2">
        <f ca="1"/>
        <v>84.527084264301209</v>
      </c>
      <c r="AG1380" s="2">
        <f ca="1"/>
        <v>0.81161729165837415</v>
      </c>
      <c r="AH1380" s="2" t="str">
        <f ca="1"/>
        <v>Bad</v>
      </c>
    </row>
    <row r="1381" spans="2:34" x14ac:dyDescent="0.2">
      <c r="B1381" s="2">
        <f ca="1"/>
        <v>0.74456926277205882</v>
      </c>
      <c r="O1381" s="2">
        <f ca="1"/>
        <v>0.1664658113671994</v>
      </c>
      <c r="X1381" s="2">
        <f ca="1"/>
        <v>37.407297867088602</v>
      </c>
      <c r="AG1381" s="2">
        <f ca="1"/>
        <v>0.69105053072941924</v>
      </c>
      <c r="AH1381" s="2" t="str">
        <f ca="1"/>
        <v>Bad</v>
      </c>
    </row>
    <row r="1382" spans="2:34" x14ac:dyDescent="0.2">
      <c r="B1382" s="2">
        <f ca="1"/>
        <v>0.66308703005550718</v>
      </c>
      <c r="O1382" s="2">
        <f ca="1"/>
        <v>-1.1029560417330011</v>
      </c>
      <c r="X1382" s="2">
        <f ca="1"/>
        <v>63.645190117006287</v>
      </c>
      <c r="AG1382" s="2">
        <f ca="1"/>
        <v>0.61710738871551429</v>
      </c>
      <c r="AH1382" s="2" t="str">
        <f ca="1"/>
        <v>Bad</v>
      </c>
    </row>
    <row r="1383" spans="2:34" x14ac:dyDescent="0.2">
      <c r="B1383" s="2">
        <f ca="1"/>
        <v>0.45903349834870921</v>
      </c>
      <c r="O1383" s="2">
        <f ca="1"/>
        <v>-1.2866047106811838</v>
      </c>
      <c r="X1383" s="2">
        <f ca="1"/>
        <v>55.22942111641234</v>
      </c>
      <c r="AG1383" s="2">
        <f ca="1"/>
        <v>0.60269979350267811</v>
      </c>
      <c r="AH1383" s="2" t="str">
        <f ca="1"/>
        <v>Bad</v>
      </c>
    </row>
    <row r="1384" spans="2:34" x14ac:dyDescent="0.2">
      <c r="B1384" s="2">
        <f ca="1"/>
        <v>0.87148901917300226</v>
      </c>
      <c r="O1384" s="2">
        <f ca="1"/>
        <v>0.20939832619001483</v>
      </c>
      <c r="X1384" s="2">
        <f ca="1"/>
        <v>37.12523743863094</v>
      </c>
      <c r="AG1384" s="2">
        <f ca="1"/>
        <v>0.11449085241267154</v>
      </c>
      <c r="AH1384" s="2" t="str">
        <f ca="1"/>
        <v>OK</v>
      </c>
    </row>
    <row r="1385" spans="2:34" x14ac:dyDescent="0.2">
      <c r="B1385" s="2">
        <f ca="1"/>
        <v>0.21280092955744734</v>
      </c>
      <c r="O1385" s="2">
        <f ca="1"/>
        <v>-1.4334170115053346</v>
      </c>
      <c r="X1385" s="2">
        <f ca="1"/>
        <v>28.598546298436194</v>
      </c>
      <c r="AG1385" s="2">
        <f ca="1"/>
        <v>0.70125488162966154</v>
      </c>
      <c r="AH1385" s="2" t="str">
        <f ca="1"/>
        <v>Bad</v>
      </c>
    </row>
    <row r="1386" spans="2:34" x14ac:dyDescent="0.2">
      <c r="B1386" s="2">
        <f ca="1"/>
        <v>0.4880992967938893</v>
      </c>
      <c r="O1386" s="2">
        <f ca="1"/>
        <v>-0.78568471787882022</v>
      </c>
      <c r="X1386" s="2">
        <f ca="1"/>
        <v>66.253087779883685</v>
      </c>
      <c r="AG1386" s="2">
        <f ca="1"/>
        <v>0.86759294731634862</v>
      </c>
      <c r="AH1386" s="2" t="str">
        <f ca="1"/>
        <v>Bad</v>
      </c>
    </row>
    <row r="1387" spans="2:34" x14ac:dyDescent="0.2">
      <c r="B1387" s="2">
        <f ca="1"/>
        <v>0.25952651969995788</v>
      </c>
      <c r="O1387" s="2">
        <f ca="1"/>
        <v>-0.48827336017649087</v>
      </c>
      <c r="X1387" s="2">
        <f ca="1"/>
        <v>31.097885950288426</v>
      </c>
      <c r="AG1387" s="2">
        <f ca="1"/>
        <v>0.13581825518669821</v>
      </c>
      <c r="AH1387" s="2" t="str">
        <f ca="1"/>
        <v>OK</v>
      </c>
    </row>
    <row r="1388" spans="2:34" x14ac:dyDescent="0.2">
      <c r="B1388" s="2">
        <f ca="1"/>
        <v>0.3793453631834045</v>
      </c>
      <c r="O1388" s="2">
        <f ca="1"/>
        <v>0.50534490768041174</v>
      </c>
      <c r="X1388" s="2">
        <f ca="1"/>
        <v>62.920510386088466</v>
      </c>
      <c r="AG1388" s="2">
        <f ca="1"/>
        <v>0.64622022732788609</v>
      </c>
      <c r="AH1388" s="2" t="str">
        <f ca="1"/>
        <v>Bad</v>
      </c>
    </row>
    <row r="1389" spans="2:34" x14ac:dyDescent="0.2">
      <c r="B1389" s="2">
        <f ca="1"/>
        <v>0.6339460447978944</v>
      </c>
      <c r="O1389" s="2">
        <f ca="1"/>
        <v>1.5596890558206704</v>
      </c>
      <c r="X1389" s="2">
        <f ca="1"/>
        <v>35.925040351913943</v>
      </c>
      <c r="AG1389" s="2">
        <f ca="1"/>
        <v>2.6719728887980798E-2</v>
      </c>
      <c r="AH1389" s="2" t="str">
        <f ca="1"/>
        <v>Good</v>
      </c>
    </row>
    <row r="1390" spans="2:34" x14ac:dyDescent="0.2">
      <c r="B1390" s="2">
        <f ca="1"/>
        <v>0.41064978001947683</v>
      </c>
      <c r="O1390" s="2">
        <f ca="1"/>
        <v>-0.48112819333199591</v>
      </c>
      <c r="X1390" s="2">
        <f ca="1"/>
        <v>74.252305335350712</v>
      </c>
      <c r="AG1390" s="2">
        <f ca="1"/>
        <v>0.56347428414308465</v>
      </c>
      <c r="AH1390" s="2" t="str">
        <f ca="1"/>
        <v>Bad</v>
      </c>
    </row>
    <row r="1391" spans="2:34" x14ac:dyDescent="0.2">
      <c r="B1391" s="2">
        <f ca="1"/>
        <v>0.45621746224654736</v>
      </c>
      <c r="O1391" s="2">
        <f ca="1"/>
        <v>-0.52139994261610989</v>
      </c>
      <c r="X1391" s="2">
        <f ca="1"/>
        <v>64.027981221925671</v>
      </c>
      <c r="AG1391" s="2">
        <f ca="1"/>
        <v>0.8573396897627652</v>
      </c>
      <c r="AH1391" s="2" t="str">
        <f ca="1"/>
        <v>Bad</v>
      </c>
    </row>
    <row r="1392" spans="2:34" x14ac:dyDescent="0.2">
      <c r="B1392" s="2">
        <f ca="1"/>
        <v>0.46158654629707607</v>
      </c>
      <c r="O1392" s="2">
        <f ca="1"/>
        <v>1.7064309413324619</v>
      </c>
      <c r="X1392" s="2">
        <f ca="1"/>
        <v>48.777083616480191</v>
      </c>
      <c r="AG1392" s="2">
        <f ca="1"/>
        <v>0.57444400356823699</v>
      </c>
      <c r="AH1392" s="2" t="str">
        <f ca="1"/>
        <v>Bad</v>
      </c>
    </row>
    <row r="1393" spans="2:34" x14ac:dyDescent="0.2">
      <c r="B1393" s="2">
        <f ca="1"/>
        <v>0.97261599560101741</v>
      </c>
      <c r="O1393" s="2">
        <f ca="1"/>
        <v>0.99662394140641064</v>
      </c>
      <c r="X1393" s="2">
        <f ca="1"/>
        <v>27.621093204556395</v>
      </c>
      <c r="AG1393" s="2">
        <f ca="1"/>
        <v>0.63218421359575161</v>
      </c>
      <c r="AH1393" s="2" t="str">
        <f ca="1"/>
        <v>Bad</v>
      </c>
    </row>
    <row r="1394" spans="2:34" x14ac:dyDescent="0.2">
      <c r="B1394" s="2">
        <f ca="1"/>
        <v>0.41742329316004589</v>
      </c>
      <c r="O1394" s="2">
        <f ca="1"/>
        <v>1.1880347841711218</v>
      </c>
      <c r="X1394" s="2">
        <f ca="1"/>
        <v>48.745586903650846</v>
      </c>
      <c r="AG1394" s="2">
        <f ca="1"/>
        <v>0.64541943717545847</v>
      </c>
      <c r="AH1394" s="2" t="str">
        <f ca="1"/>
        <v>Bad</v>
      </c>
    </row>
    <row r="1395" spans="2:34" x14ac:dyDescent="0.2">
      <c r="B1395" s="2">
        <f ca="1"/>
        <v>0.88046842724583563</v>
      </c>
      <c r="O1395" s="2">
        <f ca="1"/>
        <v>0.51494259150510024</v>
      </c>
      <c r="X1395" s="2">
        <f ca="1"/>
        <v>30.738513940817903</v>
      </c>
      <c r="AG1395" s="2">
        <f ca="1"/>
        <v>0.14053370076956018</v>
      </c>
      <c r="AH1395" s="2" t="str">
        <f ca="1"/>
        <v>OK</v>
      </c>
    </row>
    <row r="1396" spans="2:34" x14ac:dyDescent="0.2">
      <c r="B1396" s="2">
        <f ca="1"/>
        <v>0.47073159783427054</v>
      </c>
      <c r="O1396" s="2">
        <f ca="1"/>
        <v>0.84947912313672946</v>
      </c>
      <c r="X1396" s="2">
        <f ca="1"/>
        <v>43.410121690048257</v>
      </c>
      <c r="AG1396" s="2">
        <f ca="1"/>
        <v>0.79355334735969474</v>
      </c>
      <c r="AH1396" s="2" t="str">
        <f ca="1"/>
        <v>Bad</v>
      </c>
    </row>
    <row r="1397" spans="2:34" x14ac:dyDescent="0.2">
      <c r="B1397" s="2">
        <f ca="1"/>
        <v>0.49630572897481207</v>
      </c>
      <c r="O1397" s="2">
        <f ca="1"/>
        <v>1.6401203031405558E-2</v>
      </c>
      <c r="X1397" s="2">
        <f ca="1"/>
        <v>51.897160636413616</v>
      </c>
      <c r="AG1397" s="2">
        <f ca="1"/>
        <v>0.83222083164199545</v>
      </c>
      <c r="AH1397" s="2" t="str">
        <f ca="1"/>
        <v>Bad</v>
      </c>
    </row>
    <row r="1398" spans="2:34" x14ac:dyDescent="0.2">
      <c r="B1398" s="2">
        <f ca="1"/>
        <v>0.84484893649396087</v>
      </c>
      <c r="O1398" s="2">
        <f ca="1"/>
        <v>-0.96864901983589191</v>
      </c>
      <c r="X1398" s="2">
        <f ca="1"/>
        <v>27.745120774651028</v>
      </c>
      <c r="AG1398" s="2">
        <f ca="1"/>
        <v>0.42885183017543183</v>
      </c>
      <c r="AH1398" s="2" t="str">
        <f ca="1"/>
        <v>Bad</v>
      </c>
    </row>
    <row r="1399" spans="2:34" x14ac:dyDescent="0.2">
      <c r="B1399" s="2">
        <f ca="1"/>
        <v>0.9122815672084994</v>
      </c>
      <c r="O1399" s="2">
        <f ca="1"/>
        <v>0.54996669182594593</v>
      </c>
      <c r="X1399" s="2">
        <f ca="1"/>
        <v>40.428619065440763</v>
      </c>
      <c r="AG1399" s="2">
        <f ca="1"/>
        <v>0.66880112379862866</v>
      </c>
      <c r="AH1399" s="2" t="str">
        <f ca="1"/>
        <v>Bad</v>
      </c>
    </row>
    <row r="1400" spans="2:34" x14ac:dyDescent="0.2">
      <c r="B1400" s="2">
        <f ca="1"/>
        <v>0.73753070539484034</v>
      </c>
      <c r="O1400" s="2">
        <f ca="1"/>
        <v>2.5975511332743344</v>
      </c>
      <c r="X1400" s="2">
        <f ca="1"/>
        <v>20.535801482892811</v>
      </c>
      <c r="AG1400" s="2">
        <f ca="1"/>
        <v>0.29049829470654998</v>
      </c>
      <c r="AH1400" s="2" t="str">
        <f ca="1"/>
        <v>OK</v>
      </c>
    </row>
    <row r="1401" spans="2:34" x14ac:dyDescent="0.2">
      <c r="B1401" s="2">
        <f ca="1"/>
        <v>0.37190794052442833</v>
      </c>
      <c r="O1401" s="2">
        <f ca="1"/>
        <v>0.4214953916092124</v>
      </c>
      <c r="X1401" s="2">
        <f ca="1"/>
        <v>41.492386954009206</v>
      </c>
      <c r="AG1401" s="2">
        <f ca="1"/>
        <v>0.59627409197668158</v>
      </c>
      <c r="AH1401" s="2" t="str">
        <f ca="1"/>
        <v>Bad</v>
      </c>
    </row>
    <row r="1402" spans="2:34" x14ac:dyDescent="0.2">
      <c r="B1402" s="2">
        <f ca="1"/>
        <v>0.56784214652727449</v>
      </c>
      <c r="O1402" s="2">
        <f ca="1"/>
        <v>0.1173507338270269</v>
      </c>
      <c r="X1402" s="2">
        <f ca="1"/>
        <v>72.667455124603293</v>
      </c>
      <c r="AG1402" s="2">
        <f ca="1"/>
        <v>0.64534242819216647</v>
      </c>
      <c r="AH1402" s="2" t="str">
        <f ca="1"/>
        <v>Bad</v>
      </c>
    </row>
    <row r="1403" spans="2:34" x14ac:dyDescent="0.2">
      <c r="B1403" s="2">
        <f ca="1"/>
        <v>3.4960801310685019E-2</v>
      </c>
      <c r="O1403" s="2">
        <f ca="1"/>
        <v>1.111569501007984</v>
      </c>
      <c r="X1403" s="2">
        <f ca="1"/>
        <v>59.910496529474088</v>
      </c>
      <c r="AG1403" s="2">
        <f ca="1"/>
        <v>0.39939007067780086</v>
      </c>
      <c r="AH1403" s="2" t="str">
        <f ca="1"/>
        <v>OK</v>
      </c>
    </row>
    <row r="1404" spans="2:34" x14ac:dyDescent="0.2">
      <c r="B1404" s="2">
        <f ca="1"/>
        <v>0.29583078732884216</v>
      </c>
      <c r="O1404" s="2">
        <f ca="1"/>
        <v>-0.87970350533898145</v>
      </c>
      <c r="X1404" s="2">
        <f ca="1"/>
        <v>58.739437658949001</v>
      </c>
      <c r="AG1404" s="2">
        <f ca="1"/>
        <v>0.36840219191774914</v>
      </c>
      <c r="AH1404" s="2" t="str">
        <f ca="1"/>
        <v>OK</v>
      </c>
    </row>
    <row r="1405" spans="2:34" x14ac:dyDescent="0.2">
      <c r="B1405" s="2">
        <f ca="1"/>
        <v>0.1246074988529422</v>
      </c>
      <c r="O1405" s="2">
        <f ca="1"/>
        <v>0.35437923982655606</v>
      </c>
      <c r="X1405" s="2">
        <f ca="1"/>
        <v>70.700954397678586</v>
      </c>
      <c r="AG1405" s="2">
        <f ca="1"/>
        <v>0.6297741285177807</v>
      </c>
      <c r="AH1405" s="2" t="str">
        <f ca="1"/>
        <v>Bad</v>
      </c>
    </row>
    <row r="1406" spans="2:34" x14ac:dyDescent="0.2">
      <c r="B1406" s="2">
        <f ca="1"/>
        <v>0.79210832988234636</v>
      </c>
      <c r="O1406" s="2">
        <f ca="1"/>
        <v>0.84492857309448199</v>
      </c>
      <c r="X1406" s="2">
        <f ca="1"/>
        <v>36.217288958975232</v>
      </c>
      <c r="AG1406" s="2">
        <f ca="1"/>
        <v>0.17184332376274725</v>
      </c>
      <c r="AH1406" s="2" t="str">
        <f ca="1"/>
        <v>OK</v>
      </c>
    </row>
    <row r="1407" spans="2:34" x14ac:dyDescent="0.2">
      <c r="B1407" s="2">
        <f ca="1"/>
        <v>0.29121486567338906</v>
      </c>
      <c r="O1407" s="2">
        <f ca="1"/>
        <v>-0.44721637592412983</v>
      </c>
      <c r="X1407" s="2">
        <f ca="1"/>
        <v>50.693407826275191</v>
      </c>
      <c r="AG1407" s="2">
        <f ca="1"/>
        <v>0.18661123672725521</v>
      </c>
      <c r="AH1407" s="2" t="str">
        <f ca="1"/>
        <v>OK</v>
      </c>
    </row>
    <row r="1408" spans="2:34" x14ac:dyDescent="0.2">
      <c r="B1408" s="2">
        <f ca="1"/>
        <v>0.39787285003113371</v>
      </c>
      <c r="O1408" s="2">
        <f ca="1"/>
        <v>-0.28110207427766426</v>
      </c>
      <c r="X1408" s="2">
        <f ca="1"/>
        <v>42.989299004338562</v>
      </c>
      <c r="AG1408" s="2">
        <f ca="1"/>
        <v>0.81271839834935378</v>
      </c>
      <c r="AH1408" s="2" t="str">
        <f ca="1"/>
        <v>Bad</v>
      </c>
    </row>
    <row r="1409" spans="2:34" x14ac:dyDescent="0.2">
      <c r="B1409" s="2">
        <f ca="1"/>
        <v>0.32943441266041051</v>
      </c>
      <c r="O1409" s="2">
        <f ca="1"/>
        <v>-1.1138747405247902</v>
      </c>
      <c r="X1409" s="2">
        <f ca="1"/>
        <v>63.17517228968515</v>
      </c>
      <c r="AG1409" s="2">
        <f ca="1"/>
        <v>0.4566936504790613</v>
      </c>
      <c r="AH1409" s="2" t="str">
        <f ca="1"/>
        <v>Bad</v>
      </c>
    </row>
    <row r="1410" spans="2:34" x14ac:dyDescent="0.2">
      <c r="B1410" s="2">
        <f ca="1"/>
        <v>0.40940336368562913</v>
      </c>
      <c r="O1410" s="2">
        <f ca="1"/>
        <v>-0.39887801469923789</v>
      </c>
      <c r="X1410" s="2">
        <f ca="1"/>
        <v>62.100973878899232</v>
      </c>
      <c r="AG1410" s="2">
        <f ca="1"/>
        <v>0.55967441698628306</v>
      </c>
      <c r="AH1410" s="2" t="str">
        <f ca="1"/>
        <v>Bad</v>
      </c>
    </row>
    <row r="1411" spans="2:34" x14ac:dyDescent="0.2">
      <c r="B1411" s="2">
        <f ca="1"/>
        <v>0.77578705844783102</v>
      </c>
      <c r="O1411" s="2">
        <f ca="1"/>
        <v>0.86422866937111709</v>
      </c>
      <c r="X1411" s="2">
        <f ca="1"/>
        <v>50.736798827775111</v>
      </c>
      <c r="AG1411" s="2">
        <f ca="1"/>
        <v>0.4141955723594466</v>
      </c>
      <c r="AH1411" s="2" t="str">
        <f ca="1"/>
        <v>Bad</v>
      </c>
    </row>
    <row r="1412" spans="2:34" x14ac:dyDescent="0.2">
      <c r="B1412" s="2">
        <f ca="1"/>
        <v>7.3683679931542123E-3</v>
      </c>
      <c r="O1412" s="2">
        <f ca="1"/>
        <v>0.10985762279741669</v>
      </c>
      <c r="X1412" s="2">
        <f ca="1"/>
        <v>47.951268423900864</v>
      </c>
      <c r="AG1412" s="2">
        <f ca="1"/>
        <v>0.70163531283000746</v>
      </c>
      <c r="AH1412" s="2" t="str">
        <f ca="1"/>
        <v>Bad</v>
      </c>
    </row>
    <row r="1413" spans="2:34" x14ac:dyDescent="0.2">
      <c r="B1413" s="2">
        <f ca="1"/>
        <v>0.85571760119329721</v>
      </c>
      <c r="O1413" s="2">
        <f ca="1"/>
        <v>0.55183808629027831</v>
      </c>
      <c r="X1413" s="2">
        <f ca="1"/>
        <v>41.608544663042288</v>
      </c>
      <c r="AG1413" s="2">
        <f ca="1"/>
        <v>0.37955796800528119</v>
      </c>
      <c r="AH1413" s="2" t="str">
        <f ca="1"/>
        <v>OK</v>
      </c>
    </row>
    <row r="1414" spans="2:34" x14ac:dyDescent="0.2">
      <c r="B1414" s="2">
        <f ca="1"/>
        <v>0.27364220555940766</v>
      </c>
      <c r="O1414" s="2">
        <f ca="1"/>
        <v>1.0989392719062738</v>
      </c>
      <c r="X1414" s="2">
        <f ca="1"/>
        <v>40.001316978269834</v>
      </c>
      <c r="AG1414" s="2">
        <f ca="1"/>
        <v>0.24504821283448108</v>
      </c>
      <c r="AH1414" s="2" t="str">
        <f ca="1"/>
        <v>OK</v>
      </c>
    </row>
    <row r="1415" spans="2:34" x14ac:dyDescent="0.2">
      <c r="B1415" s="2">
        <f ca="1"/>
        <v>0.9322873269582912</v>
      </c>
      <c r="O1415" s="2">
        <f ca="1"/>
        <v>-0.58915093998532442</v>
      </c>
      <c r="X1415" s="2">
        <f ca="1"/>
        <v>34.228018662686999</v>
      </c>
      <c r="AG1415" s="2">
        <f ca="1"/>
        <v>0.20326577915181421</v>
      </c>
      <c r="AH1415" s="2" t="str">
        <f ca="1"/>
        <v>OK</v>
      </c>
    </row>
    <row r="1416" spans="2:34" x14ac:dyDescent="0.2">
      <c r="B1416" s="2">
        <f ca="1"/>
        <v>0.73360111572594944</v>
      </c>
      <c r="O1416" s="2">
        <f ca="1"/>
        <v>0.12054248652094735</v>
      </c>
      <c r="X1416" s="2">
        <f ca="1"/>
        <v>89.152326120871692</v>
      </c>
      <c r="AG1416" s="2">
        <f ca="1"/>
        <v>0.35191634542223982</v>
      </c>
      <c r="AH1416" s="2" t="str">
        <f ca="1"/>
        <v>OK</v>
      </c>
    </row>
    <row r="1417" spans="2:34" x14ac:dyDescent="0.2">
      <c r="B1417" s="2">
        <f ca="1"/>
        <v>0.93597634400951879</v>
      </c>
      <c r="O1417" s="2">
        <f ca="1"/>
        <v>0.90098216546710108</v>
      </c>
      <c r="X1417" s="2">
        <f ca="1"/>
        <v>62.825807637396871</v>
      </c>
      <c r="AG1417" s="2">
        <f ca="1"/>
        <v>0.6046707508537823</v>
      </c>
      <c r="AH1417" s="2" t="str">
        <f ca="1"/>
        <v>Bad</v>
      </c>
    </row>
    <row r="1418" spans="2:34" x14ac:dyDescent="0.2">
      <c r="B1418" s="2">
        <f ca="1"/>
        <v>0.14856630915760061</v>
      </c>
      <c r="O1418" s="2">
        <f ca="1"/>
        <v>-0.77252235068084629</v>
      </c>
      <c r="X1418" s="2">
        <f ca="1"/>
        <v>63.063896540060625</v>
      </c>
      <c r="AG1418" s="2">
        <f ca="1"/>
        <v>4.7340117426942108E-2</v>
      </c>
      <c r="AH1418" s="2" t="str">
        <f ca="1"/>
        <v>Good</v>
      </c>
    </row>
    <row r="1419" spans="2:34" x14ac:dyDescent="0.2">
      <c r="B1419" s="2">
        <f ca="1"/>
        <v>0.88112480158524176</v>
      </c>
      <c r="O1419" s="2">
        <f ca="1"/>
        <v>-0.10101922337911526</v>
      </c>
      <c r="X1419" s="2">
        <f ca="1"/>
        <v>59.8835423911137</v>
      </c>
      <c r="AG1419" s="2">
        <f ca="1"/>
        <v>0.36013466439835073</v>
      </c>
      <c r="AH1419" s="2" t="str">
        <f ca="1"/>
        <v>OK</v>
      </c>
    </row>
    <row r="1420" spans="2:34" x14ac:dyDescent="0.2">
      <c r="B1420" s="2">
        <f ca="1"/>
        <v>0.56306270898143995</v>
      </c>
      <c r="O1420" s="2">
        <f ca="1"/>
        <v>-0.21709237787105853</v>
      </c>
      <c r="X1420" s="2">
        <f ca="1"/>
        <v>44.728388058524274</v>
      </c>
      <c r="AG1420" s="2">
        <f ca="1"/>
        <v>0.14519105559949375</v>
      </c>
      <c r="AH1420" s="2" t="str">
        <f ca="1"/>
        <v>OK</v>
      </c>
    </row>
    <row r="1421" spans="2:34" x14ac:dyDescent="0.2">
      <c r="B1421" s="2">
        <f ca="1"/>
        <v>0.49758267987505556</v>
      </c>
      <c r="O1421" s="2">
        <f ca="1"/>
        <v>-0.70703205613218789</v>
      </c>
      <c r="X1421" s="2">
        <f ca="1"/>
        <v>59.70631864109356</v>
      </c>
      <c r="AG1421" s="2">
        <f ca="1"/>
        <v>0.97376739175615601</v>
      </c>
      <c r="AH1421" s="2" t="str">
        <f ca="1"/>
        <v>Bad</v>
      </c>
    </row>
    <row r="1422" spans="2:34" x14ac:dyDescent="0.2">
      <c r="B1422" s="2">
        <f ca="1"/>
        <v>0.32485296955776177</v>
      </c>
      <c r="O1422" s="2">
        <f ca="1"/>
        <v>0.30091725136967745</v>
      </c>
      <c r="X1422" s="2">
        <f ca="1"/>
        <v>39.033582813810092</v>
      </c>
      <c r="AG1422" s="2">
        <f ca="1"/>
        <v>8.7807765300134122E-2</v>
      </c>
      <c r="AH1422" s="2" t="str">
        <f ca="1"/>
        <v>OK</v>
      </c>
    </row>
    <row r="1423" spans="2:34" x14ac:dyDescent="0.2">
      <c r="B1423" s="2">
        <f ca="1"/>
        <v>0.77567687211603586</v>
      </c>
      <c r="O1423" s="2">
        <f ca="1"/>
        <v>0.41869694846247013</v>
      </c>
      <c r="X1423" s="2">
        <f ca="1"/>
        <v>20.495383552568455</v>
      </c>
      <c r="AG1423" s="2">
        <f ca="1"/>
        <v>0.87991679745498996</v>
      </c>
      <c r="AH1423" s="2" t="str">
        <f ca="1"/>
        <v>Bad</v>
      </c>
    </row>
    <row r="1424" spans="2:34" x14ac:dyDescent="0.2">
      <c r="B1424" s="2">
        <f ca="1"/>
        <v>0.16191302427592436</v>
      </c>
      <c r="O1424" s="2">
        <f ca="1"/>
        <v>1.2036954258347399</v>
      </c>
      <c r="X1424" s="2">
        <f ca="1"/>
        <v>63.055163923526798</v>
      </c>
      <c r="AG1424" s="2">
        <f ca="1"/>
        <v>0.64263328604464243</v>
      </c>
      <c r="AH1424" s="2" t="str">
        <f ca="1"/>
        <v>Bad</v>
      </c>
    </row>
    <row r="1425" spans="2:34" x14ac:dyDescent="0.2">
      <c r="B1425" s="2">
        <f ca="1"/>
        <v>0.50618724662717551</v>
      </c>
      <c r="O1425" s="2">
        <f ca="1"/>
        <v>1.1386392387225424</v>
      </c>
      <c r="X1425" s="2">
        <f ca="1"/>
        <v>84.822636323099786</v>
      </c>
      <c r="AG1425" s="2">
        <f ca="1"/>
        <v>0.26134721399473171</v>
      </c>
      <c r="AH1425" s="2" t="str">
        <f ca="1"/>
        <v>OK</v>
      </c>
    </row>
    <row r="1426" spans="2:34" x14ac:dyDescent="0.2">
      <c r="B1426" s="2">
        <f ca="1"/>
        <v>0.86464531606718098</v>
      </c>
      <c r="O1426" s="2">
        <f ca="1"/>
        <v>0.93392429356503259</v>
      </c>
      <c r="X1426" s="2">
        <f ca="1"/>
        <v>77.449933944063531</v>
      </c>
      <c r="AG1426" s="2">
        <f ca="1"/>
        <v>1.5491068993011003E-2</v>
      </c>
      <c r="AH1426" s="2" t="str">
        <f ca="1"/>
        <v>Good</v>
      </c>
    </row>
    <row r="1427" spans="2:34" x14ac:dyDescent="0.2">
      <c r="B1427" s="2">
        <f ca="1"/>
        <v>0.2156810661233195</v>
      </c>
      <c r="O1427" s="2">
        <f ca="1"/>
        <v>8.0936496658198062E-2</v>
      </c>
      <c r="X1427" s="2">
        <f ca="1"/>
        <v>47.321955561209641</v>
      </c>
      <c r="AG1427" s="2">
        <f ca="1"/>
        <v>0.57506945453233982</v>
      </c>
      <c r="AH1427" s="2" t="str">
        <f ca="1"/>
        <v>Bad</v>
      </c>
    </row>
    <row r="1428" spans="2:34" x14ac:dyDescent="0.2">
      <c r="B1428" s="2">
        <f ca="1"/>
        <v>0.18045379103694525</v>
      </c>
      <c r="O1428" s="2">
        <f ca="1"/>
        <v>1.5860998902749603</v>
      </c>
      <c r="X1428" s="2">
        <f ca="1"/>
        <v>42.275697407689023</v>
      </c>
      <c r="AG1428" s="2">
        <f ca="1"/>
        <v>0.99679327883894775</v>
      </c>
      <c r="AH1428" s="2" t="str">
        <f ca="1"/>
        <v>Bad</v>
      </c>
    </row>
    <row r="1429" spans="2:34" x14ac:dyDescent="0.2">
      <c r="B1429" s="2">
        <f ca="1"/>
        <v>0.9520468737696004</v>
      </c>
      <c r="O1429" s="2">
        <f ca="1"/>
        <v>-0.89895692910029013</v>
      </c>
      <c r="X1429" s="2">
        <f ca="1"/>
        <v>36.373113344747573</v>
      </c>
      <c r="AG1429" s="2">
        <f ca="1"/>
        <v>0.36488358784190922</v>
      </c>
      <c r="AH1429" s="2" t="str">
        <f ca="1"/>
        <v>OK</v>
      </c>
    </row>
    <row r="1430" spans="2:34" x14ac:dyDescent="0.2">
      <c r="B1430" s="2">
        <f ca="1"/>
        <v>6.7034776399241824E-2</v>
      </c>
      <c r="O1430" s="2">
        <f ca="1"/>
        <v>-0.13991080689933319</v>
      </c>
      <c r="X1430" s="2">
        <f ca="1"/>
        <v>137.1498849503663</v>
      </c>
      <c r="AG1430" s="2">
        <f ca="1"/>
        <v>1.5771926962326877E-2</v>
      </c>
      <c r="AH1430" s="2" t="str">
        <f ca="1"/>
        <v>Good</v>
      </c>
    </row>
    <row r="1431" spans="2:34" x14ac:dyDescent="0.2">
      <c r="B1431" s="2">
        <f ca="1"/>
        <v>0.21741350776476343</v>
      </c>
      <c r="O1431" s="2">
        <f ca="1"/>
        <v>0.46718674311771941</v>
      </c>
      <c r="X1431" s="2">
        <f ca="1"/>
        <v>53.542698259490081</v>
      </c>
      <c r="AG1431" s="2">
        <f ca="1"/>
        <v>0.40734106323510311</v>
      </c>
      <c r="AH1431" s="2" t="str">
        <f ca="1"/>
        <v>Bad</v>
      </c>
    </row>
    <row r="1432" spans="2:34" x14ac:dyDescent="0.2">
      <c r="B1432" s="2">
        <f ca="1"/>
        <v>0.54383137483507715</v>
      </c>
      <c r="O1432" s="2">
        <f ca="1"/>
        <v>0.81816488226180062</v>
      </c>
      <c r="X1432" s="2">
        <f ca="1"/>
        <v>33.921263582522897</v>
      </c>
      <c r="AG1432" s="2">
        <f ca="1"/>
        <v>6.443172519097895E-2</v>
      </c>
      <c r="AH1432" s="2" t="str">
        <f ca="1"/>
        <v>OK</v>
      </c>
    </row>
    <row r="1433" spans="2:34" x14ac:dyDescent="0.2">
      <c r="B1433" s="2">
        <f ca="1"/>
        <v>0.4145335173462068</v>
      </c>
      <c r="O1433" s="2">
        <f ca="1"/>
        <v>-1.3123553874021898</v>
      </c>
      <c r="X1433" s="2">
        <f ca="1"/>
        <v>46.929130270124226</v>
      </c>
      <c r="AG1433" s="2">
        <f ca="1"/>
        <v>8.2464470627341413E-2</v>
      </c>
      <c r="AH1433" s="2" t="str">
        <f ca="1"/>
        <v>OK</v>
      </c>
    </row>
    <row r="1434" spans="2:34" x14ac:dyDescent="0.2">
      <c r="B1434" s="2">
        <f ca="1"/>
        <v>6.8287692250822429E-2</v>
      </c>
      <c r="O1434" s="2">
        <f ca="1"/>
        <v>-0.53039501230068231</v>
      </c>
      <c r="X1434" s="2">
        <f ca="1"/>
        <v>73.776569556685615</v>
      </c>
      <c r="AG1434" s="2">
        <f ca="1"/>
        <v>0.12941953637530013</v>
      </c>
      <c r="AH1434" s="2" t="str">
        <f ca="1"/>
        <v>OK</v>
      </c>
    </row>
    <row r="1435" spans="2:34" x14ac:dyDescent="0.2">
      <c r="B1435" s="2">
        <f ca="1"/>
        <v>0.67045367745712281</v>
      </c>
      <c r="O1435" s="2">
        <f ca="1"/>
        <v>0.80184703360229426</v>
      </c>
      <c r="X1435" s="2">
        <f ca="1"/>
        <v>57.333716995878135</v>
      </c>
      <c r="AG1435" s="2">
        <f ca="1"/>
        <v>0.77618188109380504</v>
      </c>
      <c r="AH1435" s="2" t="str">
        <f ca="1"/>
        <v>Bad</v>
      </c>
    </row>
    <row r="1436" spans="2:34" x14ac:dyDescent="0.2">
      <c r="B1436" s="2">
        <f ca="1"/>
        <v>3.4208953625936678E-2</v>
      </c>
      <c r="O1436" s="2">
        <f ca="1"/>
        <v>0.28449813986557565</v>
      </c>
      <c r="X1436" s="2">
        <f ca="1"/>
        <v>45.168786875186733</v>
      </c>
      <c r="AG1436" s="2">
        <f ca="1"/>
        <v>0.66674608494318188</v>
      </c>
      <c r="AH1436" s="2" t="str">
        <f ca="1"/>
        <v>Bad</v>
      </c>
    </row>
    <row r="1437" spans="2:34" x14ac:dyDescent="0.2">
      <c r="B1437" s="2">
        <f ca="1"/>
        <v>0.43576943027449611</v>
      </c>
      <c r="O1437" s="2">
        <f ca="1"/>
        <v>1.5448410432240638</v>
      </c>
      <c r="X1437" s="2">
        <f ca="1"/>
        <v>93.000451533048079</v>
      </c>
      <c r="AG1437" s="2">
        <f ca="1"/>
        <v>1.2668829334585574E-2</v>
      </c>
      <c r="AH1437" s="2" t="str">
        <f ca="1"/>
        <v>Good</v>
      </c>
    </row>
    <row r="1438" spans="2:34" x14ac:dyDescent="0.2">
      <c r="B1438" s="2">
        <f ca="1"/>
        <v>0.61858573243915793</v>
      </c>
      <c r="O1438" s="2">
        <f ca="1"/>
        <v>-0.2340302775973149</v>
      </c>
      <c r="X1438" s="2">
        <f ca="1"/>
        <v>58.389747620059723</v>
      </c>
      <c r="AG1438" s="2">
        <f ca="1"/>
        <v>0.18966816197449066</v>
      </c>
      <c r="AH1438" s="2" t="str">
        <f ca="1"/>
        <v>OK</v>
      </c>
    </row>
    <row r="1439" spans="2:34" x14ac:dyDescent="0.2">
      <c r="B1439" s="2">
        <f ca="1"/>
        <v>0.4107605385070332</v>
      </c>
      <c r="O1439" s="2">
        <f ca="1"/>
        <v>1.1836129424527666</v>
      </c>
      <c r="X1439" s="2">
        <f ca="1"/>
        <v>68.028616397617284</v>
      </c>
      <c r="AG1439" s="2">
        <f ca="1"/>
        <v>0.59135415339279529</v>
      </c>
      <c r="AH1439" s="2" t="str">
        <f ca="1"/>
        <v>Bad</v>
      </c>
    </row>
    <row r="1440" spans="2:34" x14ac:dyDescent="0.2">
      <c r="B1440" s="2">
        <f ca="1"/>
        <v>0.13195552564371482</v>
      </c>
      <c r="O1440" s="2">
        <f ca="1"/>
        <v>-1.4062621684377796</v>
      </c>
      <c r="X1440" s="2">
        <f ca="1"/>
        <v>55.508630528302291</v>
      </c>
      <c r="AG1440" s="2">
        <f ca="1"/>
        <v>0.87488887848488583</v>
      </c>
      <c r="AH1440" s="2" t="str">
        <f ca="1"/>
        <v>Bad</v>
      </c>
    </row>
    <row r="1441" spans="2:34" x14ac:dyDescent="0.2">
      <c r="B1441" s="2">
        <f ca="1"/>
        <v>0.10088962862232087</v>
      </c>
      <c r="O1441" s="2">
        <f ca="1"/>
        <v>1.6775526075525757</v>
      </c>
      <c r="X1441" s="2">
        <f ca="1"/>
        <v>46.711360198855502</v>
      </c>
      <c r="AG1441" s="2">
        <f ca="1"/>
        <v>0.48847912039806696</v>
      </c>
      <c r="AH1441" s="2" t="str">
        <f ca="1"/>
        <v>Bad</v>
      </c>
    </row>
    <row r="1442" spans="2:34" x14ac:dyDescent="0.2">
      <c r="B1442" s="2">
        <f ca="1"/>
        <v>0.31633453119923005</v>
      </c>
      <c r="O1442" s="2">
        <f ca="1"/>
        <v>-0.72771293894066935</v>
      </c>
      <c r="X1442" s="2">
        <f ca="1"/>
        <v>50.092429659923717</v>
      </c>
      <c r="AG1442" s="2">
        <f ca="1"/>
        <v>0.90225333879540681</v>
      </c>
      <c r="AH1442" s="2" t="str">
        <f ca="1"/>
        <v>Bad</v>
      </c>
    </row>
    <row r="1443" spans="2:34" x14ac:dyDescent="0.2">
      <c r="B1443" s="2">
        <f ca="1"/>
        <v>0.65266934188603742</v>
      </c>
      <c r="O1443" s="2">
        <f ca="1"/>
        <v>1.9275575336569876E-2</v>
      </c>
      <c r="X1443" s="2">
        <f ca="1"/>
        <v>23.201110179559063</v>
      </c>
      <c r="AG1443" s="2">
        <f ca="1"/>
        <v>1.4390126019941274E-2</v>
      </c>
      <c r="AH1443" s="2" t="str">
        <f ca="1"/>
        <v>Good</v>
      </c>
    </row>
    <row r="1444" spans="2:34" x14ac:dyDescent="0.2">
      <c r="B1444" s="2">
        <f ca="1"/>
        <v>0.63728249898312161</v>
      </c>
      <c r="O1444" s="2">
        <f ca="1"/>
        <v>-7.5491092756824529E-2</v>
      </c>
      <c r="X1444" s="2">
        <f ca="1"/>
        <v>46.547283914263282</v>
      </c>
      <c r="AG1444" s="2">
        <f ca="1"/>
        <v>0.20896764045209903</v>
      </c>
      <c r="AH1444" s="2" t="str">
        <f ca="1"/>
        <v>OK</v>
      </c>
    </row>
    <row r="1445" spans="2:34" x14ac:dyDescent="0.2">
      <c r="B1445" s="2">
        <f ca="1"/>
        <v>2.6352685173773205E-2</v>
      </c>
      <c r="O1445" s="2">
        <f ca="1"/>
        <v>0.14692231244155396</v>
      </c>
      <c r="X1445" s="2">
        <f ca="1"/>
        <v>56.984900191909624</v>
      </c>
      <c r="AG1445" s="2">
        <f ca="1"/>
        <v>0.27168141018496073</v>
      </c>
      <c r="AH1445" s="2" t="str">
        <f ca="1"/>
        <v>OK</v>
      </c>
    </row>
    <row r="1446" spans="2:34" x14ac:dyDescent="0.2">
      <c r="B1446" s="2">
        <f ca="1"/>
        <v>0.54907222544677481</v>
      </c>
      <c r="O1446" s="2">
        <f ca="1"/>
        <v>2.1380187080100588E-2</v>
      </c>
      <c r="X1446" s="2">
        <f ca="1"/>
        <v>45.081848424625647</v>
      </c>
      <c r="AG1446" s="2">
        <f ca="1"/>
        <v>0.59887250204901843</v>
      </c>
      <c r="AH1446" s="2" t="str">
        <f ca="1"/>
        <v>Bad</v>
      </c>
    </row>
    <row r="1447" spans="2:34" x14ac:dyDescent="0.2">
      <c r="B1447" s="2">
        <f ca="1"/>
        <v>0.56577740133247345</v>
      </c>
      <c r="O1447" s="2">
        <f ca="1"/>
        <v>0.40549500331882721</v>
      </c>
      <c r="X1447" s="2">
        <f ca="1"/>
        <v>48.995099937613595</v>
      </c>
      <c r="AG1447" s="2">
        <f ca="1"/>
        <v>0.68257081447759838</v>
      </c>
      <c r="AH1447" s="2" t="str">
        <f ca="1"/>
        <v>Bad</v>
      </c>
    </row>
    <row r="1448" spans="2:34" x14ac:dyDescent="0.2">
      <c r="B1448" s="2">
        <f ca="1"/>
        <v>2.7185276675113279E-2</v>
      </c>
      <c r="O1448" s="2">
        <f ca="1"/>
        <v>7.5716483455858935E-3</v>
      </c>
      <c r="X1448" s="2">
        <f ca="1"/>
        <v>46.526700689088607</v>
      </c>
      <c r="AG1448" s="2">
        <f ca="1"/>
        <v>0.35130990800712292</v>
      </c>
      <c r="AH1448" s="2" t="str">
        <f ca="1"/>
        <v>OK</v>
      </c>
    </row>
    <row r="1449" spans="2:34" x14ac:dyDescent="0.2">
      <c r="B1449" s="2">
        <f ca="1"/>
        <v>0.78477068593447408</v>
      </c>
      <c r="O1449" s="2">
        <f ca="1"/>
        <v>0.84022100811006406</v>
      </c>
      <c r="X1449" s="2">
        <f ca="1"/>
        <v>99.975178989147963</v>
      </c>
      <c r="AG1449" s="2">
        <f ca="1"/>
        <v>0.75145519314646192</v>
      </c>
      <c r="AH1449" s="2" t="str">
        <f ca="1"/>
        <v>Bad</v>
      </c>
    </row>
    <row r="1450" spans="2:34" x14ac:dyDescent="0.2">
      <c r="B1450" s="2">
        <f ca="1"/>
        <v>0.41565169089787268</v>
      </c>
      <c r="O1450" s="2">
        <f ca="1"/>
        <v>8.1686075675151099E-2</v>
      </c>
      <c r="X1450" s="2">
        <f ca="1"/>
        <v>52.905612191758927</v>
      </c>
      <c r="AG1450" s="2">
        <f ca="1"/>
        <v>0.28907838042963818</v>
      </c>
      <c r="AH1450" s="2" t="str">
        <f ca="1"/>
        <v>OK</v>
      </c>
    </row>
    <row r="1451" spans="2:34" x14ac:dyDescent="0.2">
      <c r="B1451" s="2">
        <f ca="1"/>
        <v>0.93841696238651062</v>
      </c>
      <c r="O1451" s="2">
        <f ca="1"/>
        <v>1.0147147548467566</v>
      </c>
      <c r="X1451" s="2">
        <f ca="1"/>
        <v>49.03933397568445</v>
      </c>
      <c r="AG1451" s="2">
        <f ca="1"/>
        <v>0.1691500600702216</v>
      </c>
      <c r="AH1451" s="2" t="str">
        <f ca="1"/>
        <v>OK</v>
      </c>
    </row>
    <row r="1452" spans="2:34" x14ac:dyDescent="0.2">
      <c r="B1452" s="2">
        <f ca="1"/>
        <v>0.26634060166948648</v>
      </c>
      <c r="O1452" s="2">
        <f ca="1"/>
        <v>-5.4507286889672477E-2</v>
      </c>
      <c r="X1452" s="2">
        <f ca="1"/>
        <v>51.267344439360556</v>
      </c>
      <c r="AG1452" s="2">
        <f ca="1"/>
        <v>0.66872640666315708</v>
      </c>
      <c r="AH1452" s="2" t="str">
        <f ca="1"/>
        <v>Bad</v>
      </c>
    </row>
    <row r="1453" spans="2:34" x14ac:dyDescent="0.2">
      <c r="B1453" s="2">
        <f ca="1"/>
        <v>0.65835448556857323</v>
      </c>
      <c r="O1453" s="2">
        <f ca="1"/>
        <v>-0.6388580947258401</v>
      </c>
      <c r="X1453" s="2">
        <f ca="1"/>
        <v>48.407384528716605</v>
      </c>
      <c r="AG1453" s="2">
        <f ca="1"/>
        <v>0.90528084374630469</v>
      </c>
      <c r="AH1453" s="2" t="str">
        <f ca="1"/>
        <v>Bad</v>
      </c>
    </row>
    <row r="1454" spans="2:34" x14ac:dyDescent="0.2">
      <c r="B1454" s="2">
        <f ca="1"/>
        <v>0.23148490120442133</v>
      </c>
      <c r="O1454" s="2">
        <f ca="1"/>
        <v>0.36685099236201463</v>
      </c>
      <c r="X1454" s="2">
        <f ca="1"/>
        <v>30.859930985766432</v>
      </c>
      <c r="AG1454" s="2">
        <f ca="1"/>
        <v>0.44186708102717587</v>
      </c>
      <c r="AH1454" s="2" t="str">
        <f ca="1"/>
        <v>Bad</v>
      </c>
    </row>
    <row r="1455" spans="2:34" x14ac:dyDescent="0.2">
      <c r="B1455" s="2">
        <f ca="1"/>
        <v>0.98446895852032767</v>
      </c>
      <c r="O1455" s="2">
        <f ca="1"/>
        <v>1.2202725866309763</v>
      </c>
      <c r="X1455" s="2">
        <f ca="1"/>
        <v>41.629721246669995</v>
      </c>
      <c r="AG1455" s="2">
        <f ca="1"/>
        <v>0.17928833569280678</v>
      </c>
      <c r="AH1455" s="2" t="str">
        <f ca="1"/>
        <v>OK</v>
      </c>
    </row>
    <row r="1456" spans="2:34" x14ac:dyDescent="0.2">
      <c r="B1456" s="2">
        <f ca="1"/>
        <v>0.52810153075631083</v>
      </c>
      <c r="O1456" s="2">
        <f ca="1"/>
        <v>1.0550298750672071</v>
      </c>
      <c r="X1456" s="2">
        <f ca="1"/>
        <v>45.297704596301394</v>
      </c>
      <c r="AG1456" s="2">
        <f ca="1"/>
        <v>0.71226729861830274</v>
      </c>
      <c r="AH1456" s="2" t="str">
        <f ca="1"/>
        <v>Bad</v>
      </c>
    </row>
    <row r="1457" spans="2:34" x14ac:dyDescent="0.2">
      <c r="B1457" s="2">
        <f ca="1"/>
        <v>0.75563404392156941</v>
      </c>
      <c r="O1457" s="2">
        <f ca="1"/>
        <v>-1.7188329888263272</v>
      </c>
      <c r="X1457" s="2">
        <f ca="1"/>
        <v>70.161136658211262</v>
      </c>
      <c r="AG1457" s="2">
        <f ca="1"/>
        <v>0.32439485531258394</v>
      </c>
      <c r="AH1457" s="2" t="str">
        <f ca="1"/>
        <v>OK</v>
      </c>
    </row>
    <row r="1458" spans="2:34" x14ac:dyDescent="0.2">
      <c r="B1458" s="2">
        <f ca="1"/>
        <v>8.1351103077158315E-2</v>
      </c>
      <c r="O1458" s="2">
        <f ca="1"/>
        <v>1.1589029260368249</v>
      </c>
      <c r="X1458" s="2">
        <f ca="1"/>
        <v>61.799730650057548</v>
      </c>
      <c r="AG1458" s="2">
        <f ca="1"/>
        <v>0.64561760333208884</v>
      </c>
      <c r="AH1458" s="2" t="str">
        <f ca="1"/>
        <v>Bad</v>
      </c>
    </row>
    <row r="1459" spans="2:34" x14ac:dyDescent="0.2">
      <c r="B1459" s="2">
        <f ca="1"/>
        <v>6.6864168369249688E-2</v>
      </c>
      <c r="O1459" s="2">
        <f ca="1"/>
        <v>1.4902673979305763E-2</v>
      </c>
      <c r="X1459" s="2">
        <f ca="1"/>
        <v>43.840437363854214</v>
      </c>
      <c r="AG1459" s="2">
        <f ca="1"/>
        <v>2.7070572902589296E-2</v>
      </c>
      <c r="AH1459" s="2" t="str">
        <f ca="1"/>
        <v>Good</v>
      </c>
    </row>
    <row r="1460" spans="2:34" x14ac:dyDescent="0.2">
      <c r="B1460" s="2">
        <f ca="1"/>
        <v>0.82203920909845984</v>
      </c>
      <c r="O1460" s="2">
        <f ca="1"/>
        <v>1.9978212308990542</v>
      </c>
      <c r="X1460" s="2">
        <f ca="1"/>
        <v>59.527811946819838</v>
      </c>
      <c r="AG1460" s="2">
        <f ca="1"/>
        <v>0.38283653190447242</v>
      </c>
      <c r="AH1460" s="2" t="str">
        <f ca="1"/>
        <v>OK</v>
      </c>
    </row>
    <row r="1461" spans="2:34" x14ac:dyDescent="0.2">
      <c r="B1461" s="2">
        <f ca="1"/>
        <v>0.23571310011110636</v>
      </c>
      <c r="O1461" s="2">
        <f ca="1"/>
        <v>-2.0116028251356668</v>
      </c>
      <c r="X1461" s="2">
        <f ca="1"/>
        <v>55.555024959821282</v>
      </c>
      <c r="AG1461" s="2">
        <f ca="1"/>
        <v>0.91882336933334652</v>
      </c>
      <c r="AH1461" s="2" t="str">
        <f ca="1"/>
        <v>Bad</v>
      </c>
    </row>
    <row r="1462" spans="2:34" x14ac:dyDescent="0.2">
      <c r="B1462" s="2">
        <f ca="1"/>
        <v>0.89432388936337648</v>
      </c>
      <c r="O1462" s="2">
        <f ca="1"/>
        <v>-0.52157318792449492</v>
      </c>
      <c r="X1462" s="2">
        <f ca="1"/>
        <v>19.555515691781363</v>
      </c>
      <c r="AG1462" s="2">
        <f ca="1"/>
        <v>0.8620167462073367</v>
      </c>
      <c r="AH1462" s="2" t="str">
        <f ca="1"/>
        <v>Bad</v>
      </c>
    </row>
    <row r="1463" spans="2:34" x14ac:dyDescent="0.2">
      <c r="B1463" s="2">
        <f ca="1"/>
        <v>0.99390214900378737</v>
      </c>
      <c r="O1463" s="2">
        <f ca="1"/>
        <v>0.41050842020613371</v>
      </c>
      <c r="X1463" s="2">
        <f ca="1"/>
        <v>33.095190313509207</v>
      </c>
      <c r="AG1463" s="2">
        <f ca="1"/>
        <v>0.34912784202534075</v>
      </c>
      <c r="AH1463" s="2" t="str">
        <f ca="1"/>
        <v>OK</v>
      </c>
    </row>
    <row r="1464" spans="2:34" x14ac:dyDescent="0.2">
      <c r="B1464" s="2">
        <f ca="1"/>
        <v>0.47995482550519797</v>
      </c>
      <c r="O1464" s="2">
        <f ca="1"/>
        <v>-0.91670149142426782</v>
      </c>
      <c r="X1464" s="2">
        <f ca="1"/>
        <v>77.967004441396696</v>
      </c>
      <c r="AG1464" s="2">
        <f ca="1"/>
        <v>1.3459312155137404E-3</v>
      </c>
      <c r="AH1464" s="2" t="str">
        <f ca="1"/>
        <v>Good</v>
      </c>
    </row>
    <row r="1465" spans="2:34" x14ac:dyDescent="0.2">
      <c r="B1465" s="2">
        <f ca="1"/>
        <v>0.74610970261132681</v>
      </c>
      <c r="O1465" s="2">
        <f ca="1"/>
        <v>1.5595090331353796</v>
      </c>
      <c r="X1465" s="2">
        <f ca="1"/>
        <v>31.430465976449511</v>
      </c>
      <c r="AG1465" s="2">
        <f ca="1"/>
        <v>0.45309539915960495</v>
      </c>
      <c r="AH1465" s="2" t="str">
        <f ca="1"/>
        <v>Bad</v>
      </c>
    </row>
    <row r="1466" spans="2:34" x14ac:dyDescent="0.2">
      <c r="B1466" s="2">
        <f ca="1"/>
        <v>0.63404624559494205</v>
      </c>
      <c r="O1466" s="2">
        <f ca="1"/>
        <v>-0.16383551352600917</v>
      </c>
      <c r="X1466" s="2">
        <f ca="1"/>
        <v>40.235616616178675</v>
      </c>
      <c r="AG1466" s="2">
        <f ca="1"/>
        <v>0.42645498631880363</v>
      </c>
      <c r="AH1466" s="2" t="str">
        <f ca="1"/>
        <v>Bad</v>
      </c>
    </row>
    <row r="1467" spans="2:34" x14ac:dyDescent="0.2">
      <c r="B1467" s="2">
        <f ca="1"/>
        <v>0.74433246114849094</v>
      </c>
      <c r="O1467" s="2">
        <f ca="1"/>
        <v>1.0822185137881877</v>
      </c>
      <c r="X1467" s="2">
        <f ca="1"/>
        <v>59.668755152433235</v>
      </c>
      <c r="AG1467" s="2">
        <f ca="1"/>
        <v>0.89719518896631945</v>
      </c>
      <c r="AH1467" s="2" t="str">
        <f ca="1"/>
        <v>Bad</v>
      </c>
    </row>
    <row r="1468" spans="2:34" x14ac:dyDescent="0.2">
      <c r="B1468" s="2">
        <f ca="1"/>
        <v>0.56043051606368599</v>
      </c>
      <c r="O1468" s="2">
        <f ca="1"/>
        <v>0.57608814786001294</v>
      </c>
      <c r="X1468" s="2">
        <f ca="1"/>
        <v>48.194038310532321</v>
      </c>
      <c r="AG1468" s="2">
        <f ca="1"/>
        <v>0.69856035462151467</v>
      </c>
      <c r="AH1468" s="2" t="str">
        <f ca="1"/>
        <v>Bad</v>
      </c>
    </row>
    <row r="1469" spans="2:34" x14ac:dyDescent="0.2">
      <c r="B1469" s="2">
        <f ca="1"/>
        <v>0.31297767614122907</v>
      </c>
      <c r="O1469" s="2">
        <f ca="1"/>
        <v>1.1868418508791065</v>
      </c>
      <c r="X1469" s="2">
        <f ca="1"/>
        <v>42.246460082475323</v>
      </c>
      <c r="AG1469" s="2">
        <f ca="1"/>
        <v>0.41146045002688858</v>
      </c>
      <c r="AH1469" s="2" t="str">
        <f ca="1"/>
        <v>Bad</v>
      </c>
    </row>
    <row r="1470" spans="2:34" x14ac:dyDescent="0.2">
      <c r="B1470" s="2">
        <f ca="1"/>
        <v>0.43553121968713615</v>
      </c>
      <c r="O1470" s="2">
        <f ca="1"/>
        <v>-0.63791941051025536</v>
      </c>
      <c r="X1470" s="2">
        <f ca="1"/>
        <v>60.526952605534802</v>
      </c>
      <c r="AG1470" s="2">
        <f ca="1"/>
        <v>0.75078609971859578</v>
      </c>
      <c r="AH1470" s="2" t="str">
        <f ca="1"/>
        <v>Bad</v>
      </c>
    </row>
    <row r="1471" spans="2:34" x14ac:dyDescent="0.2">
      <c r="B1471" s="2">
        <f ca="1"/>
        <v>0.60697714480520992</v>
      </c>
      <c r="O1471" s="2">
        <f ca="1"/>
        <v>-0.83248678780050356</v>
      </c>
      <c r="X1471" s="2">
        <f ca="1"/>
        <v>46.283802949704651</v>
      </c>
      <c r="AG1471" s="2">
        <f ca="1"/>
        <v>0.98660423299638911</v>
      </c>
      <c r="AH1471" s="2" t="str">
        <f ca="1"/>
        <v>Bad</v>
      </c>
    </row>
    <row r="1472" spans="2:34" x14ac:dyDescent="0.2">
      <c r="B1472" s="2">
        <f ca="1"/>
        <v>0.87469914782066915</v>
      </c>
      <c r="O1472" s="2">
        <f ca="1"/>
        <v>0.88103097079010018</v>
      </c>
      <c r="X1472" s="2">
        <f ca="1"/>
        <v>37.994446150071063</v>
      </c>
      <c r="AG1472" s="2">
        <f ca="1"/>
        <v>0.82577873562790138</v>
      </c>
      <c r="AH1472" s="2" t="str">
        <f ca="1"/>
        <v>Bad</v>
      </c>
    </row>
    <row r="1473" spans="2:34" x14ac:dyDescent="0.2">
      <c r="B1473" s="2">
        <f ca="1"/>
        <v>0.25812126729961582</v>
      </c>
      <c r="O1473" s="2">
        <f ca="1"/>
        <v>-3.2476219225440841E-3</v>
      </c>
      <c r="X1473" s="2">
        <f ca="1"/>
        <v>43.829378435609215</v>
      </c>
      <c r="AG1473" s="2">
        <f ca="1"/>
        <v>0.86017461535706885</v>
      </c>
      <c r="AH1473" s="2" t="str">
        <f ca="1"/>
        <v>Bad</v>
      </c>
    </row>
    <row r="1474" spans="2:34" x14ac:dyDescent="0.2">
      <c r="B1474" s="2">
        <f ca="1"/>
        <v>0.11787138506326311</v>
      </c>
      <c r="O1474" s="2">
        <f ca="1"/>
        <v>-0.22951214152232099</v>
      </c>
      <c r="X1474" s="2">
        <f ca="1"/>
        <v>32.278043561988767</v>
      </c>
      <c r="AG1474" s="2">
        <f ca="1"/>
        <v>0.20199426880518723</v>
      </c>
      <c r="AH1474" s="2" t="str">
        <f ca="1"/>
        <v>OK</v>
      </c>
    </row>
    <row r="1475" spans="2:34" x14ac:dyDescent="0.2">
      <c r="B1475" s="2">
        <f ca="1"/>
        <v>0.34355134533584164</v>
      </c>
      <c r="O1475" s="2">
        <f ca="1"/>
        <v>1.6434170425934906</v>
      </c>
      <c r="X1475" s="2">
        <f ca="1"/>
        <v>44.642736057405507</v>
      </c>
      <c r="AG1475" s="2">
        <f ca="1"/>
        <v>0.57395253365554288</v>
      </c>
      <c r="AH1475" s="2" t="str">
        <f ca="1"/>
        <v>Bad</v>
      </c>
    </row>
    <row r="1476" spans="2:34" x14ac:dyDescent="0.2">
      <c r="B1476" s="2">
        <f ca="1"/>
        <v>0.39819993440729817</v>
      </c>
      <c r="O1476" s="2">
        <f ca="1"/>
        <v>-0.87287358265052029</v>
      </c>
      <c r="X1476" s="2">
        <f ca="1"/>
        <v>69.393860002946695</v>
      </c>
      <c r="AG1476" s="2">
        <f ca="1"/>
        <v>0.40056204704196841</v>
      </c>
      <c r="AH1476" s="2" t="str">
        <f ca="1"/>
        <v>Bad</v>
      </c>
    </row>
    <row r="1477" spans="2:34" x14ac:dyDescent="0.2">
      <c r="B1477" s="2">
        <f ca="1"/>
        <v>0.63834502893312584</v>
      </c>
      <c r="O1477" s="2">
        <f ca="1"/>
        <v>-0.86078835569167733</v>
      </c>
      <c r="X1477" s="2">
        <f ca="1"/>
        <v>60.113867165702189</v>
      </c>
      <c r="AG1477" s="2">
        <f ca="1"/>
        <v>8.7477208899980896E-2</v>
      </c>
      <c r="AH1477" s="2" t="str">
        <f ca="1"/>
        <v>OK</v>
      </c>
    </row>
    <row r="1478" spans="2:34" x14ac:dyDescent="0.2">
      <c r="B1478" s="2">
        <f ca="1"/>
        <v>0.27208715071687162</v>
      </c>
      <c r="O1478" s="2">
        <f ca="1"/>
        <v>-1.0056887967283468</v>
      </c>
      <c r="X1478" s="2">
        <f ca="1"/>
        <v>54.453357987030287</v>
      </c>
      <c r="AG1478" s="2">
        <f ca="1"/>
        <v>0.15111542819148371</v>
      </c>
      <c r="AH1478" s="2" t="str">
        <f ca="1"/>
        <v>OK</v>
      </c>
    </row>
    <row r="1479" spans="2:34" x14ac:dyDescent="0.2">
      <c r="B1479" s="2">
        <f ca="1"/>
        <v>0.36603916804243863</v>
      </c>
      <c r="O1479" s="2">
        <f ca="1"/>
        <v>0.65356867978265365</v>
      </c>
      <c r="X1479" s="2">
        <f ca="1"/>
        <v>46.364518482037838</v>
      </c>
      <c r="AG1479" s="2">
        <f ca="1"/>
        <v>0.23259231230981325</v>
      </c>
      <c r="AH1479" s="2" t="str">
        <f ca="1"/>
        <v>OK</v>
      </c>
    </row>
    <row r="1480" spans="2:34" x14ac:dyDescent="0.2">
      <c r="B1480" s="2">
        <f ca="1"/>
        <v>0.86589602991175529</v>
      </c>
      <c r="O1480" s="2">
        <f ca="1"/>
        <v>1.4312705149295668</v>
      </c>
      <c r="X1480" s="2">
        <f ca="1"/>
        <v>91.10159670215296</v>
      </c>
      <c r="AG1480" s="2">
        <f ca="1"/>
        <v>0.82405029737747149</v>
      </c>
      <c r="AH1480" s="2" t="str">
        <f ca="1"/>
        <v>Bad</v>
      </c>
    </row>
    <row r="1481" spans="2:34" x14ac:dyDescent="0.2">
      <c r="B1481" s="2">
        <f ca="1"/>
        <v>4.3747618334120775E-2</v>
      </c>
      <c r="O1481" s="2">
        <f ca="1"/>
        <v>1.1858884860637227</v>
      </c>
      <c r="X1481" s="2">
        <f ca="1"/>
        <v>62.346385955427579</v>
      </c>
      <c r="AG1481" s="2">
        <f ca="1"/>
        <v>0.81091953110262138</v>
      </c>
      <c r="AH1481" s="2" t="str">
        <f ca="1"/>
        <v>Bad</v>
      </c>
    </row>
    <row r="1482" spans="2:34" x14ac:dyDescent="0.2">
      <c r="B1482" s="2">
        <f ca="1"/>
        <v>0.84478798915547548</v>
      </c>
      <c r="O1482" s="2">
        <f ca="1"/>
        <v>-0.70400264599844697</v>
      </c>
      <c r="X1482" s="2">
        <f ca="1"/>
        <v>57.628836108751187</v>
      </c>
      <c r="AG1482" s="2">
        <f ca="1"/>
        <v>0.20323102353453071</v>
      </c>
      <c r="AH1482" s="2" t="str">
        <f ca="1"/>
        <v>OK</v>
      </c>
    </row>
    <row r="1483" spans="2:34" x14ac:dyDescent="0.2">
      <c r="B1483" s="2">
        <f ca="1"/>
        <v>2.8251639763020142E-2</v>
      </c>
      <c r="O1483" s="2">
        <f ca="1"/>
        <v>-0.76309627920125389</v>
      </c>
      <c r="X1483" s="2">
        <f ca="1"/>
        <v>66.528673855400626</v>
      </c>
      <c r="AG1483" s="2">
        <f ca="1"/>
        <v>0.18402763261747457</v>
      </c>
      <c r="AH1483" s="2" t="str">
        <f ca="1"/>
        <v>OK</v>
      </c>
    </row>
    <row r="1484" spans="2:34" x14ac:dyDescent="0.2">
      <c r="B1484" s="2">
        <f ca="1"/>
        <v>0.60310254522022566</v>
      </c>
      <c r="O1484" s="2">
        <f ca="1"/>
        <v>0.6220413384565332</v>
      </c>
      <c r="X1484" s="2">
        <f ca="1"/>
        <v>40.669187118717893</v>
      </c>
      <c r="AG1484" s="2">
        <f ca="1"/>
        <v>0.80574905926900953</v>
      </c>
      <c r="AH1484" s="2" t="str">
        <f ca="1"/>
        <v>Bad</v>
      </c>
    </row>
    <row r="1485" spans="2:34" x14ac:dyDescent="0.2">
      <c r="B1485" s="2">
        <f ca="1"/>
        <v>0.58589853234304634</v>
      </c>
      <c r="O1485" s="2">
        <f ca="1"/>
        <v>0.1368748961368163</v>
      </c>
      <c r="X1485" s="2">
        <f ca="1"/>
        <v>61.262489394772032</v>
      </c>
      <c r="AG1485" s="2">
        <f ca="1"/>
        <v>0.40074758160187973</v>
      </c>
      <c r="AH1485" s="2" t="str">
        <f ca="1"/>
        <v>Bad</v>
      </c>
    </row>
    <row r="1486" spans="2:34" x14ac:dyDescent="0.2">
      <c r="B1486" s="2">
        <f ca="1"/>
        <v>0.12759467043424766</v>
      </c>
      <c r="O1486" s="2">
        <f ca="1"/>
        <v>-0.30127106400468462</v>
      </c>
      <c r="X1486" s="2">
        <f ca="1"/>
        <v>56.165556720490997</v>
      </c>
      <c r="AG1486" s="2">
        <f ca="1"/>
        <v>0.24424559673837765</v>
      </c>
      <c r="AH1486" s="2" t="str">
        <f ca="1"/>
        <v>OK</v>
      </c>
    </row>
    <row r="1487" spans="2:34" x14ac:dyDescent="0.2">
      <c r="B1487" s="2">
        <f ca="1"/>
        <v>0.36854598734829902</v>
      </c>
      <c r="O1487" s="2">
        <f ca="1"/>
        <v>-0.57470631073631628</v>
      </c>
      <c r="X1487" s="2">
        <f ca="1"/>
        <v>47.582185101237108</v>
      </c>
      <c r="AG1487" s="2">
        <f ca="1"/>
        <v>0.56238344893037162</v>
      </c>
      <c r="AH1487" s="2" t="str">
        <f ca="1"/>
        <v>Bad</v>
      </c>
    </row>
    <row r="1488" spans="2:34" x14ac:dyDescent="0.2">
      <c r="B1488" s="2">
        <f ca="1"/>
        <v>0.20587124720767491</v>
      </c>
      <c r="O1488" s="2">
        <f ca="1"/>
        <v>0.35922783728306623</v>
      </c>
      <c r="X1488" s="2">
        <f ca="1"/>
        <v>56.86731262401576</v>
      </c>
      <c r="AG1488" s="2">
        <f ca="1"/>
        <v>0.70635235694999876</v>
      </c>
      <c r="AH1488" s="2" t="str">
        <f ca="1"/>
        <v>Bad</v>
      </c>
    </row>
    <row r="1489" spans="2:34" x14ac:dyDescent="0.2">
      <c r="B1489" s="2">
        <f ca="1"/>
        <v>3.8419162620300984E-2</v>
      </c>
      <c r="O1489" s="2">
        <f ca="1"/>
        <v>0.50888048160522437</v>
      </c>
      <c r="X1489" s="2">
        <f ca="1"/>
        <v>46.28913910721279</v>
      </c>
      <c r="AG1489" s="2">
        <f ca="1"/>
        <v>0.54774963641059848</v>
      </c>
      <c r="AH1489" s="2" t="str">
        <f ca="1"/>
        <v>Bad</v>
      </c>
    </row>
    <row r="1490" spans="2:34" x14ac:dyDescent="0.2">
      <c r="B1490" s="2">
        <f ca="1"/>
        <v>0.81216978828213549</v>
      </c>
      <c r="O1490" s="2">
        <f ca="1"/>
        <v>2.1524845476914507</v>
      </c>
      <c r="X1490" s="2">
        <f ca="1"/>
        <v>29.227501687592678</v>
      </c>
      <c r="AG1490" s="2">
        <f ca="1"/>
        <v>0.12889845006733158</v>
      </c>
      <c r="AH1490" s="2" t="str">
        <f ca="1"/>
        <v>OK</v>
      </c>
    </row>
    <row r="1491" spans="2:34" x14ac:dyDescent="0.2">
      <c r="B1491" s="2">
        <f ca="1"/>
        <v>0.77907090173045002</v>
      </c>
      <c r="O1491" s="2">
        <f ca="1"/>
        <v>-0.92972459904504556</v>
      </c>
      <c r="X1491" s="2">
        <f ca="1"/>
        <v>37.213746454156279</v>
      </c>
      <c r="AG1491" s="2">
        <f ca="1"/>
        <v>0.57950438221261669</v>
      </c>
      <c r="AH1491" s="2" t="str">
        <f ca="1"/>
        <v>Bad</v>
      </c>
    </row>
    <row r="1492" spans="2:34" x14ac:dyDescent="0.2">
      <c r="B1492" s="2">
        <f ca="1"/>
        <v>0.74782529867667913</v>
      </c>
      <c r="O1492" s="2">
        <f ca="1"/>
        <v>0.17316213535227515</v>
      </c>
      <c r="X1492" s="2">
        <f ca="1"/>
        <v>63.134123397028368</v>
      </c>
      <c r="AG1492" s="2">
        <f ca="1"/>
        <v>0.18991482910612389</v>
      </c>
      <c r="AH1492" s="2" t="str">
        <f ca="1"/>
        <v>OK</v>
      </c>
    </row>
    <row r="1493" spans="2:34" x14ac:dyDescent="0.2">
      <c r="B1493" s="2">
        <f ca="1"/>
        <v>0.91912041096679165</v>
      </c>
      <c r="O1493" s="2">
        <f ca="1"/>
        <v>-3.7836300006260717E-2</v>
      </c>
      <c r="X1493" s="2">
        <f ca="1"/>
        <v>65.34748443338664</v>
      </c>
      <c r="AG1493" s="2">
        <f ca="1"/>
        <v>0.98550416460203727</v>
      </c>
      <c r="AH1493" s="2" t="str">
        <f ca="1"/>
        <v>Bad</v>
      </c>
    </row>
    <row r="1494" spans="2:34" x14ac:dyDescent="0.2">
      <c r="B1494" s="2">
        <f ca="1"/>
        <v>0.53241814145020294</v>
      </c>
      <c r="O1494" s="2">
        <f ca="1"/>
        <v>-0.74673463553050035</v>
      </c>
      <c r="X1494" s="2">
        <f ca="1"/>
        <v>27.558745618534854</v>
      </c>
      <c r="AG1494" s="2">
        <f ca="1"/>
        <v>2.1000533805510591E-2</v>
      </c>
      <c r="AH1494" s="2" t="str">
        <f ca="1"/>
        <v>Good</v>
      </c>
    </row>
    <row r="1495" spans="2:34" x14ac:dyDescent="0.2">
      <c r="B1495" s="2">
        <f ca="1"/>
        <v>0.88940655976332206</v>
      </c>
      <c r="O1495" s="2">
        <f ca="1"/>
        <v>-0.47567133337887713</v>
      </c>
      <c r="X1495" s="2">
        <f ca="1"/>
        <v>45.143868386492692</v>
      </c>
      <c r="AG1495" s="2">
        <f ca="1"/>
        <v>0.23738358328418396</v>
      </c>
      <c r="AH1495" s="2" t="str">
        <f ca="1"/>
        <v>OK</v>
      </c>
    </row>
    <row r="1496" spans="2:34" x14ac:dyDescent="0.2">
      <c r="B1496" s="2">
        <f ca="1"/>
        <v>0.33455104729935115</v>
      </c>
      <c r="O1496" s="2">
        <f ca="1"/>
        <v>0.62650820377752725</v>
      </c>
      <c r="X1496" s="2">
        <f ca="1"/>
        <v>40.503921815621275</v>
      </c>
      <c r="AG1496" s="2">
        <f ca="1"/>
        <v>0.24587421541007282</v>
      </c>
      <c r="AH1496" s="2" t="str">
        <f ca="1"/>
        <v>OK</v>
      </c>
    </row>
    <row r="1497" spans="2:34" x14ac:dyDescent="0.2">
      <c r="B1497" s="2">
        <f ca="1"/>
        <v>0.50610649799458418</v>
      </c>
      <c r="O1497" s="2">
        <f ca="1"/>
        <v>-1.4621760829293029</v>
      </c>
      <c r="X1497" s="2">
        <f ca="1"/>
        <v>37.312588696751497</v>
      </c>
      <c r="AG1497" s="2">
        <f ca="1"/>
        <v>0.31539446037496255</v>
      </c>
      <c r="AH1497" s="2" t="str">
        <f ca="1"/>
        <v>OK</v>
      </c>
    </row>
    <row r="1498" spans="2:34" x14ac:dyDescent="0.2">
      <c r="B1498" s="2">
        <f ca="1"/>
        <v>3.8777622372371257E-2</v>
      </c>
      <c r="O1498" s="2">
        <f ca="1"/>
        <v>-0.51619397439888826</v>
      </c>
      <c r="X1498" s="2">
        <f ca="1"/>
        <v>41.77123490510872</v>
      </c>
      <c r="AG1498" s="2">
        <f ca="1"/>
        <v>0.99074307160387987</v>
      </c>
      <c r="AH1498" s="2" t="str">
        <f ca="1"/>
        <v>Bad</v>
      </c>
    </row>
    <row r="1499" spans="2:34" x14ac:dyDescent="0.2">
      <c r="B1499" s="2">
        <f ca="1"/>
        <v>0.28651361168443201</v>
      </c>
      <c r="O1499" s="2">
        <f ca="1"/>
        <v>-0.50152631999282493</v>
      </c>
      <c r="X1499" s="2">
        <f ca="1"/>
        <v>48.244135416472538</v>
      </c>
      <c r="AG1499" s="2">
        <f ca="1"/>
        <v>0.26404890534458469</v>
      </c>
      <c r="AH1499" s="2" t="str">
        <f ca="1"/>
        <v>OK</v>
      </c>
    </row>
    <row r="1500" spans="2:34" x14ac:dyDescent="0.2">
      <c r="B1500" s="2">
        <f ca="1"/>
        <v>0.60439229481806045</v>
      </c>
      <c r="O1500" s="2">
        <f ca="1"/>
        <v>-1.1293241424232625</v>
      </c>
      <c r="X1500" s="2">
        <f ca="1"/>
        <v>57.492539085343317</v>
      </c>
      <c r="AG1500" s="2">
        <f ca="1"/>
        <v>0.78510979798019287</v>
      </c>
      <c r="AH1500" s="2" t="str">
        <f ca="1"/>
        <v>Bad</v>
      </c>
    </row>
    <row r="1501" spans="2:34" x14ac:dyDescent="0.2">
      <c r="B1501" s="2">
        <f ca="1"/>
        <v>0.90149252307568117</v>
      </c>
      <c r="O1501" s="2">
        <f ca="1"/>
        <v>-0.54555913491539287</v>
      </c>
      <c r="X1501" s="2">
        <f ca="1"/>
        <v>49.187293960002741</v>
      </c>
      <c r="AG1501" s="2">
        <f ca="1"/>
        <v>0.84196390070693305</v>
      </c>
      <c r="AH1501" s="2" t="str">
        <f ca="1"/>
        <v>Bad</v>
      </c>
    </row>
    <row r="1502" spans="2:34" x14ac:dyDescent="0.2">
      <c r="B1502" s="2">
        <f ca="1"/>
        <v>0.1508882598982495</v>
      </c>
      <c r="O1502" s="2">
        <f ca="1"/>
        <v>1.6243880149335999</v>
      </c>
      <c r="X1502" s="2">
        <f ca="1"/>
        <v>45.720192110518958</v>
      </c>
      <c r="AG1502" s="2">
        <f ca="1"/>
        <v>0.60219857055396164</v>
      </c>
      <c r="AH1502" s="2" t="str">
        <f ca="1"/>
        <v>Bad</v>
      </c>
    </row>
    <row r="1503" spans="2:34" x14ac:dyDescent="0.2">
      <c r="B1503" s="2">
        <f ca="1"/>
        <v>0.15435962806180425</v>
      </c>
      <c r="O1503" s="2">
        <f ca="1"/>
        <v>0.10597969354266296</v>
      </c>
      <c r="X1503" s="2">
        <f ca="1"/>
        <v>40.235559385532476</v>
      </c>
      <c r="AG1503" s="2">
        <f ca="1"/>
        <v>0.68989361641918001</v>
      </c>
      <c r="AH1503" s="2" t="str">
        <f ca="1"/>
        <v>Bad</v>
      </c>
    </row>
    <row r="1504" spans="2:34" x14ac:dyDescent="0.2">
      <c r="B1504" s="2">
        <f ca="1"/>
        <v>0.32857785008617135</v>
      </c>
      <c r="O1504" s="2">
        <f ca="1"/>
        <v>0.13905389218503339</v>
      </c>
      <c r="X1504" s="2">
        <f ca="1"/>
        <v>53.800844133389475</v>
      </c>
      <c r="AG1504" s="2">
        <f ca="1"/>
        <v>0.72758771836505098</v>
      </c>
      <c r="AH1504" s="2" t="str">
        <f ca="1"/>
        <v>Bad</v>
      </c>
    </row>
    <row r="1505" spans="2:34" x14ac:dyDescent="0.2">
      <c r="B1505" s="2">
        <f ca="1"/>
        <v>0.39790536071470228</v>
      </c>
      <c r="O1505" s="2">
        <f ca="1"/>
        <v>-1.1814461659923108</v>
      </c>
      <c r="X1505" s="2">
        <f ca="1"/>
        <v>45.165004847716297</v>
      </c>
      <c r="AG1505" s="2">
        <f ca="1"/>
        <v>0.25713125556496408</v>
      </c>
      <c r="AH1505" s="2" t="str">
        <f ca="1"/>
        <v>OK</v>
      </c>
    </row>
    <row r="1506" spans="2:34" x14ac:dyDescent="0.2">
      <c r="B1506" s="2">
        <f ca="1"/>
        <v>0.92746167804578983</v>
      </c>
      <c r="O1506" s="2">
        <f ca="1"/>
        <v>0.63469297023660665</v>
      </c>
      <c r="X1506" s="2">
        <f ca="1"/>
        <v>44.5541096425736</v>
      </c>
      <c r="AG1506" s="2">
        <f ca="1"/>
        <v>0.94699354644813694</v>
      </c>
      <c r="AH1506" s="2" t="str">
        <f ca="1"/>
        <v>Bad</v>
      </c>
    </row>
    <row r="1507" spans="2:34" x14ac:dyDescent="0.2">
      <c r="B1507" s="2">
        <f ca="1"/>
        <v>0.22192793032104752</v>
      </c>
      <c r="O1507" s="2">
        <f ca="1"/>
        <v>-1.0793706276784742</v>
      </c>
      <c r="X1507" s="2">
        <f ca="1"/>
        <v>63.872183113540714</v>
      </c>
      <c r="AG1507" s="2">
        <f ca="1"/>
        <v>0.98312523070447955</v>
      </c>
      <c r="AH1507" s="2" t="str">
        <f ca="1"/>
        <v>Bad</v>
      </c>
    </row>
    <row r="1508" spans="2:34" x14ac:dyDescent="0.2">
      <c r="B1508" s="2">
        <f ca="1"/>
        <v>0.48741239146697835</v>
      </c>
      <c r="O1508" s="2">
        <f ca="1"/>
        <v>1.0883098611091984</v>
      </c>
      <c r="X1508" s="2">
        <f ca="1"/>
        <v>50.07819397943075</v>
      </c>
      <c r="AG1508" s="2">
        <f ca="1"/>
        <v>0.48289076210022608</v>
      </c>
      <c r="AH1508" s="2" t="str">
        <f ca="1"/>
        <v>Bad</v>
      </c>
    </row>
    <row r="1509" spans="2:34" x14ac:dyDescent="0.2">
      <c r="B1509" s="2">
        <f ca="1"/>
        <v>0.85565878240276416</v>
      </c>
      <c r="O1509" s="2">
        <f ca="1"/>
        <v>2.4505179780223347</v>
      </c>
      <c r="X1509" s="2">
        <f ca="1"/>
        <v>69.83982541558801</v>
      </c>
      <c r="AG1509" s="2">
        <f ca="1"/>
        <v>8.3672494484252624E-2</v>
      </c>
      <c r="AH1509" s="2" t="str">
        <f ca="1"/>
        <v>OK</v>
      </c>
    </row>
    <row r="1510" spans="2:34" x14ac:dyDescent="0.2">
      <c r="B1510" s="2">
        <f ca="1"/>
        <v>0.43500529726684212</v>
      </c>
      <c r="O1510" s="2">
        <f ca="1"/>
        <v>1.1337606573563896</v>
      </c>
      <c r="X1510" s="2">
        <f ca="1"/>
        <v>57.557487811335761</v>
      </c>
      <c r="AG1510" s="2">
        <f ca="1"/>
        <v>8.5854117541710684E-2</v>
      </c>
      <c r="AH1510" s="2" t="str">
        <f ca="1"/>
        <v>OK</v>
      </c>
    </row>
    <row r="1511" spans="2:34" x14ac:dyDescent="0.2">
      <c r="B1511" s="2">
        <f ca="1"/>
        <v>0.61234282835004339</v>
      </c>
      <c r="O1511" s="2">
        <f ca="1"/>
        <v>1.1158255959473478</v>
      </c>
      <c r="X1511" s="2">
        <f ca="1"/>
        <v>40.075158222370931</v>
      </c>
      <c r="AG1511" s="2">
        <f ca="1"/>
        <v>0.61315288606516938</v>
      </c>
      <c r="AH1511" s="2" t="str">
        <f ca="1"/>
        <v>Bad</v>
      </c>
    </row>
    <row r="1512" spans="2:34" x14ac:dyDescent="0.2">
      <c r="B1512" s="2">
        <f ca="1"/>
        <v>0.67949971801923259</v>
      </c>
      <c r="O1512" s="2">
        <f ca="1"/>
        <v>-0.32125082179790931</v>
      </c>
      <c r="X1512" s="2">
        <f ca="1"/>
        <v>65.762188055232812</v>
      </c>
      <c r="AG1512" s="2">
        <f ca="1"/>
        <v>0.5159957879683752</v>
      </c>
      <c r="AH1512" s="2" t="str">
        <f ca="1"/>
        <v>Bad</v>
      </c>
    </row>
    <row r="1513" spans="2:34" x14ac:dyDescent="0.2">
      <c r="B1513" s="2">
        <f ca="1"/>
        <v>0.69499128757962514</v>
      </c>
      <c r="O1513" s="2">
        <f ca="1"/>
        <v>-0.72149227064239707</v>
      </c>
      <c r="X1513" s="2">
        <f ca="1"/>
        <v>47.94101277306688</v>
      </c>
      <c r="AG1513" s="2">
        <f ca="1"/>
        <v>0.58416960951891306</v>
      </c>
      <c r="AH1513" s="2" t="str">
        <f ca="1"/>
        <v>Bad</v>
      </c>
    </row>
    <row r="1514" spans="2:34" x14ac:dyDescent="0.2">
      <c r="B1514" s="2">
        <f ca="1"/>
        <v>0.91514202026548497</v>
      </c>
      <c r="O1514" s="2">
        <f ca="1"/>
        <v>0.23810875797155862</v>
      </c>
      <c r="X1514" s="2">
        <f ca="1"/>
        <v>36.234137615017858</v>
      </c>
      <c r="AG1514" s="2">
        <f ca="1"/>
        <v>0.97226596146032485</v>
      </c>
      <c r="AH1514" s="2" t="str">
        <f ca="1"/>
        <v>Bad</v>
      </c>
    </row>
    <row r="1515" spans="2:34" x14ac:dyDescent="0.2">
      <c r="B1515" s="2">
        <f ca="1"/>
        <v>0.24430625772462911</v>
      </c>
      <c r="O1515" s="2">
        <f ca="1"/>
        <v>-0.53582900966465885</v>
      </c>
      <c r="X1515" s="2">
        <f ca="1"/>
        <v>19.990935778511393</v>
      </c>
      <c r="AG1515" s="2">
        <f ca="1"/>
        <v>0.31376888263275071</v>
      </c>
      <c r="AH1515" s="2" t="str">
        <f ca="1"/>
        <v>OK</v>
      </c>
    </row>
    <row r="1516" spans="2:34" x14ac:dyDescent="0.2">
      <c r="B1516" s="2">
        <f ca="1"/>
        <v>7.0319294865886395E-2</v>
      </c>
      <c r="O1516" s="2">
        <f ca="1"/>
        <v>-0.3855664284147049</v>
      </c>
      <c r="X1516" s="2">
        <f ca="1"/>
        <v>45.240650708229538</v>
      </c>
      <c r="AG1516" s="2">
        <f ca="1"/>
        <v>0.42927664355036033</v>
      </c>
      <c r="AH1516" s="2" t="str">
        <f ca="1"/>
        <v>Bad</v>
      </c>
    </row>
    <row r="1517" spans="2:34" x14ac:dyDescent="0.2">
      <c r="B1517" s="2">
        <f ca="1"/>
        <v>0.76315552969037403</v>
      </c>
      <c r="O1517" s="2">
        <f ca="1"/>
        <v>-0.51328753328850274</v>
      </c>
      <c r="X1517" s="2">
        <f ca="1"/>
        <v>15.536481676269959</v>
      </c>
      <c r="AG1517" s="2">
        <f ca="1"/>
        <v>0.8441957931298365</v>
      </c>
      <c r="AH1517" s="2" t="str">
        <f ca="1"/>
        <v>Bad</v>
      </c>
    </row>
    <row r="1518" spans="2:34" x14ac:dyDescent="0.2">
      <c r="B1518" s="2">
        <f ca="1"/>
        <v>0.98936285713067695</v>
      </c>
      <c r="O1518" s="2">
        <f ca="1"/>
        <v>0.54019656382619785</v>
      </c>
      <c r="X1518" s="2">
        <f ca="1"/>
        <v>72.704246564392264</v>
      </c>
      <c r="AG1518" s="2">
        <f ca="1"/>
        <v>0.83127226283112376</v>
      </c>
      <c r="AH1518" s="2" t="str">
        <f ca="1"/>
        <v>Bad</v>
      </c>
    </row>
    <row r="1519" spans="2:34" x14ac:dyDescent="0.2">
      <c r="B1519" s="2">
        <f ca="1"/>
        <v>0.36350423556119371</v>
      </c>
      <c r="O1519" s="2">
        <f ca="1"/>
        <v>-0.75501741748380191</v>
      </c>
      <c r="X1519" s="2">
        <f ca="1"/>
        <v>82.931105261270787</v>
      </c>
      <c r="AG1519" s="2">
        <f ca="1"/>
        <v>0.76037011309660096</v>
      </c>
      <c r="AH1519" s="2" t="str">
        <f ca="1"/>
        <v>Bad</v>
      </c>
    </row>
    <row r="1520" spans="2:34" x14ac:dyDescent="0.2">
      <c r="B1520" s="2">
        <f ca="1"/>
        <v>7.6473499288296276E-2</v>
      </c>
      <c r="O1520" s="2">
        <f ca="1"/>
        <v>0.69110414372596096</v>
      </c>
      <c r="X1520" s="2">
        <f ca="1"/>
        <v>67.096400066967988</v>
      </c>
      <c r="AG1520" s="2">
        <f ca="1"/>
        <v>0.1488762117699598</v>
      </c>
      <c r="AH1520" s="2" t="str">
        <f ca="1"/>
        <v>OK</v>
      </c>
    </row>
    <row r="1521" spans="2:34" x14ac:dyDescent="0.2">
      <c r="B1521" s="2">
        <f ca="1"/>
        <v>0.31147119155776326</v>
      </c>
      <c r="O1521" s="2">
        <f ca="1"/>
        <v>0.22063507507653118</v>
      </c>
      <c r="X1521" s="2">
        <f ca="1"/>
        <v>40.994834504635442</v>
      </c>
      <c r="AG1521" s="2">
        <f ca="1"/>
        <v>0.11827935679048429</v>
      </c>
      <c r="AH1521" s="2" t="str">
        <f ca="1"/>
        <v>OK</v>
      </c>
    </row>
    <row r="1522" spans="2:34" x14ac:dyDescent="0.2">
      <c r="B1522" s="2">
        <f ca="1"/>
        <v>0.32888702064713282</v>
      </c>
      <c r="O1522" s="2">
        <f ca="1"/>
        <v>1.6038076435400355</v>
      </c>
      <c r="X1522" s="2">
        <f ca="1"/>
        <v>44.723994406185469</v>
      </c>
      <c r="AG1522" s="2">
        <f ca="1"/>
        <v>0.7503069094968704</v>
      </c>
      <c r="AH1522" s="2" t="str">
        <f ca="1"/>
        <v>Bad</v>
      </c>
    </row>
    <row r="1523" spans="2:34" x14ac:dyDescent="0.2">
      <c r="B1523" s="2">
        <f ca="1"/>
        <v>7.3250632679179528E-2</v>
      </c>
      <c r="O1523" s="2">
        <f ca="1"/>
        <v>-0.15772087210729924</v>
      </c>
      <c r="X1523" s="2">
        <f ca="1"/>
        <v>59.065801969040166</v>
      </c>
      <c r="AG1523" s="2">
        <f ca="1"/>
        <v>0.15665082514300743</v>
      </c>
      <c r="AH1523" s="2" t="str">
        <f ca="1"/>
        <v>OK</v>
      </c>
    </row>
    <row r="1524" spans="2:34" x14ac:dyDescent="0.2">
      <c r="B1524" s="2">
        <f ca="1"/>
        <v>0.97896239327174817</v>
      </c>
      <c r="O1524" s="2">
        <f ca="1"/>
        <v>-1.0032105716359858</v>
      </c>
      <c r="X1524" s="2">
        <f ca="1"/>
        <v>58.148302002945215</v>
      </c>
      <c r="AG1524" s="2">
        <f ca="1"/>
        <v>0.95315308534835896</v>
      </c>
      <c r="AH1524" s="2" t="str">
        <f ca="1"/>
        <v>Bad</v>
      </c>
    </row>
    <row r="1525" spans="2:34" x14ac:dyDescent="0.2">
      <c r="B1525" s="2">
        <f ca="1"/>
        <v>0.62463581111489508</v>
      </c>
      <c r="O1525" s="2">
        <f ca="1"/>
        <v>0.29442897852284644</v>
      </c>
      <c r="X1525" s="2">
        <f ca="1"/>
        <v>56.754028113793993</v>
      </c>
      <c r="AG1525" s="2">
        <f ca="1"/>
        <v>0.391679342039575</v>
      </c>
      <c r="AH1525" s="2" t="str">
        <f ca="1"/>
        <v>OK</v>
      </c>
    </row>
    <row r="1526" spans="2:34" x14ac:dyDescent="0.2">
      <c r="B1526" s="2">
        <f ca="1"/>
        <v>0.98833044459328212</v>
      </c>
      <c r="O1526" s="2">
        <f ca="1"/>
        <v>9.3391354682668317E-3</v>
      </c>
      <c r="X1526" s="2">
        <f ca="1"/>
        <v>31.154258051801584</v>
      </c>
      <c r="AG1526" s="2">
        <f ca="1"/>
        <v>0.3187352973358244</v>
      </c>
      <c r="AH1526" s="2" t="str">
        <f ca="1"/>
        <v>OK</v>
      </c>
    </row>
    <row r="1527" spans="2:34" x14ac:dyDescent="0.2">
      <c r="B1527" s="2">
        <f ca="1"/>
        <v>0.52136048729203477</v>
      </c>
      <c r="O1527" s="2">
        <f ca="1"/>
        <v>-0.46217322006037342</v>
      </c>
      <c r="X1527" s="2">
        <f ca="1"/>
        <v>28.123049846746746</v>
      </c>
      <c r="AG1527" s="2">
        <f ca="1"/>
        <v>0.20183824459242938</v>
      </c>
      <c r="AH1527" s="2" t="str">
        <f ca="1"/>
        <v>OK</v>
      </c>
    </row>
    <row r="1528" spans="2:34" x14ac:dyDescent="0.2">
      <c r="B1528" s="2">
        <f ca="1"/>
        <v>0.75576082936488054</v>
      </c>
      <c r="O1528" s="2">
        <f ca="1"/>
        <v>1.2603726069412478</v>
      </c>
      <c r="X1528" s="2">
        <f ca="1"/>
        <v>50.0402672579267</v>
      </c>
      <c r="AG1528" s="2">
        <f ca="1"/>
        <v>0.98812157579761051</v>
      </c>
      <c r="AH1528" s="2" t="str">
        <f ca="1"/>
        <v>Bad</v>
      </c>
    </row>
    <row r="1529" spans="2:34" x14ac:dyDescent="0.2">
      <c r="B1529" s="2">
        <f ca="1"/>
        <v>0.55660008175272657</v>
      </c>
      <c r="O1529" s="2">
        <f ca="1"/>
        <v>0.10980084963659352</v>
      </c>
      <c r="X1529" s="2">
        <f ca="1"/>
        <v>52.827681521251961</v>
      </c>
      <c r="AG1529" s="2">
        <f ca="1"/>
        <v>0.69117316695185371</v>
      </c>
      <c r="AH1529" s="2" t="str">
        <f ca="1"/>
        <v>Bad</v>
      </c>
    </row>
    <row r="1530" spans="2:34" x14ac:dyDescent="0.2">
      <c r="B1530" s="2">
        <f ca="1"/>
        <v>0.91568668358935401</v>
      </c>
      <c r="O1530" s="2">
        <f ca="1"/>
        <v>-0.81757516537361774</v>
      </c>
      <c r="X1530" s="2">
        <f ca="1"/>
        <v>33.966161826505839</v>
      </c>
      <c r="AG1530" s="2">
        <f ca="1"/>
        <v>0.60074008406578749</v>
      </c>
      <c r="AH1530" s="2" t="str">
        <f ca="1"/>
        <v>Bad</v>
      </c>
    </row>
    <row r="1531" spans="2:34" x14ac:dyDescent="0.2">
      <c r="B1531" s="2">
        <f ca="1"/>
        <v>0.73792823712393529</v>
      </c>
      <c r="O1531" s="2">
        <f ca="1"/>
        <v>0.36259322091785412</v>
      </c>
      <c r="X1531" s="2">
        <f ca="1"/>
        <v>34.869868906767039</v>
      </c>
      <c r="AG1531" s="2">
        <f ca="1"/>
        <v>0.22057549540120447</v>
      </c>
      <c r="AH1531" s="2" t="str">
        <f ca="1"/>
        <v>OK</v>
      </c>
    </row>
    <row r="1532" spans="2:34" x14ac:dyDescent="0.2">
      <c r="B1532" s="2">
        <f ca="1"/>
        <v>0.87785403182679311</v>
      </c>
      <c r="O1532" s="2">
        <f ca="1"/>
        <v>1.8613892373438836</v>
      </c>
      <c r="X1532" s="2">
        <f ca="1"/>
        <v>50.365474189398789</v>
      </c>
      <c r="AG1532" s="2">
        <f ca="1"/>
        <v>0.58213828758188768</v>
      </c>
      <c r="AH1532" s="2" t="str">
        <f ca="1"/>
        <v>Bad</v>
      </c>
    </row>
    <row r="1533" spans="2:34" x14ac:dyDescent="0.2">
      <c r="B1533" s="2">
        <f ca="1"/>
        <v>0.57664584960175236</v>
      </c>
      <c r="O1533" s="2">
        <f ca="1"/>
        <v>-1.9169917850271783</v>
      </c>
      <c r="X1533" s="2">
        <f ca="1"/>
        <v>49.851066863829097</v>
      </c>
      <c r="AG1533" s="2">
        <f ca="1"/>
        <v>0.94807526906905903</v>
      </c>
      <c r="AH1533" s="2" t="str">
        <f ca="1"/>
        <v>Bad</v>
      </c>
    </row>
    <row r="1534" spans="2:34" x14ac:dyDescent="0.2">
      <c r="B1534" s="2">
        <f ca="1"/>
        <v>0.78703753859271242</v>
      </c>
      <c r="O1534" s="2">
        <f ca="1"/>
        <v>-0.95494249813567467</v>
      </c>
      <c r="X1534" s="2">
        <f ca="1"/>
        <v>44.112643042478233</v>
      </c>
      <c r="AG1534" s="2">
        <f ca="1"/>
        <v>0.54415103512854501</v>
      </c>
      <c r="AH1534" s="2" t="str">
        <f ca="1"/>
        <v>Bad</v>
      </c>
    </row>
    <row r="1535" spans="2:34" x14ac:dyDescent="0.2">
      <c r="B1535" s="2">
        <f ca="1"/>
        <v>0.60314902778779778</v>
      </c>
      <c r="O1535" s="2">
        <f ca="1"/>
        <v>1.6185783751626357</v>
      </c>
      <c r="X1535" s="2">
        <f ca="1"/>
        <v>41.617961785653648</v>
      </c>
      <c r="AG1535" s="2">
        <f ca="1"/>
        <v>0.98236689054897042</v>
      </c>
      <c r="AH1535" s="2" t="str">
        <f ca="1"/>
        <v>Bad</v>
      </c>
    </row>
    <row r="1536" spans="2:34" x14ac:dyDescent="0.2">
      <c r="B1536" s="2">
        <f ca="1"/>
        <v>0.84014102780546751</v>
      </c>
      <c r="O1536" s="2">
        <f ca="1"/>
        <v>0.41925462786010664</v>
      </c>
      <c r="X1536" s="2">
        <f ca="1"/>
        <v>61.08513319542395</v>
      </c>
      <c r="AG1536" s="2">
        <f ca="1"/>
        <v>0.60194721585967348</v>
      </c>
      <c r="AH1536" s="2" t="str">
        <f ca="1"/>
        <v>Bad</v>
      </c>
    </row>
    <row r="1537" spans="2:34" x14ac:dyDescent="0.2">
      <c r="B1537" s="2">
        <f ca="1"/>
        <v>0.27394758956914322</v>
      </c>
      <c r="O1537" s="2">
        <f ca="1"/>
        <v>1.2747606820339565</v>
      </c>
      <c r="X1537" s="2">
        <f ca="1"/>
        <v>37.338641550902331</v>
      </c>
      <c r="AG1537" s="2">
        <f ca="1"/>
        <v>0.355713572250969</v>
      </c>
      <c r="AH1537" s="2" t="str">
        <f ca="1"/>
        <v>OK</v>
      </c>
    </row>
    <row r="1538" spans="2:34" x14ac:dyDescent="0.2">
      <c r="B1538" s="2">
        <f ca="1"/>
        <v>0.78888919076065944</v>
      </c>
      <c r="O1538" s="2">
        <f ca="1"/>
        <v>0.42388379283195382</v>
      </c>
      <c r="X1538" s="2">
        <f ca="1"/>
        <v>54.366306696532988</v>
      </c>
      <c r="AG1538" s="2">
        <f ca="1"/>
        <v>0.2916316087492361</v>
      </c>
      <c r="AH1538" s="2" t="str">
        <f ca="1"/>
        <v>OK</v>
      </c>
    </row>
    <row r="1539" spans="2:34" x14ac:dyDescent="0.2">
      <c r="B1539" s="2">
        <f ca="1"/>
        <v>6.2665357486444639E-2</v>
      </c>
      <c r="O1539" s="2">
        <f ca="1"/>
        <v>-0.48502543502571704</v>
      </c>
      <c r="X1539" s="2">
        <f ca="1"/>
        <v>40.324664240326442</v>
      </c>
      <c r="AG1539" s="2">
        <f ca="1"/>
        <v>0.78306771492168581</v>
      </c>
      <c r="AH1539" s="2" t="str">
        <f ca="1"/>
        <v>Bad</v>
      </c>
    </row>
    <row r="1540" spans="2:34" x14ac:dyDescent="0.2">
      <c r="B1540" s="2">
        <f ca="1"/>
        <v>0.98254587317417519</v>
      </c>
      <c r="O1540" s="2">
        <f ca="1"/>
        <v>0.27689575993678084</v>
      </c>
      <c r="X1540" s="2">
        <f ca="1"/>
        <v>43.848268695257005</v>
      </c>
      <c r="AG1540" s="2">
        <f ca="1"/>
        <v>0.90453581011352302</v>
      </c>
      <c r="AH1540" s="2" t="str">
        <f ca="1"/>
        <v>Bad</v>
      </c>
    </row>
    <row r="1541" spans="2:34" x14ac:dyDescent="0.2">
      <c r="B1541" s="2">
        <f ca="1"/>
        <v>0.5530374373938407</v>
      </c>
      <c r="O1541" s="2">
        <f ca="1"/>
        <v>6.1079337813012682E-2</v>
      </c>
      <c r="X1541" s="2">
        <f ca="1"/>
        <v>39.9074532552902</v>
      </c>
      <c r="AG1541" s="2">
        <f ca="1"/>
        <v>0.1521886798836265</v>
      </c>
      <c r="AH1541" s="2" t="str">
        <f ca="1"/>
        <v>OK</v>
      </c>
    </row>
    <row r="1542" spans="2:34" x14ac:dyDescent="0.2">
      <c r="B1542" s="2">
        <f ca="1"/>
        <v>0.22220174552891447</v>
      </c>
      <c r="O1542" s="2">
        <f ca="1"/>
        <v>6.3328987913215604E-2</v>
      </c>
      <c r="X1542" s="2">
        <f ca="1"/>
        <v>39.368595679508424</v>
      </c>
      <c r="AG1542" s="2">
        <f ca="1"/>
        <v>0.57831852792613425</v>
      </c>
      <c r="AH1542" s="2" t="str">
        <f ca="1"/>
        <v>Bad</v>
      </c>
    </row>
    <row r="1543" spans="2:34" x14ac:dyDescent="0.2">
      <c r="B1543" s="2">
        <f ca="1"/>
        <v>0.78933259698598213</v>
      </c>
      <c r="O1543" s="2">
        <f ca="1"/>
        <v>0.67057604012167638</v>
      </c>
      <c r="X1543" s="2">
        <f ca="1"/>
        <v>40.901110119367985</v>
      </c>
      <c r="AG1543" s="2">
        <f ca="1"/>
        <v>0.58959785224363292</v>
      </c>
      <c r="AH1543" s="2" t="str">
        <f ca="1"/>
        <v>Bad</v>
      </c>
    </row>
    <row r="1544" spans="2:34" x14ac:dyDescent="0.2">
      <c r="B1544" s="2">
        <f ca="1"/>
        <v>0.37969061940868798</v>
      </c>
      <c r="O1544" s="2">
        <f ca="1"/>
        <v>-0.42800434499970019</v>
      </c>
      <c r="X1544" s="2">
        <f ca="1"/>
        <v>50.15371875415223</v>
      </c>
      <c r="AG1544" s="2">
        <f ca="1"/>
        <v>0.68594118837707274</v>
      </c>
      <c r="AH1544" s="2" t="str">
        <f ca="1"/>
        <v>Bad</v>
      </c>
    </row>
    <row r="1545" spans="2:34" x14ac:dyDescent="0.2">
      <c r="B1545" s="2">
        <f ca="1"/>
        <v>0.68997157444345603</v>
      </c>
      <c r="O1545" s="2">
        <f ca="1"/>
        <v>-1.4046547349467438</v>
      </c>
      <c r="X1545" s="2">
        <f ca="1"/>
        <v>54.617639549392081</v>
      </c>
      <c r="AG1545" s="2">
        <f ca="1"/>
        <v>0.11342878499414577</v>
      </c>
      <c r="AH1545" s="2" t="str">
        <f ca="1"/>
        <v>OK</v>
      </c>
    </row>
    <row r="1546" spans="2:34" x14ac:dyDescent="0.2">
      <c r="B1546" s="2">
        <f ca="1"/>
        <v>0.59361566954701006</v>
      </c>
      <c r="O1546" s="2">
        <f ca="1"/>
        <v>0.91659003852155629</v>
      </c>
      <c r="X1546" s="2">
        <f ca="1"/>
        <v>35.581298854070702</v>
      </c>
      <c r="AG1546" s="2">
        <f ca="1"/>
        <v>0.98697271306535161</v>
      </c>
      <c r="AH1546" s="2" t="str">
        <f ca="1"/>
        <v>Bad</v>
      </c>
    </row>
    <row r="1547" spans="2:34" x14ac:dyDescent="0.2">
      <c r="B1547" s="2">
        <f ca="1"/>
        <v>0.70286563545443514</v>
      </c>
      <c r="O1547" s="2">
        <f ca="1"/>
        <v>-1.1293992009436054E-2</v>
      </c>
      <c r="X1547" s="2">
        <f ca="1"/>
        <v>23.320715443480214</v>
      </c>
      <c r="AG1547" s="2">
        <f ca="1"/>
        <v>0.61692989377670315</v>
      </c>
      <c r="AH1547" s="2" t="str">
        <f ca="1"/>
        <v>Bad</v>
      </c>
    </row>
    <row r="1548" spans="2:34" x14ac:dyDescent="0.2">
      <c r="B1548" s="2">
        <f ca="1"/>
        <v>0.68048502428916402</v>
      </c>
      <c r="O1548" s="2">
        <f ca="1"/>
        <v>0.41883475996855996</v>
      </c>
      <c r="X1548" s="2">
        <f ca="1"/>
        <v>82.769069290982472</v>
      </c>
      <c r="AG1548" s="2">
        <f ca="1"/>
        <v>0.59141301941662161</v>
      </c>
      <c r="AH1548" s="2" t="str">
        <f ca="1"/>
        <v>Bad</v>
      </c>
    </row>
    <row r="1549" spans="2:34" x14ac:dyDescent="0.2">
      <c r="B1549" s="2">
        <f ca="1"/>
        <v>0.75346702623281447</v>
      </c>
      <c r="O1549" s="2">
        <f ca="1"/>
        <v>1.0205498100253445</v>
      </c>
      <c r="X1549" s="2">
        <f ca="1"/>
        <v>40.832486840570482</v>
      </c>
      <c r="AG1549" s="2">
        <f ca="1"/>
        <v>0.51409202905074491</v>
      </c>
      <c r="AH1549" s="2" t="str">
        <f ca="1"/>
        <v>Bad</v>
      </c>
    </row>
    <row r="1550" spans="2:34" x14ac:dyDescent="0.2">
      <c r="B1550" s="2">
        <f ca="1"/>
        <v>0.17940117149324331</v>
      </c>
      <c r="O1550" s="2">
        <f ca="1"/>
        <v>1.2444662219691953</v>
      </c>
      <c r="X1550" s="2">
        <f ca="1"/>
        <v>44.788029422061371</v>
      </c>
      <c r="AG1550" s="2">
        <f ca="1"/>
        <v>0.42509231797016112</v>
      </c>
      <c r="AH1550" s="2" t="str">
        <f ca="1"/>
        <v>Bad</v>
      </c>
    </row>
    <row r="1551" spans="2:34" x14ac:dyDescent="0.2">
      <c r="B1551" s="2">
        <f ca="1"/>
        <v>0.64842860928638757</v>
      </c>
      <c r="O1551" s="2">
        <f ca="1"/>
        <v>-0.6942028210701362</v>
      </c>
      <c r="X1551" s="2">
        <f ca="1"/>
        <v>66.609677368193715</v>
      </c>
      <c r="AG1551" s="2">
        <f ca="1"/>
        <v>0.72364198582168204</v>
      </c>
      <c r="AH1551" s="2" t="str">
        <f ca="1"/>
        <v>Bad</v>
      </c>
    </row>
    <row r="1552" spans="2:34" x14ac:dyDescent="0.2">
      <c r="B1552" s="2">
        <f ca="1"/>
        <v>0.24027738267782706</v>
      </c>
      <c r="O1552" s="2">
        <f ca="1"/>
        <v>1.4397203314673721</v>
      </c>
      <c r="X1552" s="2">
        <f ca="1"/>
        <v>27.347039205196882</v>
      </c>
      <c r="AG1552" s="2">
        <f ca="1"/>
        <v>0.32164060825605545</v>
      </c>
      <c r="AH1552" s="2" t="str">
        <f ca="1"/>
        <v>OK</v>
      </c>
    </row>
    <row r="1553" spans="2:34" x14ac:dyDescent="0.2">
      <c r="B1553" s="2">
        <f ca="1"/>
        <v>0.906205627790029</v>
      </c>
      <c r="O1553" s="2">
        <f ca="1"/>
        <v>0.64278637489299995</v>
      </c>
      <c r="X1553" s="2">
        <f ca="1"/>
        <v>51.785316800694545</v>
      </c>
      <c r="AG1553" s="2">
        <f ca="1"/>
        <v>0.30822670456186585</v>
      </c>
      <c r="AH1553" s="2" t="str">
        <f ca="1"/>
        <v>OK</v>
      </c>
    </row>
    <row r="1554" spans="2:34" x14ac:dyDescent="0.2">
      <c r="B1554" s="2">
        <f ca="1"/>
        <v>0.83753592010654954</v>
      </c>
      <c r="O1554" s="2">
        <f ca="1"/>
        <v>-0.49722294317422056</v>
      </c>
      <c r="X1554" s="2">
        <f ca="1"/>
        <v>29.175736528075706</v>
      </c>
      <c r="AG1554" s="2">
        <f ca="1"/>
        <v>0.84407874257296123</v>
      </c>
      <c r="AH1554" s="2" t="str">
        <f ca="1"/>
        <v>Bad</v>
      </c>
    </row>
    <row r="1555" spans="2:34" x14ac:dyDescent="0.2">
      <c r="B1555" s="2">
        <f ca="1"/>
        <v>0.6668126990972687</v>
      </c>
      <c r="O1555" s="2">
        <f ca="1"/>
        <v>1.7116778343589381</v>
      </c>
      <c r="X1555" s="2">
        <f ca="1"/>
        <v>82.882820495279717</v>
      </c>
      <c r="AG1555" s="2">
        <f ca="1"/>
        <v>0.45584599020862604</v>
      </c>
      <c r="AH1555" s="2" t="str">
        <f ca="1"/>
        <v>Bad</v>
      </c>
    </row>
    <row r="1556" spans="2:34" x14ac:dyDescent="0.2">
      <c r="B1556" s="2">
        <f ca="1"/>
        <v>0.66806794719833329</v>
      </c>
      <c r="O1556" s="2">
        <f ca="1"/>
        <v>-0.18820994982060577</v>
      </c>
      <c r="X1556" s="2">
        <f ca="1"/>
        <v>37.859752419959484</v>
      </c>
      <c r="AG1556" s="2">
        <f ca="1"/>
        <v>0.98758721968258145</v>
      </c>
      <c r="AH1556" s="2" t="str">
        <f ca="1"/>
        <v>Bad</v>
      </c>
    </row>
    <row r="1557" spans="2:34" x14ac:dyDescent="0.2">
      <c r="B1557" s="2">
        <f ca="1"/>
        <v>0.23772095949797167</v>
      </c>
      <c r="O1557" s="2">
        <f ca="1"/>
        <v>-0.16777278861751849</v>
      </c>
      <c r="X1557" s="2">
        <f ca="1"/>
        <v>65.72530284251738</v>
      </c>
      <c r="AG1557" s="2">
        <f ca="1"/>
        <v>0.6520069884288604</v>
      </c>
      <c r="AH1557" s="2" t="str">
        <f ca="1"/>
        <v>Bad</v>
      </c>
    </row>
    <row r="1558" spans="2:34" x14ac:dyDescent="0.2">
      <c r="B1558" s="2">
        <f ca="1"/>
        <v>0.41579059811601193</v>
      </c>
      <c r="O1558" s="2">
        <f ca="1"/>
        <v>-0.3025930835532003</v>
      </c>
      <c r="X1558" s="2">
        <f ca="1"/>
        <v>43.656478973929111</v>
      </c>
      <c r="AG1558" s="2">
        <f ca="1"/>
        <v>0.65763570629716606</v>
      </c>
      <c r="AH1558" s="2" t="str">
        <f ca="1"/>
        <v>Bad</v>
      </c>
    </row>
    <row r="1559" spans="2:34" x14ac:dyDescent="0.2">
      <c r="B1559" s="2">
        <f ca="1"/>
        <v>0.24559203857707668</v>
      </c>
      <c r="O1559" s="2">
        <f ca="1"/>
        <v>0.35435787095913163</v>
      </c>
      <c r="X1559" s="2">
        <f ca="1"/>
        <v>24.766961758726321</v>
      </c>
      <c r="AG1559" s="2">
        <f ca="1"/>
        <v>0.54173355538637802</v>
      </c>
      <c r="AH1559" s="2" t="str">
        <f ca="1"/>
        <v>Bad</v>
      </c>
    </row>
    <row r="1560" spans="2:34" x14ac:dyDescent="0.2">
      <c r="B1560" s="2">
        <f ca="1"/>
        <v>0.10067427674626694</v>
      </c>
      <c r="O1560" s="2">
        <f ca="1"/>
        <v>-6.5482761223143717E-3</v>
      </c>
      <c r="X1560" s="2">
        <f ca="1"/>
        <v>54.033732880876293</v>
      </c>
      <c r="AG1560" s="2">
        <f ca="1"/>
        <v>0.20611568339728747</v>
      </c>
      <c r="AH1560" s="2" t="str">
        <f ca="1"/>
        <v>OK</v>
      </c>
    </row>
    <row r="1561" spans="2:34" x14ac:dyDescent="0.2">
      <c r="B1561" s="2">
        <f ca="1"/>
        <v>0.57555302267175756</v>
      </c>
      <c r="O1561" s="2">
        <f ca="1"/>
        <v>0.10251833231348882</v>
      </c>
      <c r="X1561" s="2">
        <f ca="1"/>
        <v>48.817835849631152</v>
      </c>
      <c r="AG1561" s="2">
        <f ca="1"/>
        <v>0.76939568258523128</v>
      </c>
      <c r="AH1561" s="2" t="str">
        <f ca="1"/>
        <v>Bad</v>
      </c>
    </row>
    <row r="1562" spans="2:34" x14ac:dyDescent="0.2">
      <c r="B1562" s="2">
        <f ca="1"/>
        <v>0.77853497190767973</v>
      </c>
      <c r="O1562" s="2">
        <f ca="1"/>
        <v>0.42312027721395401</v>
      </c>
      <c r="X1562" s="2">
        <f ca="1"/>
        <v>76.407466139952675</v>
      </c>
      <c r="AG1562" s="2">
        <f ca="1"/>
        <v>0.65640397667079897</v>
      </c>
      <c r="AH1562" s="2" t="str">
        <f ca="1"/>
        <v>Bad</v>
      </c>
    </row>
    <row r="1563" spans="2:34" x14ac:dyDescent="0.2">
      <c r="B1563" s="2">
        <f ca="1"/>
        <v>0.98669610563024701</v>
      </c>
      <c r="O1563" s="2">
        <f ca="1"/>
        <v>8.461505969669833E-2</v>
      </c>
      <c r="X1563" s="2">
        <f ca="1"/>
        <v>59.855306892492962</v>
      </c>
      <c r="AG1563" s="2">
        <f ca="1"/>
        <v>0.63168897610268204</v>
      </c>
      <c r="AH1563" s="2" t="str">
        <f ca="1"/>
        <v>Bad</v>
      </c>
    </row>
    <row r="1564" spans="2:34" x14ac:dyDescent="0.2">
      <c r="B1564" s="2">
        <f ca="1"/>
        <v>0.99459230712460522</v>
      </c>
      <c r="O1564" s="2">
        <f ca="1"/>
        <v>-0.52228174157304097</v>
      </c>
      <c r="X1564" s="2">
        <f ca="1"/>
        <v>41.39593009129608</v>
      </c>
      <c r="AG1564" s="2">
        <f ca="1"/>
        <v>2.6551059623332263E-2</v>
      </c>
      <c r="AH1564" s="2" t="str">
        <f ca="1"/>
        <v>Good</v>
      </c>
    </row>
    <row r="1565" spans="2:34" x14ac:dyDescent="0.2">
      <c r="B1565" s="2">
        <f ca="1"/>
        <v>0.26182337114980681</v>
      </c>
      <c r="O1565" s="2">
        <f ca="1"/>
        <v>6.2503807634298844E-2</v>
      </c>
      <c r="X1565" s="2">
        <f ca="1"/>
        <v>56.879220797676112</v>
      </c>
      <c r="AG1565" s="2">
        <f ca="1"/>
        <v>0.77214016653256756</v>
      </c>
      <c r="AH1565" s="2" t="str">
        <f ca="1"/>
        <v>Bad</v>
      </c>
    </row>
    <row r="1566" spans="2:34" x14ac:dyDescent="0.2">
      <c r="B1566" s="2">
        <f ca="1"/>
        <v>0.47355493935908344</v>
      </c>
      <c r="O1566" s="2">
        <f ca="1"/>
        <v>1.9434396925523998</v>
      </c>
      <c r="X1566" s="2">
        <f ca="1"/>
        <v>35.581915621658979</v>
      </c>
      <c r="AG1566" s="2">
        <f ca="1"/>
        <v>0.47828763468699997</v>
      </c>
      <c r="AH1566" s="2" t="str">
        <f ca="1"/>
        <v>Bad</v>
      </c>
    </row>
    <row r="1567" spans="2:34" x14ac:dyDescent="0.2">
      <c r="B1567" s="2">
        <f ca="1"/>
        <v>0.86720495691600075</v>
      </c>
      <c r="O1567" s="2">
        <f ca="1"/>
        <v>-1.1789348181250396</v>
      </c>
      <c r="X1567" s="2">
        <f ca="1"/>
        <v>37.687359793536586</v>
      </c>
      <c r="AG1567" s="2">
        <f ca="1"/>
        <v>0.93474154193971959</v>
      </c>
      <c r="AH1567" s="2" t="str">
        <f ca="1"/>
        <v>Bad</v>
      </c>
    </row>
    <row r="1568" spans="2:34" x14ac:dyDescent="0.2">
      <c r="B1568" s="2">
        <f ca="1"/>
        <v>0.55339041524069943</v>
      </c>
      <c r="O1568" s="2">
        <f ca="1"/>
        <v>-0.96371019229080535</v>
      </c>
      <c r="X1568" s="2">
        <f ca="1"/>
        <v>25.888594681711631</v>
      </c>
      <c r="AG1568" s="2">
        <f ca="1"/>
        <v>0.33419422779958619</v>
      </c>
      <c r="AH1568" s="2" t="str">
        <f ca="1"/>
        <v>OK</v>
      </c>
    </row>
    <row r="1569" spans="2:34" x14ac:dyDescent="0.2">
      <c r="B1569" s="2">
        <f ca="1"/>
        <v>0.70240956307867108</v>
      </c>
      <c r="O1569" s="2">
        <f ca="1"/>
        <v>-1.1806551591645285</v>
      </c>
      <c r="X1569" s="2">
        <f ca="1"/>
        <v>43.820026345032318</v>
      </c>
      <c r="AG1569" s="2">
        <f ca="1"/>
        <v>0.49967441631546583</v>
      </c>
      <c r="AH1569" s="2" t="str">
        <f ca="1"/>
        <v>Bad</v>
      </c>
    </row>
    <row r="1570" spans="2:34" x14ac:dyDescent="0.2">
      <c r="B1570" s="2">
        <f ca="1"/>
        <v>0.58576857328699838</v>
      </c>
      <c r="O1570" s="2">
        <f ca="1"/>
        <v>-1.3053438611271326</v>
      </c>
      <c r="X1570" s="2">
        <f ca="1"/>
        <v>69.114914593639327</v>
      </c>
      <c r="AG1570" s="2">
        <f ca="1"/>
        <v>0.559174399542957</v>
      </c>
      <c r="AH1570" s="2" t="str">
        <f ca="1"/>
        <v>Bad</v>
      </c>
    </row>
    <row r="1571" spans="2:34" x14ac:dyDescent="0.2">
      <c r="B1571" s="2">
        <f ca="1"/>
        <v>6.4228811592610624E-2</v>
      </c>
      <c r="O1571" s="2">
        <f ca="1"/>
        <v>1.2449201585010565</v>
      </c>
      <c r="X1571" s="2">
        <f ca="1"/>
        <v>29.635974924567176</v>
      </c>
      <c r="AG1571" s="2">
        <f ca="1"/>
        <v>0.67636678309331599</v>
      </c>
      <c r="AH1571" s="2" t="str">
        <f ca="1"/>
        <v>Bad</v>
      </c>
    </row>
    <row r="1572" spans="2:34" x14ac:dyDescent="0.2">
      <c r="B1572" s="2">
        <f ca="1"/>
        <v>0.70505980450308758</v>
      </c>
      <c r="O1572" s="2">
        <f ca="1"/>
        <v>-0.42581670783007031</v>
      </c>
      <c r="X1572" s="2">
        <f ca="1"/>
        <v>39.680962588254182</v>
      </c>
      <c r="AG1572" s="2">
        <f ca="1"/>
        <v>0.51685733650107424</v>
      </c>
      <c r="AH1572" s="2" t="str">
        <f ca="1"/>
        <v>Bad</v>
      </c>
    </row>
    <row r="1573" spans="2:34" x14ac:dyDescent="0.2">
      <c r="B1573" s="2">
        <f ca="1"/>
        <v>0.71008979375037207</v>
      </c>
      <c r="O1573" s="2">
        <f ca="1"/>
        <v>0.95042266726598157</v>
      </c>
      <c r="X1573" s="2">
        <f ca="1"/>
        <v>61.491175823399033</v>
      </c>
      <c r="AG1573" s="2">
        <f ca="1"/>
        <v>0.97622358904579887</v>
      </c>
      <c r="AH1573" s="2" t="str">
        <f ca="1"/>
        <v>Bad</v>
      </c>
    </row>
    <row r="1574" spans="2:34" x14ac:dyDescent="0.2">
      <c r="B1574" s="2">
        <f ca="1"/>
        <v>0.70241519179089273</v>
      </c>
      <c r="O1574" s="2">
        <f ca="1"/>
        <v>-1.8187887922339605</v>
      </c>
      <c r="X1574" s="2">
        <f ca="1"/>
        <v>37.55533355946573</v>
      </c>
      <c r="AG1574" s="2">
        <f ca="1"/>
        <v>0.1934705027926118</v>
      </c>
      <c r="AH1574" s="2" t="str">
        <f ca="1"/>
        <v>OK</v>
      </c>
    </row>
    <row r="1575" spans="2:34" x14ac:dyDescent="0.2">
      <c r="B1575" s="2">
        <f ca="1"/>
        <v>0.61674658094309387</v>
      </c>
      <c r="O1575" s="2">
        <f ca="1"/>
        <v>0.64942120818172799</v>
      </c>
      <c r="X1575" s="2">
        <f ca="1"/>
        <v>36.607372767203927</v>
      </c>
      <c r="AG1575" s="2">
        <f ca="1"/>
        <v>0.37305328139693006</v>
      </c>
      <c r="AH1575" s="2" t="str">
        <f ca="1"/>
        <v>OK</v>
      </c>
    </row>
    <row r="1576" spans="2:34" x14ac:dyDescent="0.2">
      <c r="B1576" s="2">
        <f ca="1"/>
        <v>0.44938184712886153</v>
      </c>
      <c r="O1576" s="2">
        <f ca="1"/>
        <v>-1.0272448273089163</v>
      </c>
      <c r="X1576" s="2">
        <f ca="1"/>
        <v>35.610839496105278</v>
      </c>
      <c r="AG1576" s="2">
        <f ca="1"/>
        <v>0.1272170560176078</v>
      </c>
      <c r="AH1576" s="2" t="str">
        <f ca="1"/>
        <v>OK</v>
      </c>
    </row>
    <row r="1577" spans="2:34" x14ac:dyDescent="0.2">
      <c r="B1577" s="2">
        <f ca="1"/>
        <v>0.7282875851543702</v>
      </c>
      <c r="O1577" s="2">
        <f ca="1"/>
        <v>-1.0069696378534838</v>
      </c>
      <c r="X1577" s="2">
        <f ca="1"/>
        <v>48.537604422777093</v>
      </c>
      <c r="AG1577" s="2">
        <f ca="1"/>
        <v>0.74953089240702941</v>
      </c>
      <c r="AH1577" s="2" t="str">
        <f ca="1"/>
        <v>Bad</v>
      </c>
    </row>
    <row r="1578" spans="2:34" x14ac:dyDescent="0.2">
      <c r="B1578" s="2">
        <f ca="1"/>
        <v>0.84757178709008452</v>
      </c>
      <c r="O1578" s="2">
        <f ca="1"/>
        <v>0.84312992289810129</v>
      </c>
      <c r="X1578" s="2">
        <f ca="1"/>
        <v>39.479547488687729</v>
      </c>
      <c r="AG1578" s="2">
        <f ca="1"/>
        <v>0.81107146598924551</v>
      </c>
      <c r="AH1578" s="2" t="str">
        <f ca="1"/>
        <v>Bad</v>
      </c>
    </row>
    <row r="1579" spans="2:34" x14ac:dyDescent="0.2">
      <c r="B1579" s="2">
        <f ca="1"/>
        <v>5.438437648048744E-4</v>
      </c>
      <c r="O1579" s="2">
        <f ca="1"/>
        <v>-0.48769699661892829</v>
      </c>
      <c r="X1579" s="2">
        <f ca="1"/>
        <v>18.645388344302834</v>
      </c>
      <c r="AG1579" s="2">
        <f ca="1"/>
        <v>0.53691225392684783</v>
      </c>
      <c r="AH1579" s="2" t="str">
        <f ca="1"/>
        <v>Bad</v>
      </c>
    </row>
    <row r="1580" spans="2:34" x14ac:dyDescent="0.2">
      <c r="B1580" s="2">
        <f ca="1"/>
        <v>0.52409776019326948</v>
      </c>
      <c r="O1580" s="2">
        <f ca="1"/>
        <v>-0.55705606923124462</v>
      </c>
      <c r="X1580" s="2">
        <f ca="1"/>
        <v>56.3122078996306</v>
      </c>
      <c r="AG1580" s="2">
        <f ca="1"/>
        <v>0.11884225968300566</v>
      </c>
      <c r="AH1580" s="2" t="str">
        <f ca="1"/>
        <v>OK</v>
      </c>
    </row>
    <row r="1581" spans="2:34" x14ac:dyDescent="0.2">
      <c r="B1581" s="2">
        <f ca="1"/>
        <v>0.10296548826172103</v>
      </c>
      <c r="O1581" s="2">
        <f ca="1"/>
        <v>0.36637437914674592</v>
      </c>
      <c r="X1581" s="2">
        <f ca="1"/>
        <v>52.132268509497692</v>
      </c>
      <c r="AG1581" s="2">
        <f ca="1"/>
        <v>0.32271808129052548</v>
      </c>
      <c r="AH1581" s="2" t="str">
        <f ca="1"/>
        <v>OK</v>
      </c>
    </row>
    <row r="1582" spans="2:34" x14ac:dyDescent="0.2">
      <c r="B1582" s="2">
        <f ca="1"/>
        <v>0.81590861156596239</v>
      </c>
      <c r="O1582" s="2">
        <f ca="1"/>
        <v>0.51861702048628844</v>
      </c>
      <c r="X1582" s="2">
        <f ca="1"/>
        <v>57.534019396592662</v>
      </c>
      <c r="AG1582" s="2">
        <f ca="1"/>
        <v>0.39917225435988213</v>
      </c>
      <c r="AH1582" s="2" t="str">
        <f ca="1"/>
        <v>OK</v>
      </c>
    </row>
    <row r="1583" spans="2:34" x14ac:dyDescent="0.2">
      <c r="B1583" s="2">
        <f ca="1"/>
        <v>0.41119427896442584</v>
      </c>
      <c r="O1583" s="2">
        <f ca="1"/>
        <v>4.3600498180854041E-2</v>
      </c>
      <c r="X1583" s="2">
        <f ca="1"/>
        <v>76.789884528640243</v>
      </c>
      <c r="AG1583" s="2">
        <f ca="1"/>
        <v>0.39270835178766017</v>
      </c>
      <c r="AH1583" s="2" t="str">
        <f ca="1"/>
        <v>OK</v>
      </c>
    </row>
    <row r="1584" spans="2:34" x14ac:dyDescent="0.2">
      <c r="B1584" s="2">
        <f ca="1"/>
        <v>0.5960243424914009</v>
      </c>
      <c r="O1584" s="2">
        <f ca="1"/>
        <v>0.18597938113675525</v>
      </c>
      <c r="X1584" s="2">
        <f ca="1"/>
        <v>46.86239452741097</v>
      </c>
      <c r="AG1584" s="2">
        <f ca="1"/>
        <v>0.38517187343145953</v>
      </c>
      <c r="AH1584" s="2" t="str">
        <f ca="1"/>
        <v>OK</v>
      </c>
    </row>
    <row r="1585" spans="2:34" x14ac:dyDescent="0.2">
      <c r="B1585" s="2">
        <f ca="1"/>
        <v>0.215894654051348</v>
      </c>
      <c r="O1585" s="2">
        <f ca="1"/>
        <v>0.1056810911332622</v>
      </c>
      <c r="X1585" s="2">
        <f ca="1"/>
        <v>42.724698628293503</v>
      </c>
      <c r="AG1585" s="2">
        <f ca="1"/>
        <v>1.221560403618116E-2</v>
      </c>
      <c r="AH1585" s="2" t="str">
        <f ca="1"/>
        <v>Good</v>
      </c>
    </row>
    <row r="1586" spans="2:34" x14ac:dyDescent="0.2">
      <c r="B1586" s="2">
        <f ca="1"/>
        <v>0.51949652753109898</v>
      </c>
      <c r="O1586" s="2">
        <f ca="1"/>
        <v>1.6274256993056186</v>
      </c>
      <c r="X1586" s="2">
        <f ca="1"/>
        <v>37.905446694715678</v>
      </c>
      <c r="AG1586" s="2">
        <f ca="1"/>
        <v>0.18503350432982169</v>
      </c>
      <c r="AH1586" s="2" t="str">
        <f ca="1"/>
        <v>OK</v>
      </c>
    </row>
    <row r="1587" spans="2:34" x14ac:dyDescent="0.2">
      <c r="B1587" s="2">
        <f ca="1"/>
        <v>0.49749709104898887</v>
      </c>
      <c r="O1587" s="2">
        <f ca="1"/>
        <v>0.28497631474219126</v>
      </c>
      <c r="X1587" s="2">
        <f ca="1"/>
        <v>69.592554182981715</v>
      </c>
      <c r="AG1587" s="2">
        <f ca="1"/>
        <v>0.10563342180310875</v>
      </c>
      <c r="AH1587" s="2" t="str">
        <f ca="1"/>
        <v>OK</v>
      </c>
    </row>
    <row r="1588" spans="2:34" x14ac:dyDescent="0.2">
      <c r="B1588" s="2">
        <f ca="1"/>
        <v>0.44119932787079819</v>
      </c>
      <c r="O1588" s="2">
        <f ca="1"/>
        <v>-0.35477708731786911</v>
      </c>
      <c r="X1588" s="2">
        <f ca="1"/>
        <v>65.444055565294846</v>
      </c>
      <c r="AG1588" s="2">
        <f ca="1"/>
        <v>0.95300298364681324</v>
      </c>
      <c r="AH1588" s="2" t="str">
        <f ca="1"/>
        <v>Bad</v>
      </c>
    </row>
    <row r="1589" spans="2:34" x14ac:dyDescent="0.2">
      <c r="B1589" s="2">
        <f ca="1"/>
        <v>0.56348742399920093</v>
      </c>
      <c r="O1589" s="2">
        <f ca="1"/>
        <v>0.61681253047873552</v>
      </c>
      <c r="X1589" s="2">
        <f ca="1"/>
        <v>47.782963856117355</v>
      </c>
      <c r="AG1589" s="2">
        <f ca="1"/>
        <v>0.37466214892292804</v>
      </c>
      <c r="AH1589" s="2" t="str">
        <f ca="1"/>
        <v>OK</v>
      </c>
    </row>
    <row r="1590" spans="2:34" x14ac:dyDescent="0.2">
      <c r="B1590" s="2">
        <f ca="1"/>
        <v>0.25634512845644952</v>
      </c>
      <c r="O1590" s="2">
        <f ca="1"/>
        <v>-0.83630442482970602</v>
      </c>
      <c r="X1590" s="2">
        <f ca="1"/>
        <v>64.452252743901241</v>
      </c>
      <c r="AG1590" s="2">
        <f ca="1"/>
        <v>0.66975711410122596</v>
      </c>
      <c r="AH1590" s="2" t="str">
        <f ca="1"/>
        <v>Bad</v>
      </c>
    </row>
    <row r="1591" spans="2:34" x14ac:dyDescent="0.2">
      <c r="B1591" s="2">
        <f ca="1"/>
        <v>0.53230888903473605</v>
      </c>
      <c r="O1591" s="2">
        <f ca="1"/>
        <v>0.36767449818903941</v>
      </c>
      <c r="X1591" s="2">
        <f ca="1"/>
        <v>53.713571421339985</v>
      </c>
      <c r="AG1591" s="2">
        <f ca="1"/>
        <v>0.13080817427046076</v>
      </c>
      <c r="AH1591" s="2" t="str">
        <f ca="1"/>
        <v>OK</v>
      </c>
    </row>
    <row r="1592" spans="2:34" x14ac:dyDescent="0.2">
      <c r="B1592" s="2">
        <f ca="1"/>
        <v>0.58052712658372885</v>
      </c>
      <c r="O1592" s="2">
        <f ca="1"/>
        <v>1.0694856239614823</v>
      </c>
      <c r="X1592" s="2">
        <f ca="1"/>
        <v>59.980955884644736</v>
      </c>
      <c r="AG1592" s="2">
        <f ca="1"/>
        <v>0.5531241220815597</v>
      </c>
      <c r="AH1592" s="2" t="str">
        <f ca="1"/>
        <v>Bad</v>
      </c>
    </row>
    <row r="1593" spans="2:34" x14ac:dyDescent="0.2">
      <c r="B1593" s="2">
        <f ca="1"/>
        <v>0.71229144246917064</v>
      </c>
      <c r="O1593" s="2">
        <f ca="1"/>
        <v>-0.19361458354812644</v>
      </c>
      <c r="X1593" s="2">
        <f ca="1"/>
        <v>37.932326843031994</v>
      </c>
      <c r="AG1593" s="2">
        <f ca="1"/>
        <v>8.1325496208214609E-2</v>
      </c>
      <c r="AH1593" s="2" t="str">
        <f ca="1"/>
        <v>OK</v>
      </c>
    </row>
    <row r="1594" spans="2:34" x14ac:dyDescent="0.2">
      <c r="B1594" s="2">
        <f ca="1"/>
        <v>0.97137079126073367</v>
      </c>
      <c r="O1594" s="2">
        <f ca="1"/>
        <v>0.23452019382079387</v>
      </c>
      <c r="X1594" s="2">
        <f ca="1"/>
        <v>35.627781295232019</v>
      </c>
      <c r="AG1594" s="2">
        <f ca="1"/>
        <v>0.4534412925095348</v>
      </c>
      <c r="AH1594" s="2" t="str">
        <f ca="1"/>
        <v>Bad</v>
      </c>
    </row>
    <row r="1595" spans="2:34" x14ac:dyDescent="0.2">
      <c r="B1595" s="2">
        <f ca="1"/>
        <v>0.47409847725348131</v>
      </c>
      <c r="O1595" s="2">
        <f ca="1"/>
        <v>0.6552788740496146</v>
      </c>
      <c r="X1595" s="2">
        <f ca="1"/>
        <v>47.225709302636993</v>
      </c>
      <c r="AG1595" s="2">
        <f ca="1"/>
        <v>0.95032042343030776</v>
      </c>
      <c r="AH1595" s="2" t="str">
        <f ca="1"/>
        <v>Bad</v>
      </c>
    </row>
    <row r="1596" spans="2:34" x14ac:dyDescent="0.2">
      <c r="B1596" s="2">
        <f ca="1"/>
        <v>0.66712022462128218</v>
      </c>
      <c r="O1596" s="2">
        <f ca="1"/>
        <v>-0.14831473077400639</v>
      </c>
      <c r="X1596" s="2">
        <f ca="1"/>
        <v>69.947451493288838</v>
      </c>
      <c r="AG1596" s="2">
        <f ca="1"/>
        <v>0.25222921923513986</v>
      </c>
      <c r="AH1596" s="2" t="str">
        <f ca="1"/>
        <v>OK</v>
      </c>
    </row>
    <row r="1597" spans="2:34" x14ac:dyDescent="0.2">
      <c r="B1597" s="2">
        <f ca="1"/>
        <v>0.45923650602228272</v>
      </c>
      <c r="O1597" s="2">
        <f ca="1"/>
        <v>0.39716073123648227</v>
      </c>
      <c r="X1597" s="2">
        <f ca="1"/>
        <v>40.391436957372584</v>
      </c>
      <c r="AG1597" s="2">
        <f ca="1"/>
        <v>0.72227516589776353</v>
      </c>
      <c r="AH1597" s="2" t="str">
        <f ca="1"/>
        <v>Bad</v>
      </c>
    </row>
    <row r="1598" spans="2:34" x14ac:dyDescent="0.2">
      <c r="B1598" s="2">
        <f ca="1"/>
        <v>0.64141369527679237</v>
      </c>
      <c r="O1598" s="2">
        <f ca="1"/>
        <v>-0.80655168187174331</v>
      </c>
      <c r="X1598" s="2">
        <f ca="1"/>
        <v>70.321391898696618</v>
      </c>
      <c r="AG1598" s="2">
        <f ca="1"/>
        <v>0.7696006155244115</v>
      </c>
      <c r="AH1598" s="2" t="str">
        <f ca="1"/>
        <v>Bad</v>
      </c>
    </row>
    <row r="1599" spans="2:34" x14ac:dyDescent="0.2">
      <c r="B1599" s="2">
        <f ca="1"/>
        <v>0.53156723532081784</v>
      </c>
      <c r="O1599" s="2">
        <f ca="1"/>
        <v>1.2117772857694777</v>
      </c>
      <c r="X1599" s="2">
        <f ca="1"/>
        <v>43.081931592828511</v>
      </c>
      <c r="AG1599" s="2">
        <f ca="1"/>
        <v>0.14774521487874925</v>
      </c>
      <c r="AH1599" s="2" t="str">
        <f ca="1"/>
        <v>OK</v>
      </c>
    </row>
    <row r="1600" spans="2:34" x14ac:dyDescent="0.2">
      <c r="B1600" s="2">
        <f ca="1"/>
        <v>0.68110379099767759</v>
      </c>
      <c r="O1600" s="2">
        <f ca="1"/>
        <v>0.4615002628081965</v>
      </c>
      <c r="X1600" s="2">
        <f ca="1"/>
        <v>37.263658090683819</v>
      </c>
      <c r="AG1600" s="2">
        <f ca="1"/>
        <v>0.65196118506975709</v>
      </c>
      <c r="AH1600" s="2" t="str">
        <f ca="1"/>
        <v>Bad</v>
      </c>
    </row>
    <row r="1601" spans="2:34" x14ac:dyDescent="0.2">
      <c r="B1601" s="2">
        <f ca="1"/>
        <v>0.75575082171418773</v>
      </c>
      <c r="O1601" s="2">
        <f ca="1"/>
        <v>0.65799764994886012</v>
      </c>
      <c r="X1601" s="2">
        <f ca="1"/>
        <v>34.863108737345591</v>
      </c>
      <c r="AG1601" s="2">
        <f ca="1"/>
        <v>7.7432074777474824E-3</v>
      </c>
      <c r="AH1601" s="2" t="str">
        <f ca="1"/>
        <v>Good</v>
      </c>
    </row>
    <row r="1602" spans="2:34" x14ac:dyDescent="0.2">
      <c r="B1602" s="2">
        <f ca="1"/>
        <v>0.8599779688367406</v>
      </c>
      <c r="O1602" s="2">
        <f ca="1"/>
        <v>0.2234232689091554</v>
      </c>
      <c r="X1602" s="2">
        <f ca="1"/>
        <v>20.933594812499877</v>
      </c>
      <c r="AG1602" s="2">
        <f ca="1"/>
        <v>0.3500303542064378</v>
      </c>
      <c r="AH1602" s="2" t="str">
        <f ca="1"/>
        <v>OK</v>
      </c>
    </row>
    <row r="1603" spans="2:34" x14ac:dyDescent="0.2">
      <c r="B1603" s="2">
        <f ca="1"/>
        <v>0.46727422227427517</v>
      </c>
      <c r="O1603" s="2">
        <f ca="1"/>
        <v>0.58997400954532642</v>
      </c>
      <c r="X1603" s="2">
        <f ca="1"/>
        <v>87.712797207834896</v>
      </c>
      <c r="AG1603" s="2">
        <f ca="1"/>
        <v>1.1954100230043396E-2</v>
      </c>
      <c r="AH1603" s="2" t="str">
        <f ca="1"/>
        <v>Good</v>
      </c>
    </row>
    <row r="1604" spans="2:34" x14ac:dyDescent="0.2">
      <c r="B1604" s="2">
        <f ca="1"/>
        <v>0.32976648339762438</v>
      </c>
      <c r="O1604" s="2">
        <f ca="1"/>
        <v>0.98998953557005231</v>
      </c>
      <c r="X1604" s="2">
        <f ca="1"/>
        <v>75.878527715894876</v>
      </c>
      <c r="AG1604" s="2">
        <f ca="1"/>
        <v>0.95374578017666711</v>
      </c>
      <c r="AH1604" s="2" t="str">
        <f ca="1"/>
        <v>Bad</v>
      </c>
    </row>
    <row r="1605" spans="2:34" x14ac:dyDescent="0.2">
      <c r="B1605" s="2">
        <f ca="1"/>
        <v>0.2689323684486955</v>
      </c>
      <c r="O1605" s="2">
        <f ca="1"/>
        <v>0.10635414607795649</v>
      </c>
      <c r="X1605" s="2">
        <f ca="1"/>
        <v>67.619735959700279</v>
      </c>
      <c r="AG1605" s="2">
        <f ca="1"/>
        <v>0.43426575951228052</v>
      </c>
      <c r="AH1605" s="2" t="str">
        <f ca="1"/>
        <v>Bad</v>
      </c>
    </row>
    <row r="1606" spans="2:34" x14ac:dyDescent="0.2">
      <c r="B1606" s="2">
        <f ca="1"/>
        <v>0.43575524064553472</v>
      </c>
      <c r="O1606" s="2">
        <f ca="1"/>
        <v>1.3498838841743159</v>
      </c>
      <c r="X1606" s="2">
        <f ca="1"/>
        <v>30.412176924091277</v>
      </c>
      <c r="AG1606" s="2">
        <f ca="1"/>
        <v>0.92294080560882019</v>
      </c>
      <c r="AH1606" s="2" t="str">
        <f ca="1"/>
        <v>Bad</v>
      </c>
    </row>
    <row r="1607" spans="2:34" x14ac:dyDescent="0.2">
      <c r="B1607" s="2">
        <f ca="1"/>
        <v>0.54234530801190406</v>
      </c>
      <c r="O1607" s="2">
        <f ca="1"/>
        <v>-0.2329320735052918</v>
      </c>
      <c r="X1607" s="2">
        <f ca="1"/>
        <v>50.178775267688181</v>
      </c>
      <c r="AG1607" s="2">
        <f ca="1"/>
        <v>0.60296952869988996</v>
      </c>
      <c r="AH1607" s="2" t="str">
        <f ca="1"/>
        <v>Bad</v>
      </c>
    </row>
    <row r="1608" spans="2:34" x14ac:dyDescent="0.2">
      <c r="B1608" s="2">
        <f ca="1"/>
        <v>0.29832493202633681</v>
      </c>
      <c r="O1608" s="2">
        <f ca="1"/>
        <v>0.32038726167564102</v>
      </c>
      <c r="X1608" s="2">
        <f ca="1"/>
        <v>25.368419947014111</v>
      </c>
      <c r="AG1608" s="2">
        <f ca="1"/>
        <v>0.78156658535605739</v>
      </c>
      <c r="AH1608" s="2" t="str">
        <f ca="1"/>
        <v>Bad</v>
      </c>
    </row>
    <row r="1609" spans="2:34" x14ac:dyDescent="0.2">
      <c r="B1609" s="2">
        <f ca="1"/>
        <v>0.35327355466409083</v>
      </c>
      <c r="O1609" s="2">
        <f ca="1"/>
        <v>-0.75636302873011518</v>
      </c>
      <c r="X1609" s="2">
        <f ca="1"/>
        <v>49.798029919795042</v>
      </c>
      <c r="AG1609" s="2">
        <f ca="1"/>
        <v>0.89728438498669472</v>
      </c>
      <c r="AH1609" s="2" t="str">
        <f ca="1"/>
        <v>Bad</v>
      </c>
    </row>
    <row r="1610" spans="2:34" x14ac:dyDescent="0.2">
      <c r="B1610" s="2">
        <f ca="1"/>
        <v>0.33250283573749861</v>
      </c>
      <c r="O1610" s="2">
        <f ca="1"/>
        <v>1.3968758052156165</v>
      </c>
      <c r="X1610" s="2">
        <f ca="1"/>
        <v>31.806123366651747</v>
      </c>
      <c r="AG1610" s="2">
        <f ca="1"/>
        <v>0.64900553601042321</v>
      </c>
      <c r="AH1610" s="2" t="str">
        <f ca="1"/>
        <v>Bad</v>
      </c>
    </row>
    <row r="1611" spans="2:34" x14ac:dyDescent="0.2">
      <c r="B1611" s="2">
        <f ca="1"/>
        <v>0.29761529687595134</v>
      </c>
      <c r="O1611" s="2">
        <f ca="1"/>
        <v>-0.65665725015534859</v>
      </c>
      <c r="X1611" s="2">
        <f ca="1"/>
        <v>89.965368062368441</v>
      </c>
      <c r="AG1611" s="2">
        <f ca="1"/>
        <v>0.18118135124063617</v>
      </c>
      <c r="AH1611" s="2" t="str">
        <f ca="1"/>
        <v>OK</v>
      </c>
    </row>
    <row r="1612" spans="2:34" x14ac:dyDescent="0.2">
      <c r="B1612" s="2">
        <f ca="1"/>
        <v>0.40171027117542479</v>
      </c>
      <c r="O1612" s="2">
        <f ca="1"/>
        <v>0.26988583646355224</v>
      </c>
      <c r="X1612" s="2">
        <f ca="1"/>
        <v>46.026905551896427</v>
      </c>
      <c r="AG1612" s="2">
        <f ca="1"/>
        <v>0.76150463092523113</v>
      </c>
      <c r="AH1612" s="2" t="str">
        <f ca="1"/>
        <v>Bad</v>
      </c>
    </row>
    <row r="1613" spans="2:34" x14ac:dyDescent="0.2">
      <c r="B1613" s="2">
        <f ca="1"/>
        <v>0.31947251343987726</v>
      </c>
      <c r="O1613" s="2">
        <f ca="1"/>
        <v>0.42082994955494379</v>
      </c>
      <c r="X1613" s="2">
        <f ca="1"/>
        <v>61.016559760553108</v>
      </c>
      <c r="AG1613" s="2">
        <f ca="1"/>
        <v>0.6258796447541124</v>
      </c>
      <c r="AH1613" s="2" t="str">
        <f ca="1"/>
        <v>Bad</v>
      </c>
    </row>
    <row r="1614" spans="2:34" x14ac:dyDescent="0.2">
      <c r="B1614" s="2">
        <f ca="1"/>
        <v>0.95693956451105211</v>
      </c>
      <c r="O1614" s="2">
        <f ca="1"/>
        <v>1.1375166497068234</v>
      </c>
      <c r="X1614" s="2">
        <f ca="1"/>
        <v>29.698939429941483</v>
      </c>
      <c r="AG1614" s="2">
        <f ca="1"/>
        <v>0.35233622977983936</v>
      </c>
      <c r="AH1614" s="2" t="str">
        <f ca="1"/>
        <v>OK</v>
      </c>
    </row>
    <row r="1615" spans="2:34" x14ac:dyDescent="0.2">
      <c r="B1615" s="2">
        <f ca="1"/>
        <v>0.75250113959986953</v>
      </c>
      <c r="O1615" s="2">
        <f ca="1"/>
        <v>-0.2992831851788158</v>
      </c>
      <c r="X1615" s="2">
        <f ca="1"/>
        <v>28.420166318529276</v>
      </c>
      <c r="AG1615" s="2">
        <f ca="1"/>
        <v>0.14987541474487753</v>
      </c>
      <c r="AH1615" s="2" t="str">
        <f ca="1"/>
        <v>OK</v>
      </c>
    </row>
    <row r="1616" spans="2:34" x14ac:dyDescent="0.2">
      <c r="B1616" s="2">
        <f ca="1"/>
        <v>0.58134836463596917</v>
      </c>
      <c r="O1616" s="2">
        <f ca="1"/>
        <v>0.59070489594260134</v>
      </c>
      <c r="X1616" s="2">
        <f ca="1"/>
        <v>61.625930619553806</v>
      </c>
      <c r="AG1616" s="2">
        <f ca="1"/>
        <v>0.17026229965887052</v>
      </c>
      <c r="AH1616" s="2" t="str">
        <f ca="1"/>
        <v>OK</v>
      </c>
    </row>
    <row r="1617" spans="2:34" x14ac:dyDescent="0.2">
      <c r="B1617" s="2">
        <f ca="1"/>
        <v>2.0337953275922027E-2</v>
      </c>
      <c r="O1617" s="2">
        <f ca="1"/>
        <v>1.0252559554191381</v>
      </c>
      <c r="X1617" s="2">
        <f ca="1"/>
        <v>44.47270533063741</v>
      </c>
      <c r="AG1617" s="2">
        <f ca="1"/>
        <v>0.80437997980143727</v>
      </c>
      <c r="AH1617" s="2" t="str">
        <f ca="1"/>
        <v>Bad</v>
      </c>
    </row>
    <row r="1618" spans="2:34" x14ac:dyDescent="0.2">
      <c r="B1618" s="2">
        <f ca="1"/>
        <v>0.62424351230160902</v>
      </c>
      <c r="O1618" s="2">
        <f ca="1"/>
        <v>7.493367965524525E-2</v>
      </c>
      <c r="X1618" s="2">
        <f ca="1"/>
        <v>40.355336125801429</v>
      </c>
      <c r="AG1618" s="2">
        <f ca="1"/>
        <v>0.6442223363017745</v>
      </c>
      <c r="AH1618" s="2" t="str">
        <f ca="1"/>
        <v>Bad</v>
      </c>
    </row>
    <row r="1619" spans="2:34" x14ac:dyDescent="0.2">
      <c r="B1619" s="2">
        <f ca="1"/>
        <v>0.16402611167181802</v>
      </c>
      <c r="O1619" s="2">
        <f ca="1"/>
        <v>-0.39431371539260945</v>
      </c>
      <c r="X1619" s="2">
        <f ca="1"/>
        <v>27.900047443624615</v>
      </c>
      <c r="AG1619" s="2">
        <f ca="1"/>
        <v>0.55445180816762174</v>
      </c>
      <c r="AH1619" s="2" t="str">
        <f ca="1"/>
        <v>Bad</v>
      </c>
    </row>
    <row r="1620" spans="2:34" x14ac:dyDescent="0.2">
      <c r="B1620" s="2">
        <f ca="1"/>
        <v>0.21302548428228008</v>
      </c>
      <c r="O1620" s="2">
        <f ca="1"/>
        <v>-0.85551732902074862</v>
      </c>
      <c r="X1620" s="2">
        <f ca="1"/>
        <v>44.124691485609247</v>
      </c>
      <c r="AG1620" s="2">
        <f ca="1"/>
        <v>4.0425929787599735E-2</v>
      </c>
      <c r="AH1620" s="2" t="str">
        <f ca="1"/>
        <v>Good</v>
      </c>
    </row>
    <row r="1621" spans="2:34" x14ac:dyDescent="0.2">
      <c r="B1621" s="2">
        <f ca="1"/>
        <v>0.17836547222090537</v>
      </c>
      <c r="O1621" s="2">
        <f ca="1"/>
        <v>-0.93780595532427224</v>
      </c>
      <c r="X1621" s="2">
        <f ca="1"/>
        <v>26.768003474934027</v>
      </c>
      <c r="AG1621" s="2">
        <f ca="1"/>
        <v>0.63654428006996366</v>
      </c>
      <c r="AH1621" s="2" t="str">
        <f ca="1"/>
        <v>Bad</v>
      </c>
    </row>
    <row r="1622" spans="2:34" x14ac:dyDescent="0.2">
      <c r="B1622" s="2">
        <f ca="1"/>
        <v>0.13429299822594398</v>
      </c>
      <c r="O1622" s="2">
        <f ca="1"/>
        <v>0.25299118801601583</v>
      </c>
      <c r="X1622" s="2">
        <f ca="1"/>
        <v>37.968315376499419</v>
      </c>
      <c r="AG1622" s="2">
        <f ca="1"/>
        <v>0.66097494650577526</v>
      </c>
      <c r="AH1622" s="2" t="str">
        <f ca="1"/>
        <v>Bad</v>
      </c>
    </row>
    <row r="1623" spans="2:34" x14ac:dyDescent="0.2">
      <c r="B1623" s="2">
        <f ca="1"/>
        <v>0.45092461432806585</v>
      </c>
      <c r="O1623" s="2">
        <f ca="1"/>
        <v>1.2054357527246724</v>
      </c>
      <c r="X1623" s="2">
        <f ca="1"/>
        <v>60.099298854381679</v>
      </c>
      <c r="AG1623" s="2">
        <f ca="1"/>
        <v>0.61826380347722076</v>
      </c>
      <c r="AH1623" s="2" t="str">
        <f ca="1"/>
        <v>Bad</v>
      </c>
    </row>
    <row r="1624" spans="2:34" x14ac:dyDescent="0.2">
      <c r="B1624" s="2">
        <f ca="1"/>
        <v>0.9149658985579856</v>
      </c>
      <c r="O1624" s="2">
        <f ca="1"/>
        <v>0.43357360407003431</v>
      </c>
      <c r="X1624" s="2">
        <f ca="1"/>
        <v>82.998802309609886</v>
      </c>
      <c r="AG1624" s="2">
        <f ca="1"/>
        <v>0.52344677790086269</v>
      </c>
      <c r="AH1624" s="2" t="str">
        <f ca="1"/>
        <v>Bad</v>
      </c>
    </row>
    <row r="1625" spans="2:34" x14ac:dyDescent="0.2">
      <c r="B1625" s="2">
        <f ca="1"/>
        <v>0.47733602071359238</v>
      </c>
      <c r="O1625" s="2">
        <f ca="1"/>
        <v>0.52340000220176042</v>
      </c>
      <c r="X1625" s="2">
        <f ca="1"/>
        <v>65.546696218261204</v>
      </c>
      <c r="AG1625" s="2">
        <f ca="1"/>
        <v>0.39611255786401234</v>
      </c>
      <c r="AH1625" s="2" t="str">
        <f ca="1"/>
        <v>OK</v>
      </c>
    </row>
    <row r="1626" spans="2:34" x14ac:dyDescent="0.2">
      <c r="B1626" s="2">
        <f ca="1"/>
        <v>0.47501685277900751</v>
      </c>
      <c r="O1626" s="2">
        <f ca="1"/>
        <v>1.192827376152658</v>
      </c>
      <c r="X1626" s="2">
        <f ca="1"/>
        <v>53.998580653257477</v>
      </c>
      <c r="AG1626" s="2">
        <f ca="1"/>
        <v>0.56913672387932523</v>
      </c>
      <c r="AH1626" s="2" t="str">
        <f ca="1"/>
        <v>Bad</v>
      </c>
    </row>
    <row r="1627" spans="2:34" x14ac:dyDescent="0.2">
      <c r="B1627" s="2">
        <f ca="1"/>
        <v>0.15145671502825486</v>
      </c>
      <c r="O1627" s="2">
        <f ca="1"/>
        <v>-0.51470003133267694</v>
      </c>
      <c r="X1627" s="2">
        <f ca="1"/>
        <v>35.850814484544379</v>
      </c>
      <c r="AG1627" s="2">
        <f ca="1"/>
        <v>7.0515442457271593E-2</v>
      </c>
      <c r="AH1627" s="2" t="str">
        <f ca="1"/>
        <v>OK</v>
      </c>
    </row>
    <row r="1628" spans="2:34" x14ac:dyDescent="0.2">
      <c r="B1628" s="2">
        <f ca="1"/>
        <v>0.80846492859603414</v>
      </c>
      <c r="O1628" s="2">
        <f ca="1"/>
        <v>-0.61450690574129441</v>
      </c>
      <c r="X1628" s="2">
        <f ca="1"/>
        <v>59.842527093004904</v>
      </c>
      <c r="AG1628" s="2">
        <f ca="1"/>
        <v>0.97024508782799823</v>
      </c>
      <c r="AH1628" s="2" t="str">
        <f ca="1"/>
        <v>Bad</v>
      </c>
    </row>
    <row r="1629" spans="2:34" x14ac:dyDescent="0.2">
      <c r="B1629" s="2">
        <f ca="1"/>
        <v>0.91396081738234414</v>
      </c>
      <c r="O1629" s="2">
        <f ca="1"/>
        <v>-2.1700132750685612</v>
      </c>
      <c r="X1629" s="2">
        <f ca="1"/>
        <v>52.679799747648879</v>
      </c>
      <c r="AG1629" s="2">
        <f ca="1"/>
        <v>0.62320191486414389</v>
      </c>
      <c r="AH1629" s="2" t="str">
        <f ca="1"/>
        <v>Bad</v>
      </c>
    </row>
    <row r="1630" spans="2:34" x14ac:dyDescent="0.2">
      <c r="B1630" s="2">
        <f ca="1"/>
        <v>0.98635050007547198</v>
      </c>
      <c r="O1630" s="2">
        <f ca="1"/>
        <v>-1.3121218096222309</v>
      </c>
      <c r="X1630" s="2">
        <f ca="1"/>
        <v>44.620898949465335</v>
      </c>
      <c r="AG1630" s="2">
        <f ca="1"/>
        <v>0.8258686690038517</v>
      </c>
      <c r="AH1630" s="2" t="str">
        <f ca="1"/>
        <v>Bad</v>
      </c>
    </row>
    <row r="1631" spans="2:34" x14ac:dyDescent="0.2">
      <c r="B1631" s="2">
        <f ca="1"/>
        <v>0.28294938378616719</v>
      </c>
      <c r="O1631" s="2">
        <f ca="1"/>
        <v>0.69020120078138647</v>
      </c>
      <c r="X1631" s="2">
        <f ca="1"/>
        <v>64.728387683860987</v>
      </c>
      <c r="AG1631" s="2">
        <f ca="1"/>
        <v>0.44064753769178577</v>
      </c>
      <c r="AH1631" s="2" t="str">
        <f ca="1"/>
        <v>Bad</v>
      </c>
    </row>
    <row r="1632" spans="2:34" x14ac:dyDescent="0.2">
      <c r="B1632" s="2">
        <f ca="1"/>
        <v>9.1760279026162461E-2</v>
      </c>
      <c r="O1632" s="2">
        <f ca="1"/>
        <v>-0.64589000083109027</v>
      </c>
      <c r="X1632" s="2">
        <f ca="1"/>
        <v>70.438725131778</v>
      </c>
      <c r="AG1632" s="2">
        <f ca="1"/>
        <v>0.15875957096567128</v>
      </c>
      <c r="AH1632" s="2" t="str">
        <f ca="1"/>
        <v>OK</v>
      </c>
    </row>
    <row r="1633" spans="2:34" x14ac:dyDescent="0.2">
      <c r="B1633" s="2">
        <f ca="1"/>
        <v>0.81890603980014887</v>
      </c>
      <c r="O1633" s="2">
        <f ca="1"/>
        <v>-1.5152604782975545</v>
      </c>
      <c r="X1633" s="2">
        <f ca="1"/>
        <v>27.251032616860545</v>
      </c>
      <c r="AG1633" s="2">
        <f ca="1"/>
        <v>0.28479751866922332</v>
      </c>
      <c r="AH1633" s="2" t="str">
        <f ca="1"/>
        <v>OK</v>
      </c>
    </row>
    <row r="1634" spans="2:34" x14ac:dyDescent="0.2">
      <c r="B1634" s="2">
        <f ca="1"/>
        <v>0.70963638033082943</v>
      </c>
      <c r="O1634" s="2">
        <f ca="1"/>
        <v>-0.70268329084896353</v>
      </c>
      <c r="X1634" s="2">
        <f ca="1"/>
        <v>24.246416874539371</v>
      </c>
      <c r="AG1634" s="2">
        <f ca="1"/>
        <v>0.41045366009904583</v>
      </c>
      <c r="AH1634" s="2" t="str">
        <f ca="1"/>
        <v>Bad</v>
      </c>
    </row>
    <row r="1635" spans="2:34" x14ac:dyDescent="0.2">
      <c r="B1635" s="2">
        <f ca="1"/>
        <v>0.49122894934681005</v>
      </c>
      <c r="O1635" s="2">
        <f ca="1"/>
        <v>-0.35211638972150627</v>
      </c>
      <c r="X1635" s="2">
        <f ca="1"/>
        <v>90.783480861195699</v>
      </c>
      <c r="AG1635" s="2">
        <f ca="1"/>
        <v>0.24885443771671878</v>
      </c>
      <c r="AH1635" s="2" t="str">
        <f ca="1"/>
        <v>OK</v>
      </c>
    </row>
    <row r="1636" spans="2:34" x14ac:dyDescent="0.2">
      <c r="B1636" s="2">
        <f ca="1"/>
        <v>0.37974427211476169</v>
      </c>
      <c r="O1636" s="2">
        <f ca="1"/>
        <v>0.58668460982874349</v>
      </c>
      <c r="X1636" s="2">
        <f ca="1"/>
        <v>50.371109526874037</v>
      </c>
      <c r="AG1636" s="2">
        <f ca="1"/>
        <v>0.18773035973528795</v>
      </c>
      <c r="AH1636" s="2" t="str">
        <f ca="1"/>
        <v>OK</v>
      </c>
    </row>
    <row r="1637" spans="2:34" x14ac:dyDescent="0.2">
      <c r="B1637" s="2">
        <f ca="1"/>
        <v>7.3283306844760476E-2</v>
      </c>
      <c r="O1637" s="2">
        <f ca="1"/>
        <v>0.90069555922846767</v>
      </c>
      <c r="X1637" s="2">
        <f ca="1"/>
        <v>85.163030423901574</v>
      </c>
      <c r="AG1637" s="2">
        <f ca="1"/>
        <v>8.4138976590816039E-2</v>
      </c>
      <c r="AH1637" s="2" t="str">
        <f ca="1"/>
        <v>OK</v>
      </c>
    </row>
    <row r="1638" spans="2:34" x14ac:dyDescent="0.2">
      <c r="B1638" s="2">
        <f ca="1"/>
        <v>0.32169577886974787</v>
      </c>
      <c r="O1638" s="2">
        <f ca="1"/>
        <v>0.25513056870567985</v>
      </c>
      <c r="X1638" s="2">
        <f ca="1"/>
        <v>71.093983713964931</v>
      </c>
      <c r="AG1638" s="2">
        <f ca="1"/>
        <v>0.96649317933048673</v>
      </c>
      <c r="AH1638" s="2" t="str">
        <f ca="1"/>
        <v>Bad</v>
      </c>
    </row>
    <row r="1639" spans="2:34" x14ac:dyDescent="0.2">
      <c r="B1639" s="2">
        <f ca="1"/>
        <v>0.65995923306331128</v>
      </c>
      <c r="O1639" s="2">
        <f ca="1"/>
        <v>0.44454404887937043</v>
      </c>
      <c r="X1639" s="2">
        <f ca="1"/>
        <v>44.284935526912435</v>
      </c>
      <c r="AG1639" s="2">
        <f ca="1"/>
        <v>0.97008124882902935</v>
      </c>
      <c r="AH1639" s="2" t="str">
        <f ca="1"/>
        <v>Bad</v>
      </c>
    </row>
    <row r="1640" spans="2:34" x14ac:dyDescent="0.2">
      <c r="B1640" s="2">
        <f ca="1"/>
        <v>0.26351326725671598</v>
      </c>
      <c r="O1640" s="2">
        <f ca="1"/>
        <v>-0.19007279280166112</v>
      </c>
      <c r="X1640" s="2">
        <f ca="1"/>
        <v>77.575320031596263</v>
      </c>
      <c r="AG1640" s="2">
        <f ca="1"/>
        <v>0.23501836446658508</v>
      </c>
      <c r="AH1640" s="2" t="str">
        <f ca="1"/>
        <v>OK</v>
      </c>
    </row>
    <row r="1641" spans="2:34" x14ac:dyDescent="0.2">
      <c r="B1641" s="2">
        <f ca="1"/>
        <v>9.5200787997610892E-2</v>
      </c>
      <c r="O1641" s="2">
        <f ca="1"/>
        <v>0.78816430039244878</v>
      </c>
      <c r="X1641" s="2">
        <f ca="1"/>
        <v>41.284967266075242</v>
      </c>
      <c r="AG1641" s="2">
        <f ca="1"/>
        <v>0.23456600901592073</v>
      </c>
      <c r="AH1641" s="2" t="str">
        <f ca="1"/>
        <v>OK</v>
      </c>
    </row>
    <row r="1642" spans="2:34" x14ac:dyDescent="0.2">
      <c r="B1642" s="2">
        <f ca="1"/>
        <v>0.91969496623255709</v>
      </c>
      <c r="O1642" s="2">
        <f ca="1"/>
        <v>-0.31672326955743446</v>
      </c>
      <c r="X1642" s="2">
        <f ca="1"/>
        <v>32.449660166035386</v>
      </c>
      <c r="AG1642" s="2">
        <f ca="1"/>
        <v>0.98035137188991572</v>
      </c>
      <c r="AH1642" s="2" t="str">
        <f ca="1"/>
        <v>Bad</v>
      </c>
    </row>
    <row r="1643" spans="2:34" x14ac:dyDescent="0.2">
      <c r="B1643" s="2">
        <f ca="1"/>
        <v>0.30920082263555093</v>
      </c>
      <c r="O1643" s="2">
        <f ca="1"/>
        <v>-2.8838955683359826</v>
      </c>
      <c r="X1643" s="2">
        <f ca="1"/>
        <v>43.216174605469106</v>
      </c>
      <c r="AG1643" s="2">
        <f ca="1"/>
        <v>0.57479337166029398</v>
      </c>
      <c r="AH1643" s="2" t="str">
        <f ca="1"/>
        <v>Bad</v>
      </c>
    </row>
    <row r="1644" spans="2:34" x14ac:dyDescent="0.2">
      <c r="B1644" s="2">
        <f ca="1"/>
        <v>3.521717798191637E-2</v>
      </c>
      <c r="O1644" s="2">
        <f ca="1"/>
        <v>-0.61696470991285168</v>
      </c>
      <c r="X1644" s="2">
        <f ca="1"/>
        <v>57.523569696804643</v>
      </c>
      <c r="AG1644" s="2">
        <f ca="1"/>
        <v>0.30534294614738244</v>
      </c>
      <c r="AH1644" s="2" t="str">
        <f ca="1"/>
        <v>OK</v>
      </c>
    </row>
    <row r="1645" spans="2:34" x14ac:dyDescent="0.2">
      <c r="B1645" s="2">
        <f ca="1"/>
        <v>0.54803116751745473</v>
      </c>
      <c r="O1645" s="2">
        <f ca="1"/>
        <v>0.32948059690861403</v>
      </c>
      <c r="X1645" s="2">
        <f ca="1"/>
        <v>46.074796846340135</v>
      </c>
      <c r="AG1645" s="2">
        <f ca="1"/>
        <v>0.86424821765728699</v>
      </c>
      <c r="AH1645" s="2" t="str">
        <f ca="1"/>
        <v>Bad</v>
      </c>
    </row>
    <row r="1646" spans="2:34" x14ac:dyDescent="0.2">
      <c r="B1646" s="2">
        <f ca="1"/>
        <v>0.94745893328080832</v>
      </c>
      <c r="O1646" s="2">
        <f ca="1"/>
        <v>1.2722182431954638</v>
      </c>
      <c r="X1646" s="2">
        <f ca="1"/>
        <v>44.929779687727141</v>
      </c>
      <c r="AG1646" s="2">
        <f ca="1"/>
        <v>0.56747513367193259</v>
      </c>
      <c r="AH1646" s="2" t="str">
        <f ca="1"/>
        <v>Bad</v>
      </c>
    </row>
    <row r="1647" spans="2:34" x14ac:dyDescent="0.2">
      <c r="B1647" s="2">
        <f ca="1"/>
        <v>0.18541399492254707</v>
      </c>
      <c r="O1647" s="2">
        <f ca="1"/>
        <v>0.11258916123788976</v>
      </c>
      <c r="X1647" s="2">
        <f ca="1"/>
        <v>66.906113487433288</v>
      </c>
      <c r="AG1647" s="2">
        <f ca="1"/>
        <v>0.97029589077181533</v>
      </c>
      <c r="AH1647" s="2" t="str">
        <f ca="1"/>
        <v>Bad</v>
      </c>
    </row>
    <row r="1648" spans="2:34" x14ac:dyDescent="0.2">
      <c r="B1648" s="2">
        <f ca="1"/>
        <v>0.37230071480597071</v>
      </c>
      <c r="O1648" s="2">
        <f ca="1"/>
        <v>-0.12458787367093006</v>
      </c>
      <c r="X1648" s="2">
        <f ca="1"/>
        <v>72.59909670276032</v>
      </c>
      <c r="AG1648" s="2">
        <f ca="1"/>
        <v>0.38261060302692806</v>
      </c>
      <c r="AH1648" s="2" t="str">
        <f ca="1"/>
        <v>OK</v>
      </c>
    </row>
    <row r="1649" spans="2:34" x14ac:dyDescent="0.2">
      <c r="B1649" s="2">
        <f ca="1"/>
        <v>0.43166429362136549</v>
      </c>
      <c r="O1649" s="2">
        <f ca="1"/>
        <v>1.5117719814631634</v>
      </c>
      <c r="X1649" s="2">
        <f ca="1"/>
        <v>39.877346518105533</v>
      </c>
      <c r="AG1649" s="2">
        <f ca="1"/>
        <v>0.46856724305345976</v>
      </c>
      <c r="AH1649" s="2" t="str">
        <f ca="1"/>
        <v>Bad</v>
      </c>
    </row>
    <row r="1650" spans="2:34" x14ac:dyDescent="0.2">
      <c r="B1650" s="2">
        <f ca="1"/>
        <v>8.9095708075542568E-2</v>
      </c>
      <c r="O1650" s="2">
        <f ca="1"/>
        <v>0.36948853869007553</v>
      </c>
      <c r="X1650" s="2">
        <f ca="1"/>
        <v>51.273279008522152</v>
      </c>
      <c r="AG1650" s="2">
        <f ca="1"/>
        <v>0.45198153523774831</v>
      </c>
      <c r="AH1650" s="2" t="str">
        <f ca="1"/>
        <v>Bad</v>
      </c>
    </row>
    <row r="1651" spans="2:34" x14ac:dyDescent="0.2">
      <c r="B1651" s="2">
        <f ca="1"/>
        <v>0.35291481916072387</v>
      </c>
      <c r="O1651" s="2">
        <f ca="1"/>
        <v>-0.26328075099504672</v>
      </c>
      <c r="X1651" s="2">
        <f ca="1"/>
        <v>28.925516967545132</v>
      </c>
      <c r="AG1651" s="2">
        <f ca="1"/>
        <v>0.63825230960307322</v>
      </c>
      <c r="AH1651" s="2" t="str">
        <f ca="1"/>
        <v>Bad</v>
      </c>
    </row>
    <row r="1652" spans="2:34" x14ac:dyDescent="0.2">
      <c r="B1652" s="2">
        <f ca="1"/>
        <v>0.72869012649418452</v>
      </c>
      <c r="O1652" s="2">
        <f ca="1"/>
        <v>0.18478946385766104</v>
      </c>
      <c r="X1652" s="2">
        <f ca="1"/>
        <v>59.193966941803673</v>
      </c>
      <c r="AG1652" s="2">
        <f ca="1"/>
        <v>0.60380020269335177</v>
      </c>
      <c r="AH1652" s="2" t="str">
        <f ca="1"/>
        <v>Bad</v>
      </c>
    </row>
    <row r="1653" spans="2:34" x14ac:dyDescent="0.2">
      <c r="B1653" s="2">
        <f ca="1"/>
        <v>0.88282655581090852</v>
      </c>
      <c r="O1653" s="2">
        <f ca="1"/>
        <v>-0.95238157277848101</v>
      </c>
      <c r="X1653" s="2">
        <f ca="1"/>
        <v>52.517466145174808</v>
      </c>
      <c r="AG1653" s="2">
        <f ca="1"/>
        <v>0.58815403399030219</v>
      </c>
      <c r="AH1653" s="2" t="str">
        <f ca="1"/>
        <v>Bad</v>
      </c>
    </row>
    <row r="1654" spans="2:34" x14ac:dyDescent="0.2">
      <c r="B1654" s="2">
        <f ca="1"/>
        <v>1.4598804033580937E-2</v>
      </c>
      <c r="O1654" s="2">
        <f ca="1"/>
        <v>0.42279782262453769</v>
      </c>
      <c r="X1654" s="2">
        <f ca="1"/>
        <v>26.370142043175463</v>
      </c>
      <c r="AG1654" s="2">
        <f ca="1"/>
        <v>0.55570601885908721</v>
      </c>
      <c r="AH1654" s="2" t="str">
        <f ca="1"/>
        <v>Bad</v>
      </c>
    </row>
    <row r="1655" spans="2:34" x14ac:dyDescent="0.2">
      <c r="B1655" s="2">
        <f ca="1"/>
        <v>0.46317241224332295</v>
      </c>
      <c r="O1655" s="2">
        <f ca="1"/>
        <v>-0.90103850701473398</v>
      </c>
      <c r="X1655" s="2">
        <f ca="1"/>
        <v>31.883432191358168</v>
      </c>
      <c r="AG1655" s="2">
        <f ca="1"/>
        <v>0.37580506297992411</v>
      </c>
      <c r="AH1655" s="2" t="str">
        <f ca="1"/>
        <v>OK</v>
      </c>
    </row>
    <row r="1656" spans="2:34" x14ac:dyDescent="0.2">
      <c r="B1656" s="2">
        <f ca="1"/>
        <v>0.53000367964622241</v>
      </c>
      <c r="O1656" s="2">
        <f ca="1"/>
        <v>-0.77097829749582758</v>
      </c>
      <c r="X1656" s="2">
        <f ca="1"/>
        <v>49.343070835101095</v>
      </c>
      <c r="AG1656" s="2">
        <f ca="1"/>
        <v>6.2727303698093317E-2</v>
      </c>
      <c r="AH1656" s="2" t="str">
        <f ca="1"/>
        <v>OK</v>
      </c>
    </row>
    <row r="1657" spans="2:34" x14ac:dyDescent="0.2">
      <c r="B1657" s="2">
        <f ca="1"/>
        <v>0.61811107760272499</v>
      </c>
      <c r="O1657" s="2">
        <f ca="1"/>
        <v>0.2004714993225456</v>
      </c>
      <c r="X1657" s="2">
        <f ca="1"/>
        <v>58.201780884534806</v>
      </c>
      <c r="AG1657" s="2">
        <f ca="1"/>
        <v>0.26939349301261006</v>
      </c>
      <c r="AH1657" s="2" t="str">
        <f ca="1"/>
        <v>OK</v>
      </c>
    </row>
    <row r="1658" spans="2:34" x14ac:dyDescent="0.2">
      <c r="B1658" s="2">
        <f ca="1"/>
        <v>0.5539144200232442</v>
      </c>
      <c r="O1658" s="2">
        <f ca="1"/>
        <v>0.73968565900400374</v>
      </c>
      <c r="X1658" s="2">
        <f ca="1"/>
        <v>46.026737945966502</v>
      </c>
      <c r="AG1658" s="2">
        <f ca="1"/>
        <v>7.7872403255523581E-2</v>
      </c>
      <c r="AH1658" s="2" t="str">
        <f ca="1"/>
        <v>OK</v>
      </c>
    </row>
    <row r="1659" spans="2:34" x14ac:dyDescent="0.2">
      <c r="B1659" s="2">
        <f ca="1"/>
        <v>0.86565164193644928</v>
      </c>
      <c r="O1659" s="2">
        <f ca="1"/>
        <v>0.30595174934462527</v>
      </c>
      <c r="X1659" s="2">
        <f ca="1"/>
        <v>46.148364023646906</v>
      </c>
      <c r="AG1659" s="2">
        <f ca="1"/>
        <v>3.6002374550376137E-2</v>
      </c>
      <c r="AH1659" s="2" t="str">
        <f ca="1"/>
        <v>Good</v>
      </c>
    </row>
    <row r="1660" spans="2:34" x14ac:dyDescent="0.2">
      <c r="B1660" s="2">
        <f ca="1"/>
        <v>0.36969910455426791</v>
      </c>
      <c r="O1660" s="2">
        <f ca="1"/>
        <v>1.3582310440575609</v>
      </c>
      <c r="X1660" s="2">
        <f ca="1"/>
        <v>46.212341649654725</v>
      </c>
      <c r="AG1660" s="2">
        <f ca="1"/>
        <v>0.76015426037395795</v>
      </c>
      <c r="AH1660" s="2" t="str">
        <f ca="1"/>
        <v>Bad</v>
      </c>
    </row>
    <row r="1661" spans="2:34" x14ac:dyDescent="0.2">
      <c r="B1661" s="2">
        <f ca="1"/>
        <v>0.47179087309780465</v>
      </c>
      <c r="O1661" s="2">
        <f ca="1"/>
        <v>1.4449339899065712</v>
      </c>
      <c r="X1661" s="2">
        <f ca="1"/>
        <v>41.374915463178972</v>
      </c>
      <c r="AG1661" s="2">
        <f ca="1"/>
        <v>0.39131571964523371</v>
      </c>
      <c r="AH1661" s="2" t="str">
        <f ca="1"/>
        <v>OK</v>
      </c>
    </row>
    <row r="1662" spans="2:34" x14ac:dyDescent="0.2">
      <c r="B1662" s="2">
        <f ca="1"/>
        <v>0.35986749624110104</v>
      </c>
      <c r="O1662" s="2">
        <f ca="1"/>
        <v>1.0843281619240206</v>
      </c>
      <c r="X1662" s="2">
        <f ca="1"/>
        <v>46.823769694195775</v>
      </c>
      <c r="AG1662" s="2">
        <f ca="1"/>
        <v>0.85035999357266157</v>
      </c>
      <c r="AH1662" s="2" t="str">
        <f ca="1"/>
        <v>Bad</v>
      </c>
    </row>
    <row r="1663" spans="2:34" x14ac:dyDescent="0.2">
      <c r="B1663" s="2">
        <f ca="1"/>
        <v>0.74734611463156342</v>
      </c>
      <c r="O1663" s="2">
        <f ca="1"/>
        <v>0.54858224952725387</v>
      </c>
      <c r="X1663" s="2">
        <f ca="1"/>
        <v>44.377311040328209</v>
      </c>
      <c r="AG1663" s="2">
        <f ca="1"/>
        <v>0.6777686640722409</v>
      </c>
      <c r="AH1663" s="2" t="str">
        <f ca="1"/>
        <v>Bad</v>
      </c>
    </row>
    <row r="1664" spans="2:34" x14ac:dyDescent="0.2">
      <c r="B1664" s="2">
        <f ca="1"/>
        <v>0.31342461876549987</v>
      </c>
      <c r="O1664" s="2">
        <f ca="1"/>
        <v>-0.33280149302651701</v>
      </c>
      <c r="X1664" s="2">
        <f ca="1"/>
        <v>57.501106516578808</v>
      </c>
      <c r="AG1664" s="2">
        <f ca="1"/>
        <v>0.71388979597582569</v>
      </c>
      <c r="AH1664" s="2" t="str">
        <f ca="1"/>
        <v>Bad</v>
      </c>
    </row>
    <row r="1665" spans="2:34" x14ac:dyDescent="0.2">
      <c r="B1665" s="2">
        <f ca="1"/>
        <v>6.5321732640650332E-2</v>
      </c>
      <c r="O1665" s="2">
        <f ca="1"/>
        <v>0.44491874884263904</v>
      </c>
      <c r="X1665" s="2">
        <f ca="1"/>
        <v>61.024322830307582</v>
      </c>
      <c r="AG1665" s="2">
        <f ca="1"/>
        <v>0.45342860581973188</v>
      </c>
      <c r="AH1665" s="2" t="str">
        <f ca="1"/>
        <v>Bad</v>
      </c>
    </row>
    <row r="1666" spans="2:34" x14ac:dyDescent="0.2">
      <c r="B1666" s="2">
        <f ca="1"/>
        <v>5.6021337546074967E-3</v>
      </c>
      <c r="O1666" s="2">
        <f ca="1"/>
        <v>-1.1534132356761795</v>
      </c>
      <c r="X1666" s="2">
        <f ca="1"/>
        <v>57.953181716429853</v>
      </c>
      <c r="AG1666" s="2">
        <f ca="1"/>
        <v>0.70321029937313329</v>
      </c>
      <c r="AH1666" s="2" t="str">
        <f ca="1"/>
        <v>Bad</v>
      </c>
    </row>
    <row r="1667" spans="2:34" x14ac:dyDescent="0.2">
      <c r="B1667" s="2">
        <f ca="1"/>
        <v>5.2809193056680304E-2</v>
      </c>
      <c r="O1667" s="2">
        <f ca="1"/>
        <v>0.46925404063268672</v>
      </c>
      <c r="X1667" s="2">
        <f ca="1"/>
        <v>33.051232395083886</v>
      </c>
      <c r="AG1667" s="2">
        <f ca="1"/>
        <v>0.10338778915712821</v>
      </c>
      <c r="AH1667" s="2" t="str">
        <f ca="1"/>
        <v>OK</v>
      </c>
    </row>
    <row r="1668" spans="2:34" x14ac:dyDescent="0.2">
      <c r="B1668" s="2">
        <f ca="1"/>
        <v>0.89306101932886883</v>
      </c>
      <c r="O1668" s="2">
        <f ca="1"/>
        <v>-0.96501048393234845</v>
      </c>
      <c r="X1668" s="2">
        <f ca="1"/>
        <v>34.514224650417347</v>
      </c>
      <c r="AG1668" s="2">
        <f ca="1"/>
        <v>0.86908529772472742</v>
      </c>
      <c r="AH1668" s="2" t="str">
        <f ca="1"/>
        <v>Bad</v>
      </c>
    </row>
    <row r="1669" spans="2:34" x14ac:dyDescent="0.2">
      <c r="B1669" s="2">
        <f ca="1"/>
        <v>0.55150503935781403</v>
      </c>
      <c r="O1669" s="2">
        <f ca="1"/>
        <v>5.832338201256234E-2</v>
      </c>
      <c r="X1669" s="2">
        <f ca="1"/>
        <v>36.007202144394881</v>
      </c>
      <c r="AG1669" s="2">
        <f ca="1"/>
        <v>0.33909578518020878</v>
      </c>
      <c r="AH1669" s="2" t="str">
        <f ca="1"/>
        <v>OK</v>
      </c>
    </row>
    <row r="1670" spans="2:34" x14ac:dyDescent="0.2">
      <c r="B1670" s="2">
        <f ca="1"/>
        <v>0.5995862705347641</v>
      </c>
      <c r="O1670" s="2">
        <f ca="1"/>
        <v>-0.52242640723500711</v>
      </c>
      <c r="X1670" s="2">
        <f ca="1"/>
        <v>58.175872332186756</v>
      </c>
      <c r="AG1670" s="2">
        <f ca="1"/>
        <v>0.19903778718806264</v>
      </c>
      <c r="AH1670" s="2" t="str">
        <f ca="1"/>
        <v>OK</v>
      </c>
    </row>
    <row r="1671" spans="2:34" x14ac:dyDescent="0.2">
      <c r="B1671" s="2">
        <f ca="1"/>
        <v>0.53999389860085145</v>
      </c>
      <c r="O1671" s="2">
        <f ca="1"/>
        <v>-0.86832828588260369</v>
      </c>
      <c r="X1671" s="2">
        <f ca="1"/>
        <v>57.127924835628832</v>
      </c>
      <c r="AG1671" s="2">
        <f ca="1"/>
        <v>0.14095239705729812</v>
      </c>
      <c r="AH1671" s="2" t="str">
        <f ca="1"/>
        <v>OK</v>
      </c>
    </row>
    <row r="1672" spans="2:34" x14ac:dyDescent="0.2">
      <c r="B1672" s="2">
        <f ca="1"/>
        <v>0.60905233520114144</v>
      </c>
      <c r="O1672" s="2">
        <f ca="1"/>
        <v>0.41459173189072945</v>
      </c>
      <c r="X1672" s="2">
        <f ca="1"/>
        <v>36.084222683966523</v>
      </c>
      <c r="AG1672" s="2">
        <f ca="1"/>
        <v>0.50057489294405033</v>
      </c>
      <c r="AH1672" s="2" t="str">
        <f ca="1"/>
        <v>Bad</v>
      </c>
    </row>
    <row r="1673" spans="2:34" x14ac:dyDescent="0.2">
      <c r="B1673" s="2">
        <f ca="1"/>
        <v>0.22535494630923836</v>
      </c>
      <c r="O1673" s="2">
        <f ca="1"/>
        <v>-1.8328317613581626</v>
      </c>
      <c r="X1673" s="2">
        <f ca="1"/>
        <v>65.680305965194393</v>
      </c>
      <c r="AG1673" s="2">
        <f ca="1"/>
        <v>0.67412131717078294</v>
      </c>
      <c r="AH1673" s="2" t="str">
        <f ca="1"/>
        <v>Bad</v>
      </c>
    </row>
    <row r="1674" spans="2:34" x14ac:dyDescent="0.2">
      <c r="B1674" s="2">
        <f ca="1"/>
        <v>0.20500612962472387</v>
      </c>
      <c r="O1674" s="2">
        <f ca="1"/>
        <v>-3.5944353316275796E-2</v>
      </c>
      <c r="X1674" s="2">
        <f ca="1"/>
        <v>40.615909998896257</v>
      </c>
      <c r="AG1674" s="2">
        <f ca="1"/>
        <v>0.79430068265403775</v>
      </c>
      <c r="AH1674" s="2" t="str">
        <f ca="1"/>
        <v>Bad</v>
      </c>
    </row>
    <row r="1675" spans="2:34" x14ac:dyDescent="0.2">
      <c r="B1675" s="2">
        <f ca="1"/>
        <v>0.55384655903221325</v>
      </c>
      <c r="O1675" s="2">
        <f ca="1"/>
        <v>0.70285204941760371</v>
      </c>
      <c r="X1675" s="2">
        <f ca="1"/>
        <v>57.815365969908363</v>
      </c>
      <c r="AG1675" s="2">
        <f ca="1"/>
        <v>0.85329063749646639</v>
      </c>
      <c r="AH1675" s="2" t="str">
        <f ca="1"/>
        <v>Bad</v>
      </c>
    </row>
    <row r="1676" spans="2:34" x14ac:dyDescent="0.2">
      <c r="B1676" s="2">
        <f ca="1"/>
        <v>0.51158419010243783</v>
      </c>
      <c r="O1676" s="2">
        <f ca="1"/>
        <v>-1.2416030124942348</v>
      </c>
      <c r="X1676" s="2">
        <f ca="1"/>
        <v>33.108192026351091</v>
      </c>
      <c r="AG1676" s="2">
        <f ca="1"/>
        <v>0.9774663135525361</v>
      </c>
      <c r="AH1676" s="2" t="str">
        <f ca="1"/>
        <v>Bad</v>
      </c>
    </row>
    <row r="1677" spans="2:34" x14ac:dyDescent="0.2">
      <c r="B1677" s="2">
        <f ca="1"/>
        <v>0.1698212143443496</v>
      </c>
      <c r="O1677" s="2">
        <f ca="1"/>
        <v>-0.37559493695912788</v>
      </c>
      <c r="X1677" s="2">
        <f ca="1"/>
        <v>57.80904877104652</v>
      </c>
      <c r="AG1677" s="2">
        <f ca="1"/>
        <v>5.6169686553104947E-2</v>
      </c>
      <c r="AH1677" s="2" t="str">
        <f ca="1"/>
        <v>OK</v>
      </c>
    </row>
    <row r="1678" spans="2:34" x14ac:dyDescent="0.2">
      <c r="B1678" s="2">
        <f ca="1"/>
        <v>0.54122733429365999</v>
      </c>
      <c r="O1678" s="2">
        <f ca="1"/>
        <v>1.0230857067790178</v>
      </c>
      <c r="X1678" s="2">
        <f ca="1"/>
        <v>43.541935343459784</v>
      </c>
      <c r="AG1678" s="2">
        <f ca="1"/>
        <v>0.83871938350236741</v>
      </c>
      <c r="AH1678" s="2" t="str">
        <f ca="1"/>
        <v>Bad</v>
      </c>
    </row>
    <row r="1679" spans="2:34" x14ac:dyDescent="0.2">
      <c r="B1679" s="2">
        <f ca="1"/>
        <v>0.90623228919854837</v>
      </c>
      <c r="O1679" s="2">
        <f ca="1"/>
        <v>2.2613374223709815</v>
      </c>
      <c r="X1679" s="2">
        <f ca="1"/>
        <v>61.715204070396972</v>
      </c>
      <c r="AG1679" s="2">
        <f ca="1"/>
        <v>0.67288474526016584</v>
      </c>
      <c r="AH1679" s="2" t="str">
        <f ca="1"/>
        <v>Bad</v>
      </c>
    </row>
    <row r="1680" spans="2:34" x14ac:dyDescent="0.2">
      <c r="B1680" s="2">
        <f ca="1"/>
        <v>0.23556628832432436</v>
      </c>
      <c r="O1680" s="2">
        <f ca="1"/>
        <v>1.2494953605745931</v>
      </c>
      <c r="X1680" s="2">
        <f ca="1"/>
        <v>31.091254687252817</v>
      </c>
      <c r="AG1680" s="2">
        <f ca="1"/>
        <v>0.3156020077316235</v>
      </c>
      <c r="AH1680" s="2" t="str">
        <f ca="1"/>
        <v>OK</v>
      </c>
    </row>
    <row r="1681" spans="2:34" x14ac:dyDescent="0.2">
      <c r="B1681" s="2">
        <f ca="1"/>
        <v>0.63734378825893701</v>
      </c>
      <c r="O1681" s="2">
        <f ca="1"/>
        <v>-0.24166038738213172</v>
      </c>
      <c r="X1681" s="2">
        <f ca="1"/>
        <v>27.753776771377261</v>
      </c>
      <c r="AG1681" s="2">
        <f ca="1"/>
        <v>0.18821060721165073</v>
      </c>
      <c r="AH1681" s="2" t="str">
        <f ca="1"/>
        <v>OK</v>
      </c>
    </row>
    <row r="1682" spans="2:34" x14ac:dyDescent="0.2">
      <c r="B1682" s="2">
        <f ca="1"/>
        <v>0.24093428819053253</v>
      </c>
      <c r="O1682" s="2">
        <f ca="1"/>
        <v>-1.8997666071481114</v>
      </c>
      <c r="X1682" s="2">
        <f ca="1"/>
        <v>34.137101734885292</v>
      </c>
      <c r="AG1682" s="2">
        <f ca="1"/>
        <v>0.89301994899070247</v>
      </c>
      <c r="AH1682" s="2" t="str">
        <f ca="1"/>
        <v>Bad</v>
      </c>
    </row>
    <row r="1683" spans="2:34" x14ac:dyDescent="0.2">
      <c r="B1683" s="2">
        <f ca="1"/>
        <v>2.7601773822795383E-2</v>
      </c>
      <c r="O1683" s="2">
        <f ca="1"/>
        <v>0.29294669986025978</v>
      </c>
      <c r="X1683" s="2">
        <f ca="1"/>
        <v>37.147712524873405</v>
      </c>
      <c r="AG1683" s="2">
        <f ca="1"/>
        <v>0.79930488917111298</v>
      </c>
      <c r="AH1683" s="2" t="str">
        <f ca="1"/>
        <v>Bad</v>
      </c>
    </row>
    <row r="1684" spans="2:34" x14ac:dyDescent="0.2">
      <c r="B1684" s="2">
        <f ca="1"/>
        <v>0.86624040398807423</v>
      </c>
      <c r="O1684" s="2">
        <f ca="1"/>
        <v>0.94603964852897027</v>
      </c>
      <c r="X1684" s="2">
        <f ca="1"/>
        <v>50.478776725067824</v>
      </c>
      <c r="AG1684" s="2">
        <f ca="1"/>
        <v>0.28401014861542628</v>
      </c>
      <c r="AH1684" s="2" t="str">
        <f ca="1"/>
        <v>OK</v>
      </c>
    </row>
    <row r="1685" spans="2:34" x14ac:dyDescent="0.2">
      <c r="B1685" s="2">
        <f ca="1"/>
        <v>0.22090850349520497</v>
      </c>
      <c r="O1685" s="2">
        <f ca="1"/>
        <v>-0.46759068692745021</v>
      </c>
      <c r="X1685" s="2">
        <f ca="1"/>
        <v>60.304614964468328</v>
      </c>
      <c r="AG1685" s="2">
        <f ca="1"/>
        <v>0.57208030653500197</v>
      </c>
      <c r="AH1685" s="2" t="str">
        <f ca="1"/>
        <v>Bad</v>
      </c>
    </row>
    <row r="1686" spans="2:34" x14ac:dyDescent="0.2">
      <c r="B1686" s="2">
        <f ca="1"/>
        <v>0.75400465338431055</v>
      </c>
      <c r="O1686" s="2">
        <f ca="1"/>
        <v>0.89028513531971853</v>
      </c>
      <c r="X1686" s="2">
        <f ca="1"/>
        <v>65.659411582642221</v>
      </c>
      <c r="AG1686" s="2">
        <f ca="1"/>
        <v>0.15718314747479112</v>
      </c>
      <c r="AH1686" s="2" t="str">
        <f ca="1"/>
        <v>OK</v>
      </c>
    </row>
    <row r="1687" spans="2:34" x14ac:dyDescent="0.2">
      <c r="B1687" s="2">
        <f ca="1"/>
        <v>0.51287986260899432</v>
      </c>
      <c r="O1687" s="2">
        <f ca="1"/>
        <v>0.40745254997626135</v>
      </c>
      <c r="X1687" s="2">
        <f ca="1"/>
        <v>53.089591383721839</v>
      </c>
      <c r="AG1687" s="2">
        <f ca="1"/>
        <v>0.70346556618502354</v>
      </c>
      <c r="AH1687" s="2" t="str">
        <f ca="1"/>
        <v>Bad</v>
      </c>
    </row>
    <row r="1688" spans="2:34" x14ac:dyDescent="0.2">
      <c r="B1688" s="2">
        <f ca="1"/>
        <v>0.93068604695308377</v>
      </c>
      <c r="O1688" s="2">
        <f ca="1"/>
        <v>4.2406837498986133E-2</v>
      </c>
      <c r="X1688" s="2">
        <f ca="1"/>
        <v>69.505883733211419</v>
      </c>
      <c r="AG1688" s="2">
        <f ca="1"/>
        <v>0.67047714573824035</v>
      </c>
      <c r="AH1688" s="2" t="str">
        <f ca="1"/>
        <v>Bad</v>
      </c>
    </row>
    <row r="1689" spans="2:34" x14ac:dyDescent="0.2">
      <c r="B1689" s="2">
        <f ca="1"/>
        <v>0.79368012050972725</v>
      </c>
      <c r="O1689" s="2">
        <f ca="1"/>
        <v>2.9505187991016157E-2</v>
      </c>
      <c r="X1689" s="2">
        <f ca="1"/>
        <v>91.764575066444138</v>
      </c>
      <c r="AG1689" s="2">
        <f ca="1"/>
        <v>0.48715753674379525</v>
      </c>
      <c r="AH1689" s="2" t="str">
        <f ca="1"/>
        <v>Bad</v>
      </c>
    </row>
    <row r="1690" spans="2:34" x14ac:dyDescent="0.2">
      <c r="B1690" s="2">
        <f ca="1"/>
        <v>0.47836376591302598</v>
      </c>
      <c r="O1690" s="2">
        <f ca="1"/>
        <v>-0.64527521290829271</v>
      </c>
      <c r="X1690" s="2">
        <f ca="1"/>
        <v>43.440135687511898</v>
      </c>
      <c r="AG1690" s="2">
        <f ca="1"/>
        <v>0.8276697425322006</v>
      </c>
      <c r="AH1690" s="2" t="str">
        <f ca="1"/>
        <v>Bad</v>
      </c>
    </row>
    <row r="1691" spans="2:34" x14ac:dyDescent="0.2">
      <c r="B1691" s="2">
        <f ca="1"/>
        <v>0.82811883269889974</v>
      </c>
      <c r="O1691" s="2">
        <f ca="1"/>
        <v>-1.1212358375976368</v>
      </c>
      <c r="X1691" s="2">
        <f ca="1"/>
        <v>45.79369203805895</v>
      </c>
      <c r="AG1691" s="2">
        <f ca="1"/>
        <v>0.47855873987188025</v>
      </c>
      <c r="AH1691" s="2" t="str">
        <f ca="1"/>
        <v>Bad</v>
      </c>
    </row>
    <row r="1692" spans="2:34" x14ac:dyDescent="0.2">
      <c r="B1692" s="2">
        <f ca="1"/>
        <v>0.7296965518688947</v>
      </c>
      <c r="O1692" s="2">
        <f ca="1"/>
        <v>-1.7688173316944644</v>
      </c>
      <c r="X1692" s="2">
        <f ca="1"/>
        <v>68.049918258496902</v>
      </c>
      <c r="AG1692" s="2">
        <f ca="1"/>
        <v>0.61953653101123907</v>
      </c>
      <c r="AH1692" s="2" t="str">
        <f ca="1"/>
        <v>Bad</v>
      </c>
    </row>
    <row r="1693" spans="2:34" x14ac:dyDescent="0.2">
      <c r="B1693" s="2">
        <f ca="1"/>
        <v>0.61779341137442922</v>
      </c>
      <c r="O1693" s="2">
        <f ca="1"/>
        <v>2.5364362779494196</v>
      </c>
      <c r="X1693" s="2">
        <f ca="1"/>
        <v>47.110304989561449</v>
      </c>
      <c r="AG1693" s="2">
        <f ca="1"/>
        <v>0.7069561740052106</v>
      </c>
      <c r="AH1693" s="2" t="str">
        <f ca="1"/>
        <v>Bad</v>
      </c>
    </row>
    <row r="1694" spans="2:34" x14ac:dyDescent="0.2">
      <c r="B1694" s="2">
        <f ca="1"/>
        <v>0.37482761264045394</v>
      </c>
      <c r="O1694" s="2">
        <f ca="1"/>
        <v>0.50615676030222079</v>
      </c>
      <c r="X1694" s="2">
        <f ca="1"/>
        <v>46.309309695657028</v>
      </c>
      <c r="AG1694" s="2">
        <f ca="1"/>
        <v>0.28707315212173357</v>
      </c>
      <c r="AH1694" s="2" t="str">
        <f ca="1"/>
        <v>OK</v>
      </c>
    </row>
    <row r="1695" spans="2:34" x14ac:dyDescent="0.2">
      <c r="B1695" s="2">
        <f ca="1"/>
        <v>0.30072194801019614</v>
      </c>
      <c r="O1695" s="2">
        <f ca="1"/>
        <v>0.10704280130682338</v>
      </c>
      <c r="X1695" s="2">
        <f ca="1"/>
        <v>76.261829663001578</v>
      </c>
      <c r="AG1695" s="2">
        <f ca="1"/>
        <v>0.89954463556705822</v>
      </c>
      <c r="AH1695" s="2" t="str">
        <f ca="1"/>
        <v>Bad</v>
      </c>
    </row>
    <row r="1696" spans="2:34" x14ac:dyDescent="0.2">
      <c r="B1696" s="2">
        <f ca="1"/>
        <v>0.95272008661407548</v>
      </c>
      <c r="O1696" s="2">
        <f ca="1"/>
        <v>-0.31289296437379921</v>
      </c>
      <c r="X1696" s="2">
        <f ca="1"/>
        <v>62.682421089974284</v>
      </c>
      <c r="AG1696" s="2">
        <f ca="1"/>
        <v>0.99056151090185418</v>
      </c>
      <c r="AH1696" s="2" t="str">
        <f ca="1"/>
        <v>Bad</v>
      </c>
    </row>
    <row r="1697" spans="2:34" x14ac:dyDescent="0.2">
      <c r="B1697" s="2">
        <f ca="1"/>
        <v>0.68803652388638836</v>
      </c>
      <c r="O1697" s="2">
        <f ca="1"/>
        <v>-1.3937331286353924</v>
      </c>
      <c r="X1697" s="2">
        <f ca="1"/>
        <v>65.858591235263447</v>
      </c>
      <c r="AG1697" s="2">
        <f ca="1"/>
        <v>2.7812816709330113E-2</v>
      </c>
      <c r="AH1697" s="2" t="str">
        <f ca="1"/>
        <v>Good</v>
      </c>
    </row>
    <row r="1698" spans="2:34" x14ac:dyDescent="0.2">
      <c r="B1698" s="2">
        <f ca="1"/>
        <v>0.87796273128806135</v>
      </c>
      <c r="O1698" s="2">
        <f ca="1"/>
        <v>-0.83359314399525586</v>
      </c>
      <c r="X1698" s="2">
        <f ca="1"/>
        <v>65.588512260113205</v>
      </c>
      <c r="AG1698" s="2">
        <f ca="1"/>
        <v>0.65088804966969205</v>
      </c>
      <c r="AH1698" s="2" t="str">
        <f ca="1"/>
        <v>Bad</v>
      </c>
    </row>
    <row r="1699" spans="2:34" x14ac:dyDescent="0.2">
      <c r="B1699" s="2">
        <f ca="1"/>
        <v>0.39548643793594662</v>
      </c>
      <c r="O1699" s="2">
        <f ca="1"/>
        <v>-0.33763558394975945</v>
      </c>
      <c r="X1699" s="2">
        <f ca="1"/>
        <v>51.392279922835264</v>
      </c>
      <c r="AG1699" s="2">
        <f ca="1"/>
        <v>0.46665233324936906</v>
      </c>
      <c r="AH1699" s="2" t="str">
        <f ca="1"/>
        <v>Bad</v>
      </c>
    </row>
    <row r="1700" spans="2:34" x14ac:dyDescent="0.2">
      <c r="B1700" s="2">
        <f ca="1"/>
        <v>0.38570009135715644</v>
      </c>
      <c r="O1700" s="2">
        <f ca="1"/>
        <v>1.919948436391558</v>
      </c>
      <c r="X1700" s="2">
        <f ca="1"/>
        <v>34.722032574533451</v>
      </c>
      <c r="AG1700" s="2">
        <f ca="1"/>
        <v>0.22753485491882142</v>
      </c>
      <c r="AH1700" s="2" t="str">
        <f ca="1"/>
        <v>OK</v>
      </c>
    </row>
    <row r="1701" spans="2:34" x14ac:dyDescent="0.2">
      <c r="B1701" s="2">
        <f ca="1"/>
        <v>0.35540493628984349</v>
      </c>
      <c r="O1701" s="2">
        <f ca="1"/>
        <v>-1.0116360988830626</v>
      </c>
      <c r="X1701" s="2">
        <f ca="1"/>
        <v>46.32558827877547</v>
      </c>
      <c r="AG1701" s="2">
        <f ca="1"/>
        <v>0.34362289939128265</v>
      </c>
      <c r="AH1701" s="2" t="str">
        <f ca="1"/>
        <v>OK</v>
      </c>
    </row>
    <row r="1702" spans="2:34" x14ac:dyDescent="0.2">
      <c r="B1702" s="2">
        <f ca="1"/>
        <v>0.59363141566707189</v>
      </c>
      <c r="O1702" s="2">
        <f ca="1"/>
        <v>-0.99920357921178071</v>
      </c>
      <c r="X1702" s="2">
        <f ca="1"/>
        <v>31.862648563943665</v>
      </c>
      <c r="AG1702" s="2">
        <f ca="1"/>
        <v>0.11318401802713596</v>
      </c>
      <c r="AH1702" s="2" t="str">
        <f ca="1"/>
        <v>OK</v>
      </c>
    </row>
    <row r="1703" spans="2:34" x14ac:dyDescent="0.2">
      <c r="B1703" s="2">
        <f ca="1"/>
        <v>0.88201340864890199</v>
      </c>
      <c r="O1703" s="2">
        <f ca="1"/>
        <v>0.10694427590139262</v>
      </c>
      <c r="X1703" s="2">
        <f ca="1"/>
        <v>24.748724308414122</v>
      </c>
      <c r="AG1703" s="2">
        <f ca="1"/>
        <v>0.57226170914594787</v>
      </c>
      <c r="AH1703" s="2" t="str">
        <f ca="1"/>
        <v>Bad</v>
      </c>
    </row>
    <row r="1704" spans="2:34" x14ac:dyDescent="0.2">
      <c r="B1704" s="2">
        <f ca="1"/>
        <v>0.4747370065622869</v>
      </c>
      <c r="O1704" s="2">
        <f ca="1"/>
        <v>1.0228732274018069</v>
      </c>
      <c r="X1704" s="2">
        <f ca="1"/>
        <v>58.065144544809257</v>
      </c>
      <c r="AG1704" s="2">
        <f ca="1"/>
        <v>0.20680299782222811</v>
      </c>
      <c r="AH1704" s="2" t="str">
        <f ca="1"/>
        <v>OK</v>
      </c>
    </row>
    <row r="1705" spans="2:34" x14ac:dyDescent="0.2">
      <c r="B1705" s="2">
        <f ca="1"/>
        <v>6.535132093426288E-2</v>
      </c>
      <c r="O1705" s="2">
        <f ca="1"/>
        <v>-0.81127488929334379</v>
      </c>
      <c r="X1705" s="2">
        <f ca="1"/>
        <v>79.164271730725218</v>
      </c>
      <c r="AG1705" s="2">
        <f ca="1"/>
        <v>0.7371970282225615</v>
      </c>
      <c r="AH1705" s="2" t="str">
        <f ca="1"/>
        <v>Bad</v>
      </c>
    </row>
    <row r="1706" spans="2:34" x14ac:dyDescent="0.2">
      <c r="B1706" s="2">
        <f ca="1"/>
        <v>0.21422628724352455</v>
      </c>
      <c r="O1706" s="2">
        <f ca="1"/>
        <v>0.6024160247234801</v>
      </c>
      <c r="X1706" s="2">
        <f ca="1"/>
        <v>54.534760118270498</v>
      </c>
      <c r="AG1706" s="2">
        <f ca="1"/>
        <v>0.85844618313795928</v>
      </c>
      <c r="AH1706" s="2" t="str">
        <f ca="1"/>
        <v>Bad</v>
      </c>
    </row>
    <row r="1707" spans="2:34" x14ac:dyDescent="0.2">
      <c r="B1707" s="2">
        <f ca="1"/>
        <v>0.39497815791698754</v>
      </c>
      <c r="O1707" s="2">
        <f ca="1"/>
        <v>1.6758909170907481</v>
      </c>
      <c r="X1707" s="2">
        <f ca="1"/>
        <v>42.161175524595727</v>
      </c>
      <c r="AG1707" s="2">
        <f ca="1"/>
        <v>0.50628008605080166</v>
      </c>
      <c r="AH1707" s="2" t="str">
        <f ca="1"/>
        <v>Bad</v>
      </c>
    </row>
    <row r="1708" spans="2:34" x14ac:dyDescent="0.2">
      <c r="B1708" s="2">
        <f ca="1"/>
        <v>0.78387955019696998</v>
      </c>
      <c r="O1708" s="2">
        <f ca="1"/>
        <v>1.0601649676309854</v>
      </c>
      <c r="X1708" s="2">
        <f ca="1"/>
        <v>34.104079294047317</v>
      </c>
      <c r="AG1708" s="2">
        <f ca="1"/>
        <v>0.57434441289613347</v>
      </c>
      <c r="AH1708" s="2" t="str">
        <f ca="1"/>
        <v>Bad</v>
      </c>
    </row>
    <row r="1709" spans="2:34" x14ac:dyDescent="0.2">
      <c r="B1709" s="2">
        <f ca="1"/>
        <v>0.59967745775747927</v>
      </c>
      <c r="O1709" s="2">
        <f ca="1"/>
        <v>0.68032625345287834</v>
      </c>
      <c r="X1709" s="2">
        <f ca="1"/>
        <v>58.332199478234841</v>
      </c>
      <c r="AG1709" s="2">
        <f ca="1"/>
        <v>0.72484565149376579</v>
      </c>
      <c r="AH1709" s="2" t="str">
        <f ca="1"/>
        <v>Bad</v>
      </c>
    </row>
    <row r="1710" spans="2:34" x14ac:dyDescent="0.2">
      <c r="B1710" s="2">
        <f ca="1"/>
        <v>0.38982618279984838</v>
      </c>
      <c r="O1710" s="2">
        <f ca="1"/>
        <v>0.152769769866196</v>
      </c>
      <c r="X1710" s="2">
        <f ca="1"/>
        <v>44.389710310287839</v>
      </c>
      <c r="AG1710" s="2">
        <f ca="1"/>
        <v>0.6129379704583453</v>
      </c>
      <c r="AH1710" s="2" t="str">
        <f ca="1"/>
        <v>Bad</v>
      </c>
    </row>
    <row r="1711" spans="2:34" x14ac:dyDescent="0.2">
      <c r="B1711" s="2">
        <f ca="1"/>
        <v>5.8790780471940973E-2</v>
      </c>
      <c r="O1711" s="2">
        <f ca="1"/>
        <v>-0.7714084372689628</v>
      </c>
      <c r="X1711" s="2">
        <f ca="1"/>
        <v>32.632270948559267</v>
      </c>
      <c r="AG1711" s="2">
        <f ca="1"/>
        <v>0.90864192523422505</v>
      </c>
      <c r="AH1711" s="2" t="str">
        <f ca="1"/>
        <v>Bad</v>
      </c>
    </row>
    <row r="1712" spans="2:34" x14ac:dyDescent="0.2">
      <c r="B1712" s="2">
        <f ca="1"/>
        <v>0.82870616266703911</v>
      </c>
      <c r="O1712" s="2">
        <f ca="1"/>
        <v>-0.7922862937001014</v>
      </c>
      <c r="X1712" s="2">
        <f ca="1"/>
        <v>38.396977587827323</v>
      </c>
      <c r="AG1712" s="2">
        <f ca="1"/>
        <v>0.5595456229726985</v>
      </c>
      <c r="AH1712" s="2" t="str">
        <f ca="1"/>
        <v>Bad</v>
      </c>
    </row>
    <row r="1713" spans="2:34" x14ac:dyDescent="0.2">
      <c r="B1713" s="2">
        <f ca="1"/>
        <v>0.29928466953088573</v>
      </c>
      <c r="O1713" s="2">
        <f ca="1"/>
        <v>0.28109970818395913</v>
      </c>
      <c r="X1713" s="2">
        <f ca="1"/>
        <v>86.335125049627223</v>
      </c>
      <c r="AG1713" s="2">
        <f ca="1"/>
        <v>0.98419389695164705</v>
      </c>
      <c r="AH1713" s="2" t="str">
        <f ca="1"/>
        <v>Bad</v>
      </c>
    </row>
    <row r="1714" spans="2:34" x14ac:dyDescent="0.2">
      <c r="B1714" s="2">
        <f ca="1"/>
        <v>0.48492561838082238</v>
      </c>
      <c r="O1714" s="2">
        <f ca="1"/>
        <v>-0.70487156587292354</v>
      </c>
      <c r="X1714" s="2">
        <f ca="1"/>
        <v>49.141324181653808</v>
      </c>
      <c r="AG1714" s="2">
        <f ca="1"/>
        <v>6.1885363685896255E-2</v>
      </c>
      <c r="AH1714" s="2" t="str">
        <f ca="1"/>
        <v>OK</v>
      </c>
    </row>
    <row r="1715" spans="2:34" x14ac:dyDescent="0.2">
      <c r="B1715" s="2">
        <f ca="1"/>
        <v>0.60618308202190918</v>
      </c>
      <c r="O1715" s="2">
        <f ca="1"/>
        <v>-1.0464667309426483</v>
      </c>
      <c r="X1715" s="2">
        <f ca="1"/>
        <v>37.997785703679753</v>
      </c>
      <c r="AG1715" s="2">
        <f ca="1"/>
        <v>0.42716846488186389</v>
      </c>
      <c r="AH1715" s="2" t="str">
        <f ca="1"/>
        <v>Bad</v>
      </c>
    </row>
    <row r="1716" spans="2:34" x14ac:dyDescent="0.2">
      <c r="B1716" s="2">
        <f ca="1"/>
        <v>0.63433525149003867</v>
      </c>
      <c r="O1716" s="2">
        <f ca="1"/>
        <v>0.88846466043270489</v>
      </c>
      <c r="X1716" s="2">
        <f ca="1"/>
        <v>55.221198494597594</v>
      </c>
      <c r="AG1716" s="2">
        <f ca="1"/>
        <v>0.58660015817288014</v>
      </c>
      <c r="AH1716" s="2" t="str">
        <f ca="1"/>
        <v>Bad</v>
      </c>
    </row>
    <row r="1717" spans="2:34" x14ac:dyDescent="0.2">
      <c r="B1717" s="2">
        <f ca="1"/>
        <v>0.58928872097129847</v>
      </c>
      <c r="O1717" s="2">
        <f ca="1"/>
        <v>0.68950901164597134</v>
      </c>
      <c r="X1717" s="2">
        <f ca="1"/>
        <v>68.479569564565708</v>
      </c>
      <c r="AG1717" s="2">
        <f ca="1"/>
        <v>0.9629057134039738</v>
      </c>
      <c r="AH1717" s="2" t="str">
        <f ca="1"/>
        <v>Bad</v>
      </c>
    </row>
    <row r="1718" spans="2:34" x14ac:dyDescent="0.2">
      <c r="B1718" s="2">
        <f ca="1"/>
        <v>0.63024671352255202</v>
      </c>
      <c r="O1718" s="2">
        <f ca="1"/>
        <v>-0.91832495264140801</v>
      </c>
      <c r="X1718" s="2">
        <f ca="1"/>
        <v>49.007197700735901</v>
      </c>
      <c r="AG1718" s="2">
        <f ca="1"/>
        <v>0.34315888919934845</v>
      </c>
      <c r="AH1718" s="2" t="str">
        <f ca="1"/>
        <v>OK</v>
      </c>
    </row>
    <row r="1719" spans="2:34" x14ac:dyDescent="0.2">
      <c r="B1719" s="2">
        <f ca="1"/>
        <v>0.71349566691459732</v>
      </c>
      <c r="O1719" s="2">
        <f ca="1"/>
        <v>0.67114488897594138</v>
      </c>
      <c r="X1719" s="2">
        <f ca="1"/>
        <v>46.457710594152658</v>
      </c>
      <c r="AG1719" s="2">
        <f ca="1"/>
        <v>0.68029926556468068</v>
      </c>
      <c r="AH1719" s="2" t="str">
        <f ca="1"/>
        <v>Bad</v>
      </c>
    </row>
    <row r="1720" spans="2:34" x14ac:dyDescent="0.2">
      <c r="B1720" s="2">
        <f ca="1"/>
        <v>0.93510383901685179</v>
      </c>
      <c r="O1720" s="2">
        <f ca="1"/>
        <v>-8.7442110272775458E-2</v>
      </c>
      <c r="X1720" s="2">
        <f ca="1"/>
        <v>36.662891757240814</v>
      </c>
      <c r="AG1720" s="2">
        <f ca="1"/>
        <v>0.96502300036529132</v>
      </c>
      <c r="AH1720" s="2" t="str">
        <f ca="1"/>
        <v>Bad</v>
      </c>
    </row>
    <row r="1721" spans="2:34" x14ac:dyDescent="0.2">
      <c r="B1721" s="2">
        <f ca="1"/>
        <v>0.39913811634711527</v>
      </c>
      <c r="O1721" s="2">
        <f ca="1"/>
        <v>-1.1735400182048323</v>
      </c>
      <c r="X1721" s="2">
        <f ca="1"/>
        <v>33.463537631869961</v>
      </c>
      <c r="AG1721" s="2">
        <f ca="1"/>
        <v>0.11195950965773416</v>
      </c>
      <c r="AH1721" s="2" t="str">
        <f ca="1"/>
        <v>OK</v>
      </c>
    </row>
    <row r="1722" spans="2:34" x14ac:dyDescent="0.2">
      <c r="B1722" s="2">
        <f ca="1"/>
        <v>0.53694376715282588</v>
      </c>
      <c r="O1722" s="2">
        <f ca="1"/>
        <v>-1.5154776485844137</v>
      </c>
      <c r="X1722" s="2">
        <f ca="1"/>
        <v>52.474286338412782</v>
      </c>
      <c r="AG1722" s="2">
        <f ca="1"/>
        <v>0.50133978354442554</v>
      </c>
      <c r="AH1722" s="2" t="str">
        <f ca="1"/>
        <v>Bad</v>
      </c>
    </row>
    <row r="1723" spans="2:34" x14ac:dyDescent="0.2">
      <c r="B1723" s="2">
        <f ca="1"/>
        <v>0.49553232112698842</v>
      </c>
      <c r="O1723" s="2">
        <f ca="1"/>
        <v>0.63857067251434674</v>
      </c>
      <c r="X1723" s="2">
        <f ca="1"/>
        <v>34.726513871742853</v>
      </c>
      <c r="AG1723" s="2">
        <f ca="1"/>
        <v>0.72133647734493889</v>
      </c>
      <c r="AH1723" s="2" t="str">
        <f ca="1"/>
        <v>Bad</v>
      </c>
    </row>
    <row r="1724" spans="2:34" x14ac:dyDescent="0.2">
      <c r="B1724" s="2">
        <f ca="1"/>
        <v>0.52967308843299432</v>
      </c>
      <c r="O1724" s="2">
        <f ca="1"/>
        <v>1.5113564224089218</v>
      </c>
      <c r="X1724" s="2">
        <f ca="1"/>
        <v>45.237330593118784</v>
      </c>
      <c r="AG1724" s="2">
        <f ca="1"/>
        <v>0.50199467208390058</v>
      </c>
      <c r="AH1724" s="2" t="str">
        <f ca="1"/>
        <v>Bad</v>
      </c>
    </row>
    <row r="1725" spans="2:34" x14ac:dyDescent="0.2">
      <c r="B1725" s="2">
        <f ca="1"/>
        <v>0.49478174622507787</v>
      </c>
      <c r="O1725" s="2">
        <f ca="1"/>
        <v>0.63693589084828117</v>
      </c>
      <c r="X1725" s="2">
        <f ca="1"/>
        <v>56.605079106356094</v>
      </c>
      <c r="AG1725" s="2">
        <f ca="1"/>
        <v>0.65855587783037794</v>
      </c>
      <c r="AH1725" s="2" t="str">
        <f ca="1"/>
        <v>Bad</v>
      </c>
    </row>
    <row r="1726" spans="2:34" x14ac:dyDescent="0.2">
      <c r="B1726" s="2">
        <f ca="1"/>
        <v>0.55845831665922629</v>
      </c>
      <c r="O1726" s="2">
        <f ca="1"/>
        <v>-0.83735269885468555</v>
      </c>
      <c r="X1726" s="2">
        <f ca="1"/>
        <v>56.823020837846187</v>
      </c>
      <c r="AG1726" s="2">
        <f ca="1"/>
        <v>0.87618063385723044</v>
      </c>
      <c r="AH1726" s="2" t="str">
        <f ca="1"/>
        <v>Bad</v>
      </c>
    </row>
    <row r="1727" spans="2:34" x14ac:dyDescent="0.2">
      <c r="B1727" s="2">
        <f ca="1"/>
        <v>0.41432024313021842</v>
      </c>
      <c r="O1727" s="2">
        <f ca="1"/>
        <v>0.12404231870084613</v>
      </c>
      <c r="X1727" s="2">
        <f ca="1"/>
        <v>52.909923552007854</v>
      </c>
      <c r="AG1727" s="2">
        <f ca="1"/>
        <v>0.87080104395934654</v>
      </c>
      <c r="AH1727" s="2" t="str">
        <f ca="1"/>
        <v>Bad</v>
      </c>
    </row>
    <row r="1728" spans="2:34" x14ac:dyDescent="0.2">
      <c r="B1728" s="2">
        <f ca="1"/>
        <v>0.72326154040256396</v>
      </c>
      <c r="O1728" s="2">
        <f ca="1"/>
        <v>0.81048625387318229</v>
      </c>
      <c r="X1728" s="2">
        <f ca="1"/>
        <v>48.463737434534451</v>
      </c>
      <c r="AG1728" s="2">
        <f ca="1"/>
        <v>8.2617395723717957E-2</v>
      </c>
      <c r="AH1728" s="2" t="str">
        <f ca="1"/>
        <v>OK</v>
      </c>
    </row>
    <row r="1729" spans="2:34" x14ac:dyDescent="0.2">
      <c r="B1729" s="2">
        <f ca="1"/>
        <v>0.38013085310742256</v>
      </c>
      <c r="O1729" s="2">
        <f ca="1"/>
        <v>1.2478250170215286</v>
      </c>
      <c r="X1729" s="2">
        <f ca="1"/>
        <v>64.864206144781562</v>
      </c>
      <c r="AG1729" s="2">
        <f ca="1"/>
        <v>0.89519835228184874</v>
      </c>
      <c r="AH1729" s="2" t="str">
        <f ca="1"/>
        <v>Bad</v>
      </c>
    </row>
    <row r="1730" spans="2:34" x14ac:dyDescent="0.2">
      <c r="B1730" s="2">
        <f ca="1"/>
        <v>0.7588287582722264</v>
      </c>
      <c r="O1730" s="2">
        <f ca="1"/>
        <v>-0.43121753250474276</v>
      </c>
      <c r="X1730" s="2">
        <f ca="1"/>
        <v>65.022586920341169</v>
      </c>
      <c r="AG1730" s="2">
        <f ca="1"/>
        <v>2.9142113615651777E-2</v>
      </c>
      <c r="AH1730" s="2" t="str">
        <f ca="1"/>
        <v>Good</v>
      </c>
    </row>
    <row r="1731" spans="2:34" x14ac:dyDescent="0.2">
      <c r="B1731" s="2">
        <f ca="1"/>
        <v>0.51600891982452191</v>
      </c>
      <c r="O1731" s="2">
        <f ca="1"/>
        <v>-0.71464896832719371</v>
      </c>
      <c r="X1731" s="2">
        <f ca="1"/>
        <v>36.365436679468999</v>
      </c>
      <c r="AG1731" s="2">
        <f ca="1"/>
        <v>0.56115056945303943</v>
      </c>
      <c r="AH1731" s="2" t="str">
        <f ca="1"/>
        <v>Bad</v>
      </c>
    </row>
    <row r="1732" spans="2:34" x14ac:dyDescent="0.2">
      <c r="B1732" s="2">
        <f ca="1"/>
        <v>0.66156662363826513</v>
      </c>
      <c r="O1732" s="2">
        <f ca="1"/>
        <v>1.0450063304760997</v>
      </c>
      <c r="X1732" s="2">
        <f ca="1"/>
        <v>47.960469279147581</v>
      </c>
      <c r="AG1732" s="2">
        <f ca="1"/>
        <v>0.69014834763626554</v>
      </c>
      <c r="AH1732" s="2" t="str">
        <f ca="1"/>
        <v>Bad</v>
      </c>
    </row>
    <row r="1733" spans="2:34" x14ac:dyDescent="0.2">
      <c r="B1733" s="2">
        <f ca="1"/>
        <v>0.48305095990686686</v>
      </c>
      <c r="O1733" s="2">
        <f ca="1"/>
        <v>-0.82962323132254601</v>
      </c>
      <c r="X1733" s="2">
        <f ca="1"/>
        <v>32.334679862117397</v>
      </c>
      <c r="AG1733" s="2">
        <f ca="1"/>
        <v>0.35779991991605176</v>
      </c>
      <c r="AH1733" s="2" t="str">
        <f ca="1"/>
        <v>OK</v>
      </c>
    </row>
    <row r="1734" spans="2:34" x14ac:dyDescent="0.2">
      <c r="B1734" s="2">
        <f ca="1"/>
        <v>0.68891647968212322</v>
      </c>
      <c r="O1734" s="2">
        <f ca="1"/>
        <v>-0.2900426476097136</v>
      </c>
      <c r="X1734" s="2">
        <f ca="1"/>
        <v>70.539603185394071</v>
      </c>
      <c r="AG1734" s="2">
        <f ca="1"/>
        <v>3.8774849116528953E-2</v>
      </c>
      <c r="AH1734" s="2" t="str">
        <f ca="1"/>
        <v>Good</v>
      </c>
    </row>
    <row r="1735" spans="2:34" x14ac:dyDescent="0.2">
      <c r="B1735" s="2">
        <f ca="1"/>
        <v>0.58799242263226525</v>
      </c>
      <c r="O1735" s="2">
        <f ca="1"/>
        <v>-1.3680172332073857</v>
      </c>
      <c r="X1735" s="2">
        <f ca="1"/>
        <v>34.913994758880648</v>
      </c>
      <c r="AG1735" s="2">
        <f ca="1"/>
        <v>9.692115225802489E-2</v>
      </c>
      <c r="AH1735" s="2" t="str">
        <f ca="1"/>
        <v>OK</v>
      </c>
    </row>
    <row r="1736" spans="2:34" x14ac:dyDescent="0.2">
      <c r="B1736" s="2">
        <f ca="1"/>
        <v>0.9629696543822952</v>
      </c>
      <c r="O1736" s="2">
        <f ca="1"/>
        <v>-0.14712159207139247</v>
      </c>
      <c r="X1736" s="2">
        <f ca="1"/>
        <v>40.629750053250874</v>
      </c>
      <c r="AG1736" s="2">
        <f ca="1"/>
        <v>0.6473995845288818</v>
      </c>
      <c r="AH1736" s="2" t="str">
        <f ca="1"/>
        <v>Bad</v>
      </c>
    </row>
    <row r="1737" spans="2:34" x14ac:dyDescent="0.2">
      <c r="B1737" s="2">
        <f ca="1"/>
        <v>0.13224085196234792</v>
      </c>
      <c r="O1737" s="2">
        <f ca="1"/>
        <v>-1.4312698311862766</v>
      </c>
      <c r="X1737" s="2">
        <f ca="1"/>
        <v>57.338030793227347</v>
      </c>
      <c r="AG1737" s="2">
        <f ca="1"/>
        <v>0.53846499104454493</v>
      </c>
      <c r="AH1737" s="2" t="str">
        <f ca="1"/>
        <v>Bad</v>
      </c>
    </row>
    <row r="1738" spans="2:34" x14ac:dyDescent="0.2">
      <c r="B1738" s="2">
        <f ca="1"/>
        <v>0.22434997316697003</v>
      </c>
      <c r="O1738" s="2">
        <f ca="1"/>
        <v>1.7228205346719201</v>
      </c>
      <c r="X1738" s="2">
        <f ca="1"/>
        <v>34.41846803541555</v>
      </c>
      <c r="AG1738" s="2">
        <f ca="1"/>
        <v>0.64040907846157435</v>
      </c>
      <c r="AH1738" s="2" t="str">
        <f ca="1"/>
        <v>Bad</v>
      </c>
    </row>
    <row r="1739" spans="2:34" x14ac:dyDescent="0.2">
      <c r="B1739" s="2">
        <f ca="1"/>
        <v>8.2749423403384759E-2</v>
      </c>
      <c r="O1739" s="2">
        <f ca="1"/>
        <v>0.118441415784469</v>
      </c>
      <c r="X1739" s="2">
        <f ca="1"/>
        <v>47.00598652686061</v>
      </c>
      <c r="AG1739" s="2">
        <f ca="1"/>
        <v>0.75337263235858209</v>
      </c>
      <c r="AH1739" s="2" t="str">
        <f ca="1"/>
        <v>Bad</v>
      </c>
    </row>
    <row r="1740" spans="2:34" x14ac:dyDescent="0.2">
      <c r="B1740" s="2">
        <f ca="1"/>
        <v>8.6494567860228466E-2</v>
      </c>
      <c r="O1740" s="2">
        <f ca="1"/>
        <v>-0.78032617693373507</v>
      </c>
      <c r="X1740" s="2">
        <f ca="1"/>
        <v>37.301706798293822</v>
      </c>
      <c r="AG1740" s="2">
        <f ca="1"/>
        <v>0.12742556709233721</v>
      </c>
      <c r="AH1740" s="2" t="str">
        <f ca="1"/>
        <v>OK</v>
      </c>
    </row>
    <row r="1741" spans="2:34" x14ac:dyDescent="0.2">
      <c r="B1741" s="2">
        <f ca="1"/>
        <v>0.86437254864576984</v>
      </c>
      <c r="O1741" s="2">
        <f ca="1"/>
        <v>0.26291672735891647</v>
      </c>
      <c r="X1741" s="2">
        <f ca="1"/>
        <v>28.422009579059463</v>
      </c>
      <c r="AG1741" s="2">
        <f ca="1"/>
        <v>0.69425634633797095</v>
      </c>
      <c r="AH1741" s="2" t="str">
        <f ca="1"/>
        <v>Bad</v>
      </c>
    </row>
    <row r="1742" spans="2:34" x14ac:dyDescent="0.2">
      <c r="B1742" s="2">
        <f ca="1"/>
        <v>0.59412571374566325</v>
      </c>
      <c r="O1742" s="2">
        <f ca="1"/>
        <v>-0.6106547591149204</v>
      </c>
      <c r="X1742" s="2">
        <f ca="1"/>
        <v>63.064959461853434</v>
      </c>
      <c r="AG1742" s="2">
        <f ca="1"/>
        <v>0.44982338657660548</v>
      </c>
      <c r="AH1742" s="2" t="str">
        <f ca="1"/>
        <v>Bad</v>
      </c>
    </row>
    <row r="1743" spans="2:34" x14ac:dyDescent="0.2">
      <c r="B1743" s="2">
        <f ca="1"/>
        <v>0.5764128856928612</v>
      </c>
      <c r="O1743" s="2">
        <f ca="1"/>
        <v>1.4628735628903875</v>
      </c>
      <c r="X1743" s="2">
        <f ca="1"/>
        <v>35.808721321854037</v>
      </c>
      <c r="AG1743" s="2">
        <f ca="1"/>
        <v>0.9244433109154282</v>
      </c>
      <c r="AH1743" s="2" t="str">
        <f ca="1"/>
        <v>Bad</v>
      </c>
    </row>
    <row r="1744" spans="2:34" x14ac:dyDescent="0.2">
      <c r="B1744" s="2">
        <f ca="1"/>
        <v>0.55777856598916276</v>
      </c>
      <c r="O1744" s="2">
        <f ca="1"/>
        <v>1.543019524989713</v>
      </c>
      <c r="X1744" s="2">
        <f ca="1"/>
        <v>63.052617846652474</v>
      </c>
      <c r="AG1744" s="2">
        <f ca="1"/>
        <v>0.72876279973531077</v>
      </c>
      <c r="AH1744" s="2" t="str">
        <f ca="1"/>
        <v>Bad</v>
      </c>
    </row>
    <row r="1745" spans="2:34" x14ac:dyDescent="0.2">
      <c r="B1745" s="2">
        <f ca="1"/>
        <v>0.42384194849814549</v>
      </c>
      <c r="O1745" s="2">
        <f ca="1"/>
        <v>0.22296602624019196</v>
      </c>
      <c r="X1745" s="2">
        <f ca="1"/>
        <v>38.365929885877165</v>
      </c>
      <c r="AG1745" s="2">
        <f ca="1"/>
        <v>6.8411964940362502E-4</v>
      </c>
      <c r="AH1745" s="2" t="str">
        <f ca="1"/>
        <v>Good</v>
      </c>
    </row>
    <row r="1746" spans="2:34" x14ac:dyDescent="0.2">
      <c r="B1746" s="2">
        <f ca="1"/>
        <v>0.58606193852264288</v>
      </c>
      <c r="O1746" s="2">
        <f ca="1"/>
        <v>1.5963742492026991</v>
      </c>
      <c r="X1746" s="2">
        <f ca="1"/>
        <v>46.396007766234845</v>
      </c>
      <c r="AG1746" s="2">
        <f ca="1"/>
        <v>0.42899538712152241</v>
      </c>
      <c r="AH1746" s="2" t="str">
        <f ca="1"/>
        <v>Bad</v>
      </c>
    </row>
    <row r="1747" spans="2:34" x14ac:dyDescent="0.2">
      <c r="B1747" s="2">
        <f ca="1"/>
        <v>0.40831033379906256</v>
      </c>
      <c r="O1747" s="2">
        <f ca="1"/>
        <v>-0.1420210363215339</v>
      </c>
      <c r="X1747" s="2">
        <f ca="1"/>
        <v>47.983201926776182</v>
      </c>
      <c r="AG1747" s="2">
        <f ca="1"/>
        <v>0.13603799967690877</v>
      </c>
      <c r="AH1747" s="2" t="str">
        <f ca="1"/>
        <v>OK</v>
      </c>
    </row>
    <row r="1748" spans="2:34" x14ac:dyDescent="0.2">
      <c r="B1748" s="2">
        <f ca="1"/>
        <v>0.80254600197450499</v>
      </c>
      <c r="O1748" s="2">
        <f ca="1"/>
        <v>-0.46517056168881238</v>
      </c>
      <c r="X1748" s="2">
        <f ca="1"/>
        <v>48.618407189244209</v>
      </c>
      <c r="AG1748" s="2">
        <f ca="1"/>
        <v>0.86356308123320824</v>
      </c>
      <c r="AH1748" s="2" t="str">
        <f ca="1"/>
        <v>Bad</v>
      </c>
    </row>
    <row r="1749" spans="2:34" x14ac:dyDescent="0.2">
      <c r="B1749" s="2">
        <f ca="1"/>
        <v>1.4777676458835431E-2</v>
      </c>
      <c r="O1749" s="2">
        <f ca="1"/>
        <v>-0.6437770899386851</v>
      </c>
      <c r="X1749" s="2">
        <f ca="1"/>
        <v>68.918114662470984</v>
      </c>
      <c r="AG1749" s="2">
        <f ca="1"/>
        <v>0.3889227969854252</v>
      </c>
      <c r="AH1749" s="2" t="str">
        <f ca="1"/>
        <v>OK</v>
      </c>
    </row>
    <row r="1750" spans="2:34" x14ac:dyDescent="0.2">
      <c r="B1750" s="2">
        <f ca="1"/>
        <v>0.22586336601565127</v>
      </c>
      <c r="O1750" s="2">
        <f ca="1"/>
        <v>0.8270465160478554</v>
      </c>
      <c r="X1750" s="2">
        <f ca="1"/>
        <v>66.168315417754954</v>
      </c>
      <c r="AG1750" s="2">
        <f ca="1"/>
        <v>0.91075515254148587</v>
      </c>
      <c r="AH1750" s="2" t="str">
        <f ca="1"/>
        <v>Bad</v>
      </c>
    </row>
    <row r="1751" spans="2:34" x14ac:dyDescent="0.2">
      <c r="B1751" s="2">
        <f ca="1"/>
        <v>0.74172343971792687</v>
      </c>
      <c r="O1751" s="2">
        <f ca="1"/>
        <v>-1.1860522619174881E-3</v>
      </c>
      <c r="X1751" s="2">
        <f ca="1"/>
        <v>47.934318292800967</v>
      </c>
      <c r="AG1751" s="2">
        <f ca="1"/>
        <v>0.20432940794110865</v>
      </c>
      <c r="AH1751" s="2" t="str">
        <f ca="1"/>
        <v>OK</v>
      </c>
    </row>
    <row r="1752" spans="2:34" x14ac:dyDescent="0.2">
      <c r="B1752" s="2">
        <f ca="1"/>
        <v>0.98626742017291846</v>
      </c>
      <c r="O1752" s="2">
        <f ca="1"/>
        <v>-0.19435974916456866</v>
      </c>
      <c r="X1752" s="2">
        <f ca="1"/>
        <v>64.689958895549665</v>
      </c>
      <c r="AG1752" s="2">
        <f ca="1"/>
        <v>0.47812639211483332</v>
      </c>
      <c r="AH1752" s="2" t="str">
        <f ca="1"/>
        <v>Bad</v>
      </c>
    </row>
    <row r="1753" spans="2:34" x14ac:dyDescent="0.2">
      <c r="B1753" s="2">
        <f ca="1"/>
        <v>0.98986914071804089</v>
      </c>
      <c r="O1753" s="2">
        <f ca="1"/>
        <v>2.0896849947369045</v>
      </c>
      <c r="X1753" s="2">
        <f ca="1"/>
        <v>110.02176315845297</v>
      </c>
      <c r="AG1753" s="2">
        <f ca="1"/>
        <v>0.30272247125495455</v>
      </c>
      <c r="AH1753" s="2" t="str">
        <f ca="1"/>
        <v>OK</v>
      </c>
    </row>
    <row r="1754" spans="2:34" x14ac:dyDescent="0.2">
      <c r="B1754" s="2">
        <f ca="1"/>
        <v>0.2313411343799685</v>
      </c>
      <c r="O1754" s="2">
        <f ca="1"/>
        <v>-1.3636188858403986</v>
      </c>
      <c r="X1754" s="2">
        <f ca="1"/>
        <v>84.544513801794494</v>
      </c>
      <c r="AG1754" s="2">
        <f ca="1"/>
        <v>0.89966266806531237</v>
      </c>
      <c r="AH1754" s="2" t="str">
        <f ca="1"/>
        <v>Bad</v>
      </c>
    </row>
    <row r="1755" spans="2:34" x14ac:dyDescent="0.2">
      <c r="B1755" s="2">
        <f ca="1"/>
        <v>0.86525329841197984</v>
      </c>
      <c r="O1755" s="2">
        <f ca="1"/>
        <v>2.0027890144475173</v>
      </c>
      <c r="X1755" s="2">
        <f ca="1"/>
        <v>28.232645024681137</v>
      </c>
      <c r="AG1755" s="2">
        <f ca="1"/>
        <v>3.1827167706352411E-2</v>
      </c>
      <c r="AH1755" s="2" t="str">
        <f ca="1"/>
        <v>Good</v>
      </c>
    </row>
    <row r="1756" spans="2:34" x14ac:dyDescent="0.2">
      <c r="B1756" s="2">
        <f ca="1"/>
        <v>0.49261007916324862</v>
      </c>
      <c r="O1756" s="2">
        <f ca="1"/>
        <v>0.99742793008024622</v>
      </c>
      <c r="X1756" s="2">
        <f ca="1"/>
        <v>74.522767504130684</v>
      </c>
      <c r="AG1756" s="2">
        <f ca="1"/>
        <v>0.86893808747584145</v>
      </c>
      <c r="AH1756" s="2" t="str">
        <f ca="1"/>
        <v>Bad</v>
      </c>
    </row>
    <row r="1757" spans="2:34" x14ac:dyDescent="0.2">
      <c r="B1757" s="2">
        <f ca="1"/>
        <v>0.16142525989084788</v>
      </c>
      <c r="O1757" s="2">
        <f ca="1"/>
        <v>1.5040742962832463</v>
      </c>
      <c r="X1757" s="2">
        <f ca="1"/>
        <v>32.158144868967774</v>
      </c>
      <c r="AG1757" s="2">
        <f ca="1"/>
        <v>0.54009504793100671</v>
      </c>
      <c r="AH1757" s="2" t="str">
        <f ca="1"/>
        <v>Bad</v>
      </c>
    </row>
    <row r="1758" spans="2:34" x14ac:dyDescent="0.2">
      <c r="B1758" s="2">
        <f ca="1"/>
        <v>0.94328982150724361</v>
      </c>
      <c r="O1758" s="2">
        <f ca="1"/>
        <v>2.5109910972828682</v>
      </c>
      <c r="X1758" s="2">
        <f ca="1"/>
        <v>55.89712239140168</v>
      </c>
      <c r="AG1758" s="2">
        <f ca="1"/>
        <v>0.44616301430391991</v>
      </c>
      <c r="AH1758" s="2" t="str">
        <f ca="1"/>
        <v>Bad</v>
      </c>
    </row>
    <row r="1759" spans="2:34" x14ac:dyDescent="0.2">
      <c r="B1759" s="2">
        <f ca="1"/>
        <v>0.81623667122364085</v>
      </c>
      <c r="O1759" s="2">
        <f ca="1"/>
        <v>1.2281133202262655</v>
      </c>
      <c r="X1759" s="2">
        <f ca="1"/>
        <v>85.915363388510443</v>
      </c>
      <c r="AG1759" s="2">
        <f ca="1"/>
        <v>0.31959250866778754</v>
      </c>
      <c r="AH1759" s="2" t="str">
        <f ca="1"/>
        <v>OK</v>
      </c>
    </row>
    <row r="1760" spans="2:34" x14ac:dyDescent="0.2">
      <c r="B1760" s="2">
        <f ca="1"/>
        <v>0.5771190583824739</v>
      </c>
      <c r="O1760" s="2">
        <f ca="1"/>
        <v>0.80443334793203802</v>
      </c>
      <c r="X1760" s="2">
        <f ca="1"/>
        <v>33.80711169683827</v>
      </c>
      <c r="AG1760" s="2">
        <f ca="1"/>
        <v>0.98060830970693114</v>
      </c>
      <c r="AH1760" s="2" t="str">
        <f ca="1"/>
        <v>Bad</v>
      </c>
    </row>
    <row r="1761" spans="2:34" x14ac:dyDescent="0.2">
      <c r="B1761" s="2">
        <f ca="1"/>
        <v>0.93157266328337074</v>
      </c>
      <c r="O1761" s="2">
        <f ca="1"/>
        <v>-1.0153509570372377</v>
      </c>
      <c r="X1761" s="2">
        <f ca="1"/>
        <v>61.735601583038822</v>
      </c>
      <c r="AG1761" s="2">
        <f ca="1"/>
        <v>0.10174722688385596</v>
      </c>
      <c r="AH1761" s="2" t="str">
        <f ca="1"/>
        <v>OK</v>
      </c>
    </row>
    <row r="1762" spans="2:34" x14ac:dyDescent="0.2">
      <c r="B1762" s="2">
        <f ca="1"/>
        <v>0.90593800048675899</v>
      </c>
      <c r="O1762" s="2">
        <f ca="1"/>
        <v>0.28010155673848047</v>
      </c>
      <c r="X1762" s="2">
        <f ca="1"/>
        <v>54.292834899630698</v>
      </c>
      <c r="AG1762" s="2">
        <f ca="1"/>
        <v>0.56113685923718859</v>
      </c>
      <c r="AH1762" s="2" t="str">
        <f ca="1"/>
        <v>Bad</v>
      </c>
    </row>
    <row r="1763" spans="2:34" x14ac:dyDescent="0.2">
      <c r="B1763" s="2">
        <f ca="1"/>
        <v>0.22465695617608561</v>
      </c>
      <c r="O1763" s="2">
        <f ca="1"/>
        <v>-0.34994992877164582</v>
      </c>
      <c r="X1763" s="2">
        <f ca="1"/>
        <v>40.761693721951524</v>
      </c>
      <c r="AG1763" s="2">
        <f ca="1"/>
        <v>0.99847933065434069</v>
      </c>
      <c r="AH1763" s="2" t="str">
        <f ca="1"/>
        <v>Bad</v>
      </c>
    </row>
    <row r="1764" spans="2:34" x14ac:dyDescent="0.2">
      <c r="B1764" s="2">
        <f ca="1"/>
        <v>6.8272311331457169E-2</v>
      </c>
      <c r="O1764" s="2">
        <f ca="1"/>
        <v>-0.88343373708693773</v>
      </c>
      <c r="X1764" s="2">
        <f ca="1"/>
        <v>34.168299915651865</v>
      </c>
      <c r="AG1764" s="2">
        <f ca="1"/>
        <v>0.16608813616772</v>
      </c>
      <c r="AH1764" s="2" t="str">
        <f ca="1"/>
        <v>OK</v>
      </c>
    </row>
    <row r="1765" spans="2:34" x14ac:dyDescent="0.2">
      <c r="B1765" s="2">
        <f ca="1"/>
        <v>0.78794690690812086</v>
      </c>
      <c r="O1765" s="2">
        <f ca="1"/>
        <v>1.0519756690774058</v>
      </c>
      <c r="X1765" s="2">
        <f ca="1"/>
        <v>37.060083163774998</v>
      </c>
      <c r="AG1765" s="2">
        <f ca="1"/>
        <v>0.42034188606341427</v>
      </c>
      <c r="AH1765" s="2" t="str">
        <f ca="1"/>
        <v>Bad</v>
      </c>
    </row>
    <row r="1766" spans="2:34" x14ac:dyDescent="0.2">
      <c r="B1766" s="2">
        <f ca="1"/>
        <v>2.3245719203956794E-2</v>
      </c>
      <c r="O1766" s="2">
        <f ca="1"/>
        <v>-0.20784629314479794</v>
      </c>
      <c r="X1766" s="2">
        <f ca="1"/>
        <v>45.532820796786552</v>
      </c>
      <c r="AG1766" s="2">
        <f ca="1"/>
        <v>7.9079353389845064E-2</v>
      </c>
      <c r="AH1766" s="2" t="str">
        <f ca="1"/>
        <v>OK</v>
      </c>
    </row>
    <row r="1767" spans="2:34" x14ac:dyDescent="0.2">
      <c r="B1767" s="2">
        <f ca="1"/>
        <v>0.96866567207747578</v>
      </c>
      <c r="O1767" s="2">
        <f ca="1"/>
        <v>-0.50123967656781787</v>
      </c>
      <c r="X1767" s="2">
        <f ca="1"/>
        <v>54.521346703867415</v>
      </c>
      <c r="AG1767" s="2">
        <f ca="1"/>
        <v>0.30814002905458859</v>
      </c>
      <c r="AH1767" s="2" t="str">
        <f ca="1"/>
        <v>OK</v>
      </c>
    </row>
    <row r="1768" spans="2:34" x14ac:dyDescent="0.2">
      <c r="B1768" s="2">
        <f ca="1"/>
        <v>0.42920097054422968</v>
      </c>
      <c r="O1768" s="2">
        <f ca="1"/>
        <v>0.49358288473441364</v>
      </c>
      <c r="X1768" s="2">
        <f ca="1"/>
        <v>47.540990970389231</v>
      </c>
      <c r="AG1768" s="2">
        <f ca="1"/>
        <v>0.67394067338693575</v>
      </c>
      <c r="AH1768" s="2" t="str">
        <f ca="1"/>
        <v>Bad</v>
      </c>
    </row>
    <row r="1769" spans="2:34" x14ac:dyDescent="0.2">
      <c r="B1769" s="2">
        <f ca="1"/>
        <v>0.90646666653099151</v>
      </c>
      <c r="O1769" s="2">
        <f ca="1"/>
        <v>0.60216014283335395</v>
      </c>
      <c r="X1769" s="2">
        <f ca="1"/>
        <v>43.523348508704309</v>
      </c>
      <c r="AG1769" s="2">
        <f ca="1"/>
        <v>0.23738225657798484</v>
      </c>
      <c r="AH1769" s="2" t="str">
        <f ca="1"/>
        <v>OK</v>
      </c>
    </row>
    <row r="1770" spans="2:34" x14ac:dyDescent="0.2">
      <c r="B1770" s="2">
        <f ca="1"/>
        <v>1.8020353337067085E-4</v>
      </c>
      <c r="O1770" s="2">
        <f ca="1"/>
        <v>-1.271041946581039</v>
      </c>
      <c r="X1770" s="2">
        <f ca="1"/>
        <v>52.212063970137606</v>
      </c>
      <c r="AG1770" s="2">
        <f ca="1"/>
        <v>0.76848604243762741</v>
      </c>
      <c r="AH1770" s="2" t="str">
        <f ca="1"/>
        <v>Bad</v>
      </c>
    </row>
    <row r="1771" spans="2:34" x14ac:dyDescent="0.2">
      <c r="B1771" s="2">
        <f ca="1"/>
        <v>0.438029342561427</v>
      </c>
      <c r="O1771" s="2">
        <f ca="1"/>
        <v>0.19159827505431509</v>
      </c>
      <c r="X1771" s="2">
        <f ca="1"/>
        <v>28.010988522599128</v>
      </c>
      <c r="AG1771" s="2">
        <f ca="1"/>
        <v>0.24702620232696115</v>
      </c>
      <c r="AH1771" s="2" t="str">
        <f ca="1"/>
        <v>OK</v>
      </c>
    </row>
    <row r="1772" spans="2:34" x14ac:dyDescent="0.2">
      <c r="B1772" s="2">
        <f ca="1"/>
        <v>0.75076169116518554</v>
      </c>
      <c r="O1772" s="2">
        <f ca="1"/>
        <v>1.2793460081292316</v>
      </c>
      <c r="X1772" s="2">
        <f ca="1"/>
        <v>68.680355015693507</v>
      </c>
      <c r="AG1772" s="2">
        <f ca="1"/>
        <v>0.5829966980116883</v>
      </c>
      <c r="AH1772" s="2" t="str">
        <f ca="1"/>
        <v>Bad</v>
      </c>
    </row>
    <row r="1773" spans="2:34" x14ac:dyDescent="0.2">
      <c r="B1773" s="2">
        <f ca="1"/>
        <v>0.59682263425451887</v>
      </c>
      <c r="O1773" s="2">
        <f ca="1"/>
        <v>0.1356824392618633</v>
      </c>
      <c r="X1773" s="2">
        <f ca="1"/>
        <v>61.630941111310086</v>
      </c>
      <c r="AG1773" s="2">
        <f ca="1"/>
        <v>0.73276606870187311</v>
      </c>
      <c r="AH1773" s="2" t="str">
        <f ca="1"/>
        <v>Bad</v>
      </c>
    </row>
    <row r="1774" spans="2:34" x14ac:dyDescent="0.2">
      <c r="B1774" s="2">
        <f ca="1"/>
        <v>0.48310348791801982</v>
      </c>
      <c r="O1774" s="2">
        <f ca="1"/>
        <v>0.17773814003431629</v>
      </c>
      <c r="X1774" s="2">
        <f ca="1"/>
        <v>38.256685523624178</v>
      </c>
      <c r="AG1774" s="2">
        <f ca="1"/>
        <v>0.75515591456808373</v>
      </c>
      <c r="AH1774" s="2" t="str">
        <f ca="1"/>
        <v>Bad</v>
      </c>
    </row>
    <row r="1775" spans="2:34" x14ac:dyDescent="0.2">
      <c r="B1775" s="2">
        <f ca="1"/>
        <v>0.59554400129180141</v>
      </c>
      <c r="O1775" s="2">
        <f ca="1"/>
        <v>1.5966771412678826</v>
      </c>
      <c r="X1775" s="2">
        <f ca="1"/>
        <v>57.969842854750873</v>
      </c>
      <c r="AG1775" s="2">
        <f ca="1"/>
        <v>0.28315692221329458</v>
      </c>
      <c r="AH1775" s="2" t="str">
        <f ca="1"/>
        <v>OK</v>
      </c>
    </row>
    <row r="1776" spans="2:34" x14ac:dyDescent="0.2">
      <c r="B1776" s="2">
        <f ca="1"/>
        <v>0.96454336250264538</v>
      </c>
      <c r="O1776" s="2">
        <f ca="1"/>
        <v>1.6416671985765023</v>
      </c>
      <c r="X1776" s="2">
        <f ca="1"/>
        <v>32.42303189683448</v>
      </c>
      <c r="AG1776" s="2">
        <f ca="1"/>
        <v>3.1652142842945707E-2</v>
      </c>
      <c r="AH1776" s="2" t="str">
        <f ca="1"/>
        <v>Good</v>
      </c>
    </row>
    <row r="1777" spans="2:34" x14ac:dyDescent="0.2">
      <c r="B1777" s="2">
        <f ca="1"/>
        <v>0.26932673691015085</v>
      </c>
      <c r="O1777" s="2">
        <f ca="1"/>
        <v>-1.213627390389477</v>
      </c>
      <c r="X1777" s="2">
        <f ca="1"/>
        <v>37.155818800968362</v>
      </c>
      <c r="AG1777" s="2">
        <f ca="1"/>
        <v>0.57780960462724562</v>
      </c>
      <c r="AH1777" s="2" t="str">
        <f ca="1"/>
        <v>Bad</v>
      </c>
    </row>
    <row r="1778" spans="2:34" x14ac:dyDescent="0.2">
      <c r="B1778" s="2">
        <f ca="1"/>
        <v>0.57537345173982035</v>
      </c>
      <c r="O1778" s="2">
        <f ca="1"/>
        <v>0.97139417661169025</v>
      </c>
      <c r="X1778" s="2">
        <f ca="1"/>
        <v>49.362109193549884</v>
      </c>
      <c r="AG1778" s="2">
        <f ca="1"/>
        <v>0.40584049951430767</v>
      </c>
      <c r="AH1778" s="2" t="str">
        <f ca="1"/>
        <v>Bad</v>
      </c>
    </row>
    <row r="1779" spans="2:34" x14ac:dyDescent="0.2">
      <c r="B1779" s="2">
        <f ca="1"/>
        <v>0.24264663775299722</v>
      </c>
      <c r="O1779" s="2">
        <f ca="1"/>
        <v>-0.93959969019908463</v>
      </c>
      <c r="X1779" s="2">
        <f ca="1"/>
        <v>26.598863384648741</v>
      </c>
      <c r="AG1779" s="2">
        <f ca="1"/>
        <v>0.82589777912771112</v>
      </c>
      <c r="AH1779" s="2" t="str">
        <f ca="1"/>
        <v>Bad</v>
      </c>
    </row>
    <row r="1780" spans="2:34" x14ac:dyDescent="0.2">
      <c r="B1780" s="2">
        <f ca="1"/>
        <v>0.99043483347179051</v>
      </c>
      <c r="O1780" s="2">
        <f ca="1"/>
        <v>-1.0134057735966693</v>
      </c>
      <c r="X1780" s="2">
        <f ca="1"/>
        <v>38.966159872236609</v>
      </c>
      <c r="AG1780" s="2">
        <f ca="1"/>
        <v>0.14043694268512907</v>
      </c>
      <c r="AH1780" s="2" t="str">
        <f ca="1"/>
        <v>OK</v>
      </c>
    </row>
    <row r="1781" spans="2:34" x14ac:dyDescent="0.2">
      <c r="B1781" s="2">
        <f ca="1"/>
        <v>0.19524697261262203</v>
      </c>
      <c r="O1781" s="2">
        <f ca="1"/>
        <v>-0.80092330159479963</v>
      </c>
      <c r="X1781" s="2">
        <f ca="1"/>
        <v>38.18995335078192</v>
      </c>
      <c r="AG1781" s="2">
        <f ca="1"/>
        <v>0.40613526454392224</v>
      </c>
      <c r="AH1781" s="2" t="str">
        <f ca="1"/>
        <v>Bad</v>
      </c>
    </row>
    <row r="1782" spans="2:34" x14ac:dyDescent="0.2">
      <c r="B1782" s="2">
        <f ca="1"/>
        <v>0.15116836315530668</v>
      </c>
      <c r="O1782" s="2">
        <f ca="1"/>
        <v>0.91752755066320169</v>
      </c>
      <c r="X1782" s="2">
        <f ca="1"/>
        <v>42.12144495445024</v>
      </c>
      <c r="AG1782" s="2">
        <f ca="1"/>
        <v>0.9305587585300048</v>
      </c>
      <c r="AH1782" s="2" t="str">
        <f ca="1"/>
        <v>Bad</v>
      </c>
    </row>
    <row r="1783" spans="2:34" x14ac:dyDescent="0.2">
      <c r="B1783" s="2">
        <f ca="1"/>
        <v>0.76694143160256445</v>
      </c>
      <c r="O1783" s="2">
        <f ca="1"/>
        <v>0.1859376880944808</v>
      </c>
      <c r="X1783" s="2">
        <f ca="1"/>
        <v>42.886769490085555</v>
      </c>
      <c r="AG1783" s="2">
        <f ca="1"/>
        <v>0.33595848787788918</v>
      </c>
      <c r="AH1783" s="2" t="str">
        <f ca="1"/>
        <v>OK</v>
      </c>
    </row>
    <row r="1784" spans="2:34" x14ac:dyDescent="0.2">
      <c r="B1784" s="2">
        <f ca="1"/>
        <v>0.7589851719206393</v>
      </c>
      <c r="O1784" s="2">
        <f ca="1"/>
        <v>0.3150321084346176</v>
      </c>
      <c r="X1784" s="2">
        <f ca="1"/>
        <v>66.97835413377922</v>
      </c>
      <c r="AG1784" s="2">
        <f ca="1"/>
        <v>0.24097935732597975</v>
      </c>
      <c r="AH1784" s="2" t="str">
        <f ca="1"/>
        <v>OK</v>
      </c>
    </row>
    <row r="1785" spans="2:34" x14ac:dyDescent="0.2">
      <c r="B1785" s="2">
        <f ca="1"/>
        <v>0.51897142993123713</v>
      </c>
      <c r="O1785" s="2">
        <f ca="1"/>
        <v>0.55314994892627944</v>
      </c>
      <c r="X1785" s="2">
        <f ca="1"/>
        <v>64.298994742082684</v>
      </c>
      <c r="AG1785" s="2">
        <f ca="1"/>
        <v>0.3703989428372616</v>
      </c>
      <c r="AH1785" s="2" t="str">
        <f ca="1"/>
        <v>OK</v>
      </c>
    </row>
    <row r="1786" spans="2:34" x14ac:dyDescent="0.2">
      <c r="B1786" s="2">
        <f ca="1"/>
        <v>0.25722526839997362</v>
      </c>
      <c r="O1786" s="2">
        <f ca="1"/>
        <v>-0.77708824778842689</v>
      </c>
      <c r="X1786" s="2">
        <f ca="1"/>
        <v>42.630274517105263</v>
      </c>
      <c r="AG1786" s="2">
        <f ca="1"/>
        <v>7.8388423584784706E-2</v>
      </c>
      <c r="AH1786" s="2" t="str">
        <f ca="1"/>
        <v>OK</v>
      </c>
    </row>
    <row r="1787" spans="2:34" x14ac:dyDescent="0.2">
      <c r="B1787" s="2">
        <f ca="1"/>
        <v>0.25241924987411135</v>
      </c>
      <c r="O1787" s="2">
        <f ca="1"/>
        <v>-0.87964874135704429</v>
      </c>
      <c r="X1787" s="2">
        <f ca="1"/>
        <v>28.362958055580123</v>
      </c>
      <c r="AG1787" s="2">
        <f ca="1"/>
        <v>0.69095048581809126</v>
      </c>
      <c r="AH1787" s="2" t="str">
        <f ca="1"/>
        <v>Bad</v>
      </c>
    </row>
    <row r="1788" spans="2:34" x14ac:dyDescent="0.2">
      <c r="B1788" s="2">
        <f ca="1"/>
        <v>0.98893128974121214</v>
      </c>
      <c r="O1788" s="2">
        <f ca="1"/>
        <v>-0.47416327459594326</v>
      </c>
      <c r="X1788" s="2">
        <f ca="1"/>
        <v>40.365681046841296</v>
      </c>
      <c r="AG1788" s="2">
        <f ca="1"/>
        <v>0.96786266387625264</v>
      </c>
      <c r="AH1788" s="2" t="str">
        <f ca="1"/>
        <v>Bad</v>
      </c>
    </row>
    <row r="1789" spans="2:34" x14ac:dyDescent="0.2">
      <c r="B1789" s="2">
        <f ca="1"/>
        <v>0.84047595808907571</v>
      </c>
      <c r="O1789" s="2">
        <f ca="1"/>
        <v>0.65937229391240881</v>
      </c>
      <c r="X1789" s="2">
        <f ca="1"/>
        <v>26.478038527952407</v>
      </c>
      <c r="AG1789" s="2">
        <f ca="1"/>
        <v>0.27530000918231146</v>
      </c>
      <c r="AH1789" s="2" t="str">
        <f ca="1"/>
        <v>OK</v>
      </c>
    </row>
    <row r="1790" spans="2:34" x14ac:dyDescent="0.2">
      <c r="B1790" s="2">
        <f ca="1"/>
        <v>0.53021899831033248</v>
      </c>
      <c r="O1790" s="2">
        <f ca="1"/>
        <v>-1.1790344455559476</v>
      </c>
      <c r="X1790" s="2">
        <f ca="1"/>
        <v>63.463503748510718</v>
      </c>
      <c r="AG1790" s="2">
        <f ca="1"/>
        <v>0.23438715598867232</v>
      </c>
      <c r="AH1790" s="2" t="str">
        <f ca="1"/>
        <v>OK</v>
      </c>
    </row>
    <row r="1791" spans="2:34" x14ac:dyDescent="0.2">
      <c r="B1791" s="2">
        <f ca="1"/>
        <v>0.54224997870815694</v>
      </c>
      <c r="O1791" s="2">
        <f ca="1"/>
        <v>-0.47098000909020765</v>
      </c>
      <c r="X1791" s="2">
        <f ca="1"/>
        <v>56.026875015419463</v>
      </c>
      <c r="AG1791" s="2">
        <f ca="1"/>
        <v>0.55321011240940932</v>
      </c>
      <c r="AH1791" s="2" t="str">
        <f ca="1"/>
        <v>Bad</v>
      </c>
    </row>
    <row r="1792" spans="2:34" x14ac:dyDescent="0.2">
      <c r="B1792" s="2">
        <f ca="1"/>
        <v>0.72891688902992269</v>
      </c>
      <c r="O1792" s="2">
        <f ca="1"/>
        <v>-1.5157860801286451</v>
      </c>
      <c r="X1792" s="2">
        <f ca="1"/>
        <v>62.431145896489923</v>
      </c>
      <c r="AG1792" s="2">
        <f ca="1"/>
        <v>0.90096212961915279</v>
      </c>
      <c r="AH1792" s="2" t="str">
        <f ca="1"/>
        <v>Bad</v>
      </c>
    </row>
    <row r="1793" spans="2:34" x14ac:dyDescent="0.2">
      <c r="B1793" s="2">
        <f ca="1"/>
        <v>0.88104709507328183</v>
      </c>
      <c r="O1793" s="2">
        <f ca="1"/>
        <v>-0.66711619087385432</v>
      </c>
      <c r="X1793" s="2">
        <f ca="1"/>
        <v>47.416728351634518</v>
      </c>
      <c r="AG1793" s="2">
        <f ca="1"/>
        <v>0.41153267160742657</v>
      </c>
      <c r="AH1793" s="2" t="str">
        <f ca="1"/>
        <v>Bad</v>
      </c>
    </row>
    <row r="1794" spans="2:34" x14ac:dyDescent="0.2">
      <c r="B1794" s="2">
        <f ca="1"/>
        <v>0.26533546490824444</v>
      </c>
      <c r="O1794" s="2">
        <f ca="1"/>
        <v>1.0892089590308489</v>
      </c>
      <c r="X1794" s="2">
        <f ca="1"/>
        <v>76.823778814913936</v>
      </c>
      <c r="AG1794" s="2">
        <f ca="1"/>
        <v>0.44226741762562916</v>
      </c>
      <c r="AH1794" s="2" t="str">
        <f ca="1"/>
        <v>Bad</v>
      </c>
    </row>
    <row r="1795" spans="2:34" x14ac:dyDescent="0.2">
      <c r="B1795" s="2">
        <f ca="1"/>
        <v>0.46854385631213336</v>
      </c>
      <c r="O1795" s="2">
        <f ca="1"/>
        <v>-0.56056530830142837</v>
      </c>
      <c r="X1795" s="2">
        <f ca="1"/>
        <v>47.191187507900871</v>
      </c>
      <c r="AG1795" s="2">
        <f ca="1"/>
        <v>0.58054901529647518</v>
      </c>
      <c r="AH1795" s="2" t="str">
        <f ca="1"/>
        <v>Bad</v>
      </c>
    </row>
    <row r="1796" spans="2:34" x14ac:dyDescent="0.2">
      <c r="B1796" s="2">
        <f ca="1"/>
        <v>0.30309511915464049</v>
      </c>
      <c r="O1796" s="2">
        <f ca="1"/>
        <v>0.50582942478234127</v>
      </c>
      <c r="X1796" s="2">
        <f ca="1"/>
        <v>33.234463622384581</v>
      </c>
      <c r="AG1796" s="2">
        <f ca="1"/>
        <v>0.63067547250647427</v>
      </c>
      <c r="AH1796" s="2" t="str">
        <f ca="1"/>
        <v>Bad</v>
      </c>
    </row>
    <row r="1797" spans="2:34" x14ac:dyDescent="0.2">
      <c r="B1797" s="2">
        <f ca="1"/>
        <v>0.95266301868589065</v>
      </c>
      <c r="O1797" s="2">
        <f ca="1"/>
        <v>-1.3154676605221778</v>
      </c>
      <c r="X1797" s="2">
        <f ca="1"/>
        <v>49.243895785232169</v>
      </c>
      <c r="AG1797" s="2">
        <f ca="1"/>
        <v>0.50512234492683761</v>
      </c>
      <c r="AH1797" s="2" t="str">
        <f ca="1"/>
        <v>Bad</v>
      </c>
    </row>
    <row r="1798" spans="2:34" x14ac:dyDescent="0.2">
      <c r="B1798" s="2">
        <f ca="1"/>
        <v>0.20328533023472839</v>
      </c>
      <c r="O1798" s="2">
        <f ca="1"/>
        <v>0.53066902762491175</v>
      </c>
      <c r="X1798" s="2">
        <f ca="1"/>
        <v>69.193027590459735</v>
      </c>
      <c r="AG1798" s="2">
        <f ca="1"/>
        <v>5.0487974477144038E-2</v>
      </c>
      <c r="AH1798" s="2" t="str">
        <f ca="1"/>
        <v>OK</v>
      </c>
    </row>
    <row r="1799" spans="2:34" x14ac:dyDescent="0.2">
      <c r="B1799" s="2">
        <f ca="1"/>
        <v>0.73186638456087261</v>
      </c>
      <c r="O1799" s="2">
        <f ca="1"/>
        <v>0.49395363788163082</v>
      </c>
      <c r="X1799" s="2">
        <f ca="1"/>
        <v>23.4293722115912</v>
      </c>
      <c r="AG1799" s="2">
        <f ca="1"/>
        <v>0.46134098243124066</v>
      </c>
      <c r="AH1799" s="2" t="str">
        <f ca="1"/>
        <v>Bad</v>
      </c>
    </row>
    <row r="1800" spans="2:34" x14ac:dyDescent="0.2">
      <c r="B1800" s="2">
        <f ca="1"/>
        <v>0.7888707702908444</v>
      </c>
      <c r="O1800" s="2">
        <f ca="1"/>
        <v>1.8520477698867259</v>
      </c>
      <c r="X1800" s="2">
        <f ca="1"/>
        <v>57.218534655617773</v>
      </c>
      <c r="AG1800" s="2">
        <f ca="1"/>
        <v>0.90167230320724001</v>
      </c>
      <c r="AH1800" s="2" t="str">
        <f ca="1"/>
        <v>Bad</v>
      </c>
    </row>
    <row r="1801" spans="2:34" x14ac:dyDescent="0.2">
      <c r="B1801" s="2">
        <f ca="1"/>
        <v>0.57552328147824028</v>
      </c>
      <c r="O1801" s="2">
        <f ca="1"/>
        <v>-0.11697854192973736</v>
      </c>
      <c r="X1801" s="2">
        <f ca="1"/>
        <v>54.943272440878495</v>
      </c>
      <c r="AG1801" s="2">
        <f ca="1"/>
        <v>0.66536792474997752</v>
      </c>
      <c r="AH1801" s="2" t="str">
        <f ca="1"/>
        <v>Bad</v>
      </c>
    </row>
    <row r="1802" spans="2:34" x14ac:dyDescent="0.2">
      <c r="B1802" s="2">
        <f ca="1"/>
        <v>0.57921614264969001</v>
      </c>
      <c r="O1802" s="2">
        <f ca="1"/>
        <v>-0.70986973951986143</v>
      </c>
      <c r="X1802" s="2">
        <f ca="1"/>
        <v>48.99463753814949</v>
      </c>
      <c r="AG1802" s="2">
        <f ca="1"/>
        <v>0.31818548843945482</v>
      </c>
      <c r="AH1802" s="2" t="str">
        <f ca="1"/>
        <v>OK</v>
      </c>
    </row>
    <row r="1803" spans="2:34" x14ac:dyDescent="0.2">
      <c r="B1803" s="2">
        <f ca="1"/>
        <v>0.67523341700746431</v>
      </c>
      <c r="O1803" s="2">
        <f ca="1"/>
        <v>1.1060848851108267</v>
      </c>
      <c r="X1803" s="2">
        <f ca="1"/>
        <v>65.144536382517032</v>
      </c>
      <c r="AG1803" s="2">
        <f ca="1"/>
        <v>9.5977403735457045E-2</v>
      </c>
      <c r="AH1803" s="2" t="str">
        <f ca="1"/>
        <v>OK</v>
      </c>
    </row>
    <row r="1804" spans="2:34" x14ac:dyDescent="0.2">
      <c r="B1804" s="2">
        <f ca="1"/>
        <v>0.65678968451999986</v>
      </c>
      <c r="O1804" s="2">
        <f ca="1"/>
        <v>0.22896430444047267</v>
      </c>
      <c r="X1804" s="2">
        <f ca="1"/>
        <v>39.365958361038572</v>
      </c>
      <c r="AG1804" s="2">
        <f ca="1"/>
        <v>0.90849582676106833</v>
      </c>
      <c r="AH1804" s="2" t="str">
        <f ca="1"/>
        <v>Bad</v>
      </c>
    </row>
    <row r="1805" spans="2:34" x14ac:dyDescent="0.2">
      <c r="B1805" s="2">
        <f ca="1"/>
        <v>0.13942058463199447</v>
      </c>
      <c r="O1805" s="2">
        <f ca="1"/>
        <v>-0.26669668558173781</v>
      </c>
      <c r="X1805" s="2">
        <f ca="1"/>
        <v>36.838252919644418</v>
      </c>
      <c r="AG1805" s="2">
        <f ca="1"/>
        <v>0.84034860376147158</v>
      </c>
      <c r="AH1805" s="2" t="str">
        <f ca="1"/>
        <v>Bad</v>
      </c>
    </row>
    <row r="1806" spans="2:34" x14ac:dyDescent="0.2">
      <c r="B1806" s="2">
        <f ca="1"/>
        <v>0.53925661716911821</v>
      </c>
      <c r="O1806" s="2">
        <f ca="1"/>
        <v>9.5628699366152939E-2</v>
      </c>
      <c r="X1806" s="2">
        <f ca="1"/>
        <v>29.838089933153611</v>
      </c>
      <c r="AG1806" s="2">
        <f ca="1"/>
        <v>0.31575442786254837</v>
      </c>
      <c r="AH1806" s="2" t="str">
        <f ca="1"/>
        <v>OK</v>
      </c>
    </row>
    <row r="1807" spans="2:34" x14ac:dyDescent="0.2">
      <c r="B1807" s="2">
        <f ca="1"/>
        <v>0.11391211444641347</v>
      </c>
      <c r="O1807" s="2">
        <f ca="1"/>
        <v>1.750459177883863</v>
      </c>
      <c r="X1807" s="2">
        <f ca="1"/>
        <v>69.222232791586848</v>
      </c>
      <c r="AG1807" s="2">
        <f ca="1"/>
        <v>0.4753973024201501</v>
      </c>
      <c r="AH1807" s="2" t="str">
        <f ca="1"/>
        <v>Bad</v>
      </c>
    </row>
    <row r="1808" spans="2:34" x14ac:dyDescent="0.2">
      <c r="B1808" s="2">
        <f ca="1"/>
        <v>0.5717094281211712</v>
      </c>
      <c r="O1808" s="2">
        <f ca="1"/>
        <v>0.65030167082102475</v>
      </c>
      <c r="X1808" s="2">
        <f ca="1"/>
        <v>54.664661826343931</v>
      </c>
      <c r="AG1808" s="2">
        <f ca="1"/>
        <v>0.90351460046045839</v>
      </c>
      <c r="AH1808" s="2" t="str">
        <f ca="1"/>
        <v>Bad</v>
      </c>
    </row>
    <row r="1809" spans="2:34" x14ac:dyDescent="0.2">
      <c r="B1809" s="2">
        <f ca="1"/>
        <v>0.68692677295534099</v>
      </c>
      <c r="O1809" s="2">
        <f ca="1"/>
        <v>0.86339841022141472</v>
      </c>
      <c r="X1809" s="2">
        <f ca="1"/>
        <v>55.298827379447502</v>
      </c>
      <c r="AG1809" s="2">
        <f ca="1"/>
        <v>0.60312922886769904</v>
      </c>
      <c r="AH1809" s="2" t="str">
        <f ca="1"/>
        <v>Bad</v>
      </c>
    </row>
    <row r="1810" spans="2:34" x14ac:dyDescent="0.2">
      <c r="B1810" s="2">
        <f ca="1"/>
        <v>0.14603241992865112</v>
      </c>
      <c r="O1810" s="2">
        <f ca="1"/>
        <v>-1.1464819740623819</v>
      </c>
      <c r="X1810" s="2">
        <f ca="1"/>
        <v>42.256525563513534</v>
      </c>
      <c r="AG1810" s="2">
        <f ca="1"/>
        <v>0.9409795196017785</v>
      </c>
      <c r="AH1810" s="2" t="str">
        <f ca="1"/>
        <v>Bad</v>
      </c>
    </row>
    <row r="1811" spans="2:34" x14ac:dyDescent="0.2">
      <c r="B1811" s="2">
        <f ca="1"/>
        <v>0.23391606011299637</v>
      </c>
      <c r="O1811" s="2">
        <f ca="1"/>
        <v>-0.46270826708689011</v>
      </c>
      <c r="X1811" s="2">
        <f ca="1"/>
        <v>52.23896756457674</v>
      </c>
      <c r="AG1811" s="2">
        <f ca="1"/>
        <v>0.77344094988708845</v>
      </c>
      <c r="AH1811" s="2" t="str">
        <f ca="1"/>
        <v>Bad</v>
      </c>
    </row>
    <row r="1812" spans="2:34" x14ac:dyDescent="0.2">
      <c r="B1812" s="2">
        <f ca="1"/>
        <v>0.7224888140483916</v>
      </c>
      <c r="O1812" s="2">
        <f ca="1"/>
        <v>-0.23029441761862818</v>
      </c>
      <c r="X1812" s="2">
        <f ca="1"/>
        <v>58.613692797059223</v>
      </c>
      <c r="AG1812" s="2">
        <f ca="1"/>
        <v>0.75306340620557854</v>
      </c>
      <c r="AH1812" s="2" t="str">
        <f ca="1"/>
        <v>Bad</v>
      </c>
    </row>
    <row r="1813" spans="2:34" x14ac:dyDescent="0.2">
      <c r="B1813" s="2">
        <f ca="1"/>
        <v>0.83091073085188616</v>
      </c>
      <c r="O1813" s="2">
        <f ca="1"/>
        <v>2.5466304051941919</v>
      </c>
      <c r="X1813" s="2">
        <f ca="1"/>
        <v>59.863200235580685</v>
      </c>
      <c r="AG1813" s="2">
        <f ca="1"/>
        <v>0.58010157413864993</v>
      </c>
      <c r="AH1813" s="2" t="str">
        <f ca="1"/>
        <v>Bad</v>
      </c>
    </row>
    <row r="1814" spans="2:34" x14ac:dyDescent="0.2">
      <c r="B1814" s="2">
        <f ca="1"/>
        <v>0.70416461322050328</v>
      </c>
      <c r="O1814" s="2">
        <f ca="1"/>
        <v>-1.6494873420487501</v>
      </c>
      <c r="X1814" s="2">
        <f ca="1"/>
        <v>28.180977083440418</v>
      </c>
      <c r="AG1814" s="2">
        <f ca="1"/>
        <v>0.37246058852406305</v>
      </c>
      <c r="AH1814" s="2" t="str">
        <f ca="1"/>
        <v>OK</v>
      </c>
    </row>
    <row r="1815" spans="2:34" x14ac:dyDescent="0.2">
      <c r="B1815" s="2">
        <f ca="1"/>
        <v>0.94485391167015065</v>
      </c>
      <c r="O1815" s="2">
        <f ca="1"/>
        <v>-1.7195505997866478</v>
      </c>
      <c r="X1815" s="2">
        <f ca="1"/>
        <v>39.278637067607377</v>
      </c>
      <c r="AG1815" s="2">
        <f ca="1"/>
        <v>0.86184583833758199</v>
      </c>
      <c r="AH1815" s="2" t="str">
        <f ca="1"/>
        <v>Bad</v>
      </c>
    </row>
    <row r="1816" spans="2:34" x14ac:dyDescent="0.2">
      <c r="B1816" s="2">
        <f ca="1"/>
        <v>0.469300290547356</v>
      </c>
      <c r="O1816" s="2">
        <f ca="1"/>
        <v>1.1291211569656185</v>
      </c>
      <c r="X1816" s="2">
        <f ca="1"/>
        <v>39.317967988525481</v>
      </c>
      <c r="AG1816" s="2">
        <f ca="1"/>
        <v>0.2054247930732489</v>
      </c>
      <c r="AH1816" s="2" t="str">
        <f ca="1"/>
        <v>OK</v>
      </c>
    </row>
    <row r="1817" spans="2:34" x14ac:dyDescent="0.2">
      <c r="B1817" s="2">
        <f ca="1"/>
        <v>0.31545154290348942</v>
      </c>
      <c r="O1817" s="2">
        <f ca="1"/>
        <v>-0.25879819591865549</v>
      </c>
      <c r="X1817" s="2">
        <f ca="1"/>
        <v>33.554294666399898</v>
      </c>
      <c r="AG1817" s="2">
        <f ca="1"/>
        <v>0.85239239710394155</v>
      </c>
      <c r="AH1817" s="2" t="str">
        <f ca="1"/>
        <v>Bad</v>
      </c>
    </row>
    <row r="1818" spans="2:34" x14ac:dyDescent="0.2">
      <c r="B1818" s="2">
        <f ca="1"/>
        <v>0.35710063596741937</v>
      </c>
      <c r="O1818" s="2">
        <f ca="1"/>
        <v>2.7845640239746443E-2</v>
      </c>
      <c r="X1818" s="2">
        <f ca="1"/>
        <v>73.176525659596379</v>
      </c>
      <c r="AG1818" s="2">
        <f ca="1"/>
        <v>0.22488549618457743</v>
      </c>
      <c r="AH1818" s="2" t="str">
        <f ca="1"/>
        <v>OK</v>
      </c>
    </row>
    <row r="1819" spans="2:34" x14ac:dyDescent="0.2">
      <c r="B1819" s="2">
        <f ca="1"/>
        <v>0.98963487800202277</v>
      </c>
      <c r="O1819" s="2">
        <f ca="1"/>
        <v>-0.7783668917622687</v>
      </c>
      <c r="X1819" s="2">
        <f ca="1"/>
        <v>67.430814194603684</v>
      </c>
      <c r="AG1819" s="2">
        <f ca="1"/>
        <v>0.67546782500679359</v>
      </c>
      <c r="AH1819" s="2" t="str">
        <f ca="1"/>
        <v>Bad</v>
      </c>
    </row>
    <row r="1820" spans="2:34" x14ac:dyDescent="0.2">
      <c r="B1820" s="2">
        <f ca="1"/>
        <v>0.70165060484100894</v>
      </c>
      <c r="O1820" s="2">
        <f ca="1"/>
        <v>-1.412741052311046</v>
      </c>
      <c r="X1820" s="2">
        <f ca="1"/>
        <v>50.753680970231592</v>
      </c>
      <c r="AG1820" s="2">
        <f ca="1"/>
        <v>0.94736903497285119</v>
      </c>
      <c r="AH1820" s="2" t="str">
        <f ca="1"/>
        <v>Bad</v>
      </c>
    </row>
    <row r="1821" spans="2:34" x14ac:dyDescent="0.2">
      <c r="B1821" s="2">
        <f ca="1"/>
        <v>0.55276896382736784</v>
      </c>
      <c r="O1821" s="2">
        <f ca="1"/>
        <v>-1.2944851418526959</v>
      </c>
      <c r="X1821" s="2">
        <f ca="1"/>
        <v>53.590052733267662</v>
      </c>
      <c r="AG1821" s="2">
        <f ca="1"/>
        <v>0.3238916191293375</v>
      </c>
      <c r="AH1821" s="2" t="str">
        <f ca="1"/>
        <v>OK</v>
      </c>
    </row>
    <row r="1822" spans="2:34" x14ac:dyDescent="0.2">
      <c r="B1822" s="2">
        <f ca="1"/>
        <v>0.13198602539233106</v>
      </c>
      <c r="O1822" s="2">
        <f ca="1"/>
        <v>-0.69209244803891856</v>
      </c>
      <c r="X1822" s="2">
        <f ca="1"/>
        <v>63.205579988746308</v>
      </c>
      <c r="AG1822" s="2">
        <f ca="1"/>
        <v>0.32767287963129998</v>
      </c>
      <c r="AH1822" s="2" t="str">
        <f ca="1"/>
        <v>OK</v>
      </c>
    </row>
    <row r="1823" spans="2:34" x14ac:dyDescent="0.2">
      <c r="B1823" s="2">
        <f ca="1"/>
        <v>0.71027775027306439</v>
      </c>
      <c r="O1823" s="2">
        <f ca="1"/>
        <v>1.8267606504259113</v>
      </c>
      <c r="X1823" s="2">
        <f ca="1"/>
        <v>34.49506173509625</v>
      </c>
      <c r="AG1823" s="2">
        <f ca="1"/>
        <v>0.39686505705693875</v>
      </c>
      <c r="AH1823" s="2" t="str">
        <f ca="1"/>
        <v>OK</v>
      </c>
    </row>
    <row r="1824" spans="2:34" x14ac:dyDescent="0.2">
      <c r="B1824" s="2">
        <f ca="1"/>
        <v>0.25151407255363978</v>
      </c>
      <c r="O1824" s="2">
        <f ca="1"/>
        <v>0.88527101363901672</v>
      </c>
      <c r="X1824" s="2">
        <f ca="1"/>
        <v>64.032510283071034</v>
      </c>
      <c r="AG1824" s="2">
        <f ca="1"/>
        <v>0.36578160661721193</v>
      </c>
      <c r="AH1824" s="2" t="str">
        <f ca="1"/>
        <v>OK</v>
      </c>
    </row>
    <row r="1825" spans="2:34" x14ac:dyDescent="0.2">
      <c r="B1825" s="2">
        <f ca="1"/>
        <v>0.59561840766304286</v>
      </c>
      <c r="O1825" s="2">
        <f ca="1"/>
        <v>1.9764366252261392</v>
      </c>
      <c r="X1825" s="2">
        <f ca="1"/>
        <v>34.05555261605177</v>
      </c>
      <c r="AG1825" s="2">
        <f ca="1"/>
        <v>0.614286251132101</v>
      </c>
      <c r="AH1825" s="2" t="str">
        <f ca="1"/>
        <v>Bad</v>
      </c>
    </row>
    <row r="1826" spans="2:34" x14ac:dyDescent="0.2">
      <c r="B1826" s="2">
        <f ca="1"/>
        <v>0.42602055002844663</v>
      </c>
      <c r="O1826" s="2">
        <f ca="1"/>
        <v>1.2679031336888269</v>
      </c>
      <c r="X1826" s="2">
        <f ca="1"/>
        <v>65.202407975898197</v>
      </c>
      <c r="AG1826" s="2">
        <f ca="1"/>
        <v>0.81652666151074715</v>
      </c>
      <c r="AH1826" s="2" t="str">
        <f ca="1"/>
        <v>Bad</v>
      </c>
    </row>
    <row r="1827" spans="2:34" x14ac:dyDescent="0.2">
      <c r="B1827" s="2">
        <f ca="1"/>
        <v>0.27710979242192812</v>
      </c>
      <c r="O1827" s="2">
        <f ca="1"/>
        <v>-0.98762006343710551</v>
      </c>
      <c r="X1827" s="2">
        <f ca="1"/>
        <v>67.102013455941957</v>
      </c>
      <c r="AG1827" s="2">
        <f ca="1"/>
        <v>0.58106484716779527</v>
      </c>
      <c r="AH1827" s="2" t="str">
        <f ca="1"/>
        <v>Bad</v>
      </c>
    </row>
    <row r="1828" spans="2:34" x14ac:dyDescent="0.2">
      <c r="B1828" s="2">
        <f ca="1"/>
        <v>0.18786124810756433</v>
      </c>
      <c r="O1828" s="2">
        <f ca="1"/>
        <v>0.67874581023660951</v>
      </c>
      <c r="X1828" s="2">
        <f ca="1"/>
        <v>49.348988563876503</v>
      </c>
      <c r="AG1828" s="2">
        <f ca="1"/>
        <v>0.987748349627527</v>
      </c>
      <c r="AH1828" s="2" t="str">
        <f ca="1"/>
        <v>Bad</v>
      </c>
    </row>
    <row r="1829" spans="2:34" x14ac:dyDescent="0.2">
      <c r="B1829" s="2">
        <f ca="1"/>
        <v>0.22830100881963933</v>
      </c>
      <c r="O1829" s="2">
        <f ca="1"/>
        <v>1.3812033039232059</v>
      </c>
      <c r="X1829" s="2">
        <f ca="1"/>
        <v>43.808924275750066</v>
      </c>
      <c r="AG1829" s="2">
        <f ca="1"/>
        <v>0.67142616282010459</v>
      </c>
      <c r="AH1829" s="2" t="str">
        <f ca="1"/>
        <v>Bad</v>
      </c>
    </row>
    <row r="1830" spans="2:34" x14ac:dyDescent="0.2">
      <c r="B1830" s="2">
        <f ca="1"/>
        <v>0.40055625686330409</v>
      </c>
      <c r="O1830" s="2">
        <f ca="1"/>
        <v>0.96911024431413861</v>
      </c>
      <c r="X1830" s="2">
        <f ca="1"/>
        <v>34.348942439704977</v>
      </c>
      <c r="AG1830" s="2">
        <f ca="1"/>
        <v>0.52502235656387186</v>
      </c>
      <c r="AH1830" s="2" t="str">
        <f ca="1"/>
        <v>Bad</v>
      </c>
    </row>
    <row r="1831" spans="2:34" x14ac:dyDescent="0.2">
      <c r="B1831" s="2">
        <f ca="1"/>
        <v>0.98178482056180916</v>
      </c>
      <c r="O1831" s="2">
        <f ca="1"/>
        <v>0.90952636136788756</v>
      </c>
      <c r="X1831" s="2">
        <f ca="1"/>
        <v>49.820980795516441</v>
      </c>
      <c r="AG1831" s="2">
        <f ca="1"/>
        <v>0.58223885040074541</v>
      </c>
      <c r="AH1831" s="2" t="str">
        <f ca="1"/>
        <v>Bad</v>
      </c>
    </row>
    <row r="1832" spans="2:34" x14ac:dyDescent="0.2">
      <c r="B1832" s="2">
        <f ca="1"/>
        <v>0.27291458629062126</v>
      </c>
      <c r="O1832" s="2">
        <f ca="1"/>
        <v>0.64981909037401642</v>
      </c>
      <c r="X1832" s="2">
        <f ca="1"/>
        <v>28.176845490733303</v>
      </c>
      <c r="AG1832" s="2">
        <f ca="1"/>
        <v>0.66225563980066049</v>
      </c>
      <c r="AH1832" s="2" t="str">
        <f ca="1"/>
        <v>Bad</v>
      </c>
    </row>
    <row r="1833" spans="2:34" x14ac:dyDescent="0.2">
      <c r="B1833" s="2">
        <f ca="1"/>
        <v>0.32440725749787869</v>
      </c>
      <c r="O1833" s="2">
        <f ca="1"/>
        <v>-0.67943129962336435</v>
      </c>
      <c r="X1833" s="2">
        <f ca="1"/>
        <v>51.40898523995957</v>
      </c>
      <c r="AG1833" s="2">
        <f ca="1"/>
        <v>0.23976848968813114</v>
      </c>
      <c r="AH1833" s="2" t="str">
        <f ca="1"/>
        <v>OK</v>
      </c>
    </row>
    <row r="1834" spans="2:34" x14ac:dyDescent="0.2">
      <c r="B1834" s="2">
        <f ca="1"/>
        <v>0.78951705740371958</v>
      </c>
      <c r="O1834" s="2">
        <f ca="1"/>
        <v>0.73158431051083417</v>
      </c>
      <c r="X1834" s="2">
        <f ca="1"/>
        <v>38.505243498291037</v>
      </c>
      <c r="AG1834" s="2">
        <f ca="1"/>
        <v>0.74588837961882848</v>
      </c>
      <c r="AH1834" s="2" t="str">
        <f ca="1"/>
        <v>Bad</v>
      </c>
    </row>
    <row r="1835" spans="2:34" x14ac:dyDescent="0.2">
      <c r="B1835" s="2">
        <f ca="1"/>
        <v>0.25671629870941137</v>
      </c>
      <c r="O1835" s="2">
        <f ca="1"/>
        <v>-0.71475531266991843</v>
      </c>
      <c r="X1835" s="2">
        <f ca="1"/>
        <v>42.262577365300089</v>
      </c>
      <c r="AG1835" s="2">
        <f ca="1"/>
        <v>0.71167886105527178</v>
      </c>
      <c r="AH1835" s="2" t="str">
        <f ca="1"/>
        <v>Bad</v>
      </c>
    </row>
    <row r="1836" spans="2:34" x14ac:dyDescent="0.2">
      <c r="B1836" s="2">
        <f ca="1"/>
        <v>0.84619441366374737</v>
      </c>
      <c r="O1836" s="2">
        <f ca="1"/>
        <v>1.2495080824557026</v>
      </c>
      <c r="X1836" s="2">
        <f ca="1"/>
        <v>34.708800293022392</v>
      </c>
      <c r="AG1836" s="2">
        <f ca="1"/>
        <v>2.4846325555019311E-2</v>
      </c>
      <c r="AH1836" s="2" t="str">
        <f ca="1"/>
        <v>Good</v>
      </c>
    </row>
    <row r="1837" spans="2:34" x14ac:dyDescent="0.2">
      <c r="B1837" s="2">
        <f ca="1"/>
        <v>0.95194844486515939</v>
      </c>
      <c r="O1837" s="2">
        <f ca="1"/>
        <v>-1.8168367729133326</v>
      </c>
      <c r="X1837" s="2">
        <f ca="1"/>
        <v>95.846478195616982</v>
      </c>
      <c r="AG1837" s="2">
        <f ca="1"/>
        <v>0.91928749911937535</v>
      </c>
      <c r="AH1837" s="2" t="str">
        <f ca="1"/>
        <v>Bad</v>
      </c>
    </row>
    <row r="1838" spans="2:34" x14ac:dyDescent="0.2">
      <c r="B1838" s="2">
        <f ca="1"/>
        <v>7.4426529851009171E-2</v>
      </c>
      <c r="O1838" s="2">
        <f ca="1"/>
        <v>0.50777130919016489</v>
      </c>
      <c r="X1838" s="2">
        <f ca="1"/>
        <v>49.978366752700296</v>
      </c>
      <c r="AG1838" s="2">
        <f ca="1"/>
        <v>0.53275810246389188</v>
      </c>
      <c r="AH1838" s="2" t="str">
        <f ca="1"/>
        <v>Bad</v>
      </c>
    </row>
    <row r="1839" spans="2:34" x14ac:dyDescent="0.2">
      <c r="B1839" s="2">
        <f ca="1"/>
        <v>0.75000029860841133</v>
      </c>
      <c r="O1839" s="2">
        <f ca="1"/>
        <v>0.37667406968322509</v>
      </c>
      <c r="X1839" s="2">
        <f ca="1"/>
        <v>67.796359423978203</v>
      </c>
      <c r="AG1839" s="2">
        <f ca="1"/>
        <v>0.15965564494687734</v>
      </c>
      <c r="AH1839" s="2" t="str">
        <f ca="1"/>
        <v>OK</v>
      </c>
    </row>
    <row r="1840" spans="2:34" x14ac:dyDescent="0.2">
      <c r="B1840" s="2">
        <f ca="1"/>
        <v>0.58808139049335217</v>
      </c>
      <c r="O1840" s="2">
        <f ca="1"/>
        <v>-1.30558640410167</v>
      </c>
      <c r="X1840" s="2">
        <f ca="1"/>
        <v>41.775407364079157</v>
      </c>
      <c r="AG1840" s="2">
        <f ca="1"/>
        <v>0.42287904507019225</v>
      </c>
      <c r="AH1840" s="2" t="str">
        <f ca="1"/>
        <v>Bad</v>
      </c>
    </row>
    <row r="1841" spans="2:34" x14ac:dyDescent="0.2">
      <c r="B1841" s="2">
        <f ca="1"/>
        <v>0.81230606133376382</v>
      </c>
      <c r="O1841" s="2">
        <f ca="1"/>
        <v>-0.98944068978642263</v>
      </c>
      <c r="X1841" s="2">
        <f ca="1"/>
        <v>45.925091039272502</v>
      </c>
      <c r="AG1841" s="2">
        <f ca="1"/>
        <v>0.34203318907549707</v>
      </c>
      <c r="AH1841" s="2" t="str">
        <f ca="1"/>
        <v>OK</v>
      </c>
    </row>
    <row r="1842" spans="2:34" x14ac:dyDescent="0.2">
      <c r="B1842" s="2">
        <f ca="1"/>
        <v>0.26866427246662306</v>
      </c>
      <c r="O1842" s="2">
        <f ca="1"/>
        <v>-1.2407637138959162</v>
      </c>
      <c r="X1842" s="2">
        <f ca="1"/>
        <v>35.157780496109368</v>
      </c>
      <c r="AG1842" s="2">
        <f ca="1"/>
        <v>0.89277865490034847</v>
      </c>
      <c r="AH1842" s="2" t="str">
        <f ca="1"/>
        <v>Bad</v>
      </c>
    </row>
    <row r="1843" spans="2:34" x14ac:dyDescent="0.2">
      <c r="B1843" s="2">
        <f ca="1"/>
        <v>0.54854787248390702</v>
      </c>
      <c r="O1843" s="2">
        <f ca="1"/>
        <v>-1.3526453921396049</v>
      </c>
      <c r="X1843" s="2">
        <f ca="1"/>
        <v>41.93820470521586</v>
      </c>
      <c r="AG1843" s="2">
        <f ca="1"/>
        <v>0.64165434744935324</v>
      </c>
      <c r="AH1843" s="2" t="str">
        <f ca="1"/>
        <v>Bad</v>
      </c>
    </row>
    <row r="1844" spans="2:34" x14ac:dyDescent="0.2">
      <c r="B1844" s="2">
        <f ca="1"/>
        <v>3.2310157706597842E-2</v>
      </c>
      <c r="O1844" s="2">
        <f ca="1"/>
        <v>2.2117811231976243</v>
      </c>
      <c r="X1844" s="2">
        <f ca="1"/>
        <v>52.538319334891703</v>
      </c>
      <c r="AG1844" s="2">
        <f ca="1"/>
        <v>0.72286243714730958</v>
      </c>
      <c r="AH1844" s="2" t="str">
        <f ca="1"/>
        <v>Bad</v>
      </c>
    </row>
    <row r="1845" spans="2:34" x14ac:dyDescent="0.2">
      <c r="B1845" s="2">
        <f ca="1"/>
        <v>0.44080863498552803</v>
      </c>
      <c r="O1845" s="2">
        <f ca="1"/>
        <v>1.0541282633926428</v>
      </c>
      <c r="X1845" s="2">
        <f ca="1"/>
        <v>53.777088242522382</v>
      </c>
      <c r="AG1845" s="2">
        <f ca="1"/>
        <v>0.80281592353508069</v>
      </c>
      <c r="AH1845" s="2" t="str">
        <f ca="1"/>
        <v>Bad</v>
      </c>
    </row>
    <row r="1846" spans="2:34" x14ac:dyDescent="0.2">
      <c r="B1846" s="2">
        <f ca="1"/>
        <v>0.89879411759165895</v>
      </c>
      <c r="O1846" s="2">
        <f ca="1"/>
        <v>-1.0798000228180915</v>
      </c>
      <c r="X1846" s="2">
        <f ca="1"/>
        <v>67.383678048852559</v>
      </c>
      <c r="AG1846" s="2">
        <f ca="1"/>
        <v>0.6880409816193982</v>
      </c>
      <c r="AH1846" s="2" t="str">
        <f ca="1"/>
        <v>Bad</v>
      </c>
    </row>
    <row r="1847" spans="2:34" x14ac:dyDescent="0.2">
      <c r="B1847" s="2">
        <f ca="1"/>
        <v>0.92159054377155769</v>
      </c>
      <c r="O1847" s="2">
        <f ca="1"/>
        <v>0.34551559818125072</v>
      </c>
      <c r="X1847" s="2">
        <f ca="1"/>
        <v>67.346470265168932</v>
      </c>
      <c r="AG1847" s="2">
        <f ca="1"/>
        <v>0.58472992705759741</v>
      </c>
      <c r="AH1847" s="2" t="str">
        <f ca="1"/>
        <v>Bad</v>
      </c>
    </row>
    <row r="1848" spans="2:34" x14ac:dyDescent="0.2">
      <c r="B1848" s="2">
        <f ca="1"/>
        <v>0.93050576967586496</v>
      </c>
      <c r="O1848" s="2">
        <f ca="1"/>
        <v>0.64741220468283378</v>
      </c>
      <c r="X1848" s="2">
        <f ca="1"/>
        <v>42.785628504340877</v>
      </c>
      <c r="AG1848" s="2">
        <f ca="1"/>
        <v>0.50165444157662464</v>
      </c>
      <c r="AH1848" s="2" t="str">
        <f ca="1"/>
        <v>Bad</v>
      </c>
    </row>
    <row r="1849" spans="2:34" x14ac:dyDescent="0.2">
      <c r="B1849" s="2">
        <f ca="1"/>
        <v>0.78982886592292778</v>
      </c>
      <c r="O1849" s="2">
        <f ca="1"/>
        <v>-8.1037968685229472E-2</v>
      </c>
      <c r="X1849" s="2">
        <f ca="1"/>
        <v>92.153059051152383</v>
      </c>
      <c r="AG1849" s="2">
        <f ca="1"/>
        <v>0.81956875114201844</v>
      </c>
      <c r="AH1849" s="2" t="str">
        <f ca="1"/>
        <v>Bad</v>
      </c>
    </row>
    <row r="1850" spans="2:34" x14ac:dyDescent="0.2">
      <c r="B1850" s="2">
        <f ca="1"/>
        <v>0.41712997376024474</v>
      </c>
      <c r="O1850" s="2">
        <f ca="1"/>
        <v>0.64520302925765671</v>
      </c>
      <c r="X1850" s="2">
        <f ca="1"/>
        <v>64.724034965334198</v>
      </c>
      <c r="AG1850" s="2">
        <f ca="1"/>
        <v>0.49376863316317632</v>
      </c>
      <c r="AH1850" s="2" t="str">
        <f ca="1"/>
        <v>Bad</v>
      </c>
    </row>
    <row r="1851" spans="2:34" x14ac:dyDescent="0.2">
      <c r="B1851" s="2">
        <f ca="1"/>
        <v>7.3402763062927923E-2</v>
      </c>
      <c r="O1851" s="2">
        <f ca="1"/>
        <v>1.9843872775322438</v>
      </c>
      <c r="X1851" s="2">
        <f ca="1"/>
        <v>69.458291036196044</v>
      </c>
      <c r="AG1851" s="2">
        <f ca="1"/>
        <v>0.52673090630423491</v>
      </c>
      <c r="AH1851" s="2" t="str">
        <f ca="1"/>
        <v>Bad</v>
      </c>
    </row>
    <row r="1852" spans="2:34" x14ac:dyDescent="0.2">
      <c r="B1852" s="2">
        <f ca="1"/>
        <v>1.9295682847921602E-2</v>
      </c>
      <c r="O1852" s="2">
        <f ca="1"/>
        <v>4.502731095772824E-3</v>
      </c>
      <c r="X1852" s="2">
        <f ca="1"/>
        <v>55.561251324241923</v>
      </c>
      <c r="AG1852" s="2">
        <f ca="1"/>
        <v>5.3346392995734959E-2</v>
      </c>
      <c r="AH1852" s="2" t="str">
        <f ca="1"/>
        <v>OK</v>
      </c>
    </row>
    <row r="1853" spans="2:34" x14ac:dyDescent="0.2">
      <c r="B1853" s="2">
        <f ca="1"/>
        <v>0.15596216606949098</v>
      </c>
      <c r="O1853" s="2">
        <f ca="1"/>
        <v>-0.97787652598713992</v>
      </c>
      <c r="X1853" s="2">
        <f ca="1"/>
        <v>92.249709374528081</v>
      </c>
      <c r="AG1853" s="2">
        <f ca="1"/>
        <v>0.98358002552874502</v>
      </c>
      <c r="AH1853" s="2" t="str">
        <f ca="1"/>
        <v>Bad</v>
      </c>
    </row>
    <row r="1854" spans="2:34" x14ac:dyDescent="0.2">
      <c r="B1854" s="2">
        <f ca="1"/>
        <v>0.62657394813555922</v>
      </c>
      <c r="O1854" s="2">
        <f ca="1"/>
        <v>-0.25345281495034611</v>
      </c>
      <c r="X1854" s="2">
        <f ca="1"/>
        <v>28.45355337506458</v>
      </c>
      <c r="AG1854" s="2">
        <f ca="1"/>
        <v>0.89666872336314229</v>
      </c>
      <c r="AH1854" s="2" t="str">
        <f ca="1"/>
        <v>Bad</v>
      </c>
    </row>
    <row r="1855" spans="2:34" x14ac:dyDescent="0.2">
      <c r="B1855" s="2">
        <f ca="1"/>
        <v>0.36799479927780876</v>
      </c>
      <c r="O1855" s="2">
        <f ca="1"/>
        <v>0.8174354844931897</v>
      </c>
      <c r="X1855" s="2">
        <f ca="1"/>
        <v>39.061069580661339</v>
      </c>
      <c r="AG1855" s="2">
        <f ca="1"/>
        <v>0.46381319546294586</v>
      </c>
      <c r="AH1855" s="2" t="str">
        <f ca="1"/>
        <v>Bad</v>
      </c>
    </row>
    <row r="1856" spans="2:34" x14ac:dyDescent="0.2">
      <c r="B1856" s="2">
        <f ca="1"/>
        <v>0.37607924228337608</v>
      </c>
      <c r="O1856" s="2">
        <f ca="1"/>
        <v>1.1824385699595394</v>
      </c>
      <c r="X1856" s="2">
        <f ca="1"/>
        <v>43.591491674639357</v>
      </c>
      <c r="AG1856" s="2">
        <f ca="1"/>
        <v>0.71169878285103105</v>
      </c>
      <c r="AH1856" s="2" t="str">
        <f ca="1"/>
        <v>Bad</v>
      </c>
    </row>
    <row r="1857" spans="2:34" x14ac:dyDescent="0.2">
      <c r="B1857" s="2">
        <f ca="1"/>
        <v>0.29161542640949145</v>
      </c>
      <c r="O1857" s="2">
        <f ca="1"/>
        <v>0.17775333112696068</v>
      </c>
      <c r="X1857" s="2">
        <f ca="1"/>
        <v>57.05915319488404</v>
      </c>
      <c r="AG1857" s="2">
        <f ca="1"/>
        <v>0.87609186083063983</v>
      </c>
      <c r="AH1857" s="2" t="str">
        <f ca="1"/>
        <v>Bad</v>
      </c>
    </row>
    <row r="1858" spans="2:34" x14ac:dyDescent="0.2">
      <c r="B1858" s="2">
        <f ca="1"/>
        <v>0.94808335322528525</v>
      </c>
      <c r="O1858" s="2">
        <f ca="1"/>
        <v>-6.6524679550102467E-2</v>
      </c>
      <c r="X1858" s="2">
        <f ca="1"/>
        <v>63.424240537240934</v>
      </c>
      <c r="AG1858" s="2">
        <f ca="1"/>
        <v>0.58304716169483295</v>
      </c>
      <c r="AH1858" s="2" t="str">
        <f ca="1"/>
        <v>Bad</v>
      </c>
    </row>
    <row r="1859" spans="2:34" x14ac:dyDescent="0.2">
      <c r="B1859" s="2">
        <f ca="1"/>
        <v>0.52053437162447924</v>
      </c>
      <c r="O1859" s="2">
        <f ca="1"/>
        <v>-0.92440309986084024</v>
      </c>
      <c r="X1859" s="2">
        <f ca="1"/>
        <v>51.171457285280823</v>
      </c>
      <c r="AG1859" s="2">
        <f ca="1"/>
        <v>0.32938280214492033</v>
      </c>
      <c r="AH1859" s="2" t="str">
        <f ca="1"/>
        <v>OK</v>
      </c>
    </row>
    <row r="1860" spans="2:34" x14ac:dyDescent="0.2">
      <c r="B1860" s="2">
        <f ca="1"/>
        <v>0.18601018589943363</v>
      </c>
      <c r="O1860" s="2">
        <f ca="1"/>
        <v>-2.5259671485282289</v>
      </c>
      <c r="X1860" s="2">
        <f ca="1"/>
        <v>28.273233556594235</v>
      </c>
      <c r="AG1860" s="2">
        <f ca="1"/>
        <v>0.33675415789167173</v>
      </c>
      <c r="AH1860" s="2" t="str">
        <f ca="1"/>
        <v>OK</v>
      </c>
    </row>
    <row r="1861" spans="2:34" x14ac:dyDescent="0.2">
      <c r="B1861" s="2">
        <f ca="1"/>
        <v>0.71593142678175248</v>
      </c>
      <c r="O1861" s="2">
        <f ca="1"/>
        <v>0.4252242742600767</v>
      </c>
      <c r="X1861" s="2">
        <f ca="1"/>
        <v>37.665963314905497</v>
      </c>
      <c r="AG1861" s="2">
        <f ca="1"/>
        <v>7.4227068348098335E-2</v>
      </c>
      <c r="AH1861" s="2" t="str">
        <f ca="1"/>
        <v>OK</v>
      </c>
    </row>
    <row r="1862" spans="2:34" x14ac:dyDescent="0.2">
      <c r="B1862" s="2">
        <f ca="1"/>
        <v>0.41838199763263773</v>
      </c>
      <c r="O1862" s="2">
        <f ca="1"/>
        <v>-0.73454186781617581</v>
      </c>
      <c r="X1862" s="2">
        <f ca="1"/>
        <v>50.381592040711269</v>
      </c>
      <c r="AG1862" s="2">
        <f ca="1"/>
        <v>0.66053521452277097</v>
      </c>
      <c r="AH1862" s="2" t="str">
        <f ca="1"/>
        <v>Bad</v>
      </c>
    </row>
    <row r="1863" spans="2:34" x14ac:dyDescent="0.2">
      <c r="B1863" s="2">
        <f ca="1"/>
        <v>0.64586692251238764</v>
      </c>
      <c r="O1863" s="2">
        <f ca="1"/>
        <v>-0.63758698773344002</v>
      </c>
      <c r="X1863" s="2">
        <f ca="1"/>
        <v>53.834226455008015</v>
      </c>
      <c r="AG1863" s="2">
        <f ca="1"/>
        <v>0.34188207110494728</v>
      </c>
      <c r="AH1863" s="2" t="str">
        <f ca="1"/>
        <v>OK</v>
      </c>
    </row>
    <row r="1864" spans="2:34" x14ac:dyDescent="0.2">
      <c r="B1864" s="2">
        <f ca="1"/>
        <v>0.41270509280369039</v>
      </c>
      <c r="O1864" s="2">
        <f ca="1"/>
        <v>0.52414126834787689</v>
      </c>
      <c r="X1864" s="2">
        <f ca="1"/>
        <v>48.594650999539041</v>
      </c>
      <c r="AG1864" s="2">
        <f ca="1"/>
        <v>0.46993262720708251</v>
      </c>
      <c r="AH1864" s="2" t="str">
        <f ca="1"/>
        <v>Bad</v>
      </c>
    </row>
    <row r="1865" spans="2:34" x14ac:dyDescent="0.2">
      <c r="B1865" s="2">
        <f ca="1"/>
        <v>0.63660004031904038</v>
      </c>
      <c r="O1865" s="2">
        <f ca="1"/>
        <v>1.0478533994138319</v>
      </c>
      <c r="X1865" s="2">
        <f ca="1"/>
        <v>80.415283081809022</v>
      </c>
      <c r="AG1865" s="2">
        <f ca="1"/>
        <v>0.20611175163027462</v>
      </c>
      <c r="AH1865" s="2" t="str">
        <f ca="1"/>
        <v>OK</v>
      </c>
    </row>
    <row r="1866" spans="2:34" x14ac:dyDescent="0.2">
      <c r="B1866" s="2">
        <f ca="1"/>
        <v>0.13260013759607014</v>
      </c>
      <c r="O1866" s="2">
        <f ca="1"/>
        <v>0.34575640514469053</v>
      </c>
      <c r="X1866" s="2">
        <f ca="1"/>
        <v>74.197374164261603</v>
      </c>
      <c r="AG1866" s="2">
        <f ca="1"/>
        <v>7.1463489952185766E-2</v>
      </c>
      <c r="AH1866" s="2" t="str">
        <f ca="1"/>
        <v>OK</v>
      </c>
    </row>
    <row r="1867" spans="2:34" x14ac:dyDescent="0.2">
      <c r="B1867" s="2">
        <f ca="1"/>
        <v>0.73104282875265936</v>
      </c>
      <c r="O1867" s="2">
        <f ca="1"/>
        <v>-0.36539979075335643</v>
      </c>
      <c r="X1867" s="2">
        <f ca="1"/>
        <v>71.246627940026116</v>
      </c>
      <c r="AG1867" s="2">
        <f ca="1"/>
        <v>0.13591800372129459</v>
      </c>
      <c r="AH1867" s="2" t="str">
        <f ca="1"/>
        <v>OK</v>
      </c>
    </row>
    <row r="1868" spans="2:34" x14ac:dyDescent="0.2">
      <c r="B1868" s="2">
        <f ca="1"/>
        <v>0.56642548165254136</v>
      </c>
      <c r="O1868" s="2">
        <f ca="1"/>
        <v>0.71640830253788645</v>
      </c>
      <c r="X1868" s="2">
        <f ca="1"/>
        <v>53.491643840038883</v>
      </c>
      <c r="AG1868" s="2">
        <f ca="1"/>
        <v>0.29998578374511542</v>
      </c>
      <c r="AH1868" s="2" t="str">
        <f ca="1"/>
        <v>OK</v>
      </c>
    </row>
    <row r="1869" spans="2:34" x14ac:dyDescent="0.2">
      <c r="B1869" s="2">
        <f ca="1"/>
        <v>0.89774057810792329</v>
      </c>
      <c r="O1869" s="2">
        <f ca="1"/>
        <v>0.5751420973296627</v>
      </c>
      <c r="X1869" s="2">
        <f ca="1"/>
        <v>53.602880960044452</v>
      </c>
      <c r="AG1869" s="2">
        <f ca="1"/>
        <v>0.51270308089994376</v>
      </c>
      <c r="AH1869" s="2" t="str">
        <f ca="1"/>
        <v>Bad</v>
      </c>
    </row>
    <row r="1870" spans="2:34" x14ac:dyDescent="0.2">
      <c r="B1870" s="2">
        <f ca="1"/>
        <v>0.50230398913587204</v>
      </c>
      <c r="O1870" s="2">
        <f ca="1"/>
        <v>-0.34887005234078516</v>
      </c>
      <c r="X1870" s="2">
        <f ca="1"/>
        <v>38.915467756202759</v>
      </c>
      <c r="AG1870" s="2">
        <f ca="1"/>
        <v>0.4361014998061099</v>
      </c>
      <c r="AH1870" s="2" t="str">
        <f ca="1"/>
        <v>Bad</v>
      </c>
    </row>
    <row r="1871" spans="2:34" x14ac:dyDescent="0.2">
      <c r="B1871" s="2">
        <f ca="1"/>
        <v>0.71245518353723081</v>
      </c>
      <c r="O1871" s="2">
        <f ca="1"/>
        <v>0.91316352756557928</v>
      </c>
      <c r="X1871" s="2">
        <f ca="1"/>
        <v>45.627451514179917</v>
      </c>
      <c r="AG1871" s="2">
        <f ca="1"/>
        <v>0.79969572399256084</v>
      </c>
      <c r="AH1871" s="2" t="str">
        <f ca="1"/>
        <v>Bad</v>
      </c>
    </row>
    <row r="1872" spans="2:34" x14ac:dyDescent="0.2">
      <c r="B1872" s="2">
        <f ca="1"/>
        <v>0.37873270771392864</v>
      </c>
      <c r="O1872" s="2">
        <f ca="1"/>
        <v>0.94502979621871208</v>
      </c>
      <c r="X1872" s="2">
        <f ca="1"/>
        <v>43.602969964192397</v>
      </c>
      <c r="AG1872" s="2">
        <f ca="1"/>
        <v>0.6224869704753051</v>
      </c>
      <c r="AH1872" s="2" t="str">
        <f ca="1"/>
        <v>Bad</v>
      </c>
    </row>
    <row r="1873" spans="2:34" x14ac:dyDescent="0.2">
      <c r="B1873" s="2">
        <f ca="1"/>
        <v>0.31826737628107482</v>
      </c>
      <c r="O1873" s="2">
        <f ca="1"/>
        <v>-1.295310719086308</v>
      </c>
      <c r="X1873" s="2">
        <f ca="1"/>
        <v>54.05422395704278</v>
      </c>
      <c r="AG1873" s="2">
        <f ca="1"/>
        <v>1.1900698745890947E-2</v>
      </c>
      <c r="AH1873" s="2" t="str">
        <f ca="1"/>
        <v>Good</v>
      </c>
    </row>
    <row r="1874" spans="2:34" x14ac:dyDescent="0.2">
      <c r="B1874" s="2">
        <f ca="1"/>
        <v>3.9273942391839567E-2</v>
      </c>
      <c r="O1874" s="2">
        <f ca="1"/>
        <v>-0.9341131506114897</v>
      </c>
      <c r="X1874" s="2">
        <f ca="1"/>
        <v>41.428067256985997</v>
      </c>
      <c r="AG1874" s="2">
        <f ca="1"/>
        <v>0.55182713902904013</v>
      </c>
      <c r="AH1874" s="2" t="str">
        <f ca="1"/>
        <v>Bad</v>
      </c>
    </row>
    <row r="1875" spans="2:34" x14ac:dyDescent="0.2">
      <c r="B1875" s="2">
        <f ca="1"/>
        <v>0.70875907814422057</v>
      </c>
      <c r="O1875" s="2">
        <f ca="1"/>
        <v>-0.69090694613462944</v>
      </c>
      <c r="X1875" s="2">
        <f ca="1"/>
        <v>46.149081538381907</v>
      </c>
      <c r="AG1875" s="2">
        <f ca="1"/>
        <v>2.0051903452328101E-2</v>
      </c>
      <c r="AH1875" s="2" t="str">
        <f ca="1"/>
        <v>Good</v>
      </c>
    </row>
    <row r="1876" spans="2:34" x14ac:dyDescent="0.2">
      <c r="B1876" s="2">
        <f ca="1"/>
        <v>0.51053890641883148</v>
      </c>
      <c r="O1876" s="2">
        <f ca="1"/>
        <v>-0.57137907062920168</v>
      </c>
      <c r="X1876" s="2">
        <f ca="1"/>
        <v>37.376368769037718</v>
      </c>
      <c r="AG1876" s="2">
        <f ca="1"/>
        <v>0.24859172708672883</v>
      </c>
      <c r="AH1876" s="2" t="str">
        <f ca="1"/>
        <v>OK</v>
      </c>
    </row>
    <row r="1877" spans="2:34" x14ac:dyDescent="0.2">
      <c r="B1877" s="2">
        <f ca="1"/>
        <v>0.22913580398272315</v>
      </c>
      <c r="O1877" s="2">
        <f ca="1"/>
        <v>-1.5114082470224095</v>
      </c>
      <c r="X1877" s="2">
        <f ca="1"/>
        <v>47.408506574241081</v>
      </c>
      <c r="AG1877" s="2">
        <f ca="1"/>
        <v>0.69843850270031882</v>
      </c>
      <c r="AH1877" s="2" t="str">
        <f ca="1"/>
        <v>Bad</v>
      </c>
    </row>
    <row r="1878" spans="2:34" x14ac:dyDescent="0.2">
      <c r="B1878" s="2">
        <f ca="1"/>
        <v>0.75175514056805803</v>
      </c>
      <c r="O1878" s="2">
        <f ca="1"/>
        <v>-0.81120973324339307</v>
      </c>
      <c r="X1878" s="2">
        <f ca="1"/>
        <v>61.211139660026035</v>
      </c>
      <c r="AG1878" s="2">
        <f ca="1"/>
        <v>0.17262803268439453</v>
      </c>
      <c r="AH1878" s="2" t="str">
        <f ca="1"/>
        <v>OK</v>
      </c>
    </row>
    <row r="1879" spans="2:34" x14ac:dyDescent="0.2">
      <c r="B1879" s="2">
        <f ca="1"/>
        <v>0.14482799589367823</v>
      </c>
      <c r="O1879" s="2">
        <f ca="1"/>
        <v>-0.38211610347382169</v>
      </c>
      <c r="X1879" s="2">
        <f ca="1"/>
        <v>38.919227343709835</v>
      </c>
      <c r="AG1879" s="2">
        <f ca="1"/>
        <v>0.6731594160862433</v>
      </c>
      <c r="AH1879" s="2" t="str">
        <f ca="1"/>
        <v>Bad</v>
      </c>
    </row>
    <row r="1880" spans="2:34" x14ac:dyDescent="0.2">
      <c r="B1880" s="2">
        <f ca="1"/>
        <v>0.17171620254446185</v>
      </c>
      <c r="O1880" s="2">
        <f ca="1"/>
        <v>1.0092898468110887</v>
      </c>
      <c r="X1880" s="2">
        <f ca="1"/>
        <v>56.797908959548629</v>
      </c>
      <c r="AG1880" s="2">
        <f ca="1"/>
        <v>0.92624603190264554</v>
      </c>
      <c r="AH1880" s="2" t="str">
        <f ca="1"/>
        <v>Bad</v>
      </c>
    </row>
    <row r="1881" spans="2:34" x14ac:dyDescent="0.2">
      <c r="B1881" s="2">
        <f ca="1"/>
        <v>0.93750645635714025</v>
      </c>
      <c r="O1881" s="2">
        <f ca="1"/>
        <v>-7.6497136345549888E-2</v>
      </c>
      <c r="X1881" s="2">
        <f ca="1"/>
        <v>78.532499400868232</v>
      </c>
      <c r="AG1881" s="2">
        <f ca="1"/>
        <v>0.4302270645180799</v>
      </c>
      <c r="AH1881" s="2" t="str">
        <f ca="1"/>
        <v>Bad</v>
      </c>
    </row>
    <row r="1882" spans="2:34" x14ac:dyDescent="0.2">
      <c r="B1882" s="2">
        <f ca="1"/>
        <v>0.40027630313963414</v>
      </c>
      <c r="O1882" s="2">
        <f ca="1"/>
        <v>-0.11824790242697038</v>
      </c>
      <c r="X1882" s="2">
        <f ca="1"/>
        <v>64.191947312994444</v>
      </c>
      <c r="AG1882" s="2">
        <f ca="1"/>
        <v>0.35867942587039625</v>
      </c>
      <c r="AH1882" s="2" t="str">
        <f ca="1"/>
        <v>OK</v>
      </c>
    </row>
    <row r="1883" spans="2:34" x14ac:dyDescent="0.2">
      <c r="B1883" s="2">
        <f ca="1"/>
        <v>0.54564626124192928</v>
      </c>
      <c r="O1883" s="2">
        <f ca="1"/>
        <v>0.60603671292945416</v>
      </c>
      <c r="X1883" s="2">
        <f ca="1"/>
        <v>64.508335642666665</v>
      </c>
      <c r="AG1883" s="2">
        <f ca="1"/>
        <v>7.4753083485268101E-2</v>
      </c>
      <c r="AH1883" s="2" t="str">
        <f ca="1"/>
        <v>OK</v>
      </c>
    </row>
    <row r="1884" spans="2:34" x14ac:dyDescent="0.2">
      <c r="B1884" s="2">
        <f ca="1"/>
        <v>0.50704211565687696</v>
      </c>
      <c r="O1884" s="2">
        <f ca="1"/>
        <v>-0.12043395461749828</v>
      </c>
      <c r="X1884" s="2">
        <f ca="1"/>
        <v>53.893408074772005</v>
      </c>
      <c r="AG1884" s="2">
        <f ca="1"/>
        <v>0.79777880359537279</v>
      </c>
      <c r="AH1884" s="2" t="str">
        <f ca="1"/>
        <v>Bad</v>
      </c>
    </row>
    <row r="1885" spans="2:34" x14ac:dyDescent="0.2">
      <c r="B1885" s="2">
        <f ca="1"/>
        <v>0.12411728023349355</v>
      </c>
      <c r="O1885" s="2">
        <f ca="1"/>
        <v>-0.72131851398557301</v>
      </c>
      <c r="X1885" s="2">
        <f ca="1"/>
        <v>58.267117208241118</v>
      </c>
      <c r="AG1885" s="2">
        <f ca="1"/>
        <v>0.41622223544100789</v>
      </c>
      <c r="AH1885" s="2" t="str">
        <f ca="1"/>
        <v>Bad</v>
      </c>
    </row>
    <row r="1886" spans="2:34" x14ac:dyDescent="0.2">
      <c r="B1886" s="2">
        <f ca="1"/>
        <v>0.60828329211610543</v>
      </c>
      <c r="O1886" s="2">
        <f ca="1"/>
        <v>0.70290794454465477</v>
      </c>
      <c r="X1886" s="2">
        <f ca="1"/>
        <v>30.867470305307307</v>
      </c>
      <c r="AG1886" s="2">
        <f ca="1"/>
        <v>0.52042823833981822</v>
      </c>
      <c r="AH1886" s="2" t="str">
        <f ca="1"/>
        <v>Bad</v>
      </c>
    </row>
    <row r="1887" spans="2:34" x14ac:dyDescent="0.2">
      <c r="B1887" s="2">
        <f ca="1"/>
        <v>0.68311462071543461</v>
      </c>
      <c r="O1887" s="2">
        <f ca="1"/>
        <v>-2.3873883128181479</v>
      </c>
      <c r="X1887" s="2">
        <f ca="1"/>
        <v>67.961992888098763</v>
      </c>
      <c r="AG1887" s="2">
        <f ca="1"/>
        <v>0.89929054754982163</v>
      </c>
      <c r="AH1887" s="2" t="str">
        <f ca="1"/>
        <v>Bad</v>
      </c>
    </row>
    <row r="1888" spans="2:34" x14ac:dyDescent="0.2">
      <c r="B1888" s="2">
        <f ca="1"/>
        <v>0.53100389453337726</v>
      </c>
      <c r="O1888" s="2">
        <f ca="1"/>
        <v>0.97725411727164002</v>
      </c>
      <c r="X1888" s="2">
        <f ca="1"/>
        <v>49.088887760959345</v>
      </c>
      <c r="AG1888" s="2">
        <f ca="1"/>
        <v>0.86500232850428649</v>
      </c>
      <c r="AH1888" s="2" t="str">
        <f ca="1"/>
        <v>Bad</v>
      </c>
    </row>
    <row r="1889" spans="2:34" x14ac:dyDescent="0.2">
      <c r="B1889" s="2">
        <f ca="1"/>
        <v>9.0885941027972761E-2</v>
      </c>
      <c r="O1889" s="2">
        <f ca="1"/>
        <v>-0.50743404075173559</v>
      </c>
      <c r="X1889" s="2">
        <f ca="1"/>
        <v>62.272865104947172</v>
      </c>
      <c r="AG1889" s="2">
        <f ca="1"/>
        <v>0.77228660632349633</v>
      </c>
      <c r="AH1889" s="2" t="str">
        <f ca="1"/>
        <v>Bad</v>
      </c>
    </row>
    <row r="1890" spans="2:34" x14ac:dyDescent="0.2">
      <c r="B1890" s="2">
        <f ca="1"/>
        <v>0.70432017220873133</v>
      </c>
      <c r="O1890" s="2">
        <f ca="1"/>
        <v>-5.2676072785984969E-2</v>
      </c>
      <c r="X1890" s="2">
        <f ca="1"/>
        <v>36.838366545913161</v>
      </c>
      <c r="AG1890" s="2">
        <f ca="1"/>
        <v>0.89196593864181417</v>
      </c>
      <c r="AH1890" s="2" t="str">
        <f ca="1"/>
        <v>Bad</v>
      </c>
    </row>
    <row r="1891" spans="2:34" x14ac:dyDescent="0.2">
      <c r="B1891" s="2">
        <f ca="1"/>
        <v>0.80126812410902293</v>
      </c>
      <c r="O1891" s="2">
        <f ca="1"/>
        <v>-0.40796407605842838</v>
      </c>
      <c r="X1891" s="2">
        <f ca="1"/>
        <v>63.993341185807367</v>
      </c>
      <c r="AG1891" s="2">
        <f ca="1"/>
        <v>0.77912481848515802</v>
      </c>
      <c r="AH1891" s="2" t="str">
        <f ca="1"/>
        <v>Bad</v>
      </c>
    </row>
    <row r="1892" spans="2:34" x14ac:dyDescent="0.2">
      <c r="B1892" s="2">
        <f ca="1"/>
        <v>0.71289453053583318</v>
      </c>
      <c r="O1892" s="2">
        <f ca="1"/>
        <v>0.96442511136175313</v>
      </c>
      <c r="X1892" s="2">
        <f ca="1"/>
        <v>52.624493989271066</v>
      </c>
      <c r="AG1892" s="2">
        <f ca="1"/>
        <v>0.2513002639877111</v>
      </c>
      <c r="AH1892" s="2" t="str">
        <f ca="1"/>
        <v>OK</v>
      </c>
    </row>
    <row r="1893" spans="2:34" x14ac:dyDescent="0.2">
      <c r="B1893" s="2">
        <f ca="1"/>
        <v>0.33373264237125566</v>
      </c>
      <c r="O1893" s="2">
        <f ca="1"/>
        <v>-1.1289597206708493</v>
      </c>
      <c r="X1893" s="2">
        <f ca="1"/>
        <v>63.974066222264199</v>
      </c>
      <c r="AG1893" s="2">
        <f ca="1"/>
        <v>0.4013955681929795</v>
      </c>
      <c r="AH1893" s="2" t="str">
        <f ca="1"/>
        <v>Bad</v>
      </c>
    </row>
    <row r="1894" spans="2:34" x14ac:dyDescent="0.2">
      <c r="B1894" s="2">
        <f ca="1"/>
        <v>0.20242830930115518</v>
      </c>
      <c r="O1894" s="2">
        <f ca="1"/>
        <v>0.19458198553692135</v>
      </c>
      <c r="X1894" s="2">
        <f ca="1"/>
        <v>52.414091436457241</v>
      </c>
      <c r="AG1894" s="2">
        <f ca="1"/>
        <v>0.59006779246200258</v>
      </c>
      <c r="AH1894" s="2" t="str">
        <f ca="1"/>
        <v>Bad</v>
      </c>
    </row>
    <row r="1895" spans="2:34" x14ac:dyDescent="0.2">
      <c r="B1895" s="2">
        <f ca="1"/>
        <v>0.85553729105505627</v>
      </c>
      <c r="O1895" s="2">
        <f ca="1"/>
        <v>-1.0429380240706805</v>
      </c>
      <c r="X1895" s="2">
        <f ca="1"/>
        <v>47.976601949433409</v>
      </c>
      <c r="AG1895" s="2">
        <f ca="1"/>
        <v>0.10563646405579896</v>
      </c>
      <c r="AH1895" s="2" t="str">
        <f ca="1"/>
        <v>OK</v>
      </c>
    </row>
    <row r="1896" spans="2:34" x14ac:dyDescent="0.2">
      <c r="B1896" s="2">
        <f ca="1"/>
        <v>9.5536451285177071E-2</v>
      </c>
      <c r="O1896" s="2">
        <f ca="1"/>
        <v>-0.43895168844729093</v>
      </c>
      <c r="X1896" s="2">
        <f ca="1"/>
        <v>60.597709996784594</v>
      </c>
      <c r="AG1896" s="2">
        <f ca="1"/>
        <v>0.60799842699116136</v>
      </c>
      <c r="AH1896" s="2" t="str">
        <f ca="1"/>
        <v>Bad</v>
      </c>
    </row>
    <row r="1897" spans="2:34" x14ac:dyDescent="0.2">
      <c r="B1897" s="2">
        <f ca="1"/>
        <v>0.56595284189577955</v>
      </c>
      <c r="O1897" s="2">
        <f ca="1"/>
        <v>1.693071977313324</v>
      </c>
      <c r="X1897" s="2">
        <f ca="1"/>
        <v>55.919592355521182</v>
      </c>
      <c r="AG1897" s="2">
        <f ca="1"/>
        <v>0.46445123963990298</v>
      </c>
      <c r="AH1897" s="2" t="str">
        <f ca="1"/>
        <v>Bad</v>
      </c>
    </row>
    <row r="1898" spans="2:34" x14ac:dyDescent="0.2">
      <c r="B1898" s="2">
        <f ca="1"/>
        <v>0.43575414362256804</v>
      </c>
      <c r="O1898" s="2">
        <f ca="1"/>
        <v>-1.8365532883364601</v>
      </c>
      <c r="X1898" s="2">
        <f ca="1"/>
        <v>30.541120789485568</v>
      </c>
      <c r="AG1898" s="2">
        <f ca="1"/>
        <v>0.97909916837861588</v>
      </c>
      <c r="AH1898" s="2" t="str">
        <f ca="1"/>
        <v>Bad</v>
      </c>
    </row>
    <row r="1899" spans="2:34" x14ac:dyDescent="0.2">
      <c r="B1899" s="2">
        <f ca="1"/>
        <v>0.48683613279688664</v>
      </c>
      <c r="O1899" s="2">
        <f ca="1"/>
        <v>0.93901082133293934</v>
      </c>
      <c r="X1899" s="2">
        <f ca="1"/>
        <v>59.136627455016537</v>
      </c>
      <c r="AG1899" s="2">
        <f ca="1"/>
        <v>0.83850638074350914</v>
      </c>
      <c r="AH1899" s="2" t="str">
        <f ca="1"/>
        <v>Bad</v>
      </c>
    </row>
    <row r="1900" spans="2:34" x14ac:dyDescent="0.2">
      <c r="B1900" s="2">
        <f ca="1"/>
        <v>0.62444485528047822</v>
      </c>
      <c r="O1900" s="2">
        <f ca="1"/>
        <v>-1.3950024479661258</v>
      </c>
      <c r="X1900" s="2">
        <f ca="1"/>
        <v>10.603786916380917</v>
      </c>
      <c r="AG1900" s="2">
        <f ca="1"/>
        <v>0.20172991195841972</v>
      </c>
      <c r="AH1900" s="2" t="str">
        <f ca="1"/>
        <v>OK</v>
      </c>
    </row>
    <row r="1901" spans="2:34" x14ac:dyDescent="0.2">
      <c r="B1901" s="2">
        <f ca="1"/>
        <v>0.68546034190161209</v>
      </c>
      <c r="O1901" s="2">
        <f ca="1"/>
        <v>0.67597942830801117</v>
      </c>
      <c r="X1901" s="2">
        <f ca="1"/>
        <v>50.850953092054993</v>
      </c>
      <c r="AG1901" s="2">
        <f ca="1"/>
        <v>0.28412868082513021</v>
      </c>
      <c r="AH1901" s="2" t="str">
        <f ca="1"/>
        <v>OK</v>
      </c>
    </row>
    <row r="1902" spans="2:34" x14ac:dyDescent="0.2">
      <c r="B1902" s="2">
        <f ca="1"/>
        <v>0.10858221266626167</v>
      </c>
      <c r="O1902" s="2">
        <f ca="1"/>
        <v>-0.42855515151083873</v>
      </c>
      <c r="X1902" s="2">
        <f ca="1"/>
        <v>44.091804072772533</v>
      </c>
      <c r="AG1902" s="2">
        <f ca="1"/>
        <v>4.3437276742833264E-2</v>
      </c>
      <c r="AH1902" s="2" t="str">
        <f ca="1"/>
        <v>Good</v>
      </c>
    </row>
    <row r="1903" spans="2:34" x14ac:dyDescent="0.2">
      <c r="B1903" s="2">
        <f ca="1"/>
        <v>0.91248513595756608</v>
      </c>
      <c r="O1903" s="2">
        <f ca="1"/>
        <v>-0.2526077251249928</v>
      </c>
      <c r="X1903" s="2">
        <f ca="1"/>
        <v>29.147627606495981</v>
      </c>
      <c r="AG1903" s="2">
        <f ca="1"/>
        <v>0.8013229333626104</v>
      </c>
      <c r="AH1903" s="2" t="str">
        <f ca="1"/>
        <v>Bad</v>
      </c>
    </row>
    <row r="1904" spans="2:34" x14ac:dyDescent="0.2">
      <c r="B1904" s="2">
        <f ca="1"/>
        <v>0.42874899909620834</v>
      </c>
      <c r="O1904" s="2">
        <f ca="1"/>
        <v>-1.5280094476952861</v>
      </c>
      <c r="X1904" s="2">
        <f ca="1"/>
        <v>83.808300278249874</v>
      </c>
      <c r="AG1904" s="2">
        <f ca="1"/>
        <v>0.9635708892227477</v>
      </c>
      <c r="AH1904" s="2" t="str">
        <f ca="1"/>
        <v>Bad</v>
      </c>
    </row>
    <row r="1905" spans="2:34" x14ac:dyDescent="0.2">
      <c r="B1905" s="2">
        <f ca="1"/>
        <v>0.76457618881560463</v>
      </c>
      <c r="O1905" s="2">
        <f ca="1"/>
        <v>-1.1529925558758136</v>
      </c>
      <c r="X1905" s="2">
        <f ca="1"/>
        <v>39.524205372509336</v>
      </c>
      <c r="AG1905" s="2">
        <f ca="1"/>
        <v>0.33609838563436067</v>
      </c>
      <c r="AH1905" s="2" t="str">
        <f ca="1"/>
        <v>OK</v>
      </c>
    </row>
    <row r="1906" spans="2:34" x14ac:dyDescent="0.2">
      <c r="B1906" s="2">
        <f ca="1"/>
        <v>0.10259777794915226</v>
      </c>
      <c r="O1906" s="2">
        <f ca="1"/>
        <v>0.27628357793748992</v>
      </c>
      <c r="X1906" s="2">
        <f ca="1"/>
        <v>46.363862381129614</v>
      </c>
      <c r="AG1906" s="2">
        <f ca="1"/>
        <v>4.0407967481351337E-2</v>
      </c>
      <c r="AH1906" s="2" t="str">
        <f ca="1"/>
        <v>Good</v>
      </c>
    </row>
    <row r="1907" spans="2:34" x14ac:dyDescent="0.2">
      <c r="B1907" s="2">
        <f ca="1"/>
        <v>0.68168127286206892</v>
      </c>
      <c r="O1907" s="2">
        <f ca="1"/>
        <v>0.57477930551162504</v>
      </c>
      <c r="X1907" s="2">
        <f ca="1"/>
        <v>64.278651059650031</v>
      </c>
      <c r="AG1907" s="2">
        <f ca="1"/>
        <v>0.31142849851061083</v>
      </c>
      <c r="AH1907" s="2" t="str">
        <f ca="1"/>
        <v>OK</v>
      </c>
    </row>
    <row r="1908" spans="2:34" x14ac:dyDescent="0.2">
      <c r="B1908" s="2">
        <f ca="1"/>
        <v>0.62518610110438022</v>
      </c>
      <c r="O1908" s="2">
        <f ca="1"/>
        <v>0.17617654779016453</v>
      </c>
      <c r="X1908" s="2">
        <f ca="1"/>
        <v>52.240644654839308</v>
      </c>
      <c r="AG1908" s="2">
        <f ca="1"/>
        <v>0.34236513902457055</v>
      </c>
      <c r="AH1908" s="2" t="str">
        <f ca="1"/>
        <v>OK</v>
      </c>
    </row>
    <row r="1909" spans="2:34" x14ac:dyDescent="0.2">
      <c r="B1909" s="2">
        <f ca="1"/>
        <v>0.3906420048505721</v>
      </c>
      <c r="O1909" s="2">
        <f ca="1"/>
        <v>0.75915198360674974</v>
      </c>
      <c r="X1909" s="2">
        <f ca="1"/>
        <v>33.77150666735804</v>
      </c>
      <c r="AG1909" s="2">
        <f ca="1"/>
        <v>0.9487380579375404</v>
      </c>
      <c r="AH1909" s="2" t="str">
        <f ca="1"/>
        <v>Bad</v>
      </c>
    </row>
    <row r="1910" spans="2:34" x14ac:dyDescent="0.2">
      <c r="B1910" s="2">
        <f ca="1"/>
        <v>0.64067496505014776</v>
      </c>
      <c r="O1910" s="2">
        <f ca="1"/>
        <v>-0.56136964510371412</v>
      </c>
      <c r="X1910" s="2">
        <f ca="1"/>
        <v>54.653713142493068</v>
      </c>
      <c r="AG1910" s="2">
        <f ca="1"/>
        <v>0.89363097898498234</v>
      </c>
      <c r="AH1910" s="2" t="str">
        <f ca="1"/>
        <v>Bad</v>
      </c>
    </row>
    <row r="1911" spans="2:34" x14ac:dyDescent="0.2">
      <c r="B1911" s="2">
        <f ca="1"/>
        <v>0.34733156812536459</v>
      </c>
      <c r="O1911" s="2">
        <f ca="1"/>
        <v>1.5109176351991913</v>
      </c>
      <c r="X1911" s="2">
        <f ca="1"/>
        <v>31.459406256149613</v>
      </c>
      <c r="AG1911" s="2">
        <f ca="1"/>
        <v>0.69596726953730337</v>
      </c>
      <c r="AH1911" s="2" t="str">
        <f ca="1"/>
        <v>Bad</v>
      </c>
    </row>
    <row r="1912" spans="2:34" x14ac:dyDescent="0.2">
      <c r="B1912" s="2">
        <f ca="1"/>
        <v>0.83860069583370334</v>
      </c>
      <c r="O1912" s="2">
        <f ca="1"/>
        <v>-0.37398986138534063</v>
      </c>
      <c r="X1912" s="2">
        <f ca="1"/>
        <v>40.624845434732265</v>
      </c>
      <c r="AG1912" s="2">
        <f ca="1"/>
        <v>0.52401100942457557</v>
      </c>
      <c r="AH1912" s="2" t="str">
        <f ca="1"/>
        <v>Bad</v>
      </c>
    </row>
    <row r="1913" spans="2:34" x14ac:dyDescent="0.2">
      <c r="B1913" s="2">
        <f ca="1"/>
        <v>0.11397119973937331</v>
      </c>
      <c r="O1913" s="2">
        <f ca="1"/>
        <v>-2.2033841683381157</v>
      </c>
      <c r="X1913" s="2">
        <f ca="1"/>
        <v>39.089144548246367</v>
      </c>
      <c r="AG1913" s="2">
        <f ca="1"/>
        <v>0.21294794663202943</v>
      </c>
      <c r="AH1913" s="2" t="str">
        <f ca="1"/>
        <v>OK</v>
      </c>
    </row>
    <row r="1914" spans="2:34" x14ac:dyDescent="0.2">
      <c r="B1914" s="2">
        <f ca="1"/>
        <v>0.36562372272762356</v>
      </c>
      <c r="O1914" s="2">
        <f ca="1"/>
        <v>0.25876935834707693</v>
      </c>
      <c r="X1914" s="2">
        <f ca="1"/>
        <v>28.257970889827956</v>
      </c>
      <c r="AG1914" s="2">
        <f ca="1"/>
        <v>0.74555096760249184</v>
      </c>
      <c r="AH1914" s="2" t="str">
        <f ca="1"/>
        <v>Bad</v>
      </c>
    </row>
    <row r="1915" spans="2:34" x14ac:dyDescent="0.2">
      <c r="B1915" s="2">
        <f ca="1"/>
        <v>0.40576432926943151</v>
      </c>
      <c r="O1915" s="2">
        <f ca="1"/>
        <v>-0.36611285416736017</v>
      </c>
      <c r="X1915" s="2">
        <f ca="1"/>
        <v>59.55188091217849</v>
      </c>
      <c r="AG1915" s="2">
        <f ca="1"/>
        <v>0.21943703266661108</v>
      </c>
      <c r="AH1915" s="2" t="str">
        <f ca="1"/>
        <v>OK</v>
      </c>
    </row>
    <row r="1916" spans="2:34" x14ac:dyDescent="0.2">
      <c r="B1916" s="2">
        <f ca="1"/>
        <v>8.8990658646644238E-2</v>
      </c>
      <c r="O1916" s="2">
        <f ca="1"/>
        <v>-1.2867378896697981</v>
      </c>
      <c r="X1916" s="2">
        <f ca="1"/>
        <v>55.836672340324441</v>
      </c>
      <c r="AG1916" s="2">
        <f ca="1"/>
        <v>0.74432255305041273</v>
      </c>
      <c r="AH1916" s="2" t="str">
        <f ca="1"/>
        <v>Bad</v>
      </c>
    </row>
    <row r="1917" spans="2:34" x14ac:dyDescent="0.2">
      <c r="B1917" s="2">
        <f ca="1"/>
        <v>0.25534670260786041</v>
      </c>
      <c r="O1917" s="2">
        <f ca="1"/>
        <v>0.36120296815770858</v>
      </c>
      <c r="X1917" s="2">
        <f ca="1"/>
        <v>52.643875440490888</v>
      </c>
      <c r="AG1917" s="2">
        <f ca="1"/>
        <v>0.32210929284663115</v>
      </c>
      <c r="AH1917" s="2" t="str">
        <f ca="1"/>
        <v>OK</v>
      </c>
    </row>
    <row r="1918" spans="2:34" x14ac:dyDescent="0.2">
      <c r="B1918" s="2">
        <f ca="1"/>
        <v>0.23307367688904512</v>
      </c>
      <c r="O1918" s="2">
        <f ca="1"/>
        <v>-0.90210735685707089</v>
      </c>
      <c r="X1918" s="2">
        <f ca="1"/>
        <v>39.349520288858415</v>
      </c>
      <c r="AG1918" s="2">
        <f ca="1"/>
        <v>0.29138904261397469</v>
      </c>
      <c r="AH1918" s="2" t="str">
        <f ca="1"/>
        <v>OK</v>
      </c>
    </row>
    <row r="1919" spans="2:34" x14ac:dyDescent="0.2">
      <c r="B1919" s="2">
        <f ca="1"/>
        <v>0.5442613807361032</v>
      </c>
      <c r="O1919" s="2">
        <f ca="1"/>
        <v>-0.55266862697858921</v>
      </c>
      <c r="X1919" s="2">
        <f ca="1"/>
        <v>41.722332846800953</v>
      </c>
      <c r="AG1919" s="2">
        <f ca="1"/>
        <v>0.33163795787769534</v>
      </c>
      <c r="AH1919" s="2" t="str">
        <f ca="1"/>
        <v>OK</v>
      </c>
    </row>
    <row r="1920" spans="2:34" x14ac:dyDescent="0.2">
      <c r="B1920" s="2">
        <f ca="1"/>
        <v>0.92287571044314198</v>
      </c>
      <c r="O1920" s="2">
        <f ca="1"/>
        <v>1.0796102684431195</v>
      </c>
      <c r="X1920" s="2">
        <f ca="1"/>
        <v>51.284979591029575</v>
      </c>
      <c r="AG1920" s="2">
        <f ca="1"/>
        <v>0.75662576538560544</v>
      </c>
      <c r="AH1920" s="2" t="str">
        <f ca="1"/>
        <v>Bad</v>
      </c>
    </row>
    <row r="1921" spans="2:34" x14ac:dyDescent="0.2">
      <c r="B1921" s="2">
        <f ca="1"/>
        <v>0.13828563491283519</v>
      </c>
      <c r="O1921" s="2">
        <f ca="1"/>
        <v>-0.77815644496910485</v>
      </c>
      <c r="X1921" s="2">
        <f ca="1"/>
        <v>38.24324079126896</v>
      </c>
      <c r="AG1921" s="2">
        <f ca="1"/>
        <v>0.2514408864741271</v>
      </c>
      <c r="AH1921" s="2" t="str">
        <f ca="1"/>
        <v>OK</v>
      </c>
    </row>
    <row r="1922" spans="2:34" x14ac:dyDescent="0.2">
      <c r="B1922" s="2">
        <f ca="1"/>
        <v>0.56784834734133183</v>
      </c>
      <c r="O1922" s="2">
        <f ca="1"/>
        <v>-1.046213637597442</v>
      </c>
      <c r="X1922" s="2">
        <f ca="1"/>
        <v>46.025713185204253</v>
      </c>
      <c r="AG1922" s="2">
        <f ca="1"/>
        <v>0.66895075906984469</v>
      </c>
      <c r="AH1922" s="2" t="str">
        <f ca="1"/>
        <v>Bad</v>
      </c>
    </row>
    <row r="1923" spans="2:34" x14ac:dyDescent="0.2">
      <c r="B1923" s="2">
        <f ca="1"/>
        <v>0.86096780651996041</v>
      </c>
      <c r="O1923" s="2">
        <f ca="1"/>
        <v>-1.2147253304670498</v>
      </c>
      <c r="X1923" s="2">
        <f ca="1"/>
        <v>67.622691634864523</v>
      </c>
      <c r="AG1923" s="2">
        <f ca="1"/>
        <v>0.47476438719836112</v>
      </c>
      <c r="AH1923" s="2" t="str">
        <f ca="1"/>
        <v>Bad</v>
      </c>
    </row>
    <row r="1924" spans="2:34" x14ac:dyDescent="0.2">
      <c r="B1924" s="2">
        <f ca="1"/>
        <v>2.9044287663676505E-2</v>
      </c>
      <c r="O1924" s="2">
        <f ca="1"/>
        <v>-0.70713536484359629</v>
      </c>
      <c r="X1924" s="2">
        <f ca="1"/>
        <v>30.836510266742877</v>
      </c>
      <c r="AG1924" s="2">
        <f ca="1"/>
        <v>0.61295478806749326</v>
      </c>
      <c r="AH1924" s="2" t="str">
        <f ca="1"/>
        <v>Bad</v>
      </c>
    </row>
    <row r="1925" spans="2:34" x14ac:dyDescent="0.2">
      <c r="B1925" s="2">
        <f ca="1"/>
        <v>0.19971409876235091</v>
      </c>
      <c r="O1925" s="2">
        <f ca="1"/>
        <v>-1.2658181967713478</v>
      </c>
      <c r="X1925" s="2">
        <f ca="1"/>
        <v>54.551290695825216</v>
      </c>
      <c r="AG1925" s="2">
        <f ca="1"/>
        <v>0.13582727533528827</v>
      </c>
      <c r="AH1925" s="2" t="str">
        <f ca="1"/>
        <v>OK</v>
      </c>
    </row>
    <row r="1926" spans="2:34" x14ac:dyDescent="0.2">
      <c r="B1926" s="2">
        <f ca="1"/>
        <v>0.16652430395248374</v>
      </c>
      <c r="O1926" s="2">
        <f ca="1"/>
        <v>0.62915225341951364</v>
      </c>
      <c r="X1926" s="2">
        <f ca="1"/>
        <v>50.414969287637355</v>
      </c>
      <c r="AG1926" s="2">
        <f ca="1"/>
        <v>0.85604403302767484</v>
      </c>
      <c r="AH1926" s="2" t="str">
        <f ca="1"/>
        <v>Bad</v>
      </c>
    </row>
    <row r="1927" spans="2:34" x14ac:dyDescent="0.2">
      <c r="B1927" s="2">
        <f ca="1"/>
        <v>6.6653346408862557E-2</v>
      </c>
      <c r="O1927" s="2">
        <f ca="1"/>
        <v>0.75275976696525249</v>
      </c>
      <c r="X1927" s="2">
        <f ca="1"/>
        <v>35.099838881981306</v>
      </c>
      <c r="AG1927" s="2">
        <f ca="1"/>
        <v>0.95784105831636035</v>
      </c>
      <c r="AH1927" s="2" t="str">
        <f ca="1"/>
        <v>Bad</v>
      </c>
    </row>
    <row r="1928" spans="2:34" x14ac:dyDescent="0.2">
      <c r="B1928" s="2">
        <f ca="1"/>
        <v>0.60684382823274641</v>
      </c>
      <c r="O1928" s="2">
        <f ca="1"/>
        <v>1.0735526462584097</v>
      </c>
      <c r="X1928" s="2">
        <f ca="1"/>
        <v>26.04118253188172</v>
      </c>
      <c r="AG1928" s="2">
        <f ca="1"/>
        <v>0.1391412264917451</v>
      </c>
      <c r="AH1928" s="2" t="str">
        <f ca="1"/>
        <v>OK</v>
      </c>
    </row>
    <row r="1929" spans="2:34" x14ac:dyDescent="0.2">
      <c r="B1929" s="2">
        <f ca="1"/>
        <v>0.57817352143520839</v>
      </c>
      <c r="O1929" s="2">
        <f ca="1"/>
        <v>2.7590580520743771E-2</v>
      </c>
      <c r="X1929" s="2">
        <f ca="1"/>
        <v>45.552100210584747</v>
      </c>
      <c r="AG1929" s="2">
        <f ca="1"/>
        <v>0.78761534474838846</v>
      </c>
      <c r="AH1929" s="2" t="str">
        <f ca="1"/>
        <v>Bad</v>
      </c>
    </row>
    <row r="1930" spans="2:34" x14ac:dyDescent="0.2">
      <c r="B1930" s="2">
        <f ca="1"/>
        <v>0.40858734213560788</v>
      </c>
      <c r="O1930" s="2">
        <f ca="1"/>
        <v>0.38813383939151624</v>
      </c>
      <c r="X1930" s="2">
        <f ca="1"/>
        <v>68.190015745337561</v>
      </c>
      <c r="AG1930" s="2">
        <f ca="1"/>
        <v>0.67182533930521848</v>
      </c>
      <c r="AH1930" s="2" t="str">
        <f ca="1"/>
        <v>Bad</v>
      </c>
    </row>
    <row r="1931" spans="2:34" x14ac:dyDescent="0.2">
      <c r="B1931" s="2">
        <f ca="1"/>
        <v>0.49548615007546926</v>
      </c>
      <c r="O1931" s="2">
        <f ca="1"/>
        <v>0.509398679639957</v>
      </c>
      <c r="X1931" s="2">
        <f ca="1"/>
        <v>43.330810007155407</v>
      </c>
      <c r="AG1931" s="2">
        <f ca="1"/>
        <v>0.43398883972529445</v>
      </c>
      <c r="AH1931" s="2" t="str">
        <f ca="1"/>
        <v>Bad</v>
      </c>
    </row>
    <row r="1932" spans="2:34" x14ac:dyDescent="0.2">
      <c r="B1932" s="2">
        <f ca="1"/>
        <v>1.8788996811055503E-2</v>
      </c>
      <c r="O1932" s="2">
        <f ca="1"/>
        <v>-0.90810305845473804</v>
      </c>
      <c r="X1932" s="2">
        <f ca="1"/>
        <v>65.188619562281744</v>
      </c>
      <c r="AG1932" s="2">
        <f ca="1"/>
        <v>0.78371046969500346</v>
      </c>
      <c r="AH1932" s="2" t="str">
        <f ca="1"/>
        <v>Bad</v>
      </c>
    </row>
    <row r="1933" spans="2:34" x14ac:dyDescent="0.2">
      <c r="B1933" s="2">
        <f ca="1"/>
        <v>0.62562982199672668</v>
      </c>
      <c r="O1933" s="2">
        <f ca="1"/>
        <v>0.21269067506663319</v>
      </c>
      <c r="X1933" s="2">
        <f ca="1"/>
        <v>60.297588245255305</v>
      </c>
      <c r="AG1933" s="2">
        <f ca="1"/>
        <v>0.83854699467948435</v>
      </c>
      <c r="AH1933" s="2" t="str">
        <f ca="1"/>
        <v>Bad</v>
      </c>
    </row>
    <row r="1934" spans="2:34" x14ac:dyDescent="0.2">
      <c r="B1934" s="2">
        <f ca="1"/>
        <v>0.52006606326463589</v>
      </c>
      <c r="O1934" s="2">
        <f ca="1"/>
        <v>-0.92139732094705495</v>
      </c>
      <c r="X1934" s="2">
        <f ca="1"/>
        <v>39.725674652766102</v>
      </c>
      <c r="AG1934" s="2">
        <f ca="1"/>
        <v>0.40677952479723123</v>
      </c>
      <c r="AH1934" s="2" t="str">
        <f ca="1"/>
        <v>Bad</v>
      </c>
    </row>
    <row r="1935" spans="2:34" x14ac:dyDescent="0.2">
      <c r="B1935" s="2">
        <f ca="1"/>
        <v>0.46139264313449924</v>
      </c>
      <c r="O1935" s="2">
        <f ca="1"/>
        <v>-0.52902102367259896</v>
      </c>
      <c r="X1935" s="2">
        <f ca="1"/>
        <v>44.048123524818152</v>
      </c>
      <c r="AG1935" s="2">
        <f ca="1"/>
        <v>0.74727984726642727</v>
      </c>
      <c r="AH1935" s="2" t="str">
        <f ca="1"/>
        <v>Bad</v>
      </c>
    </row>
    <row r="1936" spans="2:34" x14ac:dyDescent="0.2">
      <c r="B1936" s="2">
        <f ca="1"/>
        <v>0.20586614417522831</v>
      </c>
      <c r="O1936" s="2">
        <f ca="1"/>
        <v>1.1502643215535244</v>
      </c>
      <c r="X1936" s="2">
        <f ca="1"/>
        <v>38.840768736220205</v>
      </c>
      <c r="AG1936" s="2">
        <f ca="1"/>
        <v>0.84380489815744819</v>
      </c>
      <c r="AH1936" s="2" t="str">
        <f ca="1"/>
        <v>Bad</v>
      </c>
    </row>
    <row r="1937" spans="2:34" x14ac:dyDescent="0.2">
      <c r="B1937" s="2">
        <f ca="1"/>
        <v>0.47639608967598002</v>
      </c>
      <c r="O1937" s="2">
        <f ca="1"/>
        <v>1.321247559721475</v>
      </c>
      <c r="X1937" s="2">
        <f ca="1"/>
        <v>54.42102318209588</v>
      </c>
      <c r="AG1937" s="2">
        <f ca="1"/>
        <v>0.75817572208211725</v>
      </c>
      <c r="AH1937" s="2" t="str">
        <f ca="1"/>
        <v>Bad</v>
      </c>
    </row>
    <row r="1938" spans="2:34" x14ac:dyDescent="0.2">
      <c r="B1938" s="2">
        <f ca="1"/>
        <v>0.12596265227657644</v>
      </c>
      <c r="O1938" s="2">
        <f ca="1"/>
        <v>0.77731628775361694</v>
      </c>
      <c r="X1938" s="2">
        <f ca="1"/>
        <v>44.048289617952875</v>
      </c>
      <c r="AG1938" s="2">
        <f ca="1"/>
        <v>0.42315770495771954</v>
      </c>
      <c r="AH1938" s="2" t="str">
        <f ca="1"/>
        <v>Bad</v>
      </c>
    </row>
    <row r="1939" spans="2:34" x14ac:dyDescent="0.2">
      <c r="B1939" s="2">
        <f ca="1"/>
        <v>0.38057919307087329</v>
      </c>
      <c r="O1939" s="2">
        <f ca="1"/>
        <v>-0.25874805468903161</v>
      </c>
      <c r="X1939" s="2">
        <f ca="1"/>
        <v>47.443269342280416</v>
      </c>
      <c r="AG1939" s="2">
        <f ca="1"/>
        <v>0.88903399463779764</v>
      </c>
      <c r="AH1939" s="2" t="str">
        <f ca="1"/>
        <v>Bad</v>
      </c>
    </row>
    <row r="1940" spans="2:34" x14ac:dyDescent="0.2">
      <c r="B1940" s="2">
        <f ca="1"/>
        <v>0.95474324351169937</v>
      </c>
      <c r="O1940" s="2">
        <f ca="1"/>
        <v>-0.81020125846516755</v>
      </c>
      <c r="X1940" s="2">
        <f ca="1"/>
        <v>46.805924428726051</v>
      </c>
      <c r="AG1940" s="2">
        <f ca="1"/>
        <v>0.29937665815418657</v>
      </c>
      <c r="AH1940" s="2" t="str">
        <f ca="1"/>
        <v>OK</v>
      </c>
    </row>
    <row r="1941" spans="2:34" x14ac:dyDescent="0.2">
      <c r="B1941" s="2">
        <f ca="1"/>
        <v>0.75890055700283665</v>
      </c>
      <c r="O1941" s="2">
        <f ca="1"/>
        <v>0.19659704160526287</v>
      </c>
      <c r="X1941" s="2">
        <f ca="1"/>
        <v>34.944676792456747</v>
      </c>
      <c r="AG1941" s="2">
        <f ca="1"/>
        <v>9.6790951940929348E-2</v>
      </c>
      <c r="AH1941" s="2" t="str">
        <f ca="1"/>
        <v>OK</v>
      </c>
    </row>
    <row r="1942" spans="2:34" x14ac:dyDescent="0.2">
      <c r="B1942" s="2">
        <f ca="1"/>
        <v>0.11458583140127088</v>
      </c>
      <c r="O1942" s="2">
        <f ca="1"/>
        <v>0.59186386602966889</v>
      </c>
      <c r="X1942" s="2">
        <f ca="1"/>
        <v>36.850626132130031</v>
      </c>
      <c r="AG1942" s="2">
        <f ca="1"/>
        <v>0.52986932918991947</v>
      </c>
      <c r="AH1942" s="2" t="str">
        <f ca="1"/>
        <v>Bad</v>
      </c>
    </row>
    <row r="1943" spans="2:34" x14ac:dyDescent="0.2">
      <c r="B1943" s="2">
        <f ca="1"/>
        <v>0.71733808002649369</v>
      </c>
      <c r="O1943" s="2">
        <f ca="1"/>
        <v>0.7298979628094614</v>
      </c>
      <c r="X1943" s="2">
        <f ca="1"/>
        <v>71.913290361031116</v>
      </c>
      <c r="AG1943" s="2">
        <f ca="1"/>
        <v>0.95961827775882513</v>
      </c>
      <c r="AH1943" s="2" t="str">
        <f ca="1"/>
        <v>Bad</v>
      </c>
    </row>
    <row r="1944" spans="2:34" x14ac:dyDescent="0.2">
      <c r="B1944" s="2">
        <f ca="1"/>
        <v>0.37753329564963467</v>
      </c>
      <c r="O1944" s="2">
        <f ca="1"/>
        <v>2.9879430322952945</v>
      </c>
      <c r="X1944" s="2">
        <f ca="1"/>
        <v>86.797359509797957</v>
      </c>
      <c r="AG1944" s="2">
        <f ca="1"/>
        <v>0.2132168857866108</v>
      </c>
      <c r="AH1944" s="2" t="str">
        <f ca="1"/>
        <v>OK</v>
      </c>
    </row>
    <row r="1945" spans="2:34" x14ac:dyDescent="0.2">
      <c r="B1945" s="2">
        <f ca="1"/>
        <v>0.30877028726945532</v>
      </c>
      <c r="O1945" s="2">
        <f ca="1"/>
        <v>1.1906176643837403</v>
      </c>
      <c r="X1945" s="2">
        <f ca="1"/>
        <v>48.218696634620599</v>
      </c>
      <c r="AG1945" s="2">
        <f ca="1"/>
        <v>0.5478921207851104</v>
      </c>
      <c r="AH1945" s="2" t="str">
        <f ca="1"/>
        <v>Bad</v>
      </c>
    </row>
    <row r="1946" spans="2:34" x14ac:dyDescent="0.2">
      <c r="B1946" s="2">
        <f ca="1"/>
        <v>0.13617681929850867</v>
      </c>
      <c r="O1946" s="2">
        <f ca="1"/>
        <v>3.21531165776014E-2</v>
      </c>
      <c r="X1946" s="2">
        <f ca="1"/>
        <v>35.76986240433488</v>
      </c>
      <c r="AG1946" s="2">
        <f ca="1"/>
        <v>0.68489404932458808</v>
      </c>
      <c r="AH1946" s="2" t="str">
        <f ca="1"/>
        <v>Bad</v>
      </c>
    </row>
    <row r="1947" spans="2:34" x14ac:dyDescent="0.2">
      <c r="B1947" s="2">
        <f ca="1"/>
        <v>0.54527507316276824</v>
      </c>
      <c r="O1947" s="2">
        <f ca="1"/>
        <v>-0.56739976807331272</v>
      </c>
      <c r="X1947" s="2">
        <f ca="1"/>
        <v>30.699049214573286</v>
      </c>
      <c r="AG1947" s="2">
        <f ca="1"/>
        <v>0.20586443305144142</v>
      </c>
      <c r="AH1947" s="2" t="str">
        <f ca="1"/>
        <v>OK</v>
      </c>
    </row>
    <row r="1948" spans="2:34" x14ac:dyDescent="0.2">
      <c r="B1948" s="2">
        <f ca="1"/>
        <v>0.87136031078676202</v>
      </c>
      <c r="O1948" s="2">
        <f ca="1"/>
        <v>-0.10197986693770086</v>
      </c>
      <c r="X1948" s="2">
        <f ca="1"/>
        <v>51.582879344472431</v>
      </c>
      <c r="AG1948" s="2">
        <f ca="1"/>
        <v>0.66445550256951447</v>
      </c>
      <c r="AH1948" s="2" t="str">
        <f ca="1"/>
        <v>Bad</v>
      </c>
    </row>
    <row r="1949" spans="2:34" x14ac:dyDescent="0.2">
      <c r="B1949" s="2">
        <f ca="1"/>
        <v>0.59094210763748412</v>
      </c>
      <c r="O1949" s="2">
        <f ca="1"/>
        <v>0.92892974987832866</v>
      </c>
      <c r="X1949" s="2">
        <f ca="1"/>
        <v>45.937841063131742</v>
      </c>
      <c r="AG1949" s="2">
        <f ca="1"/>
        <v>0.53105666703029475</v>
      </c>
      <c r="AH1949" s="2" t="str">
        <f ca="1"/>
        <v>Bad</v>
      </c>
    </row>
    <row r="1950" spans="2:34" x14ac:dyDescent="0.2">
      <c r="B1950" s="2">
        <f ca="1"/>
        <v>0.49828099276695137</v>
      </c>
      <c r="O1950" s="2">
        <f ca="1"/>
        <v>0.71112841071726018</v>
      </c>
      <c r="X1950" s="2">
        <f ca="1"/>
        <v>30.893529498288469</v>
      </c>
      <c r="AG1950" s="2">
        <f ca="1"/>
        <v>0.72271457205853507</v>
      </c>
      <c r="AH1950" s="2" t="str">
        <f ca="1"/>
        <v>Bad</v>
      </c>
    </row>
    <row r="1951" spans="2:34" x14ac:dyDescent="0.2">
      <c r="B1951" s="2">
        <f ca="1"/>
        <v>0.74311636101526291</v>
      </c>
      <c r="O1951" s="2">
        <f ca="1"/>
        <v>-0.91948989719097651</v>
      </c>
      <c r="X1951" s="2">
        <f ca="1"/>
        <v>44.21556522326847</v>
      </c>
      <c r="AG1951" s="2">
        <f ca="1"/>
        <v>0.11794841878863349</v>
      </c>
      <c r="AH1951" s="2" t="str">
        <f ca="1"/>
        <v>OK</v>
      </c>
    </row>
    <row r="1952" spans="2:34" x14ac:dyDescent="0.2">
      <c r="B1952" s="2">
        <f ca="1"/>
        <v>0.19325984897439707</v>
      </c>
      <c r="O1952" s="2">
        <f ca="1"/>
        <v>0.49239079718856921</v>
      </c>
      <c r="X1952" s="2">
        <f ca="1"/>
        <v>42.175093374621547</v>
      </c>
      <c r="AG1952" s="2">
        <f ca="1"/>
        <v>0.82971653595817041</v>
      </c>
      <c r="AH1952" s="2" t="str">
        <f ca="1"/>
        <v>Bad</v>
      </c>
    </row>
    <row r="1953" spans="2:34" x14ac:dyDescent="0.2">
      <c r="B1953" s="2">
        <f ca="1"/>
        <v>0.44433791860185123</v>
      </c>
      <c r="O1953" s="2">
        <f ca="1"/>
        <v>0.68905342848483797</v>
      </c>
      <c r="X1953" s="2">
        <f ca="1"/>
        <v>28.701438798133655</v>
      </c>
      <c r="AG1953" s="2">
        <f ca="1"/>
        <v>0.28540754689718728</v>
      </c>
      <c r="AH1953" s="2" t="str">
        <f ca="1"/>
        <v>OK</v>
      </c>
    </row>
    <row r="1954" spans="2:34" x14ac:dyDescent="0.2">
      <c r="B1954" s="2">
        <f ca="1"/>
        <v>8.1521981603852156E-2</v>
      </c>
      <c r="O1954" s="2">
        <f ca="1"/>
        <v>0.91935818369487032</v>
      </c>
      <c r="X1954" s="2">
        <f ca="1"/>
        <v>44.422541653168025</v>
      </c>
      <c r="AG1954" s="2">
        <f ca="1"/>
        <v>0.94206580528614459</v>
      </c>
      <c r="AH1954" s="2" t="str">
        <f ca="1"/>
        <v>Bad</v>
      </c>
    </row>
    <row r="1955" spans="2:34" x14ac:dyDescent="0.2">
      <c r="B1955" s="2">
        <f ca="1"/>
        <v>1.977393885715184E-2</v>
      </c>
      <c r="O1955" s="2">
        <f ca="1"/>
        <v>3.5925057816242133E-2</v>
      </c>
      <c r="X1955" s="2">
        <f ca="1"/>
        <v>29.090487460703901</v>
      </c>
      <c r="AG1955" s="2">
        <f ca="1"/>
        <v>0.17536998783385815</v>
      </c>
      <c r="AH1955" s="2" t="str">
        <f ca="1"/>
        <v>OK</v>
      </c>
    </row>
    <row r="1956" spans="2:34" x14ac:dyDescent="0.2">
      <c r="B1956" s="2">
        <f ca="1"/>
        <v>0.13152669181209764</v>
      </c>
      <c r="O1956" s="2">
        <f ca="1"/>
        <v>-0.57172330488548784</v>
      </c>
      <c r="X1956" s="2">
        <f ca="1"/>
        <v>80.966801821995432</v>
      </c>
      <c r="AG1956" s="2">
        <f ca="1"/>
        <v>0.80401799529285145</v>
      </c>
      <c r="AH1956" s="2" t="str">
        <f ca="1"/>
        <v>Bad</v>
      </c>
    </row>
    <row r="1957" spans="2:34" x14ac:dyDescent="0.2">
      <c r="B1957" s="2">
        <f ca="1"/>
        <v>0.59171849494537354</v>
      </c>
      <c r="O1957" s="2">
        <f ca="1"/>
        <v>2.3243197072237773</v>
      </c>
      <c r="X1957" s="2">
        <f ca="1"/>
        <v>59.099068030249029</v>
      </c>
      <c r="AG1957" s="2">
        <f ca="1"/>
        <v>0.75960139186586062</v>
      </c>
      <c r="AH1957" s="2" t="str">
        <f ca="1"/>
        <v>Bad</v>
      </c>
    </row>
    <row r="1958" spans="2:34" x14ac:dyDescent="0.2">
      <c r="B1958" s="2">
        <f ca="1"/>
        <v>0.73728373126204416</v>
      </c>
      <c r="O1958" s="2">
        <f ca="1"/>
        <v>1.8015427611477222</v>
      </c>
      <c r="X1958" s="2">
        <f ca="1"/>
        <v>56.049703702100906</v>
      </c>
      <c r="AG1958" s="2">
        <f ca="1"/>
        <v>0.99611638139903924</v>
      </c>
      <c r="AH1958" s="2" t="str">
        <f ca="1"/>
        <v>Bad</v>
      </c>
    </row>
    <row r="1959" spans="2:34" x14ac:dyDescent="0.2">
      <c r="B1959" s="2">
        <f ca="1"/>
        <v>0.95105931393842713</v>
      </c>
      <c r="O1959" s="2">
        <f ca="1"/>
        <v>0.21994426271437514</v>
      </c>
      <c r="X1959" s="2">
        <f ca="1"/>
        <v>56.895342245681142</v>
      </c>
      <c r="AG1959" s="2">
        <f ca="1"/>
        <v>0.77514454708192471</v>
      </c>
      <c r="AH1959" s="2" t="str">
        <f ca="1"/>
        <v>Bad</v>
      </c>
    </row>
    <row r="1960" spans="2:34" x14ac:dyDescent="0.2">
      <c r="B1960" s="2">
        <f ca="1"/>
        <v>0.14339998815594157</v>
      </c>
      <c r="O1960" s="2">
        <f ca="1"/>
        <v>-1.0006338579357212</v>
      </c>
      <c r="X1960" s="2">
        <f ca="1"/>
        <v>58.357014763776924</v>
      </c>
      <c r="AG1960" s="2">
        <f ca="1"/>
        <v>0.33523953702368292</v>
      </c>
      <c r="AH1960" s="2" t="str">
        <f ca="1"/>
        <v>OK</v>
      </c>
    </row>
    <row r="1961" spans="2:34" x14ac:dyDescent="0.2">
      <c r="B1961" s="2">
        <f ca="1"/>
        <v>0.9857239119556418</v>
      </c>
      <c r="O1961" s="2">
        <f ca="1"/>
        <v>-0.43938142804567376</v>
      </c>
      <c r="X1961" s="2">
        <f ca="1"/>
        <v>52.327630923484477</v>
      </c>
      <c r="AG1961" s="2">
        <f ca="1"/>
        <v>0.7192161245106905</v>
      </c>
      <c r="AH1961" s="2" t="str">
        <f ca="1"/>
        <v>Bad</v>
      </c>
    </row>
    <row r="1962" spans="2:34" x14ac:dyDescent="0.2">
      <c r="B1962" s="2">
        <f ca="1"/>
        <v>0.21906769760014466</v>
      </c>
      <c r="O1962" s="2">
        <f ca="1"/>
        <v>1.0854366745683257</v>
      </c>
      <c r="X1962" s="2">
        <f ca="1"/>
        <v>41.965086257339166</v>
      </c>
      <c r="AG1962" s="2">
        <f ca="1"/>
        <v>0.24855076394865794</v>
      </c>
      <c r="AH1962" s="2" t="str">
        <f ca="1"/>
        <v>OK</v>
      </c>
    </row>
    <row r="1963" spans="2:34" x14ac:dyDescent="0.2">
      <c r="B1963" s="2">
        <f ca="1"/>
        <v>0.38700394512844705</v>
      </c>
      <c r="O1963" s="2">
        <f ca="1"/>
        <v>-0.45467461478358695</v>
      </c>
      <c r="X1963" s="2">
        <f ca="1"/>
        <v>31.681425593549271</v>
      </c>
      <c r="AG1963" s="2">
        <f ca="1"/>
        <v>0.84818653143160816</v>
      </c>
      <c r="AH1963" s="2" t="str">
        <f ca="1"/>
        <v>Bad</v>
      </c>
    </row>
    <row r="1964" spans="2:34" x14ac:dyDescent="0.2">
      <c r="B1964" s="2">
        <f ca="1"/>
        <v>0.74747538015009529</v>
      </c>
      <c r="O1964" s="2">
        <f ca="1"/>
        <v>0.52580645591046782</v>
      </c>
      <c r="X1964" s="2">
        <f ca="1"/>
        <v>45.72316407362743</v>
      </c>
      <c r="AG1964" s="2">
        <f ca="1"/>
        <v>0.6249105901774652</v>
      </c>
      <c r="AH1964" s="2" t="str">
        <f ca="1"/>
        <v>Bad</v>
      </c>
    </row>
    <row r="1965" spans="2:34" x14ac:dyDescent="0.2">
      <c r="B1965" s="2">
        <f ca="1"/>
        <v>0.93703582706110344</v>
      </c>
      <c r="O1965" s="2">
        <f ca="1"/>
        <v>1.4966539024295238</v>
      </c>
      <c r="X1965" s="2">
        <f ca="1"/>
        <v>57.810720503810735</v>
      </c>
      <c r="AG1965" s="2">
        <f ca="1"/>
        <v>0.64569070387967309</v>
      </c>
      <c r="AH1965" s="2" t="str">
        <f ca="1"/>
        <v>Bad</v>
      </c>
    </row>
    <row r="1966" spans="2:34" x14ac:dyDescent="0.2">
      <c r="B1966" s="2">
        <f ca="1"/>
        <v>7.9778011779741753E-2</v>
      </c>
      <c r="O1966" s="2">
        <f ca="1"/>
        <v>-2.7062974743189621</v>
      </c>
      <c r="X1966" s="2">
        <f ca="1"/>
        <v>59.327643231712329</v>
      </c>
      <c r="AG1966" s="2">
        <f ca="1"/>
        <v>0.95193382158080553</v>
      </c>
      <c r="AH1966" s="2" t="str">
        <f ca="1"/>
        <v>Bad</v>
      </c>
    </row>
    <row r="1967" spans="2:34" x14ac:dyDescent="0.2">
      <c r="B1967" s="2">
        <f ca="1"/>
        <v>0.1545580073590338</v>
      </c>
      <c r="O1967" s="2">
        <f ca="1"/>
        <v>-0.40391374495855653</v>
      </c>
      <c r="X1967" s="2">
        <f ca="1"/>
        <v>57.502943635105758</v>
      </c>
      <c r="AG1967" s="2">
        <f ca="1"/>
        <v>0.13177933755351656</v>
      </c>
      <c r="AH1967" s="2" t="str">
        <f ca="1"/>
        <v>OK</v>
      </c>
    </row>
    <row r="1968" spans="2:34" x14ac:dyDescent="0.2">
      <c r="B1968" s="2">
        <f ca="1"/>
        <v>0.46881877465167276</v>
      </c>
      <c r="O1968" s="2">
        <f ca="1"/>
        <v>0.78716274482016868</v>
      </c>
      <c r="X1968" s="2">
        <f ca="1"/>
        <v>73.45830732457641</v>
      </c>
      <c r="AG1968" s="2">
        <f ca="1"/>
        <v>0.18984010056669942</v>
      </c>
      <c r="AH1968" s="2" t="str">
        <f ca="1"/>
        <v>OK</v>
      </c>
    </row>
    <row r="1969" spans="2:34" x14ac:dyDescent="0.2">
      <c r="B1969" s="2">
        <f ca="1"/>
        <v>0.15941815214249133</v>
      </c>
      <c r="O1969" s="2">
        <f ca="1"/>
        <v>0.9811116797373719</v>
      </c>
      <c r="X1969" s="2">
        <f ca="1"/>
        <v>49.005492266149275</v>
      </c>
      <c r="AG1969" s="2">
        <f ca="1"/>
        <v>0.55092131896454299</v>
      </c>
      <c r="AH1969" s="2" t="str">
        <f ca="1"/>
        <v>Bad</v>
      </c>
    </row>
    <row r="1970" spans="2:34" x14ac:dyDescent="0.2">
      <c r="B1970" s="2">
        <f ca="1"/>
        <v>0.56696170864071038</v>
      </c>
      <c r="O1970" s="2">
        <f ca="1"/>
        <v>-0.34556164565715641</v>
      </c>
      <c r="X1970" s="2">
        <f ca="1"/>
        <v>38.465052126114102</v>
      </c>
      <c r="AG1970" s="2">
        <f ca="1"/>
        <v>0.67849284283307942</v>
      </c>
      <c r="AH1970" s="2" t="str">
        <f ca="1"/>
        <v>Bad</v>
      </c>
    </row>
    <row r="1971" spans="2:34" x14ac:dyDescent="0.2">
      <c r="B1971" s="2">
        <f ca="1"/>
        <v>0.58776524173452005</v>
      </c>
      <c r="O1971" s="2">
        <f ca="1"/>
        <v>1.7598202788296624</v>
      </c>
      <c r="X1971" s="2">
        <f ca="1"/>
        <v>47.490056782401957</v>
      </c>
      <c r="AG1971" s="2">
        <f ca="1"/>
        <v>0.92775737700329941</v>
      </c>
      <c r="AH1971" s="2" t="str">
        <f ca="1"/>
        <v>Bad</v>
      </c>
    </row>
    <row r="1972" spans="2:34" x14ac:dyDescent="0.2">
      <c r="B1972" s="2">
        <f ca="1"/>
        <v>0.45710689031619411</v>
      </c>
      <c r="O1972" s="2">
        <f ca="1"/>
        <v>-0.17288229491528911</v>
      </c>
      <c r="X1972" s="2">
        <f ca="1"/>
        <v>58.365356146685642</v>
      </c>
      <c r="AG1972" s="2">
        <f ca="1"/>
        <v>0.10360588227324596</v>
      </c>
      <c r="AH1972" s="2" t="str">
        <f ca="1"/>
        <v>OK</v>
      </c>
    </row>
    <row r="1973" spans="2:34" x14ac:dyDescent="0.2">
      <c r="B1973" s="2">
        <f ca="1"/>
        <v>0.1172918485280765</v>
      </c>
      <c r="O1973" s="2">
        <f ca="1"/>
        <v>-1.4399045257711511</v>
      </c>
      <c r="X1973" s="2">
        <f ca="1"/>
        <v>36.694708692280891</v>
      </c>
      <c r="AG1973" s="2">
        <f ca="1"/>
        <v>0.83346432755459476</v>
      </c>
      <c r="AH1973" s="2" t="str">
        <f ca="1"/>
        <v>Bad</v>
      </c>
    </row>
    <row r="1974" spans="2:34" x14ac:dyDescent="0.2">
      <c r="B1974" s="2">
        <f ca="1"/>
        <v>0.29698800244030399</v>
      </c>
      <c r="O1974" s="2">
        <f ca="1"/>
        <v>-0.31426278916323724</v>
      </c>
      <c r="X1974" s="2">
        <f ca="1"/>
        <v>50.806639307847796</v>
      </c>
      <c r="AG1974" s="2">
        <f ca="1"/>
        <v>9.4507757493955236E-2</v>
      </c>
      <c r="AH1974" s="2" t="str">
        <f ca="1"/>
        <v>OK</v>
      </c>
    </row>
    <row r="1975" spans="2:34" x14ac:dyDescent="0.2">
      <c r="B1975" s="2">
        <f ca="1"/>
        <v>0.88782278373125201</v>
      </c>
      <c r="O1975" s="2">
        <f ca="1"/>
        <v>-0.52260332559411105</v>
      </c>
      <c r="X1975" s="2">
        <f ca="1"/>
        <v>62.271875227727051</v>
      </c>
      <c r="AG1975" s="2">
        <f ca="1"/>
        <v>0.96526836956862616</v>
      </c>
      <c r="AH1975" s="2" t="str">
        <f ca="1"/>
        <v>Bad</v>
      </c>
    </row>
    <row r="1976" spans="2:34" x14ac:dyDescent="0.2">
      <c r="B1976" s="2">
        <f ca="1"/>
        <v>0.66197068263654057</v>
      </c>
      <c r="O1976" s="2">
        <f ca="1"/>
        <v>0.17827867823925131</v>
      </c>
      <c r="X1976" s="2">
        <f ca="1"/>
        <v>46.287514843134574</v>
      </c>
      <c r="AG1976" s="2">
        <f ca="1"/>
        <v>0.95557876778073791</v>
      </c>
      <c r="AH1976" s="2" t="str">
        <f ca="1"/>
        <v>Bad</v>
      </c>
    </row>
    <row r="1977" spans="2:34" x14ac:dyDescent="0.2">
      <c r="B1977" s="2">
        <f ca="1"/>
        <v>0.81363539484818737</v>
      </c>
      <c r="O1977" s="2">
        <f ca="1"/>
        <v>1.9981507381490644</v>
      </c>
      <c r="X1977" s="2">
        <f ca="1"/>
        <v>68.985270962224348</v>
      </c>
      <c r="AG1977" s="2">
        <f ca="1"/>
        <v>0.91763863973449666</v>
      </c>
      <c r="AH1977" s="2" t="str">
        <f ca="1"/>
        <v>Bad</v>
      </c>
    </row>
    <row r="1978" spans="2:34" x14ac:dyDescent="0.2">
      <c r="B1978" s="2">
        <f ca="1"/>
        <v>0.94167959199292794</v>
      </c>
      <c r="O1978" s="2">
        <f ca="1"/>
        <v>0.24928047492746791</v>
      </c>
      <c r="X1978" s="2">
        <f ca="1"/>
        <v>62.146488591009906</v>
      </c>
      <c r="AG1978" s="2">
        <f ca="1"/>
        <v>0.43200277314445623</v>
      </c>
      <c r="AH1978" s="2" t="str">
        <f ca="1"/>
        <v>Bad</v>
      </c>
    </row>
    <row r="1979" spans="2:34" x14ac:dyDescent="0.2">
      <c r="B1979" s="2">
        <f ca="1"/>
        <v>0.20039491696512224</v>
      </c>
      <c r="O1979" s="2">
        <f ca="1"/>
        <v>0.28473364159590209</v>
      </c>
      <c r="X1979" s="2">
        <f ca="1"/>
        <v>67.781828698875501</v>
      </c>
      <c r="AG1979" s="2">
        <f ca="1"/>
        <v>0.55243280539832629</v>
      </c>
      <c r="AH1979" s="2" t="str">
        <f ca="1"/>
        <v>Bad</v>
      </c>
    </row>
    <row r="1980" spans="2:34" x14ac:dyDescent="0.2">
      <c r="B1980" s="2">
        <f ca="1"/>
        <v>0.17759804771421184</v>
      </c>
      <c r="O1980" s="2">
        <f ca="1"/>
        <v>0.15764036813446283</v>
      </c>
      <c r="X1980" s="2">
        <f ca="1"/>
        <v>59.13809618423862</v>
      </c>
      <c r="AG1980" s="2">
        <f ca="1"/>
        <v>0.46002558291889772</v>
      </c>
      <c r="AH1980" s="2" t="str">
        <f ca="1"/>
        <v>Bad</v>
      </c>
    </row>
    <row r="1981" spans="2:34" x14ac:dyDescent="0.2">
      <c r="B1981" s="2">
        <f ca="1"/>
        <v>0.52406841591238429</v>
      </c>
      <c r="O1981" s="2">
        <f ca="1"/>
        <v>0.78475235990958359</v>
      </c>
      <c r="X1981" s="2">
        <f ca="1"/>
        <v>71.388456242047965</v>
      </c>
      <c r="AG1981" s="2">
        <f ca="1"/>
        <v>0.93326309229372728</v>
      </c>
      <c r="AH1981" s="2" t="str">
        <f ca="1"/>
        <v>Bad</v>
      </c>
    </row>
    <row r="1982" spans="2:34" x14ac:dyDescent="0.2">
      <c r="B1982" s="2">
        <f ca="1"/>
        <v>0.51993903895079652</v>
      </c>
      <c r="O1982" s="2">
        <f ca="1"/>
        <v>0.99487443111220664</v>
      </c>
      <c r="X1982" s="2">
        <f ca="1"/>
        <v>35.324543945216639</v>
      </c>
      <c r="AG1982" s="2">
        <f ca="1"/>
        <v>0.99137514728851128</v>
      </c>
      <c r="AH1982" s="2" t="str">
        <f ca="1"/>
        <v>Bad</v>
      </c>
    </row>
    <row r="1983" spans="2:34" x14ac:dyDescent="0.2">
      <c r="B1983" s="2">
        <f ca="1"/>
        <v>0.38039058204911402</v>
      </c>
      <c r="O1983" s="2">
        <f ca="1"/>
        <v>-0.12597003332528936</v>
      </c>
      <c r="X1983" s="2">
        <f ca="1"/>
        <v>38.206862768279123</v>
      </c>
      <c r="AG1983" s="2">
        <f ca="1"/>
        <v>0.80703099133904654</v>
      </c>
      <c r="AH1983" s="2" t="str">
        <f ca="1"/>
        <v>Bad</v>
      </c>
    </row>
    <row r="1984" spans="2:34" x14ac:dyDescent="0.2">
      <c r="B1984" s="2">
        <f ca="1"/>
        <v>0.49174008143485626</v>
      </c>
      <c r="O1984" s="2">
        <f ca="1"/>
        <v>0.16857612376539655</v>
      </c>
      <c r="X1984" s="2">
        <f ca="1"/>
        <v>48.281023373369834</v>
      </c>
      <c r="AG1984" s="2">
        <f ca="1"/>
        <v>0.23047214791481951</v>
      </c>
      <c r="AH1984" s="2" t="str">
        <f ca="1"/>
        <v>OK</v>
      </c>
    </row>
    <row r="1985" spans="2:34" x14ac:dyDescent="0.2">
      <c r="B1985" s="2">
        <f ca="1"/>
        <v>0.61710931682413839</v>
      </c>
      <c r="O1985" s="2">
        <f ca="1"/>
        <v>-0.3127251631503889</v>
      </c>
      <c r="X1985" s="2">
        <f ca="1"/>
        <v>96.639085928641464</v>
      </c>
      <c r="AG1985" s="2">
        <f ca="1"/>
        <v>0.47094036378982596</v>
      </c>
      <c r="AH1985" s="2" t="str">
        <f ca="1"/>
        <v>Bad</v>
      </c>
    </row>
    <row r="1986" spans="2:34" x14ac:dyDescent="0.2">
      <c r="B1986" s="2">
        <f ca="1"/>
        <v>0.73755930806248493</v>
      </c>
      <c r="O1986" s="2">
        <f ca="1"/>
        <v>1.1329861781677644</v>
      </c>
      <c r="X1986" s="2">
        <f ca="1"/>
        <v>44.378145980575269</v>
      </c>
      <c r="AG1986" s="2">
        <f ca="1"/>
        <v>0.44864788170881509</v>
      </c>
      <c r="AH1986" s="2" t="str">
        <f ca="1"/>
        <v>Bad</v>
      </c>
    </row>
    <row r="1987" spans="2:34" x14ac:dyDescent="0.2">
      <c r="B1987" s="2">
        <f ca="1"/>
        <v>0.59351686674161486</v>
      </c>
      <c r="O1987" s="2">
        <f ca="1"/>
        <v>0.74729267625294871</v>
      </c>
      <c r="X1987" s="2">
        <f ca="1"/>
        <v>50.458240393952906</v>
      </c>
      <c r="AG1987" s="2">
        <f ca="1"/>
        <v>0.62553315416636313</v>
      </c>
      <c r="AH1987" s="2" t="str">
        <f ca="1"/>
        <v>Bad</v>
      </c>
    </row>
    <row r="1988" spans="2:34" x14ac:dyDescent="0.2">
      <c r="B1988" s="2">
        <f ca="1"/>
        <v>0.93355998757399439</v>
      </c>
      <c r="O1988" s="2">
        <f ca="1"/>
        <v>0.24301743315599383</v>
      </c>
      <c r="X1988" s="2">
        <f ca="1"/>
        <v>37.230635183475982</v>
      </c>
      <c r="AG1988" s="2">
        <f ca="1"/>
        <v>0.33706445506059701</v>
      </c>
      <c r="AH1988" s="2" t="str">
        <f ca="1"/>
        <v>OK</v>
      </c>
    </row>
    <row r="1989" spans="2:34" x14ac:dyDescent="0.2">
      <c r="B1989" s="2">
        <f ca="1"/>
        <v>0.66089112918170723</v>
      </c>
      <c r="O1989" s="2">
        <f ca="1"/>
        <v>1.8720825556317437</v>
      </c>
      <c r="X1989" s="2">
        <f ca="1"/>
        <v>59.173790953994192</v>
      </c>
      <c r="AG1989" s="2">
        <f ca="1"/>
        <v>0.57221787527189427</v>
      </c>
      <c r="AH1989" s="2" t="str">
        <f ca="1"/>
        <v>Bad</v>
      </c>
    </row>
    <row r="1990" spans="2:34" x14ac:dyDescent="0.2">
      <c r="B1990" s="2">
        <f ca="1"/>
        <v>0.71006248583036902</v>
      </c>
      <c r="O1990" s="2">
        <f ca="1"/>
        <v>0.13199849125616292</v>
      </c>
      <c r="X1990" s="2">
        <f ca="1"/>
        <v>68.290076681649808</v>
      </c>
      <c r="AG1990" s="2">
        <f ca="1"/>
        <v>0.76238542727135838</v>
      </c>
      <c r="AH1990" s="2" t="str">
        <f ca="1"/>
        <v>Bad</v>
      </c>
    </row>
    <row r="1991" spans="2:34" x14ac:dyDescent="0.2">
      <c r="B1991" s="2">
        <f ca="1"/>
        <v>0.53624778586098842</v>
      </c>
      <c r="O1991" s="2">
        <f ca="1"/>
        <v>-0.28168074243828972</v>
      </c>
      <c r="X1991" s="2">
        <f ca="1"/>
        <v>37.684153750970879</v>
      </c>
      <c r="AG1991" s="2">
        <f ca="1"/>
        <v>0.5863722777936542</v>
      </c>
      <c r="AH1991" s="2" t="str">
        <f ca="1"/>
        <v>Bad</v>
      </c>
    </row>
    <row r="1992" spans="2:34" x14ac:dyDescent="0.2">
      <c r="B1992" s="2">
        <f ca="1"/>
        <v>0.12034921512047903</v>
      </c>
      <c r="O1992" s="2">
        <f ca="1"/>
        <v>-0.10701785581200074</v>
      </c>
      <c r="X1992" s="2">
        <f ca="1"/>
        <v>54.970495681514436</v>
      </c>
      <c r="AG1992" s="2">
        <f ca="1"/>
        <v>0.62042194979550191</v>
      </c>
      <c r="AH1992" s="2" t="str">
        <f ca="1"/>
        <v>Bad</v>
      </c>
    </row>
    <row r="1993" spans="2:34" x14ac:dyDescent="0.2">
      <c r="B1993" s="2">
        <f ca="1"/>
        <v>0.39022278228858087</v>
      </c>
      <c r="O1993" s="2">
        <f ca="1"/>
        <v>0.3969679984006223</v>
      </c>
      <c r="X1993" s="2">
        <f ca="1"/>
        <v>51.832524986975173</v>
      </c>
      <c r="AG1993" s="2">
        <f ca="1"/>
        <v>0.45243553915233914</v>
      </c>
      <c r="AH1993" s="2" t="str">
        <f ca="1"/>
        <v>Bad</v>
      </c>
    </row>
    <row r="1994" spans="2:34" x14ac:dyDescent="0.2">
      <c r="B1994" s="2">
        <f ca="1"/>
        <v>0.30705499429006666</v>
      </c>
      <c r="O1994" s="2">
        <f ca="1"/>
        <v>0.23911323373449767</v>
      </c>
      <c r="X1994" s="2">
        <f ca="1"/>
        <v>57.928100883436855</v>
      </c>
      <c r="AG1994" s="2">
        <f ca="1"/>
        <v>0.46224279695332848</v>
      </c>
      <c r="AH1994" s="2" t="str">
        <f ca="1"/>
        <v>Bad</v>
      </c>
    </row>
    <row r="1995" spans="2:34" x14ac:dyDescent="0.2">
      <c r="B1995" s="2">
        <f ca="1"/>
        <v>0.56109892123691707</v>
      </c>
      <c r="O1995" s="2">
        <f ca="1"/>
        <v>1.3817257534762277</v>
      </c>
      <c r="X1995" s="2">
        <f ca="1"/>
        <v>45.723977795064556</v>
      </c>
      <c r="AG1995" s="2">
        <f ca="1"/>
        <v>0.48248100494907242</v>
      </c>
      <c r="AH1995" s="2" t="str">
        <f ca="1"/>
        <v>Bad</v>
      </c>
    </row>
    <row r="1996" spans="2:34" x14ac:dyDescent="0.2">
      <c r="B1996" s="2">
        <f ca="1"/>
        <v>0.26784446198117284</v>
      </c>
      <c r="O1996" s="2">
        <f ca="1"/>
        <v>2.5508759362011308</v>
      </c>
      <c r="X1996" s="2">
        <f ca="1"/>
        <v>59.307856471427357</v>
      </c>
      <c r="AG1996" s="2">
        <f ca="1"/>
        <v>0.68143839860741151</v>
      </c>
      <c r="AH1996" s="2" t="str">
        <f ca="1"/>
        <v>Bad</v>
      </c>
    </row>
    <row r="1997" spans="2:34" x14ac:dyDescent="0.2">
      <c r="B1997" s="2">
        <f ca="1"/>
        <v>7.5723052942074487E-2</v>
      </c>
      <c r="O1997" s="2">
        <f ca="1"/>
        <v>-1.1644880066765335</v>
      </c>
      <c r="X1997" s="2">
        <f ca="1"/>
        <v>41.087122996923569</v>
      </c>
      <c r="AG1997" s="2">
        <f ca="1"/>
        <v>0.16500066434958294</v>
      </c>
      <c r="AH1997" s="2" t="str">
        <f ca="1"/>
        <v>OK</v>
      </c>
    </row>
    <row r="1998" spans="2:34" x14ac:dyDescent="0.2">
      <c r="B1998" s="2">
        <f ca="1"/>
        <v>4.0920638292498701E-2</v>
      </c>
      <c r="O1998" s="2">
        <f ca="1"/>
        <v>3.081089522168064E-2</v>
      </c>
      <c r="X1998" s="2">
        <f ca="1"/>
        <v>48.498487715558561</v>
      </c>
      <c r="AG1998" s="2">
        <f ca="1"/>
        <v>0.91688058705979691</v>
      </c>
      <c r="AH1998" s="2" t="str">
        <f ca="1"/>
        <v>Bad</v>
      </c>
    </row>
    <row r="1999" spans="2:34" x14ac:dyDescent="0.2">
      <c r="B1999" s="2">
        <f ca="1"/>
        <v>0.37468099198633587</v>
      </c>
      <c r="O1999" s="2">
        <f ca="1"/>
        <v>-1.4584682758985286</v>
      </c>
      <c r="X1999" s="2">
        <f ca="1"/>
        <v>29.461359865670978</v>
      </c>
      <c r="AG1999" s="2">
        <f ca="1"/>
        <v>0.14608961830324163</v>
      </c>
      <c r="AH1999" s="2" t="str">
        <f ca="1"/>
        <v>OK</v>
      </c>
    </row>
    <row r="2000" spans="2:34" x14ac:dyDescent="0.2">
      <c r="B2000" s="2">
        <f ca="1"/>
        <v>0.86330047759496442</v>
      </c>
      <c r="O2000" s="2">
        <f ca="1"/>
        <v>0.25489209975272781</v>
      </c>
      <c r="X2000" s="2">
        <f ca="1"/>
        <v>37.147238947307279</v>
      </c>
      <c r="AG2000" s="2">
        <f ca="1"/>
        <v>0.57060468245913598</v>
      </c>
      <c r="AH2000" s="2" t="str">
        <f ca="1"/>
        <v>Bad</v>
      </c>
    </row>
    <row r="2001" spans="2:34" x14ac:dyDescent="0.2">
      <c r="B2001" s="2">
        <f ca="1"/>
        <v>4.7711655404536035E-2</v>
      </c>
      <c r="O2001" s="2">
        <f ca="1"/>
        <v>-0.27277438570716106</v>
      </c>
      <c r="X2001" s="2">
        <f ca="1"/>
        <v>33.321259226015464</v>
      </c>
      <c r="AG2001" s="2">
        <f ca="1"/>
        <v>0.48165543075096462</v>
      </c>
      <c r="AH2001" s="2" t="str">
        <f ca="1"/>
        <v>Bad</v>
      </c>
    </row>
    <row r="2002" spans="2:34" x14ac:dyDescent="0.2">
      <c r="B2002" s="2">
        <f ca="1"/>
        <v>0.33199219819630632</v>
      </c>
      <c r="O2002" s="2">
        <f ca="1"/>
        <v>-0.90837530217465778</v>
      </c>
      <c r="X2002" s="2">
        <f ca="1"/>
        <v>53.26233550930354</v>
      </c>
      <c r="AG2002" s="2">
        <f ca="1"/>
        <v>0.35507610661944145</v>
      </c>
      <c r="AH2002" s="2" t="str">
        <f ca="1"/>
        <v>OK</v>
      </c>
    </row>
    <row r="2003" spans="2:34" x14ac:dyDescent="0.2">
      <c r="B2003" s="2">
        <f ca="1"/>
        <v>0.6942960709700341</v>
      </c>
      <c r="O2003" s="2">
        <f ca="1"/>
        <v>1.0752368437630349</v>
      </c>
      <c r="X2003" s="2">
        <f ca="1"/>
        <v>49.637131000926395</v>
      </c>
      <c r="AG2003" s="2">
        <f ca="1"/>
        <v>0.60050899459574048</v>
      </c>
      <c r="AH2003" s="2" t="str">
        <f ca="1"/>
        <v>Bad</v>
      </c>
    </row>
    <row r="2004" spans="2:34" x14ac:dyDescent="0.2">
      <c r="B2004" s="2">
        <f ca="1"/>
        <v>7.3634210265455247E-2</v>
      </c>
      <c r="O2004" s="2">
        <f ca="1"/>
        <v>0.16215475361968368</v>
      </c>
      <c r="X2004" s="2">
        <f ca="1"/>
        <v>51.482344103564941</v>
      </c>
      <c r="AG2004" s="2">
        <f ca="1"/>
        <v>0.66194923187134469</v>
      </c>
      <c r="AH2004" s="2" t="str">
        <f ca="1"/>
        <v>Bad</v>
      </c>
    </row>
    <row r="2005" spans="2:34" x14ac:dyDescent="0.2">
      <c r="B2005" s="2">
        <f ca="1"/>
        <v>0.26228482610366055</v>
      </c>
      <c r="O2005" s="2">
        <f ca="1"/>
        <v>0.7594145442831195</v>
      </c>
      <c r="X2005" s="2">
        <f ca="1"/>
        <v>65.625940156163139</v>
      </c>
      <c r="AG2005" s="2">
        <f ca="1"/>
        <v>0.81726801190574205</v>
      </c>
      <c r="AH2005" s="2" t="str">
        <f ca="1"/>
        <v>Bad</v>
      </c>
    </row>
    <row r="2006" spans="2:34" x14ac:dyDescent="0.2">
      <c r="B2006" s="2">
        <f ca="1"/>
        <v>8.4136112813147923E-2</v>
      </c>
      <c r="O2006" s="2">
        <f ca="1"/>
        <v>-0.13239358594849565</v>
      </c>
      <c r="X2006" s="2">
        <f ca="1"/>
        <v>44.189156877609157</v>
      </c>
      <c r="AG2006" s="2">
        <f ca="1"/>
        <v>0.13397213189869484</v>
      </c>
      <c r="AH2006" s="2" t="str">
        <f ca="1"/>
        <v>OK</v>
      </c>
    </row>
    <row r="2007" spans="2:34" x14ac:dyDescent="0.2">
      <c r="B2007" s="2">
        <f ca="1"/>
        <v>0.14570892594652074</v>
      </c>
      <c r="O2007" s="2">
        <f ca="1"/>
        <v>1.4436254748614723</v>
      </c>
      <c r="X2007" s="2">
        <f ca="1"/>
        <v>42.380535495364661</v>
      </c>
      <c r="AG2007" s="2">
        <f ca="1"/>
        <v>0.76388498545131367</v>
      </c>
      <c r="AH2007" s="2" t="str">
        <f ca="1"/>
        <v>Bad</v>
      </c>
    </row>
    <row r="2008" spans="2:34" x14ac:dyDescent="0.2">
      <c r="B2008" s="2">
        <f ca="1"/>
        <v>0.35817322394486029</v>
      </c>
      <c r="O2008" s="2">
        <f ca="1"/>
        <v>2.2785266611882693</v>
      </c>
      <c r="X2008" s="2">
        <f ca="1"/>
        <v>39.195730627329077</v>
      </c>
      <c r="AG2008" s="2">
        <f ca="1"/>
        <v>0.11556056679265247</v>
      </c>
      <c r="AH2008" s="2" t="str">
        <f ca="1"/>
        <v>OK</v>
      </c>
    </row>
    <row r="2009" spans="2:34" x14ac:dyDescent="0.2">
      <c r="B2009" s="2">
        <f ca="1"/>
        <v>0.6693390913048316</v>
      </c>
      <c r="O2009" s="2">
        <f ca="1"/>
        <v>0.42551358481652407</v>
      </c>
      <c r="X2009" s="2">
        <f ca="1"/>
        <v>47.398352619714686</v>
      </c>
      <c r="AG2009" s="2">
        <f ca="1"/>
        <v>0.49896514773074574</v>
      </c>
      <c r="AH2009" s="2" t="str">
        <f ca="1"/>
        <v>Bad</v>
      </c>
    </row>
    <row r="2010" spans="2:34" x14ac:dyDescent="0.2">
      <c r="B2010" s="2">
        <f ca="1"/>
        <v>0.66372940402207248</v>
      </c>
      <c r="O2010" s="2">
        <f ca="1"/>
        <v>-0.81318318789459665</v>
      </c>
      <c r="X2010" s="2">
        <f ca="1"/>
        <v>26.243679273780266</v>
      </c>
      <c r="AG2010" s="2">
        <f ca="1"/>
        <v>1.2546942367643865E-3</v>
      </c>
      <c r="AH2010" s="2" t="str">
        <f ca="1"/>
        <v>Good</v>
      </c>
    </row>
    <row r="2011" spans="2:34" x14ac:dyDescent="0.2">
      <c r="B2011" s="2">
        <f ca="1"/>
        <v>0.71741844869413063</v>
      </c>
      <c r="O2011" s="2">
        <f ca="1"/>
        <v>-0.18487395714975327</v>
      </c>
      <c r="X2011" s="2">
        <f ca="1"/>
        <v>38.693037190596328</v>
      </c>
      <c r="AG2011" s="2">
        <f ca="1"/>
        <v>0.50916554077393439</v>
      </c>
      <c r="AH2011" s="2" t="str">
        <f ca="1"/>
        <v>Bad</v>
      </c>
    </row>
    <row r="2012" spans="2:34" x14ac:dyDescent="0.2">
      <c r="B2012" s="2">
        <f ca="1"/>
        <v>0.30348990743319648</v>
      </c>
      <c r="O2012" s="2">
        <f ca="1"/>
        <v>0.16313769339941039</v>
      </c>
      <c r="X2012" s="2">
        <f ca="1"/>
        <v>43.599937561360605</v>
      </c>
      <c r="AG2012" s="2">
        <f ca="1"/>
        <v>0.52683610613305709</v>
      </c>
      <c r="AH2012" s="2" t="str">
        <f ca="1"/>
        <v>Bad</v>
      </c>
    </row>
    <row r="2013" spans="2:34" x14ac:dyDescent="0.2">
      <c r="B2013" s="2">
        <f ca="1"/>
        <v>0.44981014426248644</v>
      </c>
      <c r="O2013" s="2">
        <f ca="1"/>
        <v>-0.58692015239737005</v>
      </c>
      <c r="X2013" s="2">
        <f ca="1"/>
        <v>46.695006509982598</v>
      </c>
      <c r="AG2013" s="2">
        <f ca="1"/>
        <v>0.72874377831743176</v>
      </c>
      <c r="AH2013" s="2" t="str">
        <f ca="1"/>
        <v>Bad</v>
      </c>
    </row>
    <row r="2014" spans="2:34" x14ac:dyDescent="0.2">
      <c r="B2014" s="2">
        <f ca="1"/>
        <v>0.57790728115901158</v>
      </c>
      <c r="O2014" s="2">
        <f ca="1"/>
        <v>0.30163246917689834</v>
      </c>
      <c r="X2014" s="2">
        <f ca="1"/>
        <v>37.875991300680163</v>
      </c>
      <c r="AG2014" s="2">
        <f ca="1"/>
        <v>0.74635912029795071</v>
      </c>
      <c r="AH2014" s="2" t="str">
        <f ca="1"/>
        <v>Bad</v>
      </c>
    </row>
    <row r="2015" spans="2:34" x14ac:dyDescent="0.2">
      <c r="B2015" s="2">
        <f ca="1"/>
        <v>1.0285605110607055E-2</v>
      </c>
      <c r="O2015" s="2">
        <f ca="1"/>
        <v>-1.3200423512267556</v>
      </c>
      <c r="X2015" s="2">
        <f ca="1"/>
        <v>61.60767031576399</v>
      </c>
      <c r="AG2015" s="2">
        <f ca="1"/>
        <v>0.24562152907276813</v>
      </c>
      <c r="AH2015" s="2" t="str">
        <f ca="1"/>
        <v>OK</v>
      </c>
    </row>
    <row r="2016" spans="2:34" x14ac:dyDescent="0.2">
      <c r="B2016" s="2">
        <f ca="1"/>
        <v>0.35072082574791508</v>
      </c>
      <c r="O2016" s="2">
        <f ca="1"/>
        <v>-1.4142612187259076</v>
      </c>
      <c r="X2016" s="2">
        <f ca="1"/>
        <v>49.412116214620369</v>
      </c>
      <c r="AG2016" s="2">
        <f ca="1"/>
        <v>0.17000787408395102</v>
      </c>
      <c r="AH2016" s="2" t="str">
        <f ca="1"/>
        <v>OK</v>
      </c>
    </row>
    <row r="2017" spans="2:34" x14ac:dyDescent="0.2">
      <c r="B2017" s="2">
        <f ca="1"/>
        <v>0.51120731466023006</v>
      </c>
      <c r="O2017" s="2">
        <f ca="1"/>
        <v>-0.65075332252082574</v>
      </c>
      <c r="X2017" s="2">
        <f ca="1"/>
        <v>36.085730207282289</v>
      </c>
      <c r="AG2017" s="2">
        <f ca="1"/>
        <v>0.98009790499034333</v>
      </c>
      <c r="AH2017" s="2" t="str">
        <f ca="1"/>
        <v>Bad</v>
      </c>
    </row>
    <row r="2018" spans="2:34" x14ac:dyDescent="0.2">
      <c r="B2018" s="2">
        <f ca="1"/>
        <v>0.64677294878353231</v>
      </c>
      <c r="O2018" s="2">
        <f ca="1"/>
        <v>3.5687765327839321E-2</v>
      </c>
      <c r="X2018" s="2">
        <f ca="1"/>
        <v>36.399397123879652</v>
      </c>
      <c r="AG2018" s="2">
        <f ca="1"/>
        <v>0.89512959738321651</v>
      </c>
      <c r="AH2018" s="2" t="str">
        <f ca="1"/>
        <v>Bad</v>
      </c>
    </row>
    <row r="2019" spans="2:34" x14ac:dyDescent="0.2">
      <c r="B2019" s="2">
        <f ca="1"/>
        <v>0.63243030769621722</v>
      </c>
      <c r="O2019" s="2">
        <f ca="1"/>
        <v>-0.75074023609496066</v>
      </c>
      <c r="X2019" s="2">
        <f ca="1"/>
        <v>57.767762621414569</v>
      </c>
      <c r="AG2019" s="2">
        <f ca="1"/>
        <v>0.91426165919144875</v>
      </c>
      <c r="AH2019" s="2" t="str">
        <f ca="1"/>
        <v>Bad</v>
      </c>
    </row>
    <row r="2020" spans="2:34" x14ac:dyDescent="0.2">
      <c r="B2020" s="2">
        <f ca="1"/>
        <v>0.50771409504435039</v>
      </c>
      <c r="O2020" s="2">
        <f ca="1"/>
        <v>-1.505914189554064</v>
      </c>
      <c r="X2020" s="2">
        <f ca="1"/>
        <v>45.199839986344273</v>
      </c>
      <c r="AG2020" s="2">
        <f ca="1"/>
        <v>0.12334818538223646</v>
      </c>
      <c r="AH2020" s="2" t="str">
        <f ca="1"/>
        <v>OK</v>
      </c>
    </row>
    <row r="2021" spans="2:34" x14ac:dyDescent="0.2">
      <c r="B2021" s="2">
        <f ca="1"/>
        <v>0.88244773597594661</v>
      </c>
      <c r="O2021" s="2">
        <f ca="1"/>
        <v>1.3499063839589232</v>
      </c>
      <c r="X2021" s="2">
        <f ca="1"/>
        <v>28.01083716255345</v>
      </c>
      <c r="AG2021" s="2">
        <f ca="1"/>
        <v>0.98968269963612854</v>
      </c>
      <c r="AH2021" s="2" t="str">
        <f ca="1"/>
        <v>Bad</v>
      </c>
    </row>
    <row r="2022" spans="2:34" x14ac:dyDescent="0.2">
      <c r="B2022" s="2">
        <f ca="1"/>
        <v>7.067580280118424E-2</v>
      </c>
      <c r="O2022" s="2">
        <f ca="1"/>
        <v>0.42111313847454573</v>
      </c>
      <c r="X2022" s="2">
        <f ca="1"/>
        <v>60.483954022075814</v>
      </c>
      <c r="AG2022" s="2">
        <f ca="1"/>
        <v>0.97415331783838233</v>
      </c>
      <c r="AH2022" s="2" t="str">
        <f ca="1"/>
        <v>Bad</v>
      </c>
    </row>
    <row r="2023" spans="2:34" x14ac:dyDescent="0.2">
      <c r="B2023" s="2">
        <f ca="1"/>
        <v>0.59506932934334067</v>
      </c>
      <c r="O2023" s="2">
        <f ca="1"/>
        <v>-1.3778955782638076</v>
      </c>
      <c r="X2023" s="2">
        <f ca="1"/>
        <v>61.611985003422362</v>
      </c>
      <c r="AG2023" s="2">
        <f ca="1"/>
        <v>0.42573366195154394</v>
      </c>
      <c r="AH2023" s="2" t="str">
        <f ca="1"/>
        <v>Bad</v>
      </c>
    </row>
    <row r="2024" spans="2:34" x14ac:dyDescent="0.2">
      <c r="B2024" s="2">
        <f ca="1"/>
        <v>0.74867547176970017</v>
      </c>
      <c r="O2024" s="2">
        <f ca="1"/>
        <v>-0.85331975298310925</v>
      </c>
      <c r="X2024" s="2">
        <f ca="1"/>
        <v>78.020980191511129</v>
      </c>
      <c r="AG2024" s="2">
        <f ca="1"/>
        <v>0.70677247691272505</v>
      </c>
      <c r="AH2024" s="2" t="str">
        <f ca="1"/>
        <v>Bad</v>
      </c>
    </row>
    <row r="2025" spans="2:34" x14ac:dyDescent="0.2">
      <c r="B2025" s="2">
        <f ca="1"/>
        <v>0.73618250210756675</v>
      </c>
      <c r="O2025" s="2">
        <f ca="1"/>
        <v>0.92838115060097637</v>
      </c>
      <c r="X2025" s="2">
        <f ca="1"/>
        <v>39.152494855235119</v>
      </c>
      <c r="AG2025" s="2">
        <f ca="1"/>
        <v>0.15188441126372587</v>
      </c>
      <c r="AH2025" s="2" t="str">
        <f ca="1"/>
        <v>OK</v>
      </c>
    </row>
    <row r="2026" spans="2:34" x14ac:dyDescent="0.2">
      <c r="B2026" s="2">
        <f ca="1"/>
        <v>0.77212010585899749</v>
      </c>
      <c r="O2026" s="2">
        <f ca="1"/>
        <v>4.3331123639821785E-2</v>
      </c>
      <c r="X2026" s="2">
        <f ca="1"/>
        <v>39.516419829082366</v>
      </c>
      <c r="AG2026" s="2">
        <f ca="1"/>
        <v>0.23339235421146709</v>
      </c>
      <c r="AH2026" s="2" t="str">
        <f ca="1"/>
        <v>OK</v>
      </c>
    </row>
    <row r="2027" spans="2:34" x14ac:dyDescent="0.2">
      <c r="B2027" s="2">
        <f ca="1"/>
        <v>0.92476877774501332</v>
      </c>
      <c r="O2027" s="2">
        <f ca="1"/>
        <v>0.28315900028062785</v>
      </c>
      <c r="X2027" s="2">
        <f ca="1"/>
        <v>30.57518805280132</v>
      </c>
      <c r="AG2027" s="2">
        <f ca="1"/>
        <v>0.10732347321850644</v>
      </c>
      <c r="AH2027" s="2" t="str">
        <f ca="1"/>
        <v>OK</v>
      </c>
    </row>
    <row r="2028" spans="2:34" x14ac:dyDescent="0.2">
      <c r="B2028" s="2">
        <f ca="1"/>
        <v>0.63144464117691812</v>
      </c>
      <c r="O2028" s="2">
        <f ca="1"/>
        <v>-0.6481275988073596</v>
      </c>
      <c r="X2028" s="2">
        <f ca="1"/>
        <v>56.78781286383898</v>
      </c>
      <c r="AG2028" s="2">
        <f ca="1"/>
        <v>0.42053819965055617</v>
      </c>
      <c r="AH2028" s="2" t="str">
        <f ca="1"/>
        <v>Bad</v>
      </c>
    </row>
    <row r="2029" spans="2:34" x14ac:dyDescent="0.2">
      <c r="B2029" s="2">
        <f ca="1"/>
        <v>0.72839431473654614</v>
      </c>
      <c r="O2029" s="2">
        <f ca="1"/>
        <v>0.86950140339699389</v>
      </c>
      <c r="X2029" s="2">
        <f ca="1"/>
        <v>41.969964076068784</v>
      </c>
      <c r="AG2029" s="2">
        <f ca="1"/>
        <v>0.10631391696480019</v>
      </c>
      <c r="AH2029" s="2" t="str">
        <f ca="1"/>
        <v>OK</v>
      </c>
    </row>
    <row r="2030" spans="2:34" x14ac:dyDescent="0.2">
      <c r="B2030" s="2">
        <f ca="1"/>
        <v>0.92398571052388889</v>
      </c>
      <c r="O2030" s="2">
        <f ca="1"/>
        <v>-0.36122884622209372</v>
      </c>
      <c r="X2030" s="2">
        <f ca="1"/>
        <v>59.211044139254952</v>
      </c>
      <c r="AG2030" s="2">
        <f ca="1"/>
        <v>0.45085693701948659</v>
      </c>
      <c r="AH2030" s="2" t="str">
        <f ca="1"/>
        <v>Bad</v>
      </c>
    </row>
    <row r="2031" spans="2:34" x14ac:dyDescent="0.2">
      <c r="B2031" s="2">
        <f ca="1"/>
        <v>0.97788690011118651</v>
      </c>
      <c r="O2031" s="2">
        <f ca="1"/>
        <v>0.59979095674208127</v>
      </c>
      <c r="X2031" s="2">
        <f ca="1"/>
        <v>51.942616681344226</v>
      </c>
      <c r="AG2031" s="2">
        <f ca="1"/>
        <v>0.62371749473000282</v>
      </c>
      <c r="AH2031" s="2" t="str">
        <f ca="1"/>
        <v>Bad</v>
      </c>
    </row>
    <row r="2032" spans="2:34" x14ac:dyDescent="0.2">
      <c r="B2032" s="2">
        <f ca="1"/>
        <v>0.17774952104684583</v>
      </c>
      <c r="O2032" s="2">
        <f ca="1"/>
        <v>0.47036861730742513</v>
      </c>
      <c r="X2032" s="2">
        <f ca="1"/>
        <v>53.375971112516908</v>
      </c>
      <c r="AG2032" s="2">
        <f ca="1"/>
        <v>0.42751852550825387</v>
      </c>
      <c r="AH2032" s="2" t="str">
        <f ca="1"/>
        <v>Bad</v>
      </c>
    </row>
    <row r="2033" spans="2:34" x14ac:dyDescent="0.2">
      <c r="B2033" s="2">
        <f ca="1"/>
        <v>0.40921423352677389</v>
      </c>
      <c r="O2033" s="2">
        <f ca="1"/>
        <v>-1.1648397634730947</v>
      </c>
      <c r="X2033" s="2">
        <f ca="1"/>
        <v>34.923244230556925</v>
      </c>
      <c r="AG2033" s="2">
        <f ca="1"/>
        <v>0.48740960798083433</v>
      </c>
      <c r="AH2033" s="2" t="str">
        <f ca="1"/>
        <v>Bad</v>
      </c>
    </row>
    <row r="2034" spans="2:34" x14ac:dyDescent="0.2">
      <c r="B2034" s="2">
        <f ca="1"/>
        <v>0.96977880662131821</v>
      </c>
      <c r="O2034" s="2">
        <f ca="1"/>
        <v>-1.0442773129342096</v>
      </c>
      <c r="X2034" s="2">
        <f ca="1"/>
        <v>39.502125115948317</v>
      </c>
      <c r="AG2034" s="2">
        <f ca="1"/>
        <v>0.39845261568923718</v>
      </c>
      <c r="AH2034" s="2" t="str">
        <f ca="1"/>
        <v>OK</v>
      </c>
    </row>
    <row r="2035" spans="2:34" x14ac:dyDescent="0.2">
      <c r="B2035" s="2">
        <f ca="1"/>
        <v>0.90823797423430652</v>
      </c>
      <c r="O2035" s="2">
        <f ca="1"/>
        <v>0.13202953318861449</v>
      </c>
      <c r="X2035" s="2">
        <f ca="1"/>
        <v>54.286772926550697</v>
      </c>
      <c r="AG2035" s="2">
        <f ca="1"/>
        <v>0.61890667338498329</v>
      </c>
      <c r="AH2035" s="2" t="str">
        <f ca="1"/>
        <v>Bad</v>
      </c>
    </row>
    <row r="2036" spans="2:34" x14ac:dyDescent="0.2">
      <c r="B2036" s="2">
        <f ca="1"/>
        <v>0.67485645911720238</v>
      </c>
      <c r="O2036" s="2">
        <f ca="1"/>
        <v>1.3275565774530536</v>
      </c>
      <c r="X2036" s="2">
        <f ca="1"/>
        <v>52.917112596057621</v>
      </c>
      <c r="AG2036" s="2">
        <f ca="1"/>
        <v>0.72228538564047273</v>
      </c>
      <c r="AH2036" s="2" t="str">
        <f ca="1"/>
        <v>Bad</v>
      </c>
    </row>
    <row r="2037" spans="2:34" x14ac:dyDescent="0.2">
      <c r="B2037" s="2">
        <f ca="1"/>
        <v>4.9845594555389727E-2</v>
      </c>
      <c r="O2037" s="2">
        <f ca="1"/>
        <v>0.90016328849463589</v>
      </c>
      <c r="X2037" s="2">
        <f ca="1"/>
        <v>45.431907047208703</v>
      </c>
      <c r="AG2037" s="2">
        <f ca="1"/>
        <v>0.59241135854849736</v>
      </c>
      <c r="AH2037" s="2" t="str">
        <f ca="1"/>
        <v>Bad</v>
      </c>
    </row>
    <row r="2038" spans="2:34" x14ac:dyDescent="0.2">
      <c r="B2038" s="2">
        <f ca="1"/>
        <v>0.29491457647122687</v>
      </c>
      <c r="O2038" s="2">
        <f ca="1"/>
        <v>-0.92198053776735267</v>
      </c>
      <c r="X2038" s="2">
        <f ca="1"/>
        <v>76.29404301472843</v>
      </c>
      <c r="AG2038" s="2">
        <f ca="1"/>
        <v>0.10550077549139969</v>
      </c>
      <c r="AH2038" s="2" t="str">
        <f ca="1"/>
        <v>OK</v>
      </c>
    </row>
    <row r="2039" spans="2:34" x14ac:dyDescent="0.2">
      <c r="B2039" s="2">
        <f ca="1"/>
        <v>0.89080968158437868</v>
      </c>
      <c r="O2039" s="2">
        <f ca="1"/>
        <v>-2.0015516102873181</v>
      </c>
      <c r="X2039" s="2">
        <f ca="1"/>
        <v>71.124656891799731</v>
      </c>
      <c r="AG2039" s="2">
        <f ca="1"/>
        <v>0.5316049410280459</v>
      </c>
      <c r="AH2039" s="2" t="str">
        <f ca="1"/>
        <v>Bad</v>
      </c>
    </row>
    <row r="2040" spans="2:34" x14ac:dyDescent="0.2">
      <c r="B2040" s="2">
        <f ca="1"/>
        <v>0.87413220114950718</v>
      </c>
      <c r="O2040" s="2">
        <f ca="1"/>
        <v>-0.59154714052108137</v>
      </c>
      <c r="X2040" s="2">
        <f ca="1"/>
        <v>36.33268362806821</v>
      </c>
      <c r="AG2040" s="2">
        <f ca="1"/>
        <v>0.62850952682015726</v>
      </c>
      <c r="AH2040" s="2" t="str">
        <f ca="1"/>
        <v>Bad</v>
      </c>
    </row>
    <row r="2041" spans="2:34" x14ac:dyDescent="0.2">
      <c r="B2041" s="2">
        <f ca="1"/>
        <v>0.15147469533698144</v>
      </c>
      <c r="O2041" s="2">
        <f ca="1"/>
        <v>-0.17085481918525286</v>
      </c>
      <c r="X2041" s="2">
        <f ca="1"/>
        <v>69.38570132645421</v>
      </c>
      <c r="AG2041" s="2">
        <f ca="1"/>
        <v>0.53153300624102129</v>
      </c>
      <c r="AH2041" s="2" t="str">
        <f ca="1"/>
        <v>Bad</v>
      </c>
    </row>
    <row r="2042" spans="2:34" x14ac:dyDescent="0.2">
      <c r="B2042" s="2">
        <f ca="1"/>
        <v>0.59733043824796006</v>
      </c>
      <c r="O2042" s="2">
        <f ca="1"/>
        <v>-0.3824621629348276</v>
      </c>
      <c r="X2042" s="2">
        <f ca="1"/>
        <v>47.68908520250244</v>
      </c>
      <c r="AG2042" s="2">
        <f ca="1"/>
        <v>0.75877834179636761</v>
      </c>
      <c r="AH2042" s="2" t="str">
        <f ca="1"/>
        <v>Bad</v>
      </c>
    </row>
    <row r="2043" spans="2:34" x14ac:dyDescent="0.2">
      <c r="B2043" s="2">
        <f ca="1"/>
        <v>0.90491723426170645</v>
      </c>
      <c r="O2043" s="2">
        <f ca="1"/>
        <v>-0.40174995351312365</v>
      </c>
      <c r="X2043" s="2">
        <f ca="1"/>
        <v>52.499846287013497</v>
      </c>
      <c r="AG2043" s="2">
        <f ca="1"/>
        <v>0.57794094737991997</v>
      </c>
      <c r="AH2043" s="2" t="str">
        <f ca="1"/>
        <v>Bad</v>
      </c>
    </row>
    <row r="2044" spans="2:34" x14ac:dyDescent="0.2">
      <c r="B2044" s="2">
        <f ca="1"/>
        <v>0.49948661728251187</v>
      </c>
      <c r="O2044" s="2">
        <f ca="1"/>
        <v>-1.4103187412880644</v>
      </c>
      <c r="X2044" s="2">
        <f ca="1"/>
        <v>51.431923286093863</v>
      </c>
      <c r="AG2044" s="2">
        <f ca="1"/>
        <v>0.72028313747870709</v>
      </c>
      <c r="AH2044" s="2" t="str">
        <f ca="1"/>
        <v>Bad</v>
      </c>
    </row>
    <row r="2045" spans="2:34" x14ac:dyDescent="0.2">
      <c r="B2045" s="2">
        <f ca="1"/>
        <v>0.8818346221003821</v>
      </c>
      <c r="O2045" s="2">
        <f ca="1"/>
        <v>-1.126019527787407</v>
      </c>
      <c r="X2045" s="2">
        <f ca="1"/>
        <v>42.585933280914936</v>
      </c>
      <c r="AG2045" s="2">
        <f ca="1"/>
        <v>0.54872797428463604</v>
      </c>
      <c r="AH2045" s="2" t="str">
        <f ca="1"/>
        <v>Bad</v>
      </c>
    </row>
    <row r="2046" spans="2:34" x14ac:dyDescent="0.2">
      <c r="B2046" s="2">
        <f ca="1"/>
        <v>0.82068615946406931</v>
      </c>
      <c r="O2046" s="2">
        <f ca="1"/>
        <v>0.53331616167460683</v>
      </c>
      <c r="X2046" s="2">
        <f ca="1"/>
        <v>55.667146253318656</v>
      </c>
      <c r="AG2046" s="2">
        <f ca="1"/>
        <v>0.85944584161736515</v>
      </c>
      <c r="AH2046" s="2" t="str">
        <f ca="1"/>
        <v>Bad</v>
      </c>
    </row>
    <row r="2047" spans="2:34" x14ac:dyDescent="0.2">
      <c r="B2047" s="2">
        <f ca="1"/>
        <v>0.93418248017671135</v>
      </c>
      <c r="O2047" s="2">
        <f ca="1"/>
        <v>1.9233360582913674</v>
      </c>
      <c r="X2047" s="2">
        <f ca="1"/>
        <v>47.103725312177438</v>
      </c>
      <c r="AG2047" s="2">
        <f ca="1"/>
        <v>0.97493801270805847</v>
      </c>
      <c r="AH2047" s="2" t="str">
        <f ca="1"/>
        <v>Bad</v>
      </c>
    </row>
    <row r="2048" spans="2:34" x14ac:dyDescent="0.2">
      <c r="B2048" s="2">
        <f ca="1"/>
        <v>6.3007470314494274E-2</v>
      </c>
      <c r="O2048" s="2">
        <f ca="1"/>
        <v>1.6753810821311754</v>
      </c>
      <c r="X2048" s="2">
        <f ca="1"/>
        <v>40.453950767625571</v>
      </c>
      <c r="AG2048" s="2">
        <f ca="1"/>
        <v>0.90050655056918871</v>
      </c>
      <c r="AH2048" s="2" t="str">
        <f ca="1"/>
        <v>Bad</v>
      </c>
    </row>
    <row r="2049" spans="2:34" x14ac:dyDescent="0.2">
      <c r="B2049" s="2">
        <f ca="1"/>
        <v>0.90786837643180851</v>
      </c>
      <c r="O2049" s="2">
        <f ca="1"/>
        <v>0.9641522846211128</v>
      </c>
      <c r="X2049" s="2">
        <f ca="1"/>
        <v>41.013917287919028</v>
      </c>
      <c r="AG2049" s="2">
        <f ca="1"/>
        <v>0.50872203260362903</v>
      </c>
      <c r="AH2049" s="2" t="str">
        <f ca="1"/>
        <v>Bad</v>
      </c>
    </row>
    <row r="2050" spans="2:34" x14ac:dyDescent="0.2">
      <c r="B2050" s="2">
        <f ca="1"/>
        <v>0.3606011526461157</v>
      </c>
      <c r="O2050" s="2">
        <f ca="1"/>
        <v>0.13324374841906153</v>
      </c>
      <c r="X2050" s="2">
        <f ca="1"/>
        <v>17.697222678831956</v>
      </c>
      <c r="AG2050" s="2">
        <f ca="1"/>
        <v>0.67335880531748016</v>
      </c>
      <c r="AH2050" s="2" t="str">
        <f ca="1"/>
        <v>Bad</v>
      </c>
    </row>
    <row r="2051" spans="2:34" x14ac:dyDescent="0.2">
      <c r="B2051" s="2">
        <f ca="1"/>
        <v>0.66939414701303934</v>
      </c>
      <c r="O2051" s="2">
        <f ca="1"/>
        <v>8.3461410794982167E-3</v>
      </c>
      <c r="X2051" s="2">
        <f ca="1"/>
        <v>67.047852694057951</v>
      </c>
      <c r="AG2051" s="2">
        <f ca="1"/>
        <v>0.68995418909513551</v>
      </c>
      <c r="AH2051" s="2" t="str">
        <f ca="1"/>
        <v>Bad</v>
      </c>
    </row>
    <row r="2052" spans="2:34" x14ac:dyDescent="0.2">
      <c r="B2052" s="2">
        <f ca="1"/>
        <v>0.26464318182958291</v>
      </c>
      <c r="O2052" s="2">
        <f ca="1"/>
        <v>1.2967580845531759E-2</v>
      </c>
      <c r="X2052" s="2">
        <f ca="1"/>
        <v>52.488335897049339</v>
      </c>
      <c r="AG2052" s="2">
        <f ca="1"/>
        <v>0.10907894778826543</v>
      </c>
      <c r="AH2052" s="2" t="str">
        <f ca="1"/>
        <v>OK</v>
      </c>
    </row>
    <row r="2053" spans="2:34" x14ac:dyDescent="0.2">
      <c r="B2053" s="2">
        <f ca="1"/>
        <v>0.35335933974467704</v>
      </c>
      <c r="O2053" s="2">
        <f ca="1"/>
        <v>-0.28616292093017309</v>
      </c>
      <c r="X2053" s="2">
        <f ca="1"/>
        <v>61.233682878431914</v>
      </c>
      <c r="AG2053" s="2">
        <f ca="1"/>
        <v>0.32281111044406341</v>
      </c>
      <c r="AH2053" s="2" t="str">
        <f ca="1"/>
        <v>OK</v>
      </c>
    </row>
    <row r="2054" spans="2:34" x14ac:dyDescent="0.2">
      <c r="B2054" s="2">
        <f ca="1"/>
        <v>0.28279022261189102</v>
      </c>
      <c r="O2054" s="2">
        <f ca="1"/>
        <v>2.0110785945095788</v>
      </c>
      <c r="X2054" s="2">
        <f ca="1"/>
        <v>58.318503177042764</v>
      </c>
      <c r="AG2054" s="2">
        <f ca="1"/>
        <v>0.17312804398798409</v>
      </c>
      <c r="AH2054" s="2" t="str">
        <f ca="1"/>
        <v>OK</v>
      </c>
    </row>
    <row r="2055" spans="2:34" x14ac:dyDescent="0.2">
      <c r="B2055" s="2">
        <f ca="1"/>
        <v>0.58122586459414305</v>
      </c>
      <c r="O2055" s="2">
        <f ca="1"/>
        <v>-0.17775453290714952</v>
      </c>
      <c r="X2055" s="2">
        <f ca="1"/>
        <v>63.080524626354418</v>
      </c>
      <c r="AG2055" s="2">
        <f ca="1"/>
        <v>0.14303018127270883</v>
      </c>
      <c r="AH2055" s="2" t="str">
        <f ca="1"/>
        <v>OK</v>
      </c>
    </row>
    <row r="2056" spans="2:34" x14ac:dyDescent="0.2">
      <c r="B2056" s="2">
        <f ca="1"/>
        <v>0.68844450897652099</v>
      </c>
      <c r="O2056" s="2">
        <f ca="1"/>
        <v>-1.3816485951459778</v>
      </c>
      <c r="X2056" s="2">
        <f ca="1"/>
        <v>21.539830345659627</v>
      </c>
      <c r="AG2056" s="2">
        <f ca="1"/>
        <v>0.19294325216547481</v>
      </c>
      <c r="AH2056" s="2" t="str">
        <f ca="1"/>
        <v>OK</v>
      </c>
    </row>
    <row r="2057" spans="2:34" x14ac:dyDescent="0.2">
      <c r="B2057" s="2">
        <f ca="1"/>
        <v>0.23543238439894187</v>
      </c>
      <c r="O2057" s="2">
        <f ca="1"/>
        <v>0.88564438728317341</v>
      </c>
      <c r="X2057" s="2">
        <f ca="1"/>
        <v>72.417468697341022</v>
      </c>
      <c r="AG2057" s="2">
        <f ca="1"/>
        <v>1.6604726340031961E-2</v>
      </c>
      <c r="AH2057" s="2" t="str">
        <f ca="1"/>
        <v>Good</v>
      </c>
    </row>
    <row r="2058" spans="2:34" x14ac:dyDescent="0.2">
      <c r="B2058" s="2">
        <f ca="1"/>
        <v>0.9058754135320668</v>
      </c>
      <c r="O2058" s="2">
        <f ca="1"/>
        <v>-0.64532019206876223</v>
      </c>
      <c r="X2058" s="2">
        <f ca="1"/>
        <v>20.398457288782396</v>
      </c>
      <c r="AG2058" s="2">
        <f ca="1"/>
        <v>0.35064507478736462</v>
      </c>
      <c r="AH2058" s="2" t="str">
        <f ca="1"/>
        <v>OK</v>
      </c>
    </row>
    <row r="2059" spans="2:34" x14ac:dyDescent="0.2">
      <c r="B2059" s="2">
        <f ca="1"/>
        <v>0.84351664062391318</v>
      </c>
      <c r="O2059" s="2">
        <f ca="1"/>
        <v>1.0121720846115636</v>
      </c>
      <c r="X2059" s="2">
        <f ca="1"/>
        <v>35.341268552945714</v>
      </c>
      <c r="AG2059" s="2">
        <f ca="1"/>
        <v>0.83927599135474007</v>
      </c>
      <c r="AH2059" s="2" t="str">
        <f ca="1"/>
        <v>Bad</v>
      </c>
    </row>
    <row r="2060" spans="2:34" x14ac:dyDescent="0.2">
      <c r="B2060" s="2">
        <f ca="1"/>
        <v>0.76665758459235089</v>
      </c>
      <c r="O2060" s="2">
        <f ca="1"/>
        <v>-0.76977602114324029</v>
      </c>
      <c r="X2060" s="2">
        <f ca="1"/>
        <v>68.49868807217355</v>
      </c>
      <c r="AG2060" s="2">
        <f ca="1"/>
        <v>0.64295289948049406</v>
      </c>
      <c r="AH2060" s="2" t="str">
        <f ca="1"/>
        <v>Bad</v>
      </c>
    </row>
    <row r="2061" spans="2:34" x14ac:dyDescent="0.2">
      <c r="B2061" s="2">
        <f ca="1"/>
        <v>0.26402716842935958</v>
      </c>
      <c r="O2061" s="2">
        <f ca="1"/>
        <v>-0.14729703659908575</v>
      </c>
      <c r="X2061" s="2">
        <f ca="1"/>
        <v>46.727282951763272</v>
      </c>
      <c r="AG2061" s="2">
        <f ca="1"/>
        <v>0.38195059088548966</v>
      </c>
      <c r="AH2061" s="2" t="str">
        <f ca="1"/>
        <v>OK</v>
      </c>
    </row>
    <row r="2062" spans="2:34" x14ac:dyDescent="0.2">
      <c r="B2062" s="2">
        <f ca="1"/>
        <v>0.48690855906885089</v>
      </c>
      <c r="O2062" s="2">
        <f ca="1"/>
        <v>-1.4000565076033311</v>
      </c>
      <c r="X2062" s="2">
        <f ca="1"/>
        <v>64.384741695761406</v>
      </c>
      <c r="AG2062" s="2">
        <f ca="1"/>
        <v>0.4189150723429933</v>
      </c>
      <c r="AH2062" s="2" t="str">
        <f ca="1"/>
        <v>Bad</v>
      </c>
    </row>
    <row r="2063" spans="2:34" x14ac:dyDescent="0.2">
      <c r="B2063" s="2">
        <f ca="1"/>
        <v>0.14124906227530087</v>
      </c>
      <c r="O2063" s="2">
        <f ca="1"/>
        <v>0.35796737616308266</v>
      </c>
      <c r="X2063" s="2">
        <f ca="1"/>
        <v>54.750471590871534</v>
      </c>
      <c r="AG2063" s="2">
        <f ca="1"/>
        <v>0.85071904780811036</v>
      </c>
      <c r="AH2063" s="2" t="str">
        <f ca="1"/>
        <v>Bad</v>
      </c>
    </row>
    <row r="2064" spans="2:34" x14ac:dyDescent="0.2">
      <c r="B2064" s="2">
        <f ca="1"/>
        <v>0.70475874554976348</v>
      </c>
      <c r="O2064" s="2">
        <f ca="1"/>
        <v>0.22535577551884897</v>
      </c>
      <c r="X2064" s="2">
        <f ca="1"/>
        <v>55.277777744612003</v>
      </c>
      <c r="AG2064" s="2">
        <f ca="1"/>
        <v>0.61773791038814818</v>
      </c>
      <c r="AH2064" s="2" t="str">
        <f ca="1"/>
        <v>Bad</v>
      </c>
    </row>
    <row r="2065" spans="2:34" x14ac:dyDescent="0.2">
      <c r="B2065" s="2">
        <f ca="1"/>
        <v>0.78048651738097141</v>
      </c>
      <c r="O2065" s="2">
        <f ca="1"/>
        <v>-1.1100070295813216</v>
      </c>
      <c r="X2065" s="2">
        <f ca="1"/>
        <v>32.800575475092238</v>
      </c>
      <c r="AG2065" s="2">
        <f ca="1"/>
        <v>0.56654819029203751</v>
      </c>
      <c r="AH2065" s="2" t="str">
        <f ca="1"/>
        <v>Bad</v>
      </c>
    </row>
    <row r="2066" spans="2:34" x14ac:dyDescent="0.2">
      <c r="B2066" s="2">
        <f ca="1"/>
        <v>0.84354365422049926</v>
      </c>
      <c r="O2066" s="2">
        <f ca="1"/>
        <v>0.2737126542684114</v>
      </c>
      <c r="X2066" s="2">
        <f ca="1"/>
        <v>71.815788990606904</v>
      </c>
      <c r="AG2066" s="2">
        <f ca="1"/>
        <v>0.59578430350628997</v>
      </c>
      <c r="AH2066" s="2" t="str">
        <f ca="1"/>
        <v>Bad</v>
      </c>
    </row>
    <row r="2067" spans="2:34" x14ac:dyDescent="0.2">
      <c r="B2067" s="2">
        <f ca="1"/>
        <v>0.18276440681428019</v>
      </c>
      <c r="O2067" s="2">
        <f ca="1"/>
        <v>-0.83156210261310781</v>
      </c>
      <c r="X2067" s="2">
        <f ca="1"/>
        <v>50.083932063320063</v>
      </c>
      <c r="AG2067" s="2">
        <f ca="1"/>
        <v>0.38822451715420758</v>
      </c>
      <c r="AH2067" s="2" t="str">
        <f ca="1"/>
        <v>OK</v>
      </c>
    </row>
    <row r="2068" spans="2:34" x14ac:dyDescent="0.2">
      <c r="B2068" s="2">
        <f ca="1"/>
        <v>0.86269998246000301</v>
      </c>
      <c r="O2068" s="2">
        <f ca="1"/>
        <v>0.34515435432404418</v>
      </c>
      <c r="X2068" s="2">
        <f ca="1"/>
        <v>38.775907284875665</v>
      </c>
      <c r="AG2068" s="2">
        <f ca="1"/>
        <v>0.35886549199031625</v>
      </c>
      <c r="AH2068" s="2" t="str">
        <f ca="1"/>
        <v>OK</v>
      </c>
    </row>
    <row r="2069" spans="2:34" x14ac:dyDescent="0.2">
      <c r="B2069" s="2">
        <f ca="1"/>
        <v>0.59369852891925134</v>
      </c>
      <c r="O2069" s="2">
        <f ca="1"/>
        <v>-1.0270382575968204</v>
      </c>
      <c r="X2069" s="2">
        <f ca="1"/>
        <v>58.53812589166477</v>
      </c>
      <c r="AG2069" s="2">
        <f ca="1"/>
        <v>0.24883944057741436</v>
      </c>
      <c r="AH2069" s="2" t="str">
        <f ca="1"/>
        <v>OK</v>
      </c>
    </row>
    <row r="2070" spans="2:34" x14ac:dyDescent="0.2">
      <c r="B2070" s="2">
        <f ca="1"/>
        <v>0.13426530422015071</v>
      </c>
      <c r="O2070" s="2">
        <f ca="1"/>
        <v>0.55127701402740092</v>
      </c>
      <c r="X2070" s="2">
        <f ca="1"/>
        <v>37.748553734179737</v>
      </c>
      <c r="AG2070" s="2">
        <f ca="1"/>
        <v>0.41198534714434554</v>
      </c>
      <c r="AH2070" s="2" t="str">
        <f ca="1"/>
        <v>Bad</v>
      </c>
    </row>
    <row r="2071" spans="2:34" x14ac:dyDescent="0.2">
      <c r="B2071" s="2">
        <f ca="1"/>
        <v>0.39807057314692718</v>
      </c>
      <c r="O2071" s="2">
        <f ca="1"/>
        <v>0.72440728283271494</v>
      </c>
      <c r="X2071" s="2">
        <f ca="1"/>
        <v>55.465334347611901</v>
      </c>
      <c r="AG2071" s="2">
        <f ca="1"/>
        <v>0.78411376094586149</v>
      </c>
      <c r="AH2071" s="2" t="str">
        <f ca="1"/>
        <v>Bad</v>
      </c>
    </row>
    <row r="2072" spans="2:34" x14ac:dyDescent="0.2">
      <c r="B2072" s="2">
        <f ca="1"/>
        <v>9.9809949180575064E-2</v>
      </c>
      <c r="O2072" s="2">
        <f ca="1"/>
        <v>0.52297319060548186</v>
      </c>
      <c r="X2072" s="2">
        <f ca="1"/>
        <v>49.673211840757361</v>
      </c>
      <c r="AG2072" s="2">
        <f ca="1"/>
        <v>0.23330135342920899</v>
      </c>
      <c r="AH2072" s="2" t="str">
        <f ca="1"/>
        <v>OK</v>
      </c>
    </row>
    <row r="2073" spans="2:34" x14ac:dyDescent="0.2">
      <c r="B2073" s="2">
        <f ca="1"/>
        <v>0.56788051686729379</v>
      </c>
      <c r="O2073" s="2">
        <f ca="1"/>
        <v>-0.91214033259755567</v>
      </c>
      <c r="X2073" s="2">
        <f ca="1"/>
        <v>44.866172150723713</v>
      </c>
      <c r="AG2073" s="2">
        <f ca="1"/>
        <v>0.33166392413248924</v>
      </c>
      <c r="AH2073" s="2" t="str">
        <f ca="1"/>
        <v>OK</v>
      </c>
    </row>
    <row r="2074" spans="2:34" x14ac:dyDescent="0.2">
      <c r="B2074" s="2">
        <f ca="1"/>
        <v>0.50374547930820457</v>
      </c>
      <c r="O2074" s="2">
        <f ca="1"/>
        <v>0.14220894783403928</v>
      </c>
      <c r="X2074" s="2">
        <f ca="1"/>
        <v>60.276748020576647</v>
      </c>
      <c r="AG2074" s="2">
        <f ca="1"/>
        <v>0.72940602873464377</v>
      </c>
      <c r="AH2074" s="2" t="str">
        <f ca="1"/>
        <v>Bad</v>
      </c>
    </row>
    <row r="2075" spans="2:34" x14ac:dyDescent="0.2">
      <c r="B2075" s="2">
        <f ca="1"/>
        <v>0.13176186149536728</v>
      </c>
      <c r="O2075" s="2">
        <f ca="1"/>
        <v>0.76486376255911714</v>
      </c>
      <c r="X2075" s="2">
        <f ca="1"/>
        <v>39.015138712924909</v>
      </c>
      <c r="AG2075" s="2">
        <f ca="1"/>
        <v>0.2429266033074442</v>
      </c>
      <c r="AH2075" s="2" t="str">
        <f ca="1"/>
        <v>OK</v>
      </c>
    </row>
    <row r="2076" spans="2:34" x14ac:dyDescent="0.2">
      <c r="B2076" s="2">
        <f ca="1"/>
        <v>1.5616809145850841E-2</v>
      </c>
      <c r="O2076" s="2">
        <f ca="1"/>
        <v>0.50026076613634884</v>
      </c>
      <c r="X2076" s="2">
        <f ca="1"/>
        <v>22.397235942711724</v>
      </c>
      <c r="AG2076" s="2">
        <f ca="1"/>
        <v>6.7037300008067069E-2</v>
      </c>
      <c r="AH2076" s="2" t="str">
        <f ca="1"/>
        <v>OK</v>
      </c>
    </row>
    <row r="2077" spans="2:34" x14ac:dyDescent="0.2">
      <c r="B2077" s="2">
        <f ca="1"/>
        <v>0.27119327776492885</v>
      </c>
      <c r="O2077" s="2">
        <f ca="1"/>
        <v>2.1481577183814595</v>
      </c>
      <c r="X2077" s="2">
        <f ca="1"/>
        <v>49.980920905622234</v>
      </c>
      <c r="AG2077" s="2">
        <f ca="1"/>
        <v>0.48286238033774875</v>
      </c>
      <c r="AH2077" s="2" t="str">
        <f ca="1"/>
        <v>Bad</v>
      </c>
    </row>
    <row r="2078" spans="2:34" x14ac:dyDescent="0.2">
      <c r="B2078" s="2">
        <f ca="1"/>
        <v>0.54822831079161594</v>
      </c>
      <c r="O2078" s="2">
        <f ca="1"/>
        <v>-1.1476331017741712</v>
      </c>
      <c r="X2078" s="2">
        <f ca="1"/>
        <v>70.493249390377756</v>
      </c>
      <c r="AG2078" s="2">
        <f ca="1"/>
        <v>0.10183309766216264</v>
      </c>
      <c r="AH2078" s="2" t="str">
        <f ca="1"/>
        <v>OK</v>
      </c>
    </row>
    <row r="2079" spans="2:34" x14ac:dyDescent="0.2">
      <c r="B2079" s="2">
        <f ca="1"/>
        <v>0.43021438985868343</v>
      </c>
      <c r="O2079" s="2">
        <f ca="1"/>
        <v>-1.3101639302004757</v>
      </c>
      <c r="X2079" s="2">
        <f ca="1"/>
        <v>77.52348286249304</v>
      </c>
      <c r="AG2079" s="2">
        <f ca="1"/>
        <v>0.38598313301113296</v>
      </c>
      <c r="AH2079" s="2" t="str">
        <f ca="1"/>
        <v>OK</v>
      </c>
    </row>
    <row r="2080" spans="2:34" x14ac:dyDescent="0.2">
      <c r="B2080" s="2">
        <f ca="1"/>
        <v>0.7729519948242205</v>
      </c>
      <c r="O2080" s="2">
        <f ca="1"/>
        <v>-0.89246894872396842</v>
      </c>
      <c r="X2080" s="2">
        <f ca="1"/>
        <v>51.309385695427999</v>
      </c>
      <c r="AG2080" s="2">
        <f ca="1"/>
        <v>0.83117350005393087</v>
      </c>
      <c r="AH2080" s="2" t="str">
        <f ca="1"/>
        <v>Bad</v>
      </c>
    </row>
    <row r="2081" spans="2:34" x14ac:dyDescent="0.2">
      <c r="B2081" s="2">
        <f ca="1"/>
        <v>0.88867103743681031</v>
      </c>
      <c r="O2081" s="2">
        <f ca="1"/>
        <v>-0.14634577838571572</v>
      </c>
      <c r="X2081" s="2">
        <f ca="1"/>
        <v>55.538533514169202</v>
      </c>
      <c r="AG2081" s="2">
        <f ca="1"/>
        <v>0.87157022875913381</v>
      </c>
      <c r="AH2081" s="2" t="str">
        <f ca="1"/>
        <v>Bad</v>
      </c>
    </row>
    <row r="2082" spans="2:34" x14ac:dyDescent="0.2">
      <c r="B2082" s="2">
        <f ca="1"/>
        <v>0.65899350366569687</v>
      </c>
      <c r="O2082" s="2">
        <f ca="1"/>
        <v>-0.4062092200573173</v>
      </c>
      <c r="X2082" s="2">
        <f ca="1"/>
        <v>34.962638338071585</v>
      </c>
      <c r="AG2082" s="2">
        <f ca="1"/>
        <v>0.49509527579084311</v>
      </c>
      <c r="AH2082" s="2" t="str">
        <f ca="1"/>
        <v>Bad</v>
      </c>
    </row>
    <row r="2083" spans="2:34" x14ac:dyDescent="0.2">
      <c r="B2083" s="2">
        <f ca="1"/>
        <v>0.44842889843246447</v>
      </c>
      <c r="O2083" s="2">
        <f ca="1"/>
        <v>-3.6401073638632042E-2</v>
      </c>
      <c r="X2083" s="2">
        <f ca="1"/>
        <v>40.503049267697051</v>
      </c>
      <c r="AG2083" s="2">
        <f ca="1"/>
        <v>0.49296501662862768</v>
      </c>
      <c r="AH2083" s="2" t="str">
        <f ca="1"/>
        <v>Bad</v>
      </c>
    </row>
    <row r="2084" spans="2:34" x14ac:dyDescent="0.2">
      <c r="B2084" s="2">
        <f ca="1"/>
        <v>0.2350148388983091</v>
      </c>
      <c r="O2084" s="2">
        <f ca="1"/>
        <v>0.28309832411788416</v>
      </c>
      <c r="X2084" s="2">
        <f ca="1"/>
        <v>78.907027647131926</v>
      </c>
      <c r="AG2084" s="2">
        <f ca="1"/>
        <v>0.39021129837823176</v>
      </c>
      <c r="AH2084" s="2" t="str">
        <f ca="1"/>
        <v>OK</v>
      </c>
    </row>
    <row r="2085" spans="2:34" x14ac:dyDescent="0.2">
      <c r="B2085" s="2">
        <f ca="1"/>
        <v>0.83566249626571376</v>
      </c>
      <c r="O2085" s="2">
        <f ca="1"/>
        <v>-0.66661876162737743</v>
      </c>
      <c r="X2085" s="2">
        <f ca="1"/>
        <v>35.383486994496465</v>
      </c>
      <c r="AG2085" s="2">
        <f ca="1"/>
        <v>0.21503296335599287</v>
      </c>
      <c r="AH2085" s="2" t="str">
        <f ca="1"/>
        <v>OK</v>
      </c>
    </row>
    <row r="2086" spans="2:34" x14ac:dyDescent="0.2">
      <c r="B2086" s="2">
        <f ca="1"/>
        <v>0.438451225179042</v>
      </c>
      <c r="O2086" s="2">
        <f ca="1"/>
        <v>1.2418042217277929</v>
      </c>
      <c r="X2086" s="2">
        <f ca="1"/>
        <v>47.45757761170686</v>
      </c>
      <c r="AG2086" s="2">
        <f ca="1"/>
        <v>0.35486520067500527</v>
      </c>
      <c r="AH2086" s="2" t="str">
        <f ca="1"/>
        <v>OK</v>
      </c>
    </row>
    <row r="2087" spans="2:34" x14ac:dyDescent="0.2">
      <c r="B2087" s="2">
        <f ca="1"/>
        <v>0.33384566821587591</v>
      </c>
      <c r="O2087" s="2">
        <f ca="1"/>
        <v>-2.0816386484191263</v>
      </c>
      <c r="X2087" s="2">
        <f ca="1"/>
        <v>64.806770460312194</v>
      </c>
      <c r="AG2087" s="2">
        <f ca="1"/>
        <v>0.21316268628098367</v>
      </c>
      <c r="AH2087" s="2" t="str">
        <f ca="1"/>
        <v>OK</v>
      </c>
    </row>
    <row r="2088" spans="2:34" x14ac:dyDescent="0.2">
      <c r="B2088" s="2">
        <f ca="1"/>
        <v>0.89571274583801452</v>
      </c>
      <c r="O2088" s="2">
        <f ca="1"/>
        <v>-0.89455685330139079</v>
      </c>
      <c r="X2088" s="2">
        <f ca="1"/>
        <v>74.489085765562592</v>
      </c>
      <c r="AG2088" s="2">
        <f ca="1"/>
        <v>0.93775615333244478</v>
      </c>
      <c r="AH2088" s="2" t="str">
        <f ca="1"/>
        <v>Bad</v>
      </c>
    </row>
    <row r="2089" spans="2:34" x14ac:dyDescent="0.2">
      <c r="B2089" s="2">
        <f ca="1"/>
        <v>7.7902437734051144E-2</v>
      </c>
      <c r="O2089" s="2">
        <f ca="1"/>
        <v>-0.36347378558464882</v>
      </c>
      <c r="X2089" s="2">
        <f ca="1"/>
        <v>51.957160315891969</v>
      </c>
      <c r="AG2089" s="2">
        <f ca="1"/>
        <v>0.66013488498453632</v>
      </c>
      <c r="AH2089" s="2" t="str">
        <f ca="1"/>
        <v>Bad</v>
      </c>
    </row>
    <row r="2090" spans="2:34" x14ac:dyDescent="0.2">
      <c r="B2090" s="2">
        <f ca="1"/>
        <v>0.68815805194752411</v>
      </c>
      <c r="O2090" s="2">
        <f ca="1"/>
        <v>0.53166443725677182</v>
      </c>
      <c r="X2090" s="2">
        <f ca="1"/>
        <v>55.754447039392304</v>
      </c>
      <c r="AG2090" s="2">
        <f ca="1"/>
        <v>0.77058089761345383</v>
      </c>
      <c r="AH2090" s="2" t="str">
        <f ca="1"/>
        <v>Bad</v>
      </c>
    </row>
    <row r="2091" spans="2:34" x14ac:dyDescent="0.2">
      <c r="B2091" s="2">
        <f ca="1"/>
        <v>0.84376361907256081</v>
      </c>
      <c r="O2091" s="2">
        <f ca="1"/>
        <v>-0.63382074540212419</v>
      </c>
      <c r="X2091" s="2">
        <f ca="1"/>
        <v>58.898164563403554</v>
      </c>
      <c r="AG2091" s="2">
        <f ca="1"/>
        <v>0.29701165715615097</v>
      </c>
      <c r="AH2091" s="2" t="str">
        <f ca="1"/>
        <v>OK</v>
      </c>
    </row>
    <row r="2092" spans="2:34" x14ac:dyDescent="0.2">
      <c r="B2092" s="2">
        <f ca="1"/>
        <v>0.32872994201018146</v>
      </c>
      <c r="O2092" s="2">
        <f ca="1"/>
        <v>-1.9460582756043954</v>
      </c>
      <c r="X2092" s="2">
        <f ca="1"/>
        <v>31.755970450222009</v>
      </c>
      <c r="AG2092" s="2">
        <f ca="1"/>
        <v>0.67032071075705946</v>
      </c>
      <c r="AH2092" s="2" t="str">
        <f ca="1"/>
        <v>Bad</v>
      </c>
    </row>
    <row r="2093" spans="2:34" x14ac:dyDescent="0.2">
      <c r="B2093" s="2">
        <f ca="1"/>
        <v>0.23863200543314411</v>
      </c>
      <c r="O2093" s="2">
        <f ca="1"/>
        <v>-1.8601393219345872</v>
      </c>
      <c r="X2093" s="2">
        <f ca="1"/>
        <v>37.109079367203144</v>
      </c>
      <c r="AG2093" s="2">
        <f ca="1"/>
        <v>0.12548923785424493</v>
      </c>
      <c r="AH2093" s="2" t="str">
        <f ca="1"/>
        <v>OK</v>
      </c>
    </row>
    <row r="2094" spans="2:34" x14ac:dyDescent="0.2">
      <c r="B2094" s="2">
        <f ca="1"/>
        <v>0.7694651408900528</v>
      </c>
      <c r="O2094" s="2">
        <f ca="1"/>
        <v>-0.36941534418075156</v>
      </c>
      <c r="X2094" s="2">
        <f ca="1"/>
        <v>27.265027526865062</v>
      </c>
      <c r="AG2094" s="2">
        <f ca="1"/>
        <v>0.53237758826422321</v>
      </c>
      <c r="AH2094" s="2" t="str">
        <f ca="1"/>
        <v>Bad</v>
      </c>
    </row>
    <row r="2095" spans="2:34" x14ac:dyDescent="0.2">
      <c r="B2095" s="2">
        <f ca="1"/>
        <v>1.2321236238546529E-2</v>
      </c>
      <c r="O2095" s="2">
        <f ca="1"/>
        <v>-3.4574939924300518</v>
      </c>
      <c r="X2095" s="2">
        <f ca="1"/>
        <v>47.448914531692537</v>
      </c>
      <c r="AG2095" s="2">
        <f ca="1"/>
        <v>0.2835515948397187</v>
      </c>
      <c r="AH2095" s="2" t="str">
        <f ca="1"/>
        <v>OK</v>
      </c>
    </row>
    <row r="2096" spans="2:34" x14ac:dyDescent="0.2">
      <c r="B2096" s="2">
        <f ca="1"/>
        <v>0.18625982635013538</v>
      </c>
      <c r="O2096" s="2">
        <f ca="1"/>
        <v>0.28079301925256561</v>
      </c>
      <c r="X2096" s="2">
        <f ca="1"/>
        <v>34.548460670876302</v>
      </c>
      <c r="AG2096" s="2">
        <f ca="1"/>
        <v>7.5019746654528818E-2</v>
      </c>
      <c r="AH2096" s="2" t="str">
        <f ca="1"/>
        <v>OK</v>
      </c>
    </row>
    <row r="2097" spans="2:34" x14ac:dyDescent="0.2">
      <c r="B2097" s="2">
        <f ca="1"/>
        <v>0.6512071550866434</v>
      </c>
      <c r="O2097" s="2">
        <f ca="1"/>
        <v>8.7541815619015209E-2</v>
      </c>
      <c r="X2097" s="2">
        <f ca="1"/>
        <v>38.092246294313156</v>
      </c>
      <c r="AG2097" s="2">
        <f ca="1"/>
        <v>0.77087327033072239</v>
      </c>
      <c r="AH2097" s="2" t="str">
        <f ca="1"/>
        <v>Bad</v>
      </c>
    </row>
    <row r="2098" spans="2:34" x14ac:dyDescent="0.2">
      <c r="B2098" s="2">
        <f ca="1"/>
        <v>0.89196616104257553</v>
      </c>
      <c r="O2098" s="2">
        <f ca="1"/>
        <v>0.91333751697105792</v>
      </c>
      <c r="X2098" s="2">
        <f ca="1"/>
        <v>25.804955165484216</v>
      </c>
      <c r="AG2098" s="2">
        <f ca="1"/>
        <v>0.63272943587868768</v>
      </c>
      <c r="AH2098" s="2" t="str">
        <f ca="1"/>
        <v>Bad</v>
      </c>
    </row>
    <row r="2099" spans="2:34" x14ac:dyDescent="0.2">
      <c r="B2099" s="2">
        <f ca="1"/>
        <v>0.97634845401088133</v>
      </c>
      <c r="O2099" s="2">
        <f ca="1"/>
        <v>-0.20622868457788501</v>
      </c>
      <c r="X2099" s="2">
        <f ca="1"/>
        <v>48.735023289199553</v>
      </c>
      <c r="AG2099" s="2">
        <f ca="1"/>
        <v>0.29160960246741241</v>
      </c>
      <c r="AH2099" s="2" t="str">
        <f ca="1"/>
        <v>OK</v>
      </c>
    </row>
    <row r="2100" spans="2:34" x14ac:dyDescent="0.2">
      <c r="B2100" s="2">
        <f ca="1"/>
        <v>0.58612333113536219</v>
      </c>
      <c r="O2100" s="2">
        <f ca="1"/>
        <v>-0.22967730950052839</v>
      </c>
      <c r="X2100" s="2">
        <f ca="1"/>
        <v>55.015310236699605</v>
      </c>
      <c r="AG2100" s="2">
        <f ca="1"/>
        <v>0.20424530733958313</v>
      </c>
      <c r="AH2100" s="2" t="str">
        <f ca="1"/>
        <v>OK</v>
      </c>
    </row>
    <row r="2101" spans="2:34" x14ac:dyDescent="0.2">
      <c r="B2101" s="2">
        <f ca="1"/>
        <v>0.18489246578086505</v>
      </c>
      <c r="O2101" s="2">
        <f ca="1"/>
        <v>1.6312154246212198</v>
      </c>
      <c r="X2101" s="2">
        <f ca="1"/>
        <v>57.320019784286416</v>
      </c>
      <c r="AG2101" s="2">
        <f ca="1"/>
        <v>0.93611478848477936</v>
      </c>
      <c r="AH2101" s="2" t="str">
        <f ca="1"/>
        <v>Bad</v>
      </c>
    </row>
    <row r="2102" spans="2:34" x14ac:dyDescent="0.2">
      <c r="B2102" s="2">
        <f ca="1"/>
        <v>0.96775589459922728</v>
      </c>
      <c r="O2102" s="2">
        <f ca="1"/>
        <v>0.27712929161954769</v>
      </c>
      <c r="X2102" s="2">
        <f ca="1"/>
        <v>50.382933508265964</v>
      </c>
      <c r="AG2102" s="2">
        <f ca="1"/>
        <v>0.14443198024611559</v>
      </c>
      <c r="AH2102" s="2" t="str">
        <f ca="1"/>
        <v>OK</v>
      </c>
    </row>
    <row r="2103" spans="2:34" x14ac:dyDescent="0.2">
      <c r="B2103" s="2">
        <f ca="1"/>
        <v>8.0322286351968364E-2</v>
      </c>
      <c r="O2103" s="2">
        <f ca="1"/>
        <v>-3.190501774991935E-2</v>
      </c>
      <c r="X2103" s="2">
        <f ca="1"/>
        <v>36.080769581509955</v>
      </c>
      <c r="AG2103" s="2">
        <f ca="1"/>
        <v>0.67443706450820873</v>
      </c>
      <c r="AH2103" s="2" t="str">
        <f ca="1"/>
        <v>Bad</v>
      </c>
    </row>
    <row r="2104" spans="2:34" x14ac:dyDescent="0.2">
      <c r="B2104" s="2">
        <f ca="1"/>
        <v>0.71648007833592997</v>
      </c>
      <c r="O2104" s="2">
        <f ca="1"/>
        <v>0.46054905248916422</v>
      </c>
      <c r="X2104" s="2">
        <f ca="1"/>
        <v>25.128418124628173</v>
      </c>
      <c r="AG2104" s="2">
        <f ca="1"/>
        <v>0.21945764191266015</v>
      </c>
      <c r="AH2104" s="2" t="str">
        <f ca="1"/>
        <v>OK</v>
      </c>
    </row>
    <row r="2105" spans="2:34" x14ac:dyDescent="0.2">
      <c r="B2105" s="2">
        <f ca="1"/>
        <v>0.83621977675925074</v>
      </c>
      <c r="O2105" s="2">
        <f ca="1"/>
        <v>0.71433872560956457</v>
      </c>
      <c r="X2105" s="2">
        <f ca="1"/>
        <v>63.15346282214886</v>
      </c>
      <c r="AG2105" s="2">
        <f ca="1"/>
        <v>0.8761471890168937</v>
      </c>
      <c r="AH2105" s="2" t="str">
        <f ca="1"/>
        <v>Bad</v>
      </c>
    </row>
    <row r="2106" spans="2:34" x14ac:dyDescent="0.2">
      <c r="B2106" s="2">
        <f ca="1"/>
        <v>0.29334671545982527</v>
      </c>
      <c r="O2106" s="2">
        <f ca="1"/>
        <v>-1.2813386085289262</v>
      </c>
      <c r="X2106" s="2">
        <f ca="1"/>
        <v>51.921168664247219</v>
      </c>
      <c r="AG2106" s="2">
        <f ca="1"/>
        <v>0.25357493607698189</v>
      </c>
      <c r="AH2106" s="2" t="str">
        <f ca="1"/>
        <v>OK</v>
      </c>
    </row>
    <row r="2107" spans="2:34" x14ac:dyDescent="0.2">
      <c r="B2107" s="2">
        <f ca="1"/>
        <v>0.83564046914261692</v>
      </c>
      <c r="O2107" s="2">
        <f ca="1"/>
        <v>0.42529133850935724</v>
      </c>
      <c r="X2107" s="2">
        <f ca="1"/>
        <v>48.075122939449329</v>
      </c>
      <c r="AG2107" s="2">
        <f ca="1"/>
        <v>3.4144564564365432E-2</v>
      </c>
      <c r="AH2107" s="2" t="str">
        <f ca="1"/>
        <v>Good</v>
      </c>
    </row>
    <row r="2108" spans="2:34" x14ac:dyDescent="0.2">
      <c r="B2108" s="2">
        <f ca="1"/>
        <v>0.8852906372690208</v>
      </c>
      <c r="O2108" s="2">
        <f ca="1"/>
        <v>-1.5419382856031052</v>
      </c>
      <c r="X2108" s="2">
        <f ca="1"/>
        <v>55.147890679641634</v>
      </c>
      <c r="AG2108" s="2">
        <f ca="1"/>
        <v>0.65495415525378387</v>
      </c>
      <c r="AH2108" s="2" t="str">
        <f ca="1"/>
        <v>Bad</v>
      </c>
    </row>
    <row r="2109" spans="2:34" x14ac:dyDescent="0.2">
      <c r="B2109" s="2">
        <f ca="1"/>
        <v>0.76535710214929553</v>
      </c>
      <c r="O2109" s="2">
        <f ca="1"/>
        <v>-1.7378012753208791</v>
      </c>
      <c r="X2109" s="2">
        <f ca="1"/>
        <v>41.217085594472103</v>
      </c>
      <c r="AG2109" s="2">
        <f ca="1"/>
        <v>0.27140775709249931</v>
      </c>
      <c r="AH2109" s="2" t="str">
        <f ca="1"/>
        <v>OK</v>
      </c>
    </row>
    <row r="2110" spans="2:34" x14ac:dyDescent="0.2">
      <c r="B2110" s="2">
        <f ca="1"/>
        <v>0.91381067241948788</v>
      </c>
      <c r="O2110" s="2">
        <f ca="1"/>
        <v>0.18732292842241327</v>
      </c>
      <c r="X2110" s="2">
        <f ca="1"/>
        <v>38.459138171857113</v>
      </c>
      <c r="AG2110" s="2">
        <f ca="1"/>
        <v>0.33575082735152773</v>
      </c>
      <c r="AH2110" s="2" t="str">
        <f ca="1"/>
        <v>OK</v>
      </c>
    </row>
    <row r="2111" spans="2:34" x14ac:dyDescent="0.2">
      <c r="B2111" s="2">
        <f ca="1"/>
        <v>0.18251244973817116</v>
      </c>
      <c r="O2111" s="2">
        <f ca="1"/>
        <v>-1.1275517851243728</v>
      </c>
      <c r="X2111" s="2">
        <f ca="1"/>
        <v>43.037901421189076</v>
      </c>
      <c r="AG2111" s="2">
        <f ca="1"/>
        <v>0.27871784553462597</v>
      </c>
      <c r="AH2111" s="2" t="str">
        <f ca="1"/>
        <v>OK</v>
      </c>
    </row>
    <row r="2112" spans="2:34" x14ac:dyDescent="0.2">
      <c r="B2112" s="2">
        <f ca="1"/>
        <v>0.13823145011221016</v>
      </c>
      <c r="O2112" s="2">
        <f ca="1"/>
        <v>-2.2558418651073731</v>
      </c>
      <c r="X2112" s="2">
        <f ca="1"/>
        <v>61.072208727773976</v>
      </c>
      <c r="AG2112" s="2">
        <f ca="1"/>
        <v>0.37608380043905476</v>
      </c>
      <c r="AH2112" s="2" t="str">
        <f ca="1"/>
        <v>OK</v>
      </c>
    </row>
    <row r="2113" spans="2:34" x14ac:dyDescent="0.2">
      <c r="B2113" s="2">
        <f ca="1"/>
        <v>5.8251386308971309E-2</v>
      </c>
      <c r="O2113" s="2">
        <f ca="1"/>
        <v>2.2813483363837279</v>
      </c>
      <c r="X2113" s="2">
        <f ca="1"/>
        <v>56.618444327782115</v>
      </c>
      <c r="AG2113" s="2">
        <f ca="1"/>
        <v>0.999718981930384</v>
      </c>
      <c r="AH2113" s="2" t="str">
        <f ca="1"/>
        <v>Bad</v>
      </c>
    </row>
    <row r="2114" spans="2:34" x14ac:dyDescent="0.2">
      <c r="B2114" s="2">
        <f ca="1"/>
        <v>0.29247966042721818</v>
      </c>
      <c r="O2114" s="2">
        <f ca="1"/>
        <v>-1.2174169473775145</v>
      </c>
      <c r="X2114" s="2">
        <f ca="1"/>
        <v>64.215743888944061</v>
      </c>
      <c r="AG2114" s="2">
        <f ca="1"/>
        <v>0.49523273443128857</v>
      </c>
      <c r="AH2114" s="2" t="str">
        <f ca="1"/>
        <v>Bad</v>
      </c>
    </row>
    <row r="2115" spans="2:34" x14ac:dyDescent="0.2">
      <c r="B2115" s="2">
        <f ca="1"/>
        <v>0.39579840579707182</v>
      </c>
      <c r="O2115" s="2">
        <f ca="1"/>
        <v>-0.61740454235573983</v>
      </c>
      <c r="X2115" s="2">
        <f ca="1"/>
        <v>67.621855782080587</v>
      </c>
      <c r="AG2115" s="2">
        <f ca="1"/>
        <v>0.41490512591983042</v>
      </c>
      <c r="AH2115" s="2" t="str">
        <f ca="1"/>
        <v>Bad</v>
      </c>
    </row>
    <row r="2116" spans="2:34" x14ac:dyDescent="0.2">
      <c r="B2116" s="2">
        <f ca="1"/>
        <v>0.174484458390463</v>
      </c>
      <c r="O2116" s="2">
        <f ca="1"/>
        <v>0.81536884178085467</v>
      </c>
      <c r="X2116" s="2">
        <f ca="1"/>
        <v>48.802626744805231</v>
      </c>
      <c r="AG2116" s="2">
        <f ca="1"/>
        <v>0.15945283279033529</v>
      </c>
      <c r="AH2116" s="2" t="str">
        <f ca="1"/>
        <v>OK</v>
      </c>
    </row>
    <row r="2117" spans="2:34" x14ac:dyDescent="0.2">
      <c r="B2117" s="2">
        <f ca="1"/>
        <v>0.89060333274173176</v>
      </c>
      <c r="O2117" s="2">
        <f ca="1"/>
        <v>-0.12981720311593298</v>
      </c>
      <c r="X2117" s="2">
        <f ca="1"/>
        <v>56.958053379907611</v>
      </c>
      <c r="AG2117" s="2">
        <f ca="1"/>
        <v>0.75179346295313487</v>
      </c>
      <c r="AH2117" s="2" t="str">
        <f ca="1"/>
        <v>Bad</v>
      </c>
    </row>
    <row r="2118" spans="2:34" x14ac:dyDescent="0.2">
      <c r="B2118" s="2">
        <f ca="1"/>
        <v>0.12754043803509685</v>
      </c>
      <c r="O2118" s="2">
        <f ca="1"/>
        <v>0.61208802192501022</v>
      </c>
      <c r="X2118" s="2">
        <f ca="1"/>
        <v>57.057846579914781</v>
      </c>
      <c r="AG2118" s="2">
        <f ca="1"/>
        <v>0.75022477547845612</v>
      </c>
      <c r="AH2118" s="2" t="str">
        <f ca="1"/>
        <v>Bad</v>
      </c>
    </row>
    <row r="2119" spans="2:34" x14ac:dyDescent="0.2">
      <c r="B2119" s="2">
        <f ca="1"/>
        <v>0.99865669217030439</v>
      </c>
      <c r="O2119" s="2">
        <f ca="1"/>
        <v>-0.31062514921186968</v>
      </c>
      <c r="X2119" s="2">
        <f ca="1"/>
        <v>31.218309523305017</v>
      </c>
      <c r="AG2119" s="2">
        <f ca="1"/>
        <v>0.63167855052050559</v>
      </c>
      <c r="AH2119" s="2" t="str">
        <f ca="1"/>
        <v>Bad</v>
      </c>
    </row>
    <row r="2120" spans="2:34" x14ac:dyDescent="0.2">
      <c r="B2120" s="2">
        <f ca="1"/>
        <v>0.23982015794771105</v>
      </c>
      <c r="O2120" s="2">
        <f ca="1"/>
        <v>-0.87561524538264934</v>
      </c>
      <c r="X2120" s="2">
        <f ca="1"/>
        <v>42.988303662772019</v>
      </c>
      <c r="AG2120" s="2">
        <f ca="1"/>
        <v>0.51781555657398548</v>
      </c>
      <c r="AH2120" s="2" t="str">
        <f ca="1"/>
        <v>Bad</v>
      </c>
    </row>
    <row r="2121" spans="2:34" x14ac:dyDescent="0.2">
      <c r="B2121" s="2">
        <f ca="1"/>
        <v>0.8923540130333012</v>
      </c>
      <c r="O2121" s="2">
        <f ca="1"/>
        <v>-1.2192971431248725</v>
      </c>
      <c r="X2121" s="2">
        <f ca="1"/>
        <v>26.710361627325923</v>
      </c>
      <c r="AG2121" s="2">
        <f ca="1"/>
        <v>0.19933232429625036</v>
      </c>
      <c r="AH2121" s="2" t="str">
        <f ca="1"/>
        <v>OK</v>
      </c>
    </row>
    <row r="2122" spans="2:34" x14ac:dyDescent="0.2">
      <c r="B2122" s="2">
        <f ca="1"/>
        <v>0.41468377324046668</v>
      </c>
      <c r="O2122" s="2">
        <f ca="1"/>
        <v>-0.65900434583825152</v>
      </c>
      <c r="X2122" s="2">
        <f ca="1"/>
        <v>74.924290514475672</v>
      </c>
      <c r="AG2122" s="2">
        <f ca="1"/>
        <v>0.66181727523186407</v>
      </c>
      <c r="AH2122" s="2" t="str">
        <f ca="1"/>
        <v>Bad</v>
      </c>
    </row>
    <row r="2123" spans="2:34" x14ac:dyDescent="0.2">
      <c r="B2123" s="2">
        <f ca="1"/>
        <v>0.77972668259053712</v>
      </c>
      <c r="O2123" s="2">
        <f ca="1"/>
        <v>0.81019924185774184</v>
      </c>
      <c r="X2123" s="2">
        <f ca="1"/>
        <v>54.765572309891546</v>
      </c>
      <c r="AG2123" s="2">
        <f ca="1"/>
        <v>0.15419123766167164</v>
      </c>
      <c r="AH2123" s="2" t="str">
        <f ca="1"/>
        <v>OK</v>
      </c>
    </row>
    <row r="2124" spans="2:34" x14ac:dyDescent="0.2">
      <c r="B2124" s="2">
        <f ca="1"/>
        <v>0.71698556745882014</v>
      </c>
      <c r="O2124" s="2">
        <f ca="1"/>
        <v>-0.31764238597805422</v>
      </c>
      <c r="X2124" s="2">
        <f ca="1"/>
        <v>42.252227330119197</v>
      </c>
      <c r="AG2124" s="2">
        <f ca="1"/>
        <v>9.7467471350132229E-2</v>
      </c>
      <c r="AH2124" s="2" t="str">
        <f ca="1"/>
        <v>OK</v>
      </c>
    </row>
    <row r="2125" spans="2:34" x14ac:dyDescent="0.2">
      <c r="B2125" s="2">
        <f ca="1"/>
        <v>0.36199300244156052</v>
      </c>
      <c r="O2125" s="2">
        <f ca="1"/>
        <v>-0.13233279382205843</v>
      </c>
      <c r="X2125" s="2">
        <f ca="1"/>
        <v>49.961849968344367</v>
      </c>
      <c r="AG2125" s="2">
        <f ca="1"/>
        <v>0.59734603934869024</v>
      </c>
      <c r="AH2125" s="2" t="str">
        <f ca="1"/>
        <v>Bad</v>
      </c>
    </row>
    <row r="2126" spans="2:34" x14ac:dyDescent="0.2">
      <c r="B2126" s="2">
        <f ca="1"/>
        <v>0.62573576808906406</v>
      </c>
      <c r="O2126" s="2">
        <f ca="1"/>
        <v>1.2545113283961919</v>
      </c>
      <c r="X2126" s="2">
        <f ca="1"/>
        <v>65.051404501537206</v>
      </c>
      <c r="AG2126" s="2">
        <f ca="1"/>
        <v>0.68444150406573989</v>
      </c>
      <c r="AH2126" s="2" t="str">
        <f ca="1"/>
        <v>Bad</v>
      </c>
    </row>
    <row r="2127" spans="2:34" x14ac:dyDescent="0.2">
      <c r="B2127" s="2">
        <f ca="1"/>
        <v>0.1793790025539328</v>
      </c>
      <c r="O2127" s="2">
        <f ca="1"/>
        <v>-1.163101963899841</v>
      </c>
      <c r="X2127" s="2">
        <f ca="1"/>
        <v>29.343544946466537</v>
      </c>
      <c r="AG2127" s="2">
        <f ca="1"/>
        <v>0.59557592863864062</v>
      </c>
      <c r="AH2127" s="2" t="str">
        <f ca="1"/>
        <v>Bad</v>
      </c>
    </row>
    <row r="2128" spans="2:34" x14ac:dyDescent="0.2">
      <c r="B2128" s="2">
        <f ca="1"/>
        <v>0.92679499648902164</v>
      </c>
      <c r="O2128" s="2">
        <f ca="1"/>
        <v>1.7433926478364614</v>
      </c>
      <c r="X2128" s="2">
        <f ca="1"/>
        <v>29.146165936452672</v>
      </c>
      <c r="AG2128" s="2">
        <f ca="1"/>
        <v>0.25749615518287716</v>
      </c>
      <c r="AH2128" s="2" t="str">
        <f ca="1"/>
        <v>OK</v>
      </c>
    </row>
    <row r="2129" spans="2:34" x14ac:dyDescent="0.2">
      <c r="B2129" s="2">
        <f ca="1"/>
        <v>0.49065633119609608</v>
      </c>
      <c r="O2129" s="2">
        <f ca="1"/>
        <v>-0.32869869929115803</v>
      </c>
      <c r="X2129" s="2">
        <f ca="1"/>
        <v>78.956348257785052</v>
      </c>
      <c r="AG2129" s="2">
        <f ca="1"/>
        <v>0.98769625676085604</v>
      </c>
      <c r="AH2129" s="2" t="str">
        <f ca="1"/>
        <v>Bad</v>
      </c>
    </row>
    <row r="2130" spans="2:34" x14ac:dyDescent="0.2">
      <c r="B2130" s="2">
        <f ca="1"/>
        <v>6.0213508925279768E-2</v>
      </c>
      <c r="O2130" s="2">
        <f ca="1"/>
        <v>0.81215237103891857</v>
      </c>
      <c r="X2130" s="2">
        <f ca="1"/>
        <v>27.997155504783375</v>
      </c>
      <c r="AG2130" s="2">
        <f ca="1"/>
        <v>0.55281567028524936</v>
      </c>
      <c r="AH2130" s="2" t="str">
        <f ca="1"/>
        <v>Bad</v>
      </c>
    </row>
    <row r="2131" spans="2:34" x14ac:dyDescent="0.2">
      <c r="B2131" s="2">
        <f ca="1"/>
        <v>0.11390324570013677</v>
      </c>
      <c r="O2131" s="2">
        <f ca="1"/>
        <v>3.9286406423043055E-2</v>
      </c>
      <c r="X2131" s="2">
        <f ca="1"/>
        <v>47.967256616961578</v>
      </c>
      <c r="AG2131" s="2">
        <f ca="1"/>
        <v>0.85055298968561943</v>
      </c>
      <c r="AH2131" s="2" t="str">
        <f ca="1"/>
        <v>Bad</v>
      </c>
    </row>
    <row r="2132" spans="2:34" x14ac:dyDescent="0.2">
      <c r="B2132" s="2">
        <f ca="1"/>
        <v>0.3490932575088721</v>
      </c>
      <c r="O2132" s="2">
        <f ca="1"/>
        <v>1.5408099022186568</v>
      </c>
      <c r="X2132" s="2">
        <f ca="1"/>
        <v>28.193591125254521</v>
      </c>
      <c r="AG2132" s="2">
        <f ca="1"/>
        <v>0.77501558612656796</v>
      </c>
      <c r="AH2132" s="2" t="str">
        <f ca="1"/>
        <v>Bad</v>
      </c>
    </row>
    <row r="2133" spans="2:34" x14ac:dyDescent="0.2">
      <c r="B2133" s="2">
        <f ca="1"/>
        <v>4.237908451275274E-2</v>
      </c>
      <c r="O2133" s="2">
        <f ca="1"/>
        <v>0.43880961705853477</v>
      </c>
      <c r="X2133" s="2">
        <f ca="1"/>
        <v>49.152769336694121</v>
      </c>
      <c r="AG2133" s="2">
        <f ca="1"/>
        <v>0.49690541886500794</v>
      </c>
      <c r="AH2133" s="2" t="str">
        <f ca="1"/>
        <v>Bad</v>
      </c>
    </row>
    <row r="2134" spans="2:34" x14ac:dyDescent="0.2">
      <c r="B2134" s="2">
        <f ca="1"/>
        <v>0.1299171877352987</v>
      </c>
      <c r="O2134" s="2">
        <f ca="1"/>
        <v>0.23506771637215459</v>
      </c>
      <c r="X2134" s="2">
        <f ca="1"/>
        <v>30.844198404120291</v>
      </c>
      <c r="AG2134" s="2">
        <f ca="1"/>
        <v>0.76803981756751338</v>
      </c>
      <c r="AH2134" s="2" t="str">
        <f ca="1"/>
        <v>Bad</v>
      </c>
    </row>
    <row r="2135" spans="2:34" x14ac:dyDescent="0.2">
      <c r="B2135" s="2">
        <f ca="1"/>
        <v>0.42464047555042517</v>
      </c>
      <c r="O2135" s="2">
        <f ca="1"/>
        <v>1.9510241098933949</v>
      </c>
      <c r="X2135" s="2">
        <f ca="1"/>
        <v>74.408590043033428</v>
      </c>
      <c r="AG2135" s="2">
        <f ca="1"/>
        <v>0.73444234704099265</v>
      </c>
      <c r="AH2135" s="2" t="str">
        <f ca="1"/>
        <v>Bad</v>
      </c>
    </row>
    <row r="2136" spans="2:34" x14ac:dyDescent="0.2">
      <c r="B2136" s="2">
        <f ca="1"/>
        <v>0.93142011535782943</v>
      </c>
      <c r="O2136" s="2">
        <f ca="1"/>
        <v>8.4958630904932109E-2</v>
      </c>
      <c r="X2136" s="2">
        <f ca="1"/>
        <v>58.961062168873923</v>
      </c>
      <c r="AG2136" s="2">
        <f ca="1"/>
        <v>7.4324682949626686E-2</v>
      </c>
      <c r="AH2136" s="2" t="str">
        <f ca="1"/>
        <v>OK</v>
      </c>
    </row>
    <row r="2137" spans="2:34" x14ac:dyDescent="0.2">
      <c r="B2137" s="2">
        <f ca="1"/>
        <v>0.19795463024460092</v>
      </c>
      <c r="O2137" s="2">
        <f ca="1"/>
        <v>0.42743107068436514</v>
      </c>
      <c r="X2137" s="2">
        <f ca="1"/>
        <v>47.357270139412535</v>
      </c>
      <c r="AG2137" s="2">
        <f ca="1"/>
        <v>0.562122471687444</v>
      </c>
      <c r="AH2137" s="2" t="str">
        <f ca="1"/>
        <v>Bad</v>
      </c>
    </row>
    <row r="2138" spans="2:34" x14ac:dyDescent="0.2">
      <c r="B2138" s="2">
        <f ca="1"/>
        <v>0.64926082264373841</v>
      </c>
      <c r="O2138" s="2">
        <f ca="1"/>
        <v>-0.84710019037555628</v>
      </c>
      <c r="X2138" s="2">
        <f ca="1"/>
        <v>53.365647936783702</v>
      </c>
      <c r="AG2138" s="2">
        <f ca="1"/>
        <v>0.96284479877947948</v>
      </c>
      <c r="AH2138" s="2" t="str">
        <f ca="1"/>
        <v>Bad</v>
      </c>
    </row>
    <row r="2139" spans="2:34" x14ac:dyDescent="0.2">
      <c r="B2139" s="2">
        <f ca="1"/>
        <v>8.9964079248499917E-2</v>
      </c>
      <c r="O2139" s="2">
        <f ca="1"/>
        <v>1.3142420370997696</v>
      </c>
      <c r="X2139" s="2">
        <f ca="1"/>
        <v>44.840830175832863</v>
      </c>
      <c r="AG2139" s="2">
        <f ca="1"/>
        <v>0.20684735602816229</v>
      </c>
      <c r="AH2139" s="2" t="str">
        <f ca="1"/>
        <v>OK</v>
      </c>
    </row>
    <row r="2140" spans="2:34" x14ac:dyDescent="0.2">
      <c r="B2140" s="2">
        <f ca="1"/>
        <v>0.79760086167408262</v>
      </c>
      <c r="O2140" s="2">
        <f ca="1"/>
        <v>1.6824159357735282</v>
      </c>
      <c r="X2140" s="2">
        <f ca="1"/>
        <v>38.720708426179179</v>
      </c>
      <c r="AG2140" s="2">
        <f ca="1"/>
        <v>0.79809357756752775</v>
      </c>
      <c r="AH2140" s="2" t="str">
        <f ca="1"/>
        <v>Bad</v>
      </c>
    </row>
    <row r="2141" spans="2:34" x14ac:dyDescent="0.2">
      <c r="B2141" s="2">
        <f ca="1"/>
        <v>4.236869088942119E-2</v>
      </c>
      <c r="O2141" s="2">
        <f ca="1"/>
        <v>-0.24642077489670744</v>
      </c>
      <c r="X2141" s="2">
        <f ca="1"/>
        <v>62.296645892285618</v>
      </c>
      <c r="AG2141" s="2">
        <f ca="1"/>
        <v>0.41020554990307945</v>
      </c>
      <c r="AH2141" s="2" t="str">
        <f ca="1"/>
        <v>Bad</v>
      </c>
    </row>
    <row r="2142" spans="2:34" x14ac:dyDescent="0.2">
      <c r="B2142" s="2">
        <f ca="1"/>
        <v>0.672101174608426</v>
      </c>
      <c r="O2142" s="2">
        <f ca="1"/>
        <v>-8.3014047241629668E-2</v>
      </c>
      <c r="X2142" s="2">
        <f ca="1"/>
        <v>53.37726994577266</v>
      </c>
      <c r="AG2142" s="2">
        <f ca="1"/>
        <v>0.652825087684755</v>
      </c>
      <c r="AH2142" s="2" t="str">
        <f ca="1"/>
        <v>Bad</v>
      </c>
    </row>
    <row r="2143" spans="2:34" x14ac:dyDescent="0.2">
      <c r="B2143" s="2">
        <f ca="1"/>
        <v>1.5928192725084944E-2</v>
      </c>
      <c r="O2143" s="2">
        <f ca="1"/>
        <v>1.9642157895231243</v>
      </c>
      <c r="X2143" s="2">
        <f ca="1"/>
        <v>26.337303342501514</v>
      </c>
      <c r="AG2143" s="2">
        <f ca="1"/>
        <v>0.67205643884983002</v>
      </c>
      <c r="AH2143" s="2" t="str">
        <f ca="1"/>
        <v>Bad</v>
      </c>
    </row>
    <row r="2144" spans="2:34" x14ac:dyDescent="0.2">
      <c r="B2144" s="2">
        <f ca="1"/>
        <v>0.22650881876481721</v>
      </c>
      <c r="O2144" s="2">
        <f ca="1"/>
        <v>1.0986084737367865</v>
      </c>
      <c r="X2144" s="2">
        <f ca="1"/>
        <v>83.073420702119677</v>
      </c>
      <c r="AG2144" s="2">
        <f ca="1"/>
        <v>1.887807769348071E-2</v>
      </c>
      <c r="AH2144" s="2" t="str">
        <f ca="1"/>
        <v>Good</v>
      </c>
    </row>
    <row r="2145" spans="2:34" x14ac:dyDescent="0.2">
      <c r="B2145" s="2">
        <f ca="1"/>
        <v>0.76368356483109823</v>
      </c>
      <c r="O2145" s="2">
        <f ca="1"/>
        <v>-1.9314568520821067</v>
      </c>
      <c r="X2145" s="2">
        <f ca="1"/>
        <v>87.044845622379086</v>
      </c>
      <c r="AG2145" s="2">
        <f ca="1"/>
        <v>0.30921203595050439</v>
      </c>
      <c r="AH2145" s="2" t="str">
        <f ca="1"/>
        <v>OK</v>
      </c>
    </row>
    <row r="2146" spans="2:34" x14ac:dyDescent="0.2">
      <c r="B2146" s="2">
        <f ca="1"/>
        <v>0.71570610411825397</v>
      </c>
      <c r="O2146" s="2">
        <f ca="1"/>
        <v>0.42049236062021</v>
      </c>
      <c r="X2146" s="2">
        <f ca="1"/>
        <v>51.888636248611533</v>
      </c>
      <c r="AG2146" s="2">
        <f ca="1"/>
        <v>7.577667417236511E-2</v>
      </c>
      <c r="AH2146" s="2" t="str">
        <f ca="1"/>
        <v>OK</v>
      </c>
    </row>
    <row r="2147" spans="2:34" x14ac:dyDescent="0.2">
      <c r="B2147" s="2">
        <f ca="1"/>
        <v>5.9874511368511962E-2</v>
      </c>
      <c r="O2147" s="2">
        <f ca="1"/>
        <v>1.0561334522642178</v>
      </c>
      <c r="X2147" s="2">
        <f ca="1"/>
        <v>78.756124917587201</v>
      </c>
      <c r="AG2147" s="2">
        <f ca="1"/>
        <v>0.18759645326857299</v>
      </c>
      <c r="AH2147" s="2" t="str">
        <f ca="1"/>
        <v>OK</v>
      </c>
    </row>
    <row r="2148" spans="2:34" x14ac:dyDescent="0.2">
      <c r="B2148" s="2">
        <f ca="1"/>
        <v>0.46483421806567216</v>
      </c>
      <c r="O2148" s="2">
        <f ca="1"/>
        <v>-1.300977636851065</v>
      </c>
      <c r="X2148" s="2">
        <f ca="1"/>
        <v>44.277636175934518</v>
      </c>
      <c r="AG2148" s="2">
        <f ca="1"/>
        <v>0.17226272798190978</v>
      </c>
      <c r="AH2148" s="2" t="str">
        <f ca="1"/>
        <v>OK</v>
      </c>
    </row>
    <row r="2149" spans="2:34" x14ac:dyDescent="0.2">
      <c r="B2149" s="2">
        <f ca="1"/>
        <v>0.19776724174090377</v>
      </c>
      <c r="O2149" s="2">
        <f ca="1"/>
        <v>-0.25576870054088646</v>
      </c>
      <c r="X2149" s="2">
        <f ca="1"/>
        <v>34.512740937983949</v>
      </c>
      <c r="AG2149" s="2">
        <f ca="1"/>
        <v>0.85947741512793852</v>
      </c>
      <c r="AH2149" s="2" t="str">
        <f ca="1"/>
        <v>Bad</v>
      </c>
    </row>
    <row r="2150" spans="2:34" x14ac:dyDescent="0.2">
      <c r="B2150" s="2">
        <f ca="1"/>
        <v>4.1945389297885827E-2</v>
      </c>
      <c r="O2150" s="2">
        <f ca="1"/>
        <v>0.64337591207377953</v>
      </c>
      <c r="X2150" s="2">
        <f ca="1"/>
        <v>49.212948200738694</v>
      </c>
      <c r="AG2150" s="2">
        <f ca="1"/>
        <v>0.47455085589336599</v>
      </c>
      <c r="AH2150" s="2" t="str">
        <f ca="1"/>
        <v>Bad</v>
      </c>
    </row>
    <row r="2151" spans="2:34" x14ac:dyDescent="0.2">
      <c r="B2151" s="2">
        <f ca="1"/>
        <v>0.63682709987814667</v>
      </c>
      <c r="O2151" s="2">
        <f ca="1"/>
        <v>-5.4936860801930845E-2</v>
      </c>
      <c r="X2151" s="2">
        <f ca="1"/>
        <v>53.045356330695583</v>
      </c>
      <c r="AG2151" s="2">
        <f ca="1"/>
        <v>0.51767290502900964</v>
      </c>
      <c r="AH2151" s="2" t="str">
        <f ca="1"/>
        <v>Bad</v>
      </c>
    </row>
    <row r="2152" spans="2:34" x14ac:dyDescent="0.2">
      <c r="B2152" s="2">
        <f ca="1"/>
        <v>0.61785621031683235</v>
      </c>
      <c r="O2152" s="2">
        <f ca="1"/>
        <v>-1.0595547645882157</v>
      </c>
      <c r="X2152" s="2">
        <f ca="1"/>
        <v>36.061264190808927</v>
      </c>
      <c r="AG2152" s="2">
        <f ca="1"/>
        <v>0.86760462094653135</v>
      </c>
      <c r="AH2152" s="2" t="str">
        <f ca="1"/>
        <v>Bad</v>
      </c>
    </row>
    <row r="2153" spans="2:34" x14ac:dyDescent="0.2">
      <c r="B2153" s="2">
        <f ca="1"/>
        <v>0.69567249909868756</v>
      </c>
      <c r="O2153" s="2">
        <f ca="1"/>
        <v>-0.72490404434091815</v>
      </c>
      <c r="X2153" s="2">
        <f ca="1"/>
        <v>61.377419982796184</v>
      </c>
      <c r="AG2153" s="2">
        <f ca="1"/>
        <v>7.9897790938889823E-3</v>
      </c>
      <c r="AH2153" s="2" t="str">
        <f ca="1"/>
        <v>Good</v>
      </c>
    </row>
    <row r="2154" spans="2:34" x14ac:dyDescent="0.2">
      <c r="B2154" s="2">
        <f ca="1"/>
        <v>0.93434166462743007</v>
      </c>
      <c r="O2154" s="2">
        <f ca="1"/>
        <v>-0.6896061920724692</v>
      </c>
      <c r="X2154" s="2">
        <f ca="1"/>
        <v>59.896641306830759</v>
      </c>
      <c r="AG2154" s="2">
        <f ca="1"/>
        <v>0.47553285208724971</v>
      </c>
      <c r="AH2154" s="2" t="str">
        <f ca="1"/>
        <v>Bad</v>
      </c>
    </row>
    <row r="2155" spans="2:34" x14ac:dyDescent="0.2">
      <c r="B2155" s="2">
        <f ca="1"/>
        <v>0.31916415576212365</v>
      </c>
      <c r="O2155" s="2">
        <f ca="1"/>
        <v>0.32861069910304985</v>
      </c>
      <c r="X2155" s="2">
        <f ca="1"/>
        <v>18.554692613958469</v>
      </c>
      <c r="AG2155" s="2">
        <f ca="1"/>
        <v>0.9903172168983656</v>
      </c>
      <c r="AH2155" s="2" t="str">
        <f ca="1"/>
        <v>Bad</v>
      </c>
    </row>
    <row r="2156" spans="2:34" x14ac:dyDescent="0.2">
      <c r="B2156" s="2">
        <f ca="1"/>
        <v>3.8064703222594254E-2</v>
      </c>
      <c r="O2156" s="2">
        <f ca="1"/>
        <v>9.473351733227621E-2</v>
      </c>
      <c r="X2156" s="2">
        <f ca="1"/>
        <v>33.312240526096708</v>
      </c>
      <c r="AG2156" s="2">
        <f ca="1"/>
        <v>3.6454803807577374E-3</v>
      </c>
      <c r="AH2156" s="2" t="str">
        <f ca="1"/>
        <v>Good</v>
      </c>
    </row>
    <row r="2157" spans="2:34" x14ac:dyDescent="0.2">
      <c r="B2157" s="2">
        <f ca="1"/>
        <v>0.36931715450221314</v>
      </c>
      <c r="O2157" s="2">
        <f ca="1"/>
        <v>-0.4243675857930948</v>
      </c>
      <c r="X2157" s="2">
        <f ca="1"/>
        <v>45.918773337385787</v>
      </c>
      <c r="AG2157" s="2">
        <f ca="1"/>
        <v>0.38035997534358978</v>
      </c>
      <c r="AH2157" s="2" t="str">
        <f ca="1"/>
        <v>OK</v>
      </c>
    </row>
    <row r="2158" spans="2:34" x14ac:dyDescent="0.2">
      <c r="B2158" s="2">
        <f ca="1"/>
        <v>0.45459383160283773</v>
      </c>
      <c r="O2158" s="2">
        <f ca="1"/>
        <v>5.3718857300720894E-2</v>
      </c>
      <c r="X2158" s="2">
        <f ca="1"/>
        <v>53.739926456959061</v>
      </c>
      <c r="AG2158" s="2">
        <f ca="1"/>
        <v>0.83412016095380626</v>
      </c>
      <c r="AH2158" s="2" t="str">
        <f ca="1"/>
        <v>Bad</v>
      </c>
    </row>
    <row r="2159" spans="2:34" x14ac:dyDescent="0.2">
      <c r="B2159" s="2">
        <f ca="1"/>
        <v>0.7209079926690769</v>
      </c>
      <c r="O2159" s="2">
        <f ca="1"/>
        <v>0.89578121691244417</v>
      </c>
      <c r="X2159" s="2">
        <f ca="1"/>
        <v>43.951942092858765</v>
      </c>
      <c r="AG2159" s="2">
        <f ca="1"/>
        <v>0.46454633633294429</v>
      </c>
      <c r="AH2159" s="2" t="str">
        <f ca="1"/>
        <v>Bad</v>
      </c>
    </row>
    <row r="2160" spans="2:34" x14ac:dyDescent="0.2">
      <c r="B2160" s="2">
        <f ca="1"/>
        <v>0.47004935380113322</v>
      </c>
      <c r="O2160" s="2">
        <f ca="1"/>
        <v>-0.92847737655281792</v>
      </c>
      <c r="X2160" s="2">
        <f ca="1"/>
        <v>75.204199981994549</v>
      </c>
      <c r="AG2160" s="2">
        <f ca="1"/>
        <v>0.57127639135033914</v>
      </c>
      <c r="AH2160" s="2" t="str">
        <f ca="1"/>
        <v>Bad</v>
      </c>
    </row>
    <row r="2161" spans="2:34" x14ac:dyDescent="0.2">
      <c r="B2161" s="2">
        <f ca="1"/>
        <v>0.77118305247019614</v>
      </c>
      <c r="O2161" s="2">
        <f ca="1"/>
        <v>-0.49174469797049336</v>
      </c>
      <c r="X2161" s="2">
        <f ca="1"/>
        <v>37.422354432928259</v>
      </c>
      <c r="AG2161" s="2">
        <f ca="1"/>
        <v>0.20214511592957973</v>
      </c>
      <c r="AH2161" s="2" t="str">
        <f ca="1"/>
        <v>OK</v>
      </c>
    </row>
    <row r="2162" spans="2:34" x14ac:dyDescent="0.2">
      <c r="B2162" s="2">
        <f ca="1"/>
        <v>0.92134562508005735</v>
      </c>
      <c r="O2162" s="2">
        <f ca="1"/>
        <v>-1.2217096320008654</v>
      </c>
      <c r="X2162" s="2">
        <f ca="1"/>
        <v>99.922533747542573</v>
      </c>
      <c r="AG2162" s="2">
        <f ca="1"/>
        <v>7.6584679915919551E-2</v>
      </c>
      <c r="AH2162" s="2" t="str">
        <f ca="1"/>
        <v>OK</v>
      </c>
    </row>
    <row r="2163" spans="2:34" x14ac:dyDescent="0.2">
      <c r="B2163" s="2">
        <f ca="1"/>
        <v>0.43223437522713115</v>
      </c>
      <c r="O2163" s="2">
        <f ca="1"/>
        <v>-1.4184662086853175</v>
      </c>
      <c r="X2163" s="2">
        <f ca="1"/>
        <v>49.386146325011929</v>
      </c>
      <c r="AG2163" s="2">
        <f ca="1"/>
        <v>0.741348133016279</v>
      </c>
      <c r="AH2163" s="2" t="str">
        <f ca="1"/>
        <v>Bad</v>
      </c>
    </row>
    <row r="2164" spans="2:34" x14ac:dyDescent="0.2">
      <c r="B2164" s="2">
        <f ca="1"/>
        <v>0.9506888615919793</v>
      </c>
      <c r="O2164" s="2">
        <f ca="1"/>
        <v>-1.0131695703578822</v>
      </c>
      <c r="X2164" s="2">
        <f ca="1"/>
        <v>41.070040009922934</v>
      </c>
      <c r="AG2164" s="2">
        <f ca="1"/>
        <v>0.76315627045414414</v>
      </c>
      <c r="AH2164" s="2" t="str">
        <f ca="1"/>
        <v>Bad</v>
      </c>
    </row>
    <row r="2165" spans="2:34" x14ac:dyDescent="0.2">
      <c r="B2165" s="2">
        <f ca="1"/>
        <v>0.69986664063344017</v>
      </c>
      <c r="O2165" s="2">
        <f ca="1"/>
        <v>0.10664309409120426</v>
      </c>
      <c r="X2165" s="2">
        <f ca="1"/>
        <v>35.166289668343609</v>
      </c>
      <c r="AG2165" s="2">
        <f ca="1"/>
        <v>0.16019018249961592</v>
      </c>
      <c r="AH2165" s="2" t="str">
        <f ca="1"/>
        <v>OK</v>
      </c>
    </row>
    <row r="2166" spans="2:34" x14ac:dyDescent="0.2">
      <c r="B2166" s="2">
        <f ca="1"/>
        <v>0.70161953824675583</v>
      </c>
      <c r="O2166" s="2">
        <f ca="1"/>
        <v>0.37859201221753086</v>
      </c>
      <c r="X2166" s="2">
        <f ca="1"/>
        <v>34.535478949459758</v>
      </c>
      <c r="AG2166" s="2">
        <f ca="1"/>
        <v>0.32962238391105081</v>
      </c>
      <c r="AH2166" s="2" t="str">
        <f ca="1"/>
        <v>OK</v>
      </c>
    </row>
    <row r="2167" spans="2:34" x14ac:dyDescent="0.2">
      <c r="B2167" s="2">
        <f ca="1"/>
        <v>0.28825792705533626</v>
      </c>
      <c r="O2167" s="2">
        <f ca="1"/>
        <v>0.2459444263338906</v>
      </c>
      <c r="X2167" s="2">
        <f ca="1"/>
        <v>28.465557182786888</v>
      </c>
      <c r="AG2167" s="2">
        <f ca="1"/>
        <v>0.93364415610745066</v>
      </c>
      <c r="AH2167" s="2" t="str">
        <f ca="1"/>
        <v>Bad</v>
      </c>
    </row>
    <row r="2168" spans="2:34" x14ac:dyDescent="0.2">
      <c r="B2168" s="2">
        <f ca="1"/>
        <v>0.5557715149250777</v>
      </c>
      <c r="O2168" s="2">
        <f ca="1"/>
        <v>0.48959424360878201</v>
      </c>
      <c r="X2168" s="2">
        <f ca="1"/>
        <v>38.565681971015778</v>
      </c>
      <c r="AG2168" s="2">
        <f ca="1"/>
        <v>0.30891850531423959</v>
      </c>
      <c r="AH2168" s="2" t="str">
        <f ca="1"/>
        <v>OK</v>
      </c>
    </row>
    <row r="2169" spans="2:34" x14ac:dyDescent="0.2">
      <c r="B2169" s="2">
        <f ca="1"/>
        <v>0.78142894326268397</v>
      </c>
      <c r="O2169" s="2">
        <f ca="1"/>
        <v>-1.8599586648487971</v>
      </c>
      <c r="X2169" s="2">
        <f ca="1"/>
        <v>23.24016161747717</v>
      </c>
      <c r="AG2169" s="2">
        <f ca="1"/>
        <v>0.60709046407411837</v>
      </c>
      <c r="AH2169" s="2" t="str">
        <f ca="1"/>
        <v>Bad</v>
      </c>
    </row>
    <row r="2170" spans="2:34" x14ac:dyDescent="0.2">
      <c r="B2170" s="2">
        <f ca="1"/>
        <v>4.5556878042861904E-2</v>
      </c>
      <c r="O2170" s="2">
        <f ca="1"/>
        <v>-1.123251604582036</v>
      </c>
      <c r="X2170" s="2">
        <f ca="1"/>
        <v>53.118221612591128</v>
      </c>
      <c r="AG2170" s="2">
        <f ca="1"/>
        <v>0.95980785174908667</v>
      </c>
      <c r="AH2170" s="2" t="str">
        <f ca="1"/>
        <v>Bad</v>
      </c>
    </row>
    <row r="2171" spans="2:34" x14ac:dyDescent="0.2">
      <c r="B2171" s="2">
        <f ca="1"/>
        <v>5.5177733751270219E-2</v>
      </c>
      <c r="O2171" s="2">
        <f ca="1"/>
        <v>-0.30315335289136297</v>
      </c>
      <c r="X2171" s="2">
        <f ca="1"/>
        <v>52.410987247746164</v>
      </c>
      <c r="AG2171" s="2">
        <f ca="1"/>
        <v>0.30921508036303913</v>
      </c>
      <c r="AH2171" s="2" t="str">
        <f ca="1"/>
        <v>OK</v>
      </c>
    </row>
    <row r="2172" spans="2:34" x14ac:dyDescent="0.2">
      <c r="B2172" s="2">
        <f ca="1"/>
        <v>0.35620143059312004</v>
      </c>
      <c r="O2172" s="2">
        <f ca="1"/>
        <v>-1.8869511373092722</v>
      </c>
      <c r="X2172" s="2">
        <f ca="1"/>
        <v>56.011457423052782</v>
      </c>
      <c r="AG2172" s="2">
        <f ca="1"/>
        <v>0.56137257478707547</v>
      </c>
      <c r="AH2172" s="2" t="str">
        <f ca="1"/>
        <v>Bad</v>
      </c>
    </row>
    <row r="2173" spans="2:34" x14ac:dyDescent="0.2">
      <c r="B2173" s="2">
        <f ca="1"/>
        <v>0.76478094118619033</v>
      </c>
      <c r="O2173" s="2">
        <f ca="1"/>
        <v>-1.6960713198118589</v>
      </c>
      <c r="X2173" s="2">
        <f ca="1"/>
        <v>37.745485462572169</v>
      </c>
      <c r="AG2173" s="2">
        <f ca="1"/>
        <v>0.47982591260891017</v>
      </c>
      <c r="AH2173" s="2" t="str">
        <f ca="1"/>
        <v>Bad</v>
      </c>
    </row>
    <row r="2174" spans="2:34" x14ac:dyDescent="0.2">
      <c r="B2174" s="2">
        <f ca="1"/>
        <v>0.79969277908049574</v>
      </c>
      <c r="O2174" s="2">
        <f ca="1"/>
        <v>-0.14955173026278354</v>
      </c>
      <c r="X2174" s="2">
        <f ca="1"/>
        <v>39.894296306912103</v>
      </c>
      <c r="AG2174" s="2">
        <f ca="1"/>
        <v>0.11968996839345114</v>
      </c>
      <c r="AH2174" s="2" t="str">
        <f ca="1"/>
        <v>OK</v>
      </c>
    </row>
    <row r="2175" spans="2:34" x14ac:dyDescent="0.2">
      <c r="B2175" s="2">
        <f ca="1"/>
        <v>0.86772857163240924</v>
      </c>
      <c r="O2175" s="2">
        <f ca="1"/>
        <v>0.52941562054998281</v>
      </c>
      <c r="X2175" s="2">
        <f ca="1"/>
        <v>47.250220007230581</v>
      </c>
      <c r="AG2175" s="2">
        <f ca="1"/>
        <v>0.78707923587655793</v>
      </c>
      <c r="AH2175" s="2" t="str">
        <f ca="1"/>
        <v>Bad</v>
      </c>
    </row>
    <row r="2176" spans="2:34" x14ac:dyDescent="0.2">
      <c r="B2176" s="2">
        <f ca="1"/>
        <v>0.59466334881524308</v>
      </c>
      <c r="O2176" s="2">
        <f ca="1"/>
        <v>0.18457922235376953</v>
      </c>
      <c r="X2176" s="2">
        <f ca="1"/>
        <v>45.076939248555242</v>
      </c>
      <c r="AG2176" s="2">
        <f ca="1"/>
        <v>0.97946518569947538</v>
      </c>
      <c r="AH2176" s="2" t="str">
        <f ca="1"/>
        <v>Bad</v>
      </c>
    </row>
    <row r="2177" spans="2:34" x14ac:dyDescent="0.2">
      <c r="B2177" s="2">
        <f ca="1"/>
        <v>0.65289396089957052</v>
      </c>
      <c r="O2177" s="2">
        <f ca="1"/>
        <v>-0.58178837946081952</v>
      </c>
      <c r="X2177" s="2">
        <f ca="1"/>
        <v>18.594198810842514</v>
      </c>
      <c r="AG2177" s="2">
        <f ca="1"/>
        <v>0.26236328569750489</v>
      </c>
      <c r="AH2177" s="2" t="str">
        <f ca="1"/>
        <v>OK</v>
      </c>
    </row>
    <row r="2178" spans="2:34" x14ac:dyDescent="0.2">
      <c r="B2178" s="2">
        <f ca="1"/>
        <v>0.86662715434055104</v>
      </c>
      <c r="O2178" s="2">
        <f ca="1"/>
        <v>0.47796427237067407</v>
      </c>
      <c r="X2178" s="2">
        <f ca="1"/>
        <v>48.334757326325786</v>
      </c>
      <c r="AG2178" s="2">
        <f ca="1"/>
        <v>6.4323841970684859E-2</v>
      </c>
      <c r="AH2178" s="2" t="str">
        <f ca="1"/>
        <v>OK</v>
      </c>
    </row>
    <row r="2179" spans="2:34" x14ac:dyDescent="0.2">
      <c r="B2179" s="2">
        <f ca="1"/>
        <v>0.62077030894167273</v>
      </c>
      <c r="O2179" s="2">
        <f ca="1"/>
        <v>0.4672769190438959</v>
      </c>
      <c r="X2179" s="2">
        <f ca="1"/>
        <v>38.655820306387064</v>
      </c>
      <c r="AG2179" s="2">
        <f ca="1"/>
        <v>3.9993701175718543E-2</v>
      </c>
      <c r="AH2179" s="2" t="str">
        <f ca="1"/>
        <v>Good</v>
      </c>
    </row>
    <row r="2180" spans="2:34" x14ac:dyDescent="0.2">
      <c r="B2180" s="2">
        <f ca="1"/>
        <v>0.94145925620382442</v>
      </c>
      <c r="O2180" s="2">
        <f ca="1"/>
        <v>0.15956388796066392</v>
      </c>
      <c r="X2180" s="2">
        <f ca="1"/>
        <v>42.408825364768376</v>
      </c>
      <c r="AG2180" s="2">
        <f ca="1"/>
        <v>5.0211513498839455E-2</v>
      </c>
      <c r="AH2180" s="2" t="str">
        <f ca="1"/>
        <v>OK</v>
      </c>
    </row>
    <row r="2181" spans="2:34" x14ac:dyDescent="0.2">
      <c r="B2181" s="2">
        <f ca="1"/>
        <v>0.37397639051083265</v>
      </c>
      <c r="O2181" s="2">
        <f ca="1"/>
        <v>-0.67119860485591287</v>
      </c>
      <c r="X2181" s="2">
        <f ca="1"/>
        <v>59.876615985816024</v>
      </c>
      <c r="AG2181" s="2">
        <f ca="1"/>
        <v>0.70691932303963467</v>
      </c>
      <c r="AH2181" s="2" t="str">
        <f ca="1"/>
        <v>Bad</v>
      </c>
    </row>
    <row r="2182" spans="2:34" x14ac:dyDescent="0.2">
      <c r="B2182" s="2">
        <f ca="1"/>
        <v>0.22425755365035638</v>
      </c>
      <c r="O2182" s="2">
        <f ca="1"/>
        <v>0.40537971448094723</v>
      </c>
      <c r="X2182" s="2">
        <f ca="1"/>
        <v>68.232448812553244</v>
      </c>
      <c r="AG2182" s="2">
        <f ca="1"/>
        <v>0.8933454794092921</v>
      </c>
      <c r="AH2182" s="2" t="str">
        <f ca="1"/>
        <v>Bad</v>
      </c>
    </row>
    <row r="2183" spans="2:34" x14ac:dyDescent="0.2">
      <c r="B2183" s="2">
        <f ca="1"/>
        <v>0.76052532827948127</v>
      </c>
      <c r="O2183" s="2">
        <f ca="1"/>
        <v>2.0689641249276316</v>
      </c>
      <c r="X2183" s="2">
        <f ca="1"/>
        <v>56.80240432052932</v>
      </c>
      <c r="AG2183" s="2">
        <f ca="1"/>
        <v>0.6895976650886575</v>
      </c>
      <c r="AH2183" s="2" t="str">
        <f ca="1"/>
        <v>Bad</v>
      </c>
    </row>
    <row r="2184" spans="2:34" x14ac:dyDescent="0.2">
      <c r="B2184" s="2">
        <f ca="1"/>
        <v>0.70490154742684585</v>
      </c>
      <c r="O2184" s="2">
        <f ca="1"/>
        <v>0.39683196002953164</v>
      </c>
      <c r="X2184" s="2">
        <f ca="1"/>
        <v>46.056319428352182</v>
      </c>
      <c r="AG2184" s="2">
        <f ca="1"/>
        <v>0.11282048149470603</v>
      </c>
      <c r="AH2184" s="2" t="str">
        <f ca="1"/>
        <v>OK</v>
      </c>
    </row>
    <row r="2185" spans="2:34" x14ac:dyDescent="0.2">
      <c r="B2185" s="2">
        <f ca="1"/>
        <v>0.72428426491057518</v>
      </c>
      <c r="O2185" s="2">
        <f ca="1"/>
        <v>2.0366378843223178</v>
      </c>
      <c r="X2185" s="2">
        <f ca="1"/>
        <v>37.420000951346381</v>
      </c>
      <c r="AG2185" s="2">
        <f ca="1"/>
        <v>0.67502558507097499</v>
      </c>
      <c r="AH2185" s="2" t="str">
        <f ca="1"/>
        <v>Bad</v>
      </c>
    </row>
    <row r="2186" spans="2:34" x14ac:dyDescent="0.2">
      <c r="B2186" s="2">
        <f ca="1"/>
        <v>0.50712838540005034</v>
      </c>
      <c r="O2186" s="2">
        <f ca="1"/>
        <v>1.240769924298631</v>
      </c>
      <c r="X2186" s="2">
        <f ca="1"/>
        <v>43.704446019715284</v>
      </c>
      <c r="AG2186" s="2">
        <f ca="1"/>
        <v>6.4258109338830804E-2</v>
      </c>
      <c r="AH2186" s="2" t="str">
        <f ca="1"/>
        <v>OK</v>
      </c>
    </row>
    <row r="2187" spans="2:34" x14ac:dyDescent="0.2">
      <c r="B2187" s="2">
        <f ca="1"/>
        <v>0.86212523525460494</v>
      </c>
      <c r="O2187" s="2">
        <f ca="1"/>
        <v>1.4691633437867171</v>
      </c>
      <c r="X2187" s="2">
        <f ca="1"/>
        <v>75.83601205448727</v>
      </c>
      <c r="AG2187" s="2">
        <f ca="1"/>
        <v>0.22484720401828961</v>
      </c>
      <c r="AH2187" s="2" t="str">
        <f ca="1"/>
        <v>OK</v>
      </c>
    </row>
    <row r="2188" spans="2:34" x14ac:dyDescent="0.2">
      <c r="B2188" s="2">
        <f ca="1"/>
        <v>3.2529833329527191E-2</v>
      </c>
      <c r="O2188" s="2">
        <f ca="1"/>
        <v>0.54028102360776276</v>
      </c>
      <c r="X2188" s="2">
        <f ca="1"/>
        <v>48.40671581029568</v>
      </c>
      <c r="AG2188" s="2">
        <f ca="1"/>
        <v>0.80701247921121744</v>
      </c>
      <c r="AH2188" s="2" t="str">
        <f ca="1"/>
        <v>Bad</v>
      </c>
    </row>
    <row r="2189" spans="2:34" x14ac:dyDescent="0.2">
      <c r="B2189" s="2">
        <f ca="1"/>
        <v>0.53214436055748449</v>
      </c>
      <c r="O2189" s="2">
        <f ca="1"/>
        <v>1.5263607250714746</v>
      </c>
      <c r="X2189" s="2">
        <f ca="1"/>
        <v>49.198642056484815</v>
      </c>
      <c r="AG2189" s="2">
        <f ca="1"/>
        <v>0.54057677386900349</v>
      </c>
      <c r="AH2189" s="2" t="str">
        <f ca="1"/>
        <v>Bad</v>
      </c>
    </row>
    <row r="2190" spans="2:34" x14ac:dyDescent="0.2">
      <c r="B2190" s="2">
        <f ca="1"/>
        <v>0.97357854922870368</v>
      </c>
      <c r="O2190" s="2">
        <f ca="1"/>
        <v>1.8027207597773369</v>
      </c>
      <c r="X2190" s="2">
        <f ca="1"/>
        <v>39.680446822650602</v>
      </c>
      <c r="AG2190" s="2">
        <f ca="1"/>
        <v>0.49749231088612866</v>
      </c>
      <c r="AH2190" s="2" t="str">
        <f ca="1"/>
        <v>Bad</v>
      </c>
    </row>
    <row r="2191" spans="2:34" x14ac:dyDescent="0.2">
      <c r="B2191" s="2">
        <f ca="1"/>
        <v>0.7534443201644716</v>
      </c>
      <c r="O2191" s="2">
        <f ca="1"/>
        <v>-1.1243338387506205</v>
      </c>
      <c r="X2191" s="2">
        <f ca="1"/>
        <v>39.439741927210072</v>
      </c>
      <c r="AG2191" s="2">
        <f ca="1"/>
        <v>0.22471740296045395</v>
      </c>
      <c r="AH2191" s="2" t="str">
        <f ca="1"/>
        <v>OK</v>
      </c>
    </row>
    <row r="2192" spans="2:34" x14ac:dyDescent="0.2">
      <c r="B2192" s="2">
        <f ca="1"/>
        <v>0.17281047291781171</v>
      </c>
      <c r="O2192" s="2">
        <f ca="1"/>
        <v>1.0824769427714087</v>
      </c>
      <c r="X2192" s="2">
        <f ca="1"/>
        <v>51.097401536012079</v>
      </c>
      <c r="AG2192" s="2">
        <f ca="1"/>
        <v>0.81176818083072688</v>
      </c>
      <c r="AH2192" s="2" t="str">
        <f ca="1"/>
        <v>Bad</v>
      </c>
    </row>
    <row r="2193" spans="2:34" x14ac:dyDescent="0.2">
      <c r="B2193" s="2">
        <f ca="1"/>
        <v>0.35062239211248047</v>
      </c>
      <c r="O2193" s="2">
        <f ca="1"/>
        <v>-1.2654102938391414</v>
      </c>
      <c r="X2193" s="2">
        <f ca="1"/>
        <v>74.293733895420345</v>
      </c>
      <c r="AG2193" s="2">
        <f ca="1"/>
        <v>0.64326980500641429</v>
      </c>
      <c r="AH2193" s="2" t="str">
        <f ca="1"/>
        <v>Bad</v>
      </c>
    </row>
    <row r="2194" spans="2:34" x14ac:dyDescent="0.2">
      <c r="B2194" s="2">
        <f ca="1"/>
        <v>1.0988742419805853E-2</v>
      </c>
      <c r="O2194" s="2">
        <f ca="1"/>
        <v>-2.4380261201853779</v>
      </c>
      <c r="X2194" s="2">
        <f ca="1"/>
        <v>97.346902888164962</v>
      </c>
      <c r="AG2194" s="2">
        <f ca="1"/>
        <v>0.61857652505220173</v>
      </c>
      <c r="AH2194" s="2" t="str">
        <f ca="1"/>
        <v>Bad</v>
      </c>
    </row>
    <row r="2195" spans="2:34" x14ac:dyDescent="0.2">
      <c r="B2195" s="2">
        <f ca="1"/>
        <v>0.49548386848428749</v>
      </c>
      <c r="O2195" s="2">
        <f ca="1"/>
        <v>0.63897877464811781</v>
      </c>
      <c r="X2195" s="2">
        <f ca="1"/>
        <v>36.982132190167206</v>
      </c>
      <c r="AG2195" s="2">
        <f ca="1"/>
        <v>0.49583550830563317</v>
      </c>
      <c r="AH2195" s="2" t="str">
        <f ca="1"/>
        <v>Bad</v>
      </c>
    </row>
    <row r="2196" spans="2:34" x14ac:dyDescent="0.2">
      <c r="B2196" s="2">
        <f ca="1"/>
        <v>0.94564552703933225</v>
      </c>
      <c r="O2196" s="2">
        <f ca="1"/>
        <v>1.1901209840250941</v>
      </c>
      <c r="X2196" s="2">
        <f ca="1"/>
        <v>79.473752433839522</v>
      </c>
      <c r="AG2196" s="2">
        <f ca="1"/>
        <v>0.82558939993237579</v>
      </c>
      <c r="AH2196" s="2" t="str">
        <f ca="1"/>
        <v>Bad</v>
      </c>
    </row>
    <row r="2197" spans="2:34" x14ac:dyDescent="0.2">
      <c r="B2197" s="2">
        <f ca="1"/>
        <v>0.76253872422987268</v>
      </c>
      <c r="O2197" s="2">
        <f ca="1"/>
        <v>0.22014208369476279</v>
      </c>
      <c r="X2197" s="2">
        <f ca="1"/>
        <v>52.672428344169937</v>
      </c>
      <c r="AG2197" s="2">
        <f ca="1"/>
        <v>0.83756177508860219</v>
      </c>
      <c r="AH2197" s="2" t="str">
        <f ca="1"/>
        <v>Bad</v>
      </c>
    </row>
    <row r="2198" spans="2:34" x14ac:dyDescent="0.2">
      <c r="B2198" s="2">
        <f ca="1"/>
        <v>0.91413571209140732</v>
      </c>
      <c r="O2198" s="2">
        <f ca="1"/>
        <v>-0.3292231386115741</v>
      </c>
      <c r="X2198" s="2">
        <f ca="1"/>
        <v>45.455110895939193</v>
      </c>
      <c r="AG2198" s="2">
        <f ca="1"/>
        <v>0.4553811142404387</v>
      </c>
      <c r="AH2198" s="2" t="str">
        <f ca="1"/>
        <v>Bad</v>
      </c>
    </row>
    <row r="2199" spans="2:34" x14ac:dyDescent="0.2">
      <c r="B2199" s="2">
        <f ca="1"/>
        <v>0.43662070711216949</v>
      </c>
      <c r="O2199" s="2">
        <f ca="1"/>
        <v>0.99170563146329782</v>
      </c>
      <c r="X2199" s="2">
        <f ca="1"/>
        <v>42.828390300666612</v>
      </c>
      <c r="AG2199" s="2">
        <f ca="1"/>
        <v>0.91896899803058352</v>
      </c>
      <c r="AH2199" s="2" t="str">
        <f ca="1"/>
        <v>Bad</v>
      </c>
    </row>
    <row r="2200" spans="2:34" x14ac:dyDescent="0.2">
      <c r="B2200" s="2">
        <f ca="1"/>
        <v>0.44033302868079138</v>
      </c>
      <c r="O2200" s="2">
        <f ca="1"/>
        <v>0.49921697989648345</v>
      </c>
      <c r="X2200" s="2">
        <f ca="1"/>
        <v>29.905470565745944</v>
      </c>
      <c r="AG2200" s="2">
        <f ca="1"/>
        <v>0.86904708877104575</v>
      </c>
      <c r="AH2200" s="2" t="str">
        <f ca="1"/>
        <v>Bad</v>
      </c>
    </row>
    <row r="2201" spans="2:34" x14ac:dyDescent="0.2">
      <c r="B2201" s="2">
        <f ca="1"/>
        <v>1.0662764143399839E-2</v>
      </c>
      <c r="O2201" s="2">
        <f ca="1"/>
        <v>0.26506615281704005</v>
      </c>
      <c r="X2201" s="2">
        <f ca="1"/>
        <v>38.291889842609621</v>
      </c>
      <c r="AG2201" s="2">
        <f ca="1"/>
        <v>0.67871938888075856</v>
      </c>
      <c r="AH2201" s="2" t="str">
        <f ca="1"/>
        <v>Bad</v>
      </c>
    </row>
    <row r="2202" spans="2:34" x14ac:dyDescent="0.2">
      <c r="B2202" s="2">
        <f ca="1"/>
        <v>0.75564863649372893</v>
      </c>
      <c r="O2202" s="2">
        <f ca="1"/>
        <v>0.53241010584803772</v>
      </c>
      <c r="X2202" s="2">
        <f ca="1"/>
        <v>20.047586080117448</v>
      </c>
      <c r="AG2202" s="2">
        <f ca="1"/>
        <v>0.56424737831130023</v>
      </c>
      <c r="AH2202" s="2" t="str">
        <f ca="1"/>
        <v>Bad</v>
      </c>
    </row>
    <row r="2203" spans="2:34" x14ac:dyDescent="0.2">
      <c r="B2203" s="2">
        <f ca="1"/>
        <v>0.97883751667415764</v>
      </c>
      <c r="O2203" s="2">
        <f ca="1"/>
        <v>-0.15711989940443294</v>
      </c>
      <c r="X2203" s="2">
        <f ca="1"/>
        <v>45.004469204679786</v>
      </c>
      <c r="AG2203" s="2">
        <f ca="1"/>
        <v>0.87230074726259477</v>
      </c>
      <c r="AH2203" s="2" t="str">
        <f ca="1"/>
        <v>Bad</v>
      </c>
    </row>
    <row r="2204" spans="2:34" x14ac:dyDescent="0.2">
      <c r="B2204" s="2">
        <f ca="1"/>
        <v>0.97522264545817605</v>
      </c>
      <c r="O2204" s="2">
        <f ca="1"/>
        <v>-1.3256033516333989</v>
      </c>
      <c r="X2204" s="2">
        <f ca="1"/>
        <v>55.05938813809869</v>
      </c>
      <c r="AG2204" s="2">
        <f ca="1"/>
        <v>0.3592916490291076</v>
      </c>
      <c r="AH2204" s="2" t="str">
        <f ca="1"/>
        <v>OK</v>
      </c>
    </row>
    <row r="2205" spans="2:34" x14ac:dyDescent="0.2">
      <c r="B2205" s="2">
        <f ca="1"/>
        <v>0.74054865939121495</v>
      </c>
      <c r="O2205" s="2">
        <f ca="1"/>
        <v>0.50738852516222932</v>
      </c>
      <c r="X2205" s="2">
        <f ca="1"/>
        <v>69.077986373291438</v>
      </c>
      <c r="AG2205" s="2">
        <f ca="1"/>
        <v>0.93053417176595099</v>
      </c>
      <c r="AH2205" s="2" t="str">
        <f ca="1"/>
        <v>Bad</v>
      </c>
    </row>
    <row r="2206" spans="2:34" x14ac:dyDescent="0.2">
      <c r="B2206" s="2">
        <f ca="1"/>
        <v>0.7452500926000345</v>
      </c>
      <c r="O2206" s="2">
        <f ca="1"/>
        <v>0.22116739200188273</v>
      </c>
      <c r="X2206" s="2">
        <f ca="1"/>
        <v>27.286608289420577</v>
      </c>
      <c r="AG2206" s="2">
        <f ca="1"/>
        <v>0.89343657137355259</v>
      </c>
      <c r="AH2206" s="2" t="str">
        <f ca="1"/>
        <v>Bad</v>
      </c>
    </row>
    <row r="2207" spans="2:34" x14ac:dyDescent="0.2">
      <c r="B2207" s="2">
        <f ca="1"/>
        <v>0.89907628076353263</v>
      </c>
      <c r="O2207" s="2">
        <f ca="1"/>
        <v>-0.41460784855716526</v>
      </c>
      <c r="X2207" s="2">
        <f ca="1"/>
        <v>59.05488746282078</v>
      </c>
      <c r="AG2207" s="2">
        <f ca="1"/>
        <v>0.60069833374898818</v>
      </c>
      <c r="AH2207" s="2" t="str">
        <f ca="1"/>
        <v>Bad</v>
      </c>
    </row>
    <row r="2208" spans="2:34" x14ac:dyDescent="0.2">
      <c r="B2208" s="2">
        <f ca="1"/>
        <v>0.36261340804305942</v>
      </c>
      <c r="O2208" s="2">
        <f ca="1"/>
        <v>0.59134485564468531</v>
      </c>
      <c r="X2208" s="2">
        <f ca="1"/>
        <v>37.772914554616001</v>
      </c>
      <c r="AG2208" s="2">
        <f ca="1"/>
        <v>0.37476146933861054</v>
      </c>
      <c r="AH2208" s="2" t="str">
        <f ca="1"/>
        <v>OK</v>
      </c>
    </row>
    <row r="2209" spans="2:34" x14ac:dyDescent="0.2">
      <c r="B2209" s="2">
        <f ca="1"/>
        <v>0.44687927597332178</v>
      </c>
      <c r="O2209" s="2">
        <f ca="1"/>
        <v>4.9247884492913084E-2</v>
      </c>
      <c r="X2209" s="2">
        <f ca="1"/>
        <v>57.045009956315916</v>
      </c>
      <c r="AG2209" s="2">
        <f ca="1"/>
        <v>0.27737296319944638</v>
      </c>
      <c r="AH2209" s="2" t="str">
        <f ca="1"/>
        <v>OK</v>
      </c>
    </row>
    <row r="2210" spans="2:34" x14ac:dyDescent="0.2">
      <c r="B2210" s="2">
        <f ca="1"/>
        <v>0.93742263210717969</v>
      </c>
      <c r="O2210" s="2">
        <f ca="1"/>
        <v>-0.44957413313250388</v>
      </c>
      <c r="X2210" s="2">
        <f ca="1"/>
        <v>37.522911110236976</v>
      </c>
      <c r="AG2210" s="2">
        <f ca="1"/>
        <v>0.2820871136747809</v>
      </c>
      <c r="AH2210" s="2" t="str">
        <f ca="1"/>
        <v>OK</v>
      </c>
    </row>
    <row r="2211" spans="2:34" x14ac:dyDescent="0.2">
      <c r="B2211" s="2">
        <f ca="1"/>
        <v>0.54287442346048742</v>
      </c>
      <c r="O2211" s="2">
        <f ca="1"/>
        <v>1.6934530764150433</v>
      </c>
      <c r="X2211" s="2">
        <f ca="1"/>
        <v>54.845733735464499</v>
      </c>
      <c r="AG2211" s="2">
        <f ca="1"/>
        <v>0.22007406439361676</v>
      </c>
      <c r="AH2211" s="2" t="str">
        <f ca="1"/>
        <v>OK</v>
      </c>
    </row>
    <row r="2212" spans="2:34" x14ac:dyDescent="0.2">
      <c r="B2212" s="2">
        <f ca="1"/>
        <v>0.25030710370600562</v>
      </c>
      <c r="O2212" s="2">
        <f ca="1"/>
        <v>0.76044297529084515</v>
      </c>
      <c r="X2212" s="2">
        <f ca="1"/>
        <v>43.800852108220212</v>
      </c>
      <c r="AG2212" s="2">
        <f ca="1"/>
        <v>0.67350926986289927</v>
      </c>
      <c r="AH2212" s="2" t="str">
        <f ca="1"/>
        <v>Bad</v>
      </c>
    </row>
    <row r="2213" spans="2:34" x14ac:dyDescent="0.2">
      <c r="B2213" s="2">
        <f ca="1"/>
        <v>0.65983960126827168</v>
      </c>
      <c r="O2213" s="2">
        <f ca="1"/>
        <v>-0.62032196906630155</v>
      </c>
      <c r="X2213" s="2">
        <f ca="1"/>
        <v>47.500153531345305</v>
      </c>
      <c r="AG2213" s="2">
        <f ca="1"/>
        <v>0.47391778753921288</v>
      </c>
      <c r="AH2213" s="2" t="str">
        <f ca="1"/>
        <v>Bad</v>
      </c>
    </row>
    <row r="2214" spans="2:34" x14ac:dyDescent="0.2">
      <c r="B2214" s="2">
        <f ca="1"/>
        <v>0.39500053085137155</v>
      </c>
      <c r="O2214" s="2">
        <f ca="1"/>
        <v>-1.5488501705118214</v>
      </c>
      <c r="X2214" s="2">
        <f ca="1"/>
        <v>89.447877649045623</v>
      </c>
      <c r="AG2214" s="2">
        <f ca="1"/>
        <v>0.34543484835889826</v>
      </c>
      <c r="AH2214" s="2" t="str">
        <f ca="1"/>
        <v>OK</v>
      </c>
    </row>
    <row r="2215" spans="2:34" x14ac:dyDescent="0.2">
      <c r="B2215" s="2">
        <f ca="1"/>
        <v>0.56180354742786998</v>
      </c>
      <c r="O2215" s="2">
        <f ca="1"/>
        <v>-1.1033425773961669</v>
      </c>
      <c r="X2215" s="2">
        <f ca="1"/>
        <v>74.302316649546242</v>
      </c>
      <c r="AG2215" s="2">
        <f ca="1"/>
        <v>0.44600538805213774</v>
      </c>
      <c r="AH2215" s="2" t="str">
        <f ca="1"/>
        <v>Bad</v>
      </c>
    </row>
    <row r="2216" spans="2:34" x14ac:dyDescent="0.2">
      <c r="B2216" s="2">
        <f ca="1"/>
        <v>0.18110377989048554</v>
      </c>
      <c r="O2216" s="2">
        <f ca="1"/>
        <v>-2.428448596240707</v>
      </c>
      <c r="X2216" s="2">
        <f ca="1"/>
        <v>44.931721531244705</v>
      </c>
      <c r="AG2216" s="2">
        <f ca="1"/>
        <v>0.66016161189770717</v>
      </c>
      <c r="AH2216" s="2" t="str">
        <f ca="1"/>
        <v>Bad</v>
      </c>
    </row>
    <row r="2217" spans="2:34" x14ac:dyDescent="0.2">
      <c r="B2217" s="2">
        <f ca="1"/>
        <v>0.49004379822732891</v>
      </c>
      <c r="O2217" s="2">
        <f ca="1"/>
        <v>-0.42182121686225665</v>
      </c>
      <c r="X2217" s="2">
        <f ca="1"/>
        <v>75.419101264355135</v>
      </c>
      <c r="AG2217" s="2">
        <f ca="1"/>
        <v>0.97453573927099879</v>
      </c>
      <c r="AH2217" s="2" t="str">
        <f ca="1"/>
        <v>Bad</v>
      </c>
    </row>
    <row r="2218" spans="2:34" x14ac:dyDescent="0.2">
      <c r="B2218" s="2">
        <f ca="1"/>
        <v>0.64049958365440651</v>
      </c>
      <c r="O2218" s="2">
        <f ca="1"/>
        <v>-0.14979472811149816</v>
      </c>
      <c r="X2218" s="2">
        <f ca="1"/>
        <v>43.186012933136027</v>
      </c>
      <c r="AG2218" s="2">
        <f ca="1"/>
        <v>9.262170202962916E-2</v>
      </c>
      <c r="AH2218" s="2" t="str">
        <f ca="1"/>
        <v>OK</v>
      </c>
    </row>
    <row r="2219" spans="2:34" x14ac:dyDescent="0.2">
      <c r="B2219" s="2">
        <f ca="1"/>
        <v>0.82090876387269796</v>
      </c>
      <c r="O2219" s="2">
        <f ca="1"/>
        <v>1.7499478337753387</v>
      </c>
      <c r="X2219" s="2">
        <f ca="1"/>
        <v>54.875344531041002</v>
      </c>
      <c r="AG2219" s="2">
        <f ca="1"/>
        <v>0.30054103908147844</v>
      </c>
      <c r="AH2219" s="2" t="str">
        <f ca="1"/>
        <v>OK</v>
      </c>
    </row>
    <row r="2220" spans="2:34" x14ac:dyDescent="0.2">
      <c r="B2220" s="2">
        <f ca="1"/>
        <v>0.33634206055885052</v>
      </c>
      <c r="O2220" s="2">
        <f ca="1"/>
        <v>0.46169799440849035</v>
      </c>
      <c r="X2220" s="2">
        <f ca="1"/>
        <v>53.762566731410281</v>
      </c>
      <c r="AG2220" s="2">
        <f ca="1"/>
        <v>0.5889676879299417</v>
      </c>
      <c r="AH2220" s="2" t="str">
        <f ca="1"/>
        <v>Bad</v>
      </c>
    </row>
    <row r="2221" spans="2:34" x14ac:dyDescent="0.2">
      <c r="B2221" s="2">
        <f ca="1"/>
        <v>0.89724702326705752</v>
      </c>
      <c r="O2221" s="2">
        <f ca="1"/>
        <v>1.303781956154126</v>
      </c>
      <c r="X2221" s="2">
        <f ca="1"/>
        <v>47.154438632293164</v>
      </c>
      <c r="AG2221" s="2">
        <f ca="1"/>
        <v>0.1715823978392359</v>
      </c>
      <c r="AH2221" s="2" t="str">
        <f ca="1"/>
        <v>OK</v>
      </c>
    </row>
    <row r="2222" spans="2:34" x14ac:dyDescent="0.2">
      <c r="B2222" s="2">
        <f ca="1"/>
        <v>0.46855960219453241</v>
      </c>
      <c r="O2222" s="2">
        <f ca="1"/>
        <v>0.47451787330595563</v>
      </c>
      <c r="X2222" s="2">
        <f ca="1"/>
        <v>37.09286843555774</v>
      </c>
      <c r="AG2222" s="2">
        <f ca="1"/>
        <v>0.41013025224191968</v>
      </c>
      <c r="AH2222" s="2" t="str">
        <f ca="1"/>
        <v>Bad</v>
      </c>
    </row>
    <row r="2223" spans="2:34" x14ac:dyDescent="0.2">
      <c r="B2223" s="2">
        <f ca="1"/>
        <v>0.4335189732379392</v>
      </c>
      <c r="O2223" s="2">
        <f ca="1"/>
        <v>0.88597661023393515</v>
      </c>
      <c r="X2223" s="2">
        <f ca="1"/>
        <v>47.862817722583756</v>
      </c>
      <c r="AG2223" s="2">
        <f ca="1"/>
        <v>0.27936830855566597</v>
      </c>
      <c r="AH2223" s="2" t="str">
        <f ca="1"/>
        <v>OK</v>
      </c>
    </row>
    <row r="2224" spans="2:34" x14ac:dyDescent="0.2">
      <c r="B2224" s="2">
        <f ca="1"/>
        <v>0.74256080629571786</v>
      </c>
      <c r="O2224" s="2">
        <f ca="1"/>
        <v>-0.22508809692779297</v>
      </c>
      <c r="X2224" s="2">
        <f ca="1"/>
        <v>34.462054536102514</v>
      </c>
      <c r="AG2224" s="2">
        <f ca="1"/>
        <v>5.4032324724915259E-3</v>
      </c>
      <c r="AH2224" s="2" t="str">
        <f ca="1"/>
        <v>Good</v>
      </c>
    </row>
    <row r="2225" spans="2:34" x14ac:dyDescent="0.2">
      <c r="B2225" s="2">
        <f ca="1"/>
        <v>0.57777378852478756</v>
      </c>
      <c r="O2225" s="2">
        <f ca="1"/>
        <v>0.29195134778245729</v>
      </c>
      <c r="X2225" s="2">
        <f ca="1"/>
        <v>67.608271628570847</v>
      </c>
      <c r="AG2225" s="2">
        <f ca="1"/>
        <v>0.22747019328476492</v>
      </c>
      <c r="AH2225" s="2" t="str">
        <f ca="1"/>
        <v>OK</v>
      </c>
    </row>
    <row r="2226" spans="2:34" x14ac:dyDescent="0.2">
      <c r="B2226" s="2">
        <f ca="1"/>
        <v>0.78143335149895266</v>
      </c>
      <c r="O2226" s="2">
        <f ca="1"/>
        <v>0.34556345721238169</v>
      </c>
      <c r="X2226" s="2">
        <f ca="1"/>
        <v>30.481375604842988</v>
      </c>
      <c r="AG2226" s="2">
        <f ca="1"/>
        <v>0.56678682678060643</v>
      </c>
      <c r="AH2226" s="2" t="str">
        <f ca="1"/>
        <v>Bad</v>
      </c>
    </row>
    <row r="2227" spans="2:34" x14ac:dyDescent="0.2">
      <c r="B2227" s="2">
        <f ca="1"/>
        <v>0.12867038716147849</v>
      </c>
      <c r="O2227" s="2">
        <f ca="1"/>
        <v>-0.94784812713301503</v>
      </c>
      <c r="X2227" s="2">
        <f ca="1"/>
        <v>45.658765373271002</v>
      </c>
      <c r="AG2227" s="2">
        <f ca="1"/>
        <v>0.81718173999661148</v>
      </c>
      <c r="AH2227" s="2" t="str">
        <f ca="1"/>
        <v>Bad</v>
      </c>
    </row>
    <row r="2228" spans="2:34" x14ac:dyDescent="0.2">
      <c r="B2228" s="2">
        <f ca="1"/>
        <v>0.18853499137613716</v>
      </c>
      <c r="O2228" s="2">
        <f ca="1"/>
        <v>-8.7400824432480012E-2</v>
      </c>
      <c r="X2228" s="2">
        <f ca="1"/>
        <v>49.599314776807631</v>
      </c>
      <c r="AG2228" s="2">
        <f ca="1"/>
        <v>0.81054141287682402</v>
      </c>
      <c r="AH2228" s="2" t="str">
        <f ca="1"/>
        <v>Bad</v>
      </c>
    </row>
    <row r="2229" spans="2:34" x14ac:dyDescent="0.2">
      <c r="B2229" s="2">
        <f ca="1"/>
        <v>0.69534984711034808</v>
      </c>
      <c r="O2229" s="2">
        <f ca="1"/>
        <v>-0.61768255188339471</v>
      </c>
      <c r="X2229" s="2">
        <f ca="1"/>
        <v>42.046053892876493</v>
      </c>
      <c r="AG2229" s="2">
        <f ca="1"/>
        <v>0.39057868610892266</v>
      </c>
      <c r="AH2229" s="2" t="str">
        <f ca="1"/>
        <v>OK</v>
      </c>
    </row>
    <row r="2230" spans="2:34" x14ac:dyDescent="0.2">
      <c r="B2230" s="2">
        <f ca="1"/>
        <v>0.7905824781700288</v>
      </c>
      <c r="O2230" s="2">
        <f ca="1"/>
        <v>0.42747301253785824</v>
      </c>
      <c r="X2230" s="2">
        <f ca="1"/>
        <v>64.874326569005746</v>
      </c>
      <c r="AG2230" s="2">
        <f ca="1"/>
        <v>0.63121940743860816</v>
      </c>
      <c r="AH2230" s="2" t="str">
        <f ca="1"/>
        <v>Bad</v>
      </c>
    </row>
    <row r="2231" spans="2:34" x14ac:dyDescent="0.2">
      <c r="B2231" s="2">
        <f ca="1"/>
        <v>0.17022886755009448</v>
      </c>
      <c r="O2231" s="2">
        <f ca="1"/>
        <v>0.23493720822512126</v>
      </c>
      <c r="X2231" s="2">
        <f ca="1"/>
        <v>39.283691422991133</v>
      </c>
      <c r="AG2231" s="2">
        <f ca="1"/>
        <v>0.93687956139861162</v>
      </c>
      <c r="AH2231" s="2" t="str">
        <f ca="1"/>
        <v>Bad</v>
      </c>
    </row>
    <row r="2232" spans="2:34" x14ac:dyDescent="0.2">
      <c r="B2232" s="2">
        <f ca="1"/>
        <v>1.1675074963013898E-2</v>
      </c>
      <c r="O2232" s="2">
        <f ca="1"/>
        <v>-0.54982914347533252</v>
      </c>
      <c r="X2232" s="2">
        <f ca="1"/>
        <v>56.638022043293326</v>
      </c>
      <c r="AG2232" s="2">
        <f ca="1"/>
        <v>0.44025486759073695</v>
      </c>
      <c r="AH2232" s="2" t="str">
        <f ca="1"/>
        <v>Bad</v>
      </c>
    </row>
    <row r="2233" spans="2:34" x14ac:dyDescent="0.2">
      <c r="B2233" s="2">
        <f ca="1"/>
        <v>0.81191796125681481</v>
      </c>
      <c r="O2233" s="2">
        <f ca="1"/>
        <v>-0.45204465076789963</v>
      </c>
      <c r="X2233" s="2">
        <f ca="1"/>
        <v>48.989194333532772</v>
      </c>
      <c r="AG2233" s="2">
        <f ca="1"/>
        <v>0.78209918204062201</v>
      </c>
      <c r="AH2233" s="2" t="str">
        <f ca="1"/>
        <v>Bad</v>
      </c>
    </row>
    <row r="2234" spans="2:34" x14ac:dyDescent="0.2">
      <c r="B2234" s="2">
        <f ca="1"/>
        <v>0.22402514781866634</v>
      </c>
      <c r="O2234" s="2">
        <f ca="1"/>
        <v>-2.2253781097374671E-2</v>
      </c>
      <c r="X2234" s="2">
        <f ca="1"/>
        <v>58.692060558704178</v>
      </c>
      <c r="AG2234" s="2">
        <f ca="1"/>
        <v>0.40737796663509074</v>
      </c>
      <c r="AH2234" s="2" t="str">
        <f ca="1"/>
        <v>Bad</v>
      </c>
    </row>
    <row r="2235" spans="2:34" x14ac:dyDescent="0.2">
      <c r="B2235" s="2">
        <f ca="1"/>
        <v>0.9146559699594945</v>
      </c>
      <c r="O2235" s="2">
        <f ca="1"/>
        <v>6.1424847007703995E-2</v>
      </c>
      <c r="X2235" s="2">
        <f ca="1"/>
        <v>41.475424906515556</v>
      </c>
      <c r="AG2235" s="2">
        <f ca="1"/>
        <v>0.574410237552057</v>
      </c>
      <c r="AH2235" s="2" t="str">
        <f ca="1"/>
        <v>Bad</v>
      </c>
    </row>
    <row r="2236" spans="2:34" x14ac:dyDescent="0.2">
      <c r="B2236" s="2">
        <f ca="1"/>
        <v>0.10872784634213728</v>
      </c>
      <c r="O2236" s="2">
        <f ca="1"/>
        <v>1.4387938192394027</v>
      </c>
      <c r="X2236" s="2">
        <f ca="1"/>
        <v>43.616922081805505</v>
      </c>
      <c r="AG2236" s="2">
        <f ca="1"/>
        <v>0.89605115321350159</v>
      </c>
      <c r="AH2236" s="2" t="str">
        <f ca="1"/>
        <v>Bad</v>
      </c>
    </row>
    <row r="2237" spans="2:34" x14ac:dyDescent="0.2">
      <c r="B2237" s="2">
        <f ca="1"/>
        <v>0.47543909969808373</v>
      </c>
      <c r="O2237" s="2">
        <f ca="1"/>
        <v>0.44368463452141205</v>
      </c>
      <c r="X2237" s="2">
        <f ca="1"/>
        <v>36.2251717849663</v>
      </c>
      <c r="AG2237" s="2">
        <f ca="1"/>
        <v>0.13743577782728278</v>
      </c>
      <c r="AH2237" s="2" t="str">
        <f ca="1"/>
        <v>OK</v>
      </c>
    </row>
    <row r="2238" spans="2:34" x14ac:dyDescent="0.2">
      <c r="B2238" s="2">
        <f ca="1"/>
        <v>9.1921355036362673E-2</v>
      </c>
      <c r="O2238" s="2">
        <f ca="1"/>
        <v>-3.4037056288023393E-2</v>
      </c>
      <c r="X2238" s="2">
        <f ca="1"/>
        <v>38.466734880626746</v>
      </c>
      <c r="AG2238" s="2">
        <f ca="1"/>
        <v>0.14262667008153707</v>
      </c>
      <c r="AH2238" s="2" t="str">
        <f ca="1"/>
        <v>OK</v>
      </c>
    </row>
    <row r="2239" spans="2:34" x14ac:dyDescent="0.2">
      <c r="B2239" s="2">
        <f ca="1"/>
        <v>0.88855538910605514</v>
      </c>
      <c r="O2239" s="2">
        <f ca="1"/>
        <v>-0.62868216056679327</v>
      </c>
      <c r="X2239" s="2">
        <f ca="1"/>
        <v>48.161064707439863</v>
      </c>
      <c r="AG2239" s="2">
        <f ca="1"/>
        <v>0.71722994207653046</v>
      </c>
      <c r="AH2239" s="2" t="str">
        <f ca="1"/>
        <v>Bad</v>
      </c>
    </row>
    <row r="2240" spans="2:34" x14ac:dyDescent="0.2">
      <c r="B2240" s="2">
        <f ca="1"/>
        <v>0.15691115452268889</v>
      </c>
      <c r="O2240" s="2">
        <f ca="1"/>
        <v>-0.54647272735756791</v>
      </c>
      <c r="X2240" s="2">
        <f ca="1"/>
        <v>34.79715278529963</v>
      </c>
      <c r="AG2240" s="2">
        <f ca="1"/>
        <v>0.92357570743721196</v>
      </c>
      <c r="AH2240" s="2" t="str">
        <f ca="1"/>
        <v>Bad</v>
      </c>
    </row>
    <row r="2241" spans="2:34" x14ac:dyDescent="0.2">
      <c r="B2241" s="2">
        <f ca="1"/>
        <v>0.90252081163584119</v>
      </c>
      <c r="O2241" s="2">
        <f ca="1"/>
        <v>1.6885831562250049</v>
      </c>
      <c r="X2241" s="2">
        <f ca="1"/>
        <v>35.999425980309816</v>
      </c>
      <c r="AG2241" s="2">
        <f ca="1"/>
        <v>0.53285735644432131</v>
      </c>
      <c r="AH2241" s="2" t="str">
        <f ca="1"/>
        <v>Bad</v>
      </c>
    </row>
    <row r="2242" spans="2:34" x14ac:dyDescent="0.2">
      <c r="B2242" s="2">
        <f ca="1"/>
        <v>0.86668429649301881</v>
      </c>
      <c r="O2242" s="2">
        <f ca="1"/>
        <v>1.5255337993966021</v>
      </c>
      <c r="X2242" s="2">
        <f ca="1"/>
        <v>27.731494767145321</v>
      </c>
      <c r="AG2242" s="2">
        <f ca="1"/>
        <v>0.53145897720577251</v>
      </c>
      <c r="AH2242" s="2" t="str">
        <f ca="1"/>
        <v>Bad</v>
      </c>
    </row>
    <row r="2243" spans="2:34" x14ac:dyDescent="0.2">
      <c r="B2243" s="2">
        <f ca="1"/>
        <v>2.8904744317835407E-2</v>
      </c>
      <c r="O2243" s="2">
        <f ca="1"/>
        <v>-0.34780071517817823</v>
      </c>
      <c r="X2243" s="2">
        <f ca="1"/>
        <v>51.02552183853745</v>
      </c>
      <c r="AG2243" s="2">
        <f ca="1"/>
        <v>0.96705845464288198</v>
      </c>
      <c r="AH2243" s="2" t="str">
        <f ca="1"/>
        <v>Bad</v>
      </c>
    </row>
    <row r="2244" spans="2:34" x14ac:dyDescent="0.2">
      <c r="B2244" s="2">
        <f ca="1"/>
        <v>0.77624151241998418</v>
      </c>
      <c r="O2244" s="2">
        <f ca="1"/>
        <v>-1.0646027163979765</v>
      </c>
      <c r="X2244" s="2">
        <f ca="1"/>
        <v>42.818923977888552</v>
      </c>
      <c r="AG2244" s="2">
        <f ca="1"/>
        <v>0.90033454322230599</v>
      </c>
      <c r="AH2244" s="2" t="str">
        <f ca="1"/>
        <v>Bad</v>
      </c>
    </row>
    <row r="2245" spans="2:34" x14ac:dyDescent="0.2">
      <c r="B2245" s="2">
        <f ca="1"/>
        <v>0.49847873810269516</v>
      </c>
      <c r="O2245" s="2">
        <f ca="1"/>
        <v>0.16677270830517246</v>
      </c>
      <c r="X2245" s="2">
        <f ca="1"/>
        <v>40.925254888257818</v>
      </c>
      <c r="AG2245" s="2">
        <f ca="1"/>
        <v>0.38287311787975153</v>
      </c>
      <c r="AH2245" s="2" t="str">
        <f ca="1"/>
        <v>OK</v>
      </c>
    </row>
    <row r="2246" spans="2:34" x14ac:dyDescent="0.2">
      <c r="B2246" s="2">
        <f ca="1"/>
        <v>8.2935527611144089E-2</v>
      </c>
      <c r="O2246" s="2">
        <f ca="1"/>
        <v>1.0644433175080241</v>
      </c>
      <c r="X2246" s="2">
        <f ca="1"/>
        <v>28.656970673627264</v>
      </c>
      <c r="AG2246" s="2">
        <f ca="1"/>
        <v>0.60462307830134909</v>
      </c>
      <c r="AH2246" s="2" t="str">
        <f ca="1"/>
        <v>Bad</v>
      </c>
    </row>
    <row r="2247" spans="2:34" x14ac:dyDescent="0.2">
      <c r="B2247" s="2">
        <f ca="1"/>
        <v>0.59402857545300147</v>
      </c>
      <c r="O2247" s="2">
        <f ca="1"/>
        <v>1.0596929235996295</v>
      </c>
      <c r="X2247" s="2">
        <f ca="1"/>
        <v>22.090777615763706</v>
      </c>
      <c r="AG2247" s="2">
        <f ca="1"/>
        <v>0.78183553745910017</v>
      </c>
      <c r="AH2247" s="2" t="str">
        <f ca="1"/>
        <v>Bad</v>
      </c>
    </row>
    <row r="2248" spans="2:34" x14ac:dyDescent="0.2">
      <c r="B2248" s="2">
        <f ca="1"/>
        <v>0.6989149204016627</v>
      </c>
      <c r="O2248" s="2">
        <f ca="1"/>
        <v>0.13074726684040011</v>
      </c>
      <c r="X2248" s="2">
        <f ca="1"/>
        <v>52.136582351852212</v>
      </c>
      <c r="AG2248" s="2">
        <f ca="1"/>
        <v>0.60836316853435335</v>
      </c>
      <c r="AH2248" s="2" t="str">
        <f ca="1"/>
        <v>Bad</v>
      </c>
    </row>
    <row r="2249" spans="2:34" x14ac:dyDescent="0.2">
      <c r="B2249" s="2">
        <f ca="1"/>
        <v>0.88280167648606689</v>
      </c>
      <c r="O2249" s="2">
        <f ca="1"/>
        <v>-1.9224600978585518</v>
      </c>
      <c r="X2249" s="2">
        <f ca="1"/>
        <v>63.118609467518553</v>
      </c>
      <c r="AG2249" s="2">
        <f ca="1"/>
        <v>0.35944563037757482</v>
      </c>
      <c r="AH2249" s="2" t="str">
        <f ca="1"/>
        <v>OK</v>
      </c>
    </row>
    <row r="2250" spans="2:34" x14ac:dyDescent="0.2">
      <c r="B2250" s="2">
        <f ca="1"/>
        <v>0.2189976210295892</v>
      </c>
      <c r="O2250" s="2">
        <f ca="1"/>
        <v>-0.24161428659541423</v>
      </c>
      <c r="X2250" s="2">
        <f ca="1"/>
        <v>66.139618664650456</v>
      </c>
      <c r="AG2250" s="2">
        <f ca="1"/>
        <v>0.90232615516062253</v>
      </c>
      <c r="AH2250" s="2" t="str">
        <f ca="1"/>
        <v>Bad</v>
      </c>
    </row>
    <row r="2251" spans="2:34" x14ac:dyDescent="0.2">
      <c r="B2251" s="2">
        <f ca="1"/>
        <v>0.11553425888206625</v>
      </c>
      <c r="O2251" s="2">
        <f ca="1"/>
        <v>0.29907989834325482</v>
      </c>
      <c r="X2251" s="2">
        <f ca="1"/>
        <v>27.023158680230534</v>
      </c>
      <c r="AG2251" s="2">
        <f ca="1"/>
        <v>0.40788302090982276</v>
      </c>
      <c r="AH2251" s="2" t="str">
        <f ca="1"/>
        <v>Bad</v>
      </c>
    </row>
    <row r="2252" spans="2:34" x14ac:dyDescent="0.2">
      <c r="B2252" s="2">
        <f ca="1"/>
        <v>0.18056066960126982</v>
      </c>
      <c r="O2252" s="2">
        <f ca="1"/>
        <v>-1.9455282447967688</v>
      </c>
      <c r="X2252" s="2">
        <f ca="1"/>
        <v>53.091346838850029</v>
      </c>
      <c r="AG2252" s="2">
        <f ca="1"/>
        <v>0.45370498798968395</v>
      </c>
      <c r="AH2252" s="2" t="str">
        <f ca="1"/>
        <v>Bad</v>
      </c>
    </row>
    <row r="2253" spans="2:34" x14ac:dyDescent="0.2">
      <c r="B2253" s="2">
        <f ca="1"/>
        <v>0.16018122309980476</v>
      </c>
      <c r="O2253" s="2">
        <f ca="1"/>
        <v>-0.52732032217958369</v>
      </c>
      <c r="X2253" s="2">
        <f ca="1"/>
        <v>72.559973464950573</v>
      </c>
      <c r="AG2253" s="2">
        <f ca="1"/>
        <v>5.2547040300079839E-2</v>
      </c>
      <c r="AH2253" s="2" t="str">
        <f ca="1"/>
        <v>OK</v>
      </c>
    </row>
    <row r="2254" spans="2:34" x14ac:dyDescent="0.2">
      <c r="B2254" s="2">
        <f ca="1"/>
        <v>0.35585570437238334</v>
      </c>
      <c r="O2254" s="2">
        <f ca="1"/>
        <v>2.216664146289848</v>
      </c>
      <c r="X2254" s="2">
        <f ca="1"/>
        <v>43.322637389347477</v>
      </c>
      <c r="AG2254" s="2">
        <f ca="1"/>
        <v>1.4241923371047571E-2</v>
      </c>
      <c r="AH2254" s="2" t="str">
        <f ca="1"/>
        <v>Good</v>
      </c>
    </row>
    <row r="2255" spans="2:34" x14ac:dyDescent="0.2">
      <c r="B2255" s="2">
        <f ca="1"/>
        <v>0.64151611892436877</v>
      </c>
      <c r="O2255" s="2">
        <f ca="1"/>
        <v>1.7515657255598387</v>
      </c>
      <c r="X2255" s="2">
        <f ca="1"/>
        <v>48.241000527476046</v>
      </c>
      <c r="AG2255" s="2">
        <f ca="1"/>
        <v>0.80616994431356015</v>
      </c>
      <c r="AH2255" s="2" t="str">
        <f ca="1"/>
        <v>Bad</v>
      </c>
    </row>
    <row r="2256" spans="2:34" x14ac:dyDescent="0.2">
      <c r="B2256" s="2">
        <f ca="1"/>
        <v>0.7228865459009044</v>
      </c>
      <c r="O2256" s="2">
        <f ca="1"/>
        <v>-1.6349800807072605</v>
      </c>
      <c r="X2256" s="2">
        <f ca="1"/>
        <v>69.889186937283128</v>
      </c>
      <c r="AG2256" s="2">
        <f ca="1"/>
        <v>0.4973271763102598</v>
      </c>
      <c r="AH2256" s="2" t="str">
        <f ca="1"/>
        <v>Bad</v>
      </c>
    </row>
    <row r="2257" spans="2:34" x14ac:dyDescent="0.2">
      <c r="B2257" s="2">
        <f ca="1"/>
        <v>0.32478827242659558</v>
      </c>
      <c r="O2257" s="2">
        <f ca="1"/>
        <v>-0.13001905507422709</v>
      </c>
      <c r="X2257" s="2">
        <f ca="1"/>
        <v>54.317992853131265</v>
      </c>
      <c r="AG2257" s="2">
        <f ca="1"/>
        <v>0.77756602526923912</v>
      </c>
      <c r="AH2257" s="2" t="str">
        <f ca="1"/>
        <v>Bad</v>
      </c>
    </row>
    <row r="2258" spans="2:34" x14ac:dyDescent="0.2">
      <c r="B2258" s="2">
        <f ca="1"/>
        <v>0.99777184251910378</v>
      </c>
      <c r="O2258" s="2">
        <f ca="1"/>
        <v>1.7604008918451799</v>
      </c>
      <c r="X2258" s="2">
        <f ca="1"/>
        <v>38.257836646108828</v>
      </c>
      <c r="AG2258" s="2">
        <f ca="1"/>
        <v>0.84894972028267457</v>
      </c>
      <c r="AH2258" s="2" t="str">
        <f ca="1"/>
        <v>Bad</v>
      </c>
    </row>
    <row r="2259" spans="2:34" x14ac:dyDescent="0.2">
      <c r="B2259" s="2">
        <f ca="1"/>
        <v>0.94148145654213455</v>
      </c>
      <c r="O2259" s="2">
        <f ca="1"/>
        <v>7.1614535293056253E-2</v>
      </c>
      <c r="X2259" s="2">
        <f ca="1"/>
        <v>63.014478924196922</v>
      </c>
      <c r="AG2259" s="2">
        <f ca="1"/>
        <v>6.3838538540607725E-2</v>
      </c>
      <c r="AH2259" s="2" t="str">
        <f ca="1"/>
        <v>OK</v>
      </c>
    </row>
    <row r="2260" spans="2:34" x14ac:dyDescent="0.2">
      <c r="B2260" s="2">
        <f ca="1"/>
        <v>0.80789312290051929</v>
      </c>
      <c r="O2260" s="2">
        <f ca="1"/>
        <v>1.9982633385017619</v>
      </c>
      <c r="X2260" s="2">
        <f ca="1"/>
        <v>34.957312334178646</v>
      </c>
      <c r="AG2260" s="2">
        <f ca="1"/>
        <v>0.37716914408074387</v>
      </c>
      <c r="AH2260" s="2" t="str">
        <f ca="1"/>
        <v>OK</v>
      </c>
    </row>
    <row r="2261" spans="2:34" x14ac:dyDescent="0.2">
      <c r="B2261" s="2">
        <f ca="1"/>
        <v>0.43124625047572374</v>
      </c>
      <c r="O2261" s="2">
        <f ca="1"/>
        <v>-0.66784573957981075</v>
      </c>
      <c r="X2261" s="2">
        <f ca="1"/>
        <v>21.562911789171764</v>
      </c>
      <c r="AG2261" s="2">
        <f ca="1"/>
        <v>0.92453003276423407</v>
      </c>
      <c r="AH2261" s="2" t="str">
        <f ca="1"/>
        <v>Bad</v>
      </c>
    </row>
    <row r="2262" spans="2:34" x14ac:dyDescent="0.2">
      <c r="B2262" s="2">
        <f ca="1"/>
        <v>0.26504086088302681</v>
      </c>
      <c r="O2262" s="2">
        <f ca="1"/>
        <v>-2.7615404430382288E-2</v>
      </c>
      <c r="X2262" s="2">
        <f ca="1"/>
        <v>52.622039409913093</v>
      </c>
      <c r="AG2262" s="2">
        <f ca="1"/>
        <v>0.76734938499740801</v>
      </c>
      <c r="AH2262" s="2" t="str">
        <f ca="1"/>
        <v>Bad</v>
      </c>
    </row>
    <row r="2263" spans="2:34" x14ac:dyDescent="0.2">
      <c r="B2263" s="2">
        <f ca="1"/>
        <v>0.59306018999156129</v>
      </c>
      <c r="O2263" s="2">
        <f ca="1"/>
        <v>-0.1177784375724503</v>
      </c>
      <c r="X2263" s="2">
        <f ca="1"/>
        <v>63.619899909806989</v>
      </c>
      <c r="AG2263" s="2">
        <f ca="1"/>
        <v>0.84325277224618866</v>
      </c>
      <c r="AH2263" s="2" t="str">
        <f ca="1"/>
        <v>Bad</v>
      </c>
    </row>
    <row r="2264" spans="2:34" x14ac:dyDescent="0.2">
      <c r="B2264" s="2">
        <f ca="1"/>
        <v>0.51512392062424484</v>
      </c>
      <c r="O2264" s="2">
        <f ca="1"/>
        <v>1.0689638182060044</v>
      </c>
      <c r="X2264" s="2">
        <f ca="1"/>
        <v>30.750367044615249</v>
      </c>
      <c r="AG2264" s="2">
        <f ca="1"/>
        <v>0.12327051412197321</v>
      </c>
      <c r="AH2264" s="2" t="str">
        <f ca="1"/>
        <v>OK</v>
      </c>
    </row>
    <row r="2265" spans="2:34" x14ac:dyDescent="0.2">
      <c r="B2265" s="2">
        <f ca="1"/>
        <v>0.84180300431685251</v>
      </c>
      <c r="O2265" s="2">
        <f ca="1"/>
        <v>0.38283483518449207</v>
      </c>
      <c r="X2265" s="2">
        <f ca="1"/>
        <v>57.750640558939772</v>
      </c>
      <c r="AG2265" s="2">
        <f ca="1"/>
        <v>0.44711541488523654</v>
      </c>
      <c r="AH2265" s="2" t="str">
        <f ca="1"/>
        <v>Bad</v>
      </c>
    </row>
    <row r="2266" spans="2:34" x14ac:dyDescent="0.2">
      <c r="B2266" s="2">
        <f ca="1"/>
        <v>0.4637873084393731</v>
      </c>
      <c r="O2266" s="2">
        <f ca="1"/>
        <v>1.4830673771944849</v>
      </c>
      <c r="X2266" s="2">
        <f ca="1"/>
        <v>39.611559894199658</v>
      </c>
      <c r="AG2266" s="2">
        <f ca="1"/>
        <v>4.6486180073233019E-3</v>
      </c>
      <c r="AH2266" s="2" t="str">
        <f ca="1"/>
        <v>Good</v>
      </c>
    </row>
    <row r="2267" spans="2:34" x14ac:dyDescent="0.2">
      <c r="B2267" s="2">
        <f ca="1"/>
        <v>5.2941739560257162E-2</v>
      </c>
      <c r="O2267" s="2">
        <f ca="1"/>
        <v>2.2247705405710368E-2</v>
      </c>
      <c r="X2267" s="2">
        <f ca="1"/>
        <v>71.819704679799287</v>
      </c>
      <c r="AG2267" s="2">
        <f ca="1"/>
        <v>0.35368265597845716</v>
      </c>
      <c r="AH2267" s="2" t="str">
        <f ca="1"/>
        <v>OK</v>
      </c>
    </row>
    <row r="2268" spans="2:34" x14ac:dyDescent="0.2">
      <c r="B2268" s="2">
        <f ca="1"/>
        <v>0.11353457940946599</v>
      </c>
      <c r="O2268" s="2">
        <f ca="1"/>
        <v>0.45124753515067695</v>
      </c>
      <c r="X2268" s="2">
        <f ca="1"/>
        <v>51.965294263954632</v>
      </c>
      <c r="AG2268" s="2">
        <f ca="1"/>
        <v>0.9909877459288674</v>
      </c>
      <c r="AH2268" s="2" t="str">
        <f ca="1"/>
        <v>Bad</v>
      </c>
    </row>
    <row r="2269" spans="2:34" x14ac:dyDescent="0.2">
      <c r="B2269" s="2">
        <f ca="1"/>
        <v>0.20375534690792874</v>
      </c>
      <c r="O2269" s="2">
        <f ca="1"/>
        <v>0.55963295504059585</v>
      </c>
      <c r="X2269" s="2">
        <f ca="1"/>
        <v>41.939304137217036</v>
      </c>
      <c r="AG2269" s="2">
        <f ca="1"/>
        <v>0.99246411855360561</v>
      </c>
      <c r="AH2269" s="2" t="str">
        <f ca="1"/>
        <v>Bad</v>
      </c>
    </row>
    <row r="2270" spans="2:34" x14ac:dyDescent="0.2">
      <c r="B2270" s="2">
        <f ca="1"/>
        <v>0.24601199679706953</v>
      </c>
      <c r="O2270" s="2">
        <f ca="1"/>
        <v>2.2811995121953856</v>
      </c>
      <c r="X2270" s="2">
        <f ca="1"/>
        <v>37.072792184123855</v>
      </c>
      <c r="AG2270" s="2">
        <f ca="1"/>
        <v>0.74808858104523912</v>
      </c>
      <c r="AH2270" s="2" t="str">
        <f ca="1"/>
        <v>Bad</v>
      </c>
    </row>
    <row r="2271" spans="2:34" x14ac:dyDescent="0.2">
      <c r="B2271" s="2">
        <f ca="1"/>
        <v>0.42473080602456315</v>
      </c>
      <c r="O2271" s="2">
        <f ca="1"/>
        <v>0.98468288825832906</v>
      </c>
      <c r="X2271" s="2">
        <f ca="1"/>
        <v>40.00489514672136</v>
      </c>
      <c r="AG2271" s="2">
        <f ca="1"/>
        <v>0.42502340994278121</v>
      </c>
      <c r="AH2271" s="2" t="str">
        <f ca="1"/>
        <v>Bad</v>
      </c>
    </row>
    <row r="2272" spans="2:34" x14ac:dyDescent="0.2">
      <c r="B2272" s="2">
        <f ca="1"/>
        <v>0.45151305415709109</v>
      </c>
      <c r="O2272" s="2">
        <f ca="1"/>
        <v>-1.1456512874366493</v>
      </c>
      <c r="X2272" s="2">
        <f ca="1"/>
        <v>51.223061988055669</v>
      </c>
      <c r="AG2272" s="2">
        <f ca="1"/>
        <v>0.52276531831807138</v>
      </c>
      <c r="AH2272" s="2" t="str">
        <f ca="1"/>
        <v>Bad</v>
      </c>
    </row>
    <row r="2273" spans="2:34" x14ac:dyDescent="0.2">
      <c r="B2273" s="2">
        <f ca="1"/>
        <v>0.2762035586010152</v>
      </c>
      <c r="O2273" s="2">
        <f ca="1"/>
        <v>0.29076659022558193</v>
      </c>
      <c r="X2273" s="2">
        <f ca="1"/>
        <v>46.537632148197403</v>
      </c>
      <c r="AG2273" s="2">
        <f ca="1"/>
        <v>0.98516443462257008</v>
      </c>
      <c r="AH2273" s="2" t="str">
        <f ca="1"/>
        <v>Bad</v>
      </c>
    </row>
    <row r="2274" spans="2:34" x14ac:dyDescent="0.2">
      <c r="B2274" s="2">
        <f ca="1"/>
        <v>0.51332304343944046</v>
      </c>
      <c r="O2274" s="2">
        <f ca="1"/>
        <v>0.36097451454173962</v>
      </c>
      <c r="X2274" s="2">
        <f ca="1"/>
        <v>26.59711758773237</v>
      </c>
      <c r="AG2274" s="2">
        <f ca="1"/>
        <v>7.2502750777699632E-2</v>
      </c>
      <c r="AH2274" s="2" t="str">
        <f ca="1"/>
        <v>OK</v>
      </c>
    </row>
    <row r="2275" spans="2:34" x14ac:dyDescent="0.2">
      <c r="B2275" s="2">
        <f ca="1"/>
        <v>0.11422094480666867</v>
      </c>
      <c r="O2275" s="2">
        <f ca="1"/>
        <v>-1.4835391673042895</v>
      </c>
      <c r="X2275" s="2">
        <f ca="1"/>
        <v>37.03158364205234</v>
      </c>
      <c r="AG2275" s="2">
        <f ca="1"/>
        <v>0.38072421091849229</v>
      </c>
      <c r="AH2275" s="2" t="str">
        <f ca="1"/>
        <v>OK</v>
      </c>
    </row>
    <row r="2276" spans="2:34" x14ac:dyDescent="0.2">
      <c r="B2276" s="2">
        <f ca="1"/>
        <v>0.93547867663809758</v>
      </c>
      <c r="O2276" s="2">
        <f ca="1"/>
        <v>0.73077643926129654</v>
      </c>
      <c r="X2276" s="2">
        <f ca="1"/>
        <v>44.860865131826628</v>
      </c>
      <c r="AG2276" s="2">
        <f ca="1"/>
        <v>0.36399053503437551</v>
      </c>
      <c r="AH2276" s="2" t="str">
        <f ca="1"/>
        <v>OK</v>
      </c>
    </row>
    <row r="2277" spans="2:34" x14ac:dyDescent="0.2">
      <c r="B2277" s="2">
        <f ca="1"/>
        <v>0.34261296255393581</v>
      </c>
      <c r="O2277" s="2">
        <f ca="1"/>
        <v>-1.2799589195950671</v>
      </c>
      <c r="X2277" s="2">
        <f ca="1"/>
        <v>42.82141817645681</v>
      </c>
      <c r="AG2277" s="2">
        <f ca="1"/>
        <v>0.20897993990402242</v>
      </c>
      <c r="AH2277" s="2" t="str">
        <f ca="1"/>
        <v>OK</v>
      </c>
    </row>
    <row r="2278" spans="2:34" x14ac:dyDescent="0.2">
      <c r="B2278" s="2">
        <f ca="1"/>
        <v>0.7426479557847423</v>
      </c>
      <c r="O2278" s="2">
        <f ca="1"/>
        <v>-0.26250156552538884</v>
      </c>
      <c r="X2278" s="2">
        <f ca="1"/>
        <v>23.234888183192375</v>
      </c>
      <c r="AG2278" s="2">
        <f ca="1"/>
        <v>0.80376720535149926</v>
      </c>
      <c r="AH2278" s="2" t="str">
        <f ca="1"/>
        <v>Bad</v>
      </c>
    </row>
    <row r="2279" spans="2:34" x14ac:dyDescent="0.2">
      <c r="B2279" s="2">
        <f ca="1"/>
        <v>0.87403204226652398</v>
      </c>
      <c r="O2279" s="2">
        <f ca="1"/>
        <v>-0.92815535965290141</v>
      </c>
      <c r="X2279" s="2">
        <f ca="1"/>
        <v>31.734700552808167</v>
      </c>
      <c r="AG2279" s="2">
        <f ca="1"/>
        <v>0.39473413268865709</v>
      </c>
      <c r="AH2279" s="2" t="str">
        <f ca="1"/>
        <v>OK</v>
      </c>
    </row>
    <row r="2280" spans="2:34" x14ac:dyDescent="0.2">
      <c r="B2280" s="2">
        <f ca="1"/>
        <v>0.4711689292886303</v>
      </c>
      <c r="O2280" s="2">
        <f ca="1"/>
        <v>-1.6746341112644583</v>
      </c>
      <c r="X2280" s="2">
        <f ca="1"/>
        <v>42.991008121791516</v>
      </c>
      <c r="AG2280" s="2">
        <f ca="1"/>
        <v>0.54630490139720234</v>
      </c>
      <c r="AH2280" s="2" t="str">
        <f ca="1"/>
        <v>Bad</v>
      </c>
    </row>
    <row r="2281" spans="2:34" x14ac:dyDescent="0.2">
      <c r="B2281" s="2">
        <f ca="1"/>
        <v>0.14899038412445886</v>
      </c>
      <c r="O2281" s="2">
        <f ca="1"/>
        <v>-1.4701917445164951</v>
      </c>
      <c r="X2281" s="2">
        <f ca="1"/>
        <v>72.511568310981886</v>
      </c>
      <c r="AG2281" s="2">
        <f ca="1"/>
        <v>0.72592704028757971</v>
      </c>
      <c r="AH2281" s="2" t="str">
        <f ca="1"/>
        <v>Bad</v>
      </c>
    </row>
    <row r="2282" spans="2:34" x14ac:dyDescent="0.2">
      <c r="B2282" s="2">
        <f ca="1"/>
        <v>0.42426756874242866</v>
      </c>
      <c r="O2282" s="2">
        <f ca="1"/>
        <v>-3.9107031940040823E-2</v>
      </c>
      <c r="X2282" s="2">
        <f ca="1"/>
        <v>64.828347731547197</v>
      </c>
      <c r="AG2282" s="2">
        <f ca="1"/>
        <v>0.26723373347322577</v>
      </c>
      <c r="AH2282" s="2" t="str">
        <f ca="1"/>
        <v>OK</v>
      </c>
    </row>
    <row r="2283" spans="2:34" x14ac:dyDescent="0.2">
      <c r="B2283" s="2">
        <f ca="1"/>
        <v>0.65319312718836997</v>
      </c>
      <c r="O2283" s="2">
        <f ca="1"/>
        <v>0.90675521782043678</v>
      </c>
      <c r="X2283" s="2">
        <f ca="1"/>
        <v>25.131861155165499</v>
      </c>
      <c r="AG2283" s="2">
        <f ca="1"/>
        <v>0.22294986522992755</v>
      </c>
      <c r="AH2283" s="2" t="str">
        <f ca="1"/>
        <v>OK</v>
      </c>
    </row>
    <row r="2284" spans="2:34" x14ac:dyDescent="0.2">
      <c r="B2284" s="2">
        <f ca="1"/>
        <v>0.47610953001976442</v>
      </c>
      <c r="O2284" s="2">
        <f ca="1"/>
        <v>0.46084413205672914</v>
      </c>
      <c r="X2284" s="2">
        <f ca="1"/>
        <v>34.282677528569543</v>
      </c>
      <c r="AG2284" s="2">
        <f ca="1"/>
        <v>0.34944690963915637</v>
      </c>
      <c r="AH2284" s="2" t="str">
        <f ca="1"/>
        <v>OK</v>
      </c>
    </row>
    <row r="2285" spans="2:34" x14ac:dyDescent="0.2">
      <c r="B2285" s="2">
        <f ca="1"/>
        <v>0.15861544601654654</v>
      </c>
      <c r="O2285" s="2">
        <f ca="1"/>
        <v>0.58996945122026945</v>
      </c>
      <c r="X2285" s="2">
        <f ca="1"/>
        <v>35.64892959707975</v>
      </c>
      <c r="AG2285" s="2">
        <f ca="1"/>
        <v>0.40287660055018804</v>
      </c>
      <c r="AH2285" s="2" t="str">
        <f ca="1"/>
        <v>Bad</v>
      </c>
    </row>
    <row r="2286" spans="2:34" x14ac:dyDescent="0.2">
      <c r="B2286" s="2">
        <f ca="1"/>
        <v>0.46822851539532007</v>
      </c>
      <c r="O2286" s="2">
        <f ca="1"/>
        <v>-0.95373306991939732</v>
      </c>
      <c r="X2286" s="2">
        <f ca="1"/>
        <v>45.259596931415913</v>
      </c>
      <c r="AG2286" s="2">
        <f ca="1"/>
        <v>0.85369400687370711</v>
      </c>
      <c r="AH2286" s="2" t="str">
        <f ca="1"/>
        <v>Bad</v>
      </c>
    </row>
    <row r="2287" spans="2:34" x14ac:dyDescent="0.2">
      <c r="B2287" s="2">
        <f ca="1"/>
        <v>0.87785963370963205</v>
      </c>
      <c r="O2287" s="2">
        <f ca="1"/>
        <v>-1.4755926721404151</v>
      </c>
      <c r="X2287" s="2">
        <f ca="1"/>
        <v>42.888904591000461</v>
      </c>
      <c r="AG2287" s="2">
        <f ca="1"/>
        <v>0.4947452671506456</v>
      </c>
      <c r="AH2287" s="2" t="str">
        <f ca="1"/>
        <v>Bad</v>
      </c>
    </row>
    <row r="2288" spans="2:34" x14ac:dyDescent="0.2">
      <c r="B2288" s="2">
        <f ca="1"/>
        <v>3.6999105404460053E-2</v>
      </c>
      <c r="O2288" s="2">
        <f ca="1"/>
        <v>-0.57160551779003754</v>
      </c>
      <c r="X2288" s="2">
        <f ca="1"/>
        <v>65.527374592067588</v>
      </c>
      <c r="AG2288" s="2">
        <f ca="1"/>
        <v>0.10909130824913205</v>
      </c>
      <c r="AH2288" s="2" t="str">
        <f ca="1"/>
        <v>OK</v>
      </c>
    </row>
    <row r="2289" spans="2:34" x14ac:dyDescent="0.2">
      <c r="B2289" s="2">
        <f ca="1"/>
        <v>0.30468249088385635</v>
      </c>
      <c r="O2289" s="2">
        <f ca="1"/>
        <v>-1.0246605023918764</v>
      </c>
      <c r="X2289" s="2">
        <f ca="1"/>
        <v>46.20709566860959</v>
      </c>
      <c r="AG2289" s="2">
        <f ca="1"/>
        <v>0.15626479538513638</v>
      </c>
      <c r="AH2289" s="2" t="str">
        <f ca="1"/>
        <v>OK</v>
      </c>
    </row>
    <row r="2290" spans="2:34" x14ac:dyDescent="0.2">
      <c r="B2290" s="2">
        <f ca="1"/>
        <v>0.5061311011722347</v>
      </c>
      <c r="O2290" s="2">
        <f ca="1"/>
        <v>0.60958673992316326</v>
      </c>
      <c r="X2290" s="2">
        <f ca="1"/>
        <v>73.653979711962833</v>
      </c>
      <c r="AG2290" s="2">
        <f ca="1"/>
        <v>0.89099141015936123</v>
      </c>
      <c r="AH2290" s="2" t="str">
        <f ca="1"/>
        <v>Bad</v>
      </c>
    </row>
    <row r="2291" spans="2:34" x14ac:dyDescent="0.2">
      <c r="B2291" s="2">
        <f ca="1"/>
        <v>0.27329173709528498</v>
      </c>
      <c r="O2291" s="2">
        <f ca="1"/>
        <v>-0.57896355921624854</v>
      </c>
      <c r="X2291" s="2">
        <f ca="1"/>
        <v>71.64370282882328</v>
      </c>
      <c r="AG2291" s="2">
        <f ca="1"/>
        <v>0.1695500703459436</v>
      </c>
      <c r="AH2291" s="2" t="str">
        <f ca="1"/>
        <v>OK</v>
      </c>
    </row>
    <row r="2292" spans="2:34" x14ac:dyDescent="0.2">
      <c r="B2292" s="2">
        <f ca="1"/>
        <v>0.9756005958152465</v>
      </c>
      <c r="O2292" s="2">
        <f ca="1"/>
        <v>-0.5449031399896439</v>
      </c>
      <c r="X2292" s="2">
        <f ca="1"/>
        <v>42.732477643848689</v>
      </c>
      <c r="AG2292" s="2">
        <f ca="1"/>
        <v>0.2870151418260678</v>
      </c>
      <c r="AH2292" s="2" t="str">
        <f ca="1"/>
        <v>OK</v>
      </c>
    </row>
    <row r="2293" spans="2:34" x14ac:dyDescent="0.2">
      <c r="B2293" s="2">
        <f ca="1"/>
        <v>0.10024720938333131</v>
      </c>
      <c r="O2293" s="2">
        <f ca="1"/>
        <v>6.2150834442718118E-3</v>
      </c>
      <c r="X2293" s="2">
        <f ca="1"/>
        <v>58.890748712170229</v>
      </c>
      <c r="AG2293" s="2">
        <f ca="1"/>
        <v>4.0534746164855306E-2</v>
      </c>
      <c r="AH2293" s="2" t="str">
        <f ca="1"/>
        <v>Good</v>
      </c>
    </row>
    <row r="2294" spans="2:34" x14ac:dyDescent="0.2">
      <c r="B2294" s="2">
        <f ca="1"/>
        <v>0.3287958426909654</v>
      </c>
      <c r="O2294" s="2">
        <f ca="1"/>
        <v>-0.83803997919606721</v>
      </c>
      <c r="X2294" s="2">
        <f ca="1"/>
        <v>106.40471500428859</v>
      </c>
      <c r="AG2294" s="2">
        <f ca="1"/>
        <v>0.4779863904077728</v>
      </c>
      <c r="AH2294" s="2" t="str">
        <f ca="1"/>
        <v>Bad</v>
      </c>
    </row>
    <row r="2295" spans="2:34" x14ac:dyDescent="0.2">
      <c r="B2295" s="2">
        <f ca="1"/>
        <v>0.99779993669270861</v>
      </c>
      <c r="O2295" s="2">
        <f ca="1"/>
        <v>1.0258392245475956</v>
      </c>
      <c r="X2295" s="2">
        <f ca="1"/>
        <v>57.866734665582882</v>
      </c>
      <c r="AG2295" s="2">
        <f ca="1"/>
        <v>0.83909681854792018</v>
      </c>
      <c r="AH2295" s="2" t="str">
        <f ca="1"/>
        <v>Bad</v>
      </c>
    </row>
    <row r="2296" spans="2:34" x14ac:dyDescent="0.2">
      <c r="B2296" s="2">
        <f ca="1"/>
        <v>0.2515009000984143</v>
      </c>
      <c r="O2296" s="2">
        <f ca="1"/>
        <v>2.494597462840353E-2</v>
      </c>
      <c r="X2296" s="2">
        <f ca="1"/>
        <v>47.512568649344963</v>
      </c>
      <c r="AG2296" s="2">
        <f ca="1"/>
        <v>0.77671809186175089</v>
      </c>
      <c r="AH2296" s="2" t="str">
        <f ca="1"/>
        <v>Bad</v>
      </c>
    </row>
    <row r="2297" spans="2:34" x14ac:dyDescent="0.2">
      <c r="B2297" s="2">
        <f ca="1"/>
        <v>0.47599102808681892</v>
      </c>
      <c r="O2297" s="2">
        <f ca="1"/>
        <v>-1.072674891335146</v>
      </c>
      <c r="X2297" s="2">
        <f ca="1"/>
        <v>52.855456523460404</v>
      </c>
      <c r="AG2297" s="2">
        <f ca="1"/>
        <v>0.76374077830843956</v>
      </c>
      <c r="AH2297" s="2" t="str">
        <f ca="1"/>
        <v>Bad</v>
      </c>
    </row>
    <row r="2298" spans="2:34" x14ac:dyDescent="0.2">
      <c r="B2298" s="2">
        <f ca="1"/>
        <v>0.20456590873677083</v>
      </c>
      <c r="O2298" s="2">
        <f ca="1"/>
        <v>0.56140132069036064</v>
      </c>
      <c r="X2298" s="2">
        <f ca="1"/>
        <v>41.993281550536565</v>
      </c>
      <c r="AG2298" s="2">
        <f ca="1"/>
        <v>0.2019666208471036</v>
      </c>
      <c r="AH2298" s="2" t="str">
        <f ca="1"/>
        <v>OK</v>
      </c>
    </row>
    <row r="2299" spans="2:34" x14ac:dyDescent="0.2">
      <c r="B2299" s="2">
        <f ca="1"/>
        <v>0.34318958638961594</v>
      </c>
      <c r="O2299" s="2">
        <f ca="1"/>
        <v>-1.9862790930227641</v>
      </c>
      <c r="X2299" s="2">
        <f ca="1"/>
        <v>69.712167896794227</v>
      </c>
      <c r="AG2299" s="2">
        <f ca="1"/>
        <v>2.4032868392394269E-2</v>
      </c>
      <c r="AH2299" s="2" t="str">
        <f ca="1"/>
        <v>Good</v>
      </c>
    </row>
    <row r="2300" spans="2:34" x14ac:dyDescent="0.2">
      <c r="B2300" s="2">
        <f ca="1"/>
        <v>5.6092252232184947E-3</v>
      </c>
      <c r="O2300" s="2">
        <f ca="1"/>
        <v>-0.58631005857788121</v>
      </c>
      <c r="X2300" s="2">
        <f ca="1"/>
        <v>40.046574301242728</v>
      </c>
      <c r="AG2300" s="2">
        <f ca="1"/>
        <v>0.39077904510569317</v>
      </c>
      <c r="AH2300" s="2" t="str">
        <f ca="1"/>
        <v>OK</v>
      </c>
    </row>
    <row r="2301" spans="2:34" x14ac:dyDescent="0.2">
      <c r="B2301" s="2">
        <f ca="1"/>
        <v>0.70676612597405097</v>
      </c>
      <c r="O2301" s="2">
        <f ca="1"/>
        <v>0.98313119363863755</v>
      </c>
      <c r="X2301" s="2">
        <f ca="1"/>
        <v>30.332568067603525</v>
      </c>
      <c r="AG2301" s="2">
        <f ca="1"/>
        <v>0.92180718540614648</v>
      </c>
      <c r="AH2301" s="2" t="str">
        <f ca="1"/>
        <v>Bad</v>
      </c>
    </row>
    <row r="2302" spans="2:34" x14ac:dyDescent="0.2">
      <c r="B2302" s="2">
        <f ca="1"/>
        <v>0.54684953668801484</v>
      </c>
      <c r="O2302" s="2">
        <f ca="1"/>
        <v>-0.42898106666428815</v>
      </c>
      <c r="X2302" s="2">
        <f ca="1"/>
        <v>24.077907073466168</v>
      </c>
      <c r="AG2302" s="2">
        <f ca="1"/>
        <v>0.43997012337675834</v>
      </c>
      <c r="AH2302" s="2" t="str">
        <f ca="1"/>
        <v>Bad</v>
      </c>
    </row>
    <row r="2303" spans="2:34" x14ac:dyDescent="0.2">
      <c r="B2303" s="2">
        <f ca="1"/>
        <v>0.4575327864023353</v>
      </c>
      <c r="O2303" s="2">
        <f ca="1"/>
        <v>3.372921399738356</v>
      </c>
      <c r="X2303" s="2">
        <f ca="1"/>
        <v>75.082617979451726</v>
      </c>
      <c r="AG2303" s="2">
        <f ca="1"/>
        <v>8.8238734393716545E-2</v>
      </c>
      <c r="AH2303" s="2" t="str">
        <f ca="1"/>
        <v>OK</v>
      </c>
    </row>
    <row r="2304" spans="2:34" x14ac:dyDescent="0.2">
      <c r="B2304" s="2">
        <f ca="1"/>
        <v>0.89415458871926168</v>
      </c>
      <c r="O2304" s="2">
        <f ca="1"/>
        <v>0.24475328563058135</v>
      </c>
      <c r="X2304" s="2">
        <f ca="1"/>
        <v>68.631913865954374</v>
      </c>
      <c r="AG2304" s="2">
        <f ca="1"/>
        <v>2.5003659680991053E-2</v>
      </c>
      <c r="AH2304" s="2" t="str">
        <f ca="1"/>
        <v>Good</v>
      </c>
    </row>
    <row r="2305" spans="2:34" x14ac:dyDescent="0.2">
      <c r="B2305" s="2">
        <f ca="1"/>
        <v>0.18736582828558856</v>
      </c>
      <c r="O2305" s="2">
        <f ca="1"/>
        <v>-0.52465622844586612</v>
      </c>
      <c r="X2305" s="2">
        <f ca="1"/>
        <v>35.348240067999278</v>
      </c>
      <c r="AG2305" s="2">
        <f ca="1"/>
        <v>8.3243468479361926E-2</v>
      </c>
      <c r="AH2305" s="2" t="str">
        <f ca="1"/>
        <v>OK</v>
      </c>
    </row>
    <row r="2306" spans="2:34" x14ac:dyDescent="0.2">
      <c r="B2306" s="2">
        <f ca="1"/>
        <v>0.1817819089259689</v>
      </c>
      <c r="O2306" s="2">
        <f ca="1"/>
        <v>0.58873484430753109</v>
      </c>
      <c r="X2306" s="2">
        <f ca="1"/>
        <v>57.944711585223878</v>
      </c>
      <c r="AG2306" s="2">
        <f ca="1"/>
        <v>0.34173336175152969</v>
      </c>
      <c r="AH2306" s="2" t="str">
        <f ca="1"/>
        <v>OK</v>
      </c>
    </row>
    <row r="2307" spans="2:34" x14ac:dyDescent="0.2">
      <c r="B2307" s="2">
        <f ca="1"/>
        <v>0.43312794062391435</v>
      </c>
      <c r="O2307" s="2">
        <f ca="1"/>
        <v>-0.46455697413455666</v>
      </c>
      <c r="X2307" s="2">
        <f ca="1"/>
        <v>44.068245161388234</v>
      </c>
      <c r="AG2307" s="2">
        <f ca="1"/>
        <v>0.38579857905408677</v>
      </c>
      <c r="AH2307" s="2" t="str">
        <f ca="1"/>
        <v>OK</v>
      </c>
    </row>
    <row r="2308" spans="2:34" x14ac:dyDescent="0.2">
      <c r="B2308" s="2">
        <f ca="1"/>
        <v>0.23882341894706993</v>
      </c>
      <c r="O2308" s="2">
        <f ca="1"/>
        <v>0.14721062711284921</v>
      </c>
      <c r="X2308" s="2">
        <f ca="1"/>
        <v>39.518425220557845</v>
      </c>
      <c r="AG2308" s="2">
        <f ca="1"/>
        <v>0.30531704377674207</v>
      </c>
      <c r="AH2308" s="2" t="str">
        <f ca="1"/>
        <v>OK</v>
      </c>
    </row>
    <row r="2309" spans="2:34" x14ac:dyDescent="0.2">
      <c r="B2309" s="2">
        <f ca="1"/>
        <v>0.65169088961751931</v>
      </c>
      <c r="O2309" s="2">
        <f ca="1"/>
        <v>-0.14036267335333308</v>
      </c>
      <c r="X2309" s="2">
        <f ca="1"/>
        <v>76.840352180155492</v>
      </c>
      <c r="AG2309" s="2">
        <f ca="1"/>
        <v>0.84469170453339815</v>
      </c>
      <c r="AH2309" s="2" t="str">
        <f ca="1"/>
        <v>Bad</v>
      </c>
    </row>
    <row r="2310" spans="2:34" x14ac:dyDescent="0.2">
      <c r="B2310" s="2">
        <f ca="1"/>
        <v>0.49225926129068864</v>
      </c>
      <c r="O2310" s="2">
        <f ca="1"/>
        <v>-1.8250557061970996</v>
      </c>
      <c r="X2310" s="2">
        <f ca="1"/>
        <v>64.861807022658468</v>
      </c>
      <c r="AG2310" s="2">
        <f ca="1"/>
        <v>0.19649573041423229</v>
      </c>
      <c r="AH2310" s="2" t="str">
        <f ca="1"/>
        <v>OK</v>
      </c>
    </row>
    <row r="2311" spans="2:34" x14ac:dyDescent="0.2">
      <c r="B2311" s="2">
        <f ca="1"/>
        <v>0.87849129412664739</v>
      </c>
      <c r="O2311" s="2">
        <f ca="1"/>
        <v>-0.34854737449561629</v>
      </c>
      <c r="X2311" s="2">
        <f ca="1"/>
        <v>60.750585774022127</v>
      </c>
      <c r="AG2311" s="2">
        <f ca="1"/>
        <v>0.30256211456395787</v>
      </c>
      <c r="AH2311" s="2" t="str">
        <f ca="1"/>
        <v>OK</v>
      </c>
    </row>
    <row r="2312" spans="2:34" x14ac:dyDescent="0.2">
      <c r="B2312" s="2">
        <f ca="1"/>
        <v>0.45687647915476859</v>
      </c>
      <c r="O2312" s="2">
        <f ca="1"/>
        <v>0.60933025561715548</v>
      </c>
      <c r="X2312" s="2">
        <f ca="1"/>
        <v>70.879868617210292</v>
      </c>
      <c r="AG2312" s="2">
        <f ca="1"/>
        <v>0.41792707327276624</v>
      </c>
      <c r="AH2312" s="2" t="str">
        <f ca="1"/>
        <v>Bad</v>
      </c>
    </row>
    <row r="2313" spans="2:34" x14ac:dyDescent="0.2">
      <c r="B2313" s="2">
        <f ca="1"/>
        <v>0.20229405971558223</v>
      </c>
      <c r="O2313" s="2">
        <f ca="1"/>
        <v>0.69084120556669726</v>
      </c>
      <c r="X2313" s="2">
        <f ca="1"/>
        <v>74.676058605107883</v>
      </c>
      <c r="AG2313" s="2">
        <f ca="1"/>
        <v>0.78114897451761922</v>
      </c>
      <c r="AH2313" s="2" t="str">
        <f ca="1"/>
        <v>Bad</v>
      </c>
    </row>
    <row r="2314" spans="2:34" x14ac:dyDescent="0.2">
      <c r="B2314" s="2">
        <f ca="1"/>
        <v>0.33166515746945313</v>
      </c>
      <c r="O2314" s="2">
        <f ca="1"/>
        <v>-0.32282778109883087</v>
      </c>
      <c r="X2314" s="2">
        <f ca="1"/>
        <v>104.5109242912212</v>
      </c>
      <c r="AG2314" s="2">
        <f ca="1"/>
        <v>0.75928997347380567</v>
      </c>
      <c r="AH2314" s="2" t="str">
        <f ca="1"/>
        <v>Bad</v>
      </c>
    </row>
    <row r="2315" spans="2:34" x14ac:dyDescent="0.2">
      <c r="B2315" s="2">
        <f ca="1"/>
        <v>0.37955183932459979</v>
      </c>
      <c r="O2315" s="2">
        <f ca="1"/>
        <v>1.0084553432971237</v>
      </c>
      <c r="X2315" s="2">
        <f ca="1"/>
        <v>52.402740865092539</v>
      </c>
      <c r="AG2315" s="2">
        <f ca="1"/>
        <v>0.76219252072187182</v>
      </c>
      <c r="AH2315" s="2" t="str">
        <f ca="1"/>
        <v>Bad</v>
      </c>
    </row>
    <row r="2316" spans="2:34" x14ac:dyDescent="0.2">
      <c r="B2316" s="2">
        <f ca="1"/>
        <v>0.2114196420901111</v>
      </c>
      <c r="O2316" s="2">
        <f ca="1"/>
        <v>-2.1504888152612041</v>
      </c>
      <c r="X2316" s="2">
        <f ca="1"/>
        <v>39.395928161577615</v>
      </c>
      <c r="AG2316" s="2">
        <f ca="1"/>
        <v>0.74285829395915171</v>
      </c>
      <c r="AH2316" s="2" t="str">
        <f ca="1"/>
        <v>Bad</v>
      </c>
    </row>
    <row r="2317" spans="2:34" x14ac:dyDescent="0.2">
      <c r="B2317" s="2">
        <f ca="1"/>
        <v>0.76764727804397914</v>
      </c>
      <c r="O2317" s="2">
        <f ca="1"/>
        <v>0.53993304979171364</v>
      </c>
      <c r="X2317" s="2">
        <f ca="1"/>
        <v>61.033239028500304</v>
      </c>
      <c r="AG2317" s="2">
        <f ca="1"/>
        <v>0.56754021509922747</v>
      </c>
      <c r="AH2317" s="2" t="str">
        <f ca="1"/>
        <v>Bad</v>
      </c>
    </row>
    <row r="2318" spans="2:34" x14ac:dyDescent="0.2">
      <c r="B2318" s="2">
        <f ca="1"/>
        <v>6.9644063718526716E-2</v>
      </c>
      <c r="O2318" s="2">
        <f ca="1"/>
        <v>1.2375300036435788</v>
      </c>
      <c r="X2318" s="2">
        <f ca="1"/>
        <v>70.637307200225209</v>
      </c>
      <c r="AG2318" s="2">
        <f ca="1"/>
        <v>0.80517759792666843</v>
      </c>
      <c r="AH2318" s="2" t="str">
        <f ca="1"/>
        <v>Bad</v>
      </c>
    </row>
    <row r="2319" spans="2:34" x14ac:dyDescent="0.2">
      <c r="B2319" s="2">
        <f ca="1"/>
        <v>0.54891419091037896</v>
      </c>
      <c r="O2319" s="2">
        <f ca="1"/>
        <v>0.39824004039067817</v>
      </c>
      <c r="X2319" s="2">
        <f ca="1"/>
        <v>40.769799843840545</v>
      </c>
      <c r="AG2319" s="2">
        <f ca="1"/>
        <v>0.38995262476652814</v>
      </c>
      <c r="AH2319" s="2" t="str">
        <f ca="1"/>
        <v>OK</v>
      </c>
    </row>
    <row r="2320" spans="2:34" x14ac:dyDescent="0.2">
      <c r="B2320" s="2">
        <f ca="1"/>
        <v>0.84384723070566858</v>
      </c>
      <c r="O2320" s="2">
        <f ca="1"/>
        <v>0.87117975381416235</v>
      </c>
      <c r="X2320" s="2">
        <f ca="1"/>
        <v>23.172998414444095</v>
      </c>
      <c r="AG2320" s="2">
        <f ca="1"/>
        <v>0.78145388368391311</v>
      </c>
      <c r="AH2320" s="2" t="str">
        <f ca="1"/>
        <v>Bad</v>
      </c>
    </row>
    <row r="2321" spans="2:34" x14ac:dyDescent="0.2">
      <c r="B2321" s="2">
        <f ca="1"/>
        <v>0.6742877762224655</v>
      </c>
      <c r="O2321" s="2">
        <f ca="1"/>
        <v>-1.0085255226809383E-2</v>
      </c>
      <c r="X2321" s="2">
        <f ca="1"/>
        <v>34.596567058769352</v>
      </c>
      <c r="AG2321" s="2">
        <f ca="1"/>
        <v>0.92225808907238904</v>
      </c>
      <c r="AH2321" s="2" t="str">
        <f ca="1"/>
        <v>Bad</v>
      </c>
    </row>
    <row r="2322" spans="2:34" x14ac:dyDescent="0.2">
      <c r="B2322" s="2">
        <f ca="1"/>
        <v>0.15116501659094972</v>
      </c>
      <c r="O2322" s="2">
        <f ca="1"/>
        <v>-0.25149308777590046</v>
      </c>
      <c r="X2322" s="2">
        <f ca="1"/>
        <v>30.069611497328637</v>
      </c>
      <c r="AG2322" s="2">
        <f ca="1"/>
        <v>0.29448932440807862</v>
      </c>
      <c r="AH2322" s="2" t="str">
        <f ca="1"/>
        <v>OK</v>
      </c>
    </row>
    <row r="2323" spans="2:34" x14ac:dyDescent="0.2">
      <c r="B2323" s="2">
        <f ca="1"/>
        <v>0.82081320194710639</v>
      </c>
      <c r="O2323" s="2">
        <f ca="1"/>
        <v>-0.14548460858699858</v>
      </c>
      <c r="X2323" s="2">
        <f ca="1"/>
        <v>57.275322902678511</v>
      </c>
      <c r="AG2323" s="2">
        <f ca="1"/>
        <v>0.92790232485710589</v>
      </c>
      <c r="AH2323" s="2" t="str">
        <f ca="1"/>
        <v>Bad</v>
      </c>
    </row>
    <row r="2324" spans="2:34" x14ac:dyDescent="0.2">
      <c r="B2324" s="2">
        <f ca="1"/>
        <v>3.5100915810944544E-2</v>
      </c>
      <c r="O2324" s="2">
        <f ca="1"/>
        <v>0.30493441036237356</v>
      </c>
      <c r="X2324" s="2">
        <f ca="1"/>
        <v>29.123680943001983</v>
      </c>
      <c r="AG2324" s="2">
        <f ca="1"/>
        <v>0.21673205534954398</v>
      </c>
      <c r="AH2324" s="2" t="str">
        <f ca="1"/>
        <v>OK</v>
      </c>
    </row>
    <row r="2325" spans="2:34" x14ac:dyDescent="0.2">
      <c r="B2325" s="2">
        <f ca="1"/>
        <v>0.83544423910413745</v>
      </c>
      <c r="O2325" s="2">
        <f ca="1"/>
        <v>-1.0125856122637056</v>
      </c>
      <c r="X2325" s="2">
        <f ca="1"/>
        <v>34.805830971195938</v>
      </c>
      <c r="AG2325" s="2">
        <f ca="1"/>
        <v>6.8868235815051415E-2</v>
      </c>
      <c r="AH2325" s="2" t="str">
        <f ca="1"/>
        <v>OK</v>
      </c>
    </row>
    <row r="2326" spans="2:34" x14ac:dyDescent="0.2">
      <c r="B2326" s="2">
        <f ca="1"/>
        <v>8.8179621639101535E-2</v>
      </c>
      <c r="O2326" s="2">
        <f ca="1"/>
        <v>-0.19544186816386058</v>
      </c>
      <c r="X2326" s="2">
        <f ca="1"/>
        <v>58.658890353708514</v>
      </c>
      <c r="AG2326" s="2">
        <f ca="1"/>
        <v>0.34785581197298154</v>
      </c>
      <c r="AH2326" s="2" t="str">
        <f ca="1"/>
        <v>OK</v>
      </c>
    </row>
    <row r="2327" spans="2:34" x14ac:dyDescent="0.2">
      <c r="B2327" s="2">
        <f ca="1"/>
        <v>0.84294089472860123</v>
      </c>
      <c r="O2327" s="2">
        <f ca="1"/>
        <v>1.0244958667889583</v>
      </c>
      <c r="X2327" s="2">
        <f ca="1"/>
        <v>62.705508153055021</v>
      </c>
      <c r="AG2327" s="2">
        <f ca="1"/>
        <v>0.24275597951616912</v>
      </c>
      <c r="AH2327" s="2" t="str">
        <f ca="1"/>
        <v>OK</v>
      </c>
    </row>
    <row r="2328" spans="2:34" x14ac:dyDescent="0.2">
      <c r="B2328" s="2">
        <f ca="1"/>
        <v>0.39587899449864117</v>
      </c>
      <c r="O2328" s="2">
        <f ca="1"/>
        <v>0.56839516150409397</v>
      </c>
      <c r="X2328" s="2">
        <f ca="1"/>
        <v>40.187853933565655</v>
      </c>
      <c r="AG2328" s="2">
        <f ca="1"/>
        <v>0.35270980708970678</v>
      </c>
      <c r="AH2328" s="2" t="str">
        <f ca="1"/>
        <v>OK</v>
      </c>
    </row>
    <row r="2329" spans="2:34" x14ac:dyDescent="0.2">
      <c r="B2329" s="2">
        <f ca="1"/>
        <v>0.21176264704898173</v>
      </c>
      <c r="O2329" s="2">
        <f ca="1"/>
        <v>-0.62893987234570337</v>
      </c>
      <c r="X2329" s="2">
        <f ca="1"/>
        <v>56.140516847625157</v>
      </c>
      <c r="AG2329" s="2">
        <f ca="1"/>
        <v>0.10092102109939849</v>
      </c>
      <c r="AH2329" s="2" t="str">
        <f ca="1"/>
        <v>OK</v>
      </c>
    </row>
    <row r="2330" spans="2:34" x14ac:dyDescent="0.2">
      <c r="B2330" s="2">
        <f ca="1"/>
        <v>7.9678098838460443E-2</v>
      </c>
      <c r="O2330" s="2">
        <f ca="1"/>
        <v>0.69715962591953862</v>
      </c>
      <c r="X2330" s="2">
        <f ca="1"/>
        <v>41.501384476539528</v>
      </c>
      <c r="AG2330" s="2">
        <f ca="1"/>
        <v>0.11137798660618503</v>
      </c>
      <c r="AH2330" s="2" t="str">
        <f ca="1"/>
        <v>OK</v>
      </c>
    </row>
    <row r="2331" spans="2:34" x14ac:dyDescent="0.2">
      <c r="B2331" s="2">
        <f ca="1"/>
        <v>0.9299497865188493</v>
      </c>
      <c r="O2331" s="2">
        <f ca="1"/>
        <v>0.11807874349149433</v>
      </c>
      <c r="X2331" s="2">
        <f ca="1"/>
        <v>69.143217829783168</v>
      </c>
      <c r="AG2331" s="2">
        <f ca="1"/>
        <v>0.72329517363694396</v>
      </c>
      <c r="AH2331" s="2" t="str">
        <f ca="1"/>
        <v>Bad</v>
      </c>
    </row>
    <row r="2332" spans="2:34" x14ac:dyDescent="0.2">
      <c r="B2332" s="2">
        <f ca="1"/>
        <v>0.16215129831820052</v>
      </c>
      <c r="O2332" s="2">
        <f ca="1"/>
        <v>-1.0450660880172644</v>
      </c>
      <c r="X2332" s="2">
        <f ca="1"/>
        <v>52.253613928458236</v>
      </c>
      <c r="AG2332" s="2">
        <f ca="1"/>
        <v>0.67265535099895235</v>
      </c>
      <c r="AH2332" s="2" t="str">
        <f ca="1"/>
        <v>Bad</v>
      </c>
    </row>
    <row r="2333" spans="2:34" x14ac:dyDescent="0.2">
      <c r="B2333" s="2">
        <f ca="1"/>
        <v>0.927260691734894</v>
      </c>
      <c r="O2333" s="2">
        <f ca="1"/>
        <v>1.2443375566341977</v>
      </c>
      <c r="X2333" s="2">
        <f ca="1"/>
        <v>34.300545909412754</v>
      </c>
      <c r="AG2333" s="2">
        <f ca="1"/>
        <v>0.89611373892093327</v>
      </c>
      <c r="AH2333" s="2" t="str">
        <f ca="1"/>
        <v>Bad</v>
      </c>
    </row>
    <row r="2334" spans="2:34" x14ac:dyDescent="0.2">
      <c r="B2334" s="2">
        <f ca="1"/>
        <v>0.15932292435424755</v>
      </c>
      <c r="O2334" s="2">
        <f ca="1"/>
        <v>0.28955047406873569</v>
      </c>
      <c r="X2334" s="2">
        <f ca="1"/>
        <v>67.738571548988929</v>
      </c>
      <c r="AG2334" s="2">
        <f ca="1"/>
        <v>0.52791323460238315</v>
      </c>
      <c r="AH2334" s="2" t="str">
        <f ca="1"/>
        <v>Bad</v>
      </c>
    </row>
    <row r="2335" spans="2:34" x14ac:dyDescent="0.2">
      <c r="B2335" s="2">
        <f ca="1"/>
        <v>0.39130166367209807</v>
      </c>
      <c r="O2335" s="2">
        <f ca="1"/>
        <v>-2.6332405184566805</v>
      </c>
      <c r="X2335" s="2">
        <f ca="1"/>
        <v>33.764715223600447</v>
      </c>
      <c r="AG2335" s="2">
        <f ca="1"/>
        <v>0.84094771895752207</v>
      </c>
      <c r="AH2335" s="2" t="str">
        <f ca="1"/>
        <v>Bad</v>
      </c>
    </row>
    <row r="2336" spans="2:34" x14ac:dyDescent="0.2">
      <c r="B2336" s="2">
        <f ca="1"/>
        <v>0.34044657908350295</v>
      </c>
      <c r="O2336" s="2">
        <f ca="1"/>
        <v>0.3300359508185583</v>
      </c>
      <c r="X2336" s="2">
        <f ca="1"/>
        <v>87.46217528372452</v>
      </c>
      <c r="AG2336" s="2">
        <f ca="1"/>
        <v>0.64759717789200488</v>
      </c>
      <c r="AH2336" s="2" t="str">
        <f ca="1"/>
        <v>Bad</v>
      </c>
    </row>
    <row r="2337" spans="2:34" x14ac:dyDescent="0.2">
      <c r="B2337" s="2">
        <f ca="1"/>
        <v>0.52595334726152876</v>
      </c>
      <c r="O2337" s="2">
        <f ca="1"/>
        <v>0.10110844949578851</v>
      </c>
      <c r="X2337" s="2">
        <f ca="1"/>
        <v>88.087134339219944</v>
      </c>
      <c r="AG2337" s="2">
        <f ca="1"/>
        <v>0.46001953252731886</v>
      </c>
      <c r="AH2337" s="2" t="str">
        <f ca="1"/>
        <v>Bad</v>
      </c>
    </row>
    <row r="2338" spans="2:34" x14ac:dyDescent="0.2">
      <c r="B2338" s="2">
        <f ca="1"/>
        <v>0.8493517283113563</v>
      </c>
      <c r="O2338" s="2">
        <f ca="1"/>
        <v>0.24708707911797992</v>
      </c>
      <c r="X2338" s="2">
        <f ca="1"/>
        <v>53.076662319274888</v>
      </c>
      <c r="AG2338" s="2">
        <f ca="1"/>
        <v>0.79687714746273697</v>
      </c>
      <c r="AH2338" s="2" t="str">
        <f ca="1"/>
        <v>Bad</v>
      </c>
    </row>
    <row r="2339" spans="2:34" x14ac:dyDescent="0.2">
      <c r="B2339" s="2">
        <f ca="1"/>
        <v>7.198417912709365E-2</v>
      </c>
      <c r="O2339" s="2">
        <f ca="1"/>
        <v>-0.63571841234305937</v>
      </c>
      <c r="X2339" s="2">
        <f ca="1"/>
        <v>45.248898382732477</v>
      </c>
      <c r="AG2339" s="2">
        <f ca="1"/>
        <v>0.59257996817141034</v>
      </c>
      <c r="AH2339" s="2" t="str">
        <f ca="1"/>
        <v>Bad</v>
      </c>
    </row>
    <row r="2340" spans="2:34" x14ac:dyDescent="0.2">
      <c r="B2340" s="2">
        <f ca="1"/>
        <v>0.47261725754550943</v>
      </c>
      <c r="O2340" s="2">
        <f ca="1"/>
        <v>0.728990305941145</v>
      </c>
      <c r="X2340" s="2">
        <f ca="1"/>
        <v>46.196535308113241</v>
      </c>
      <c r="AG2340" s="2">
        <f ca="1"/>
        <v>0.35610124510396357</v>
      </c>
      <c r="AH2340" s="2" t="str">
        <f ca="1"/>
        <v>OK</v>
      </c>
    </row>
    <row r="2341" spans="2:34" x14ac:dyDescent="0.2">
      <c r="B2341" s="2">
        <f ca="1"/>
        <v>0.20095361081798657</v>
      </c>
      <c r="O2341" s="2">
        <f ca="1"/>
        <v>-6.3176859384285683E-4</v>
      </c>
      <c r="X2341" s="2">
        <f ca="1"/>
        <v>65.164384821443178</v>
      </c>
      <c r="AG2341" s="2">
        <f ca="1"/>
        <v>0.89825577112317756</v>
      </c>
      <c r="AH2341" s="2" t="str">
        <f ca="1"/>
        <v>Bad</v>
      </c>
    </row>
    <row r="2342" spans="2:34" x14ac:dyDescent="0.2">
      <c r="B2342" s="2">
        <f ca="1"/>
        <v>0.67451066150752537</v>
      </c>
      <c r="O2342" s="2">
        <f ca="1"/>
        <v>7.6071014084480477E-3</v>
      </c>
      <c r="X2342" s="2">
        <f ca="1"/>
        <v>51.033056703980925</v>
      </c>
      <c r="AG2342" s="2">
        <f ca="1"/>
        <v>0.72974835037609154</v>
      </c>
      <c r="AH2342" s="2" t="str">
        <f ca="1"/>
        <v>Bad</v>
      </c>
    </row>
    <row r="2343" spans="2:34" x14ac:dyDescent="0.2">
      <c r="B2343" s="2">
        <f ca="1"/>
        <v>0.30786668009109808</v>
      </c>
      <c r="O2343" s="2">
        <f ca="1"/>
        <v>1.215806904303671</v>
      </c>
      <c r="X2343" s="2">
        <f ca="1"/>
        <v>66.161167321144944</v>
      </c>
      <c r="AG2343" s="2">
        <f ca="1"/>
        <v>0.71853823642240955</v>
      </c>
      <c r="AH2343" s="2" t="str">
        <f ca="1"/>
        <v>Bad</v>
      </c>
    </row>
    <row r="2344" spans="2:34" x14ac:dyDescent="0.2">
      <c r="B2344" s="2">
        <f ca="1"/>
        <v>0.82209974807316533</v>
      </c>
      <c r="O2344" s="2">
        <f ca="1"/>
        <v>0.79331412315739436</v>
      </c>
      <c r="X2344" s="2">
        <f ca="1"/>
        <v>59.41898596708414</v>
      </c>
      <c r="AG2344" s="2">
        <f ca="1"/>
        <v>0.7977655725696855</v>
      </c>
      <c r="AH2344" s="2" t="str">
        <f ca="1"/>
        <v>Bad</v>
      </c>
    </row>
    <row r="2345" spans="2:34" x14ac:dyDescent="0.2">
      <c r="B2345" s="2">
        <f ca="1"/>
        <v>0.21385896110300417</v>
      </c>
      <c r="O2345" s="2">
        <f ca="1"/>
        <v>1.4159913591572604</v>
      </c>
      <c r="X2345" s="2">
        <f ca="1"/>
        <v>26.008303664965688</v>
      </c>
      <c r="AG2345" s="2">
        <f ca="1"/>
        <v>0.92641310644530739</v>
      </c>
      <c r="AH2345" s="2" t="str">
        <f ca="1"/>
        <v>Bad</v>
      </c>
    </row>
    <row r="2346" spans="2:34" x14ac:dyDescent="0.2">
      <c r="B2346" s="2">
        <f ca="1"/>
        <v>0.87058937214104204</v>
      </c>
      <c r="O2346" s="2">
        <f ca="1"/>
        <v>-0.89015862248457611</v>
      </c>
      <c r="X2346" s="2">
        <f ca="1"/>
        <v>88.68946796187501</v>
      </c>
      <c r="AG2346" s="2">
        <f ca="1"/>
        <v>0.93475428193732846</v>
      </c>
      <c r="AH2346" s="2" t="str">
        <f ca="1"/>
        <v>Bad</v>
      </c>
    </row>
    <row r="2347" spans="2:34" x14ac:dyDescent="0.2">
      <c r="B2347" s="2">
        <f ca="1"/>
        <v>0.1690673610561475</v>
      </c>
      <c r="O2347" s="2">
        <f ca="1"/>
        <v>5.0176620424458113E-2</v>
      </c>
      <c r="X2347" s="2">
        <f ca="1"/>
        <v>33.924354935142738</v>
      </c>
      <c r="AG2347" s="2">
        <f ca="1"/>
        <v>0.41657594118287644</v>
      </c>
      <c r="AH2347" s="2" t="str">
        <f ca="1"/>
        <v>Bad</v>
      </c>
    </row>
    <row r="2348" spans="2:34" x14ac:dyDescent="0.2">
      <c r="B2348" s="2">
        <f ca="1"/>
        <v>4.833078399775137E-2</v>
      </c>
      <c r="O2348" s="2">
        <f ca="1"/>
        <v>0.30468625882289535</v>
      </c>
      <c r="X2348" s="2">
        <f ca="1"/>
        <v>34.312080557147475</v>
      </c>
      <c r="AG2348" s="2">
        <f ca="1"/>
        <v>0.3187363204354372</v>
      </c>
      <c r="AH2348" s="2" t="str">
        <f ca="1"/>
        <v>OK</v>
      </c>
    </row>
    <row r="2349" spans="2:34" x14ac:dyDescent="0.2">
      <c r="B2349" s="2">
        <f ca="1"/>
        <v>0.52605263297108862</v>
      </c>
      <c r="O2349" s="2">
        <f ca="1"/>
        <v>1.176455258852972</v>
      </c>
      <c r="X2349" s="2">
        <f ca="1"/>
        <v>83.213090807536375</v>
      </c>
      <c r="AG2349" s="2">
        <f ca="1"/>
        <v>0.78896213712096097</v>
      </c>
      <c r="AH2349" s="2" t="str">
        <f ca="1"/>
        <v>Bad</v>
      </c>
    </row>
    <row r="2350" spans="2:34" x14ac:dyDescent="0.2">
      <c r="B2350" s="2">
        <f ca="1"/>
        <v>0.25427462179208682</v>
      </c>
      <c r="O2350" s="2">
        <f ca="1"/>
        <v>2.455614643694163</v>
      </c>
      <c r="X2350" s="2">
        <f ca="1"/>
        <v>34.332012743690854</v>
      </c>
      <c r="AG2350" s="2">
        <f ca="1"/>
        <v>0.29549342734708417</v>
      </c>
      <c r="AH2350" s="2" t="str">
        <f ca="1"/>
        <v>OK</v>
      </c>
    </row>
    <row r="2351" spans="2:34" x14ac:dyDescent="0.2">
      <c r="B2351" s="2">
        <f ca="1"/>
        <v>0.47446512312265954</v>
      </c>
      <c r="O2351" s="2">
        <f ca="1"/>
        <v>-0.20209270851844335</v>
      </c>
      <c r="X2351" s="2">
        <f ca="1"/>
        <v>37.875511218324228</v>
      </c>
      <c r="AG2351" s="2">
        <f ca="1"/>
        <v>0.86183254503795625</v>
      </c>
      <c r="AH2351" s="2" t="str">
        <f ca="1"/>
        <v>Bad</v>
      </c>
    </row>
    <row r="2352" spans="2:34" x14ac:dyDescent="0.2">
      <c r="B2352" s="2">
        <f ca="1"/>
        <v>0.55262115488758123</v>
      </c>
      <c r="O2352" s="2">
        <f ca="1"/>
        <v>-0.43847659319410415</v>
      </c>
      <c r="X2352" s="2">
        <f ca="1"/>
        <v>64.217618645269411</v>
      </c>
      <c r="AG2352" s="2">
        <f ca="1"/>
        <v>0.3715031033149252</v>
      </c>
      <c r="AH2352" s="2" t="str">
        <f ca="1"/>
        <v>OK</v>
      </c>
    </row>
    <row r="2353" spans="2:34" x14ac:dyDescent="0.2">
      <c r="B2353" s="2">
        <f ca="1"/>
        <v>0.43923417961241173</v>
      </c>
      <c r="O2353" s="2">
        <f ca="1"/>
        <v>1.3729095616660156</v>
      </c>
      <c r="X2353" s="2">
        <f ca="1"/>
        <v>37.651751468742411</v>
      </c>
      <c r="AG2353" s="2">
        <f ca="1"/>
        <v>0.42944576438037019</v>
      </c>
      <c r="AH2353" s="2" t="str">
        <f ca="1"/>
        <v>Bad</v>
      </c>
    </row>
    <row r="2354" spans="2:34" x14ac:dyDescent="0.2">
      <c r="B2354" s="2">
        <f ca="1"/>
        <v>0.28515447327716226</v>
      </c>
      <c r="O2354" s="2">
        <f ca="1"/>
        <v>-0.10705754805012824</v>
      </c>
      <c r="X2354" s="2">
        <f ca="1"/>
        <v>68.231762745543378</v>
      </c>
      <c r="AG2354" s="2">
        <f ca="1"/>
        <v>0.71222780960264376</v>
      </c>
      <c r="AH2354" s="2" t="str">
        <f ca="1"/>
        <v>Bad</v>
      </c>
    </row>
    <row r="2355" spans="2:34" x14ac:dyDescent="0.2">
      <c r="B2355" s="2">
        <f ca="1"/>
        <v>0.96822926091583317</v>
      </c>
      <c r="O2355" s="2">
        <f ca="1"/>
        <v>1.1438431775465689</v>
      </c>
      <c r="X2355" s="2">
        <f ca="1"/>
        <v>37.88654472984858</v>
      </c>
      <c r="AG2355" s="2">
        <f ca="1"/>
        <v>0.78886446829752099</v>
      </c>
      <c r="AH2355" s="2" t="str">
        <f ca="1"/>
        <v>Bad</v>
      </c>
    </row>
    <row r="2356" spans="2:34" x14ac:dyDescent="0.2">
      <c r="B2356" s="2">
        <f ca="1"/>
        <v>0.89384281085520056</v>
      </c>
      <c r="O2356" s="2">
        <f ca="1"/>
        <v>0.50862992639610338</v>
      </c>
      <c r="X2356" s="2">
        <f ca="1"/>
        <v>24.463057285819943</v>
      </c>
      <c r="AG2356" s="2">
        <f ca="1"/>
        <v>0.47169368381694987</v>
      </c>
      <c r="AH2356" s="2" t="str">
        <f ca="1"/>
        <v>Bad</v>
      </c>
    </row>
    <row r="2357" spans="2:34" x14ac:dyDescent="0.2">
      <c r="B2357" s="2">
        <f ca="1"/>
        <v>0.7416357090548682</v>
      </c>
      <c r="O2357" s="2">
        <f ca="1"/>
        <v>1.8526295163598996</v>
      </c>
      <c r="X2357" s="2">
        <f ca="1"/>
        <v>32.758438607862381</v>
      </c>
      <c r="AG2357" s="2">
        <f ca="1"/>
        <v>0.93206978135282736</v>
      </c>
      <c r="AH2357" s="2" t="str">
        <f ca="1"/>
        <v>Bad</v>
      </c>
    </row>
    <row r="2358" spans="2:34" x14ac:dyDescent="0.2">
      <c r="B2358" s="2">
        <f ca="1"/>
        <v>0.17597090250235636</v>
      </c>
      <c r="O2358" s="2">
        <f ca="1"/>
        <v>-1.6812388052262683</v>
      </c>
      <c r="X2358" s="2">
        <f ca="1"/>
        <v>53.390754986045224</v>
      </c>
      <c r="AG2358" s="2">
        <f ca="1"/>
        <v>0.67828534933070239</v>
      </c>
      <c r="AH2358" s="2" t="str">
        <f ca="1"/>
        <v>Bad</v>
      </c>
    </row>
    <row r="2359" spans="2:34" x14ac:dyDescent="0.2">
      <c r="B2359" s="2">
        <f ca="1"/>
        <v>0.57200693203297703</v>
      </c>
      <c r="O2359" s="2">
        <f ca="1"/>
        <v>-0.57572232498513343</v>
      </c>
      <c r="X2359" s="2">
        <f ca="1"/>
        <v>33.226176953475488</v>
      </c>
      <c r="AG2359" s="2">
        <f ca="1"/>
        <v>0.69261872047865869</v>
      </c>
      <c r="AH2359" s="2" t="str">
        <f ca="1"/>
        <v>Bad</v>
      </c>
    </row>
    <row r="2360" spans="2:34" x14ac:dyDescent="0.2">
      <c r="B2360" s="2">
        <f ca="1"/>
        <v>0.37569952340918134</v>
      </c>
      <c r="O2360" s="2">
        <f ca="1"/>
        <v>-0.49559537770338197</v>
      </c>
      <c r="X2360" s="2">
        <f ca="1"/>
        <v>63.168159116293793</v>
      </c>
      <c r="AG2360" s="2">
        <f ca="1"/>
        <v>0.88501031773960692</v>
      </c>
      <c r="AH2360" s="2" t="str">
        <f ca="1"/>
        <v>Bad</v>
      </c>
    </row>
    <row r="2361" spans="2:34" x14ac:dyDescent="0.2">
      <c r="B2361" s="2">
        <f ca="1"/>
        <v>0.61557719376433195</v>
      </c>
      <c r="O2361" s="2">
        <f ca="1"/>
        <v>0.47496166441155713</v>
      </c>
      <c r="X2361" s="2">
        <f ca="1"/>
        <v>61.543815123803014</v>
      </c>
      <c r="AG2361" s="2">
        <f ca="1"/>
        <v>0.91012253926498499</v>
      </c>
      <c r="AH2361" s="2" t="str">
        <f ca="1"/>
        <v>Bad</v>
      </c>
    </row>
    <row r="2362" spans="2:34" x14ac:dyDescent="0.2">
      <c r="B2362" s="2">
        <f ca="1"/>
        <v>0.16398974983187298</v>
      </c>
      <c r="O2362" s="2">
        <f ca="1"/>
        <v>-0.26370219404373829</v>
      </c>
      <c r="X2362" s="2">
        <f ca="1"/>
        <v>36.073144143174972</v>
      </c>
      <c r="AG2362" s="2">
        <f ca="1"/>
        <v>0.90565542555292744</v>
      </c>
      <c r="AH2362" s="2" t="str">
        <f ca="1"/>
        <v>Bad</v>
      </c>
    </row>
    <row r="2363" spans="2:34" x14ac:dyDescent="0.2">
      <c r="B2363" s="2">
        <f ca="1"/>
        <v>0.66472630129422927</v>
      </c>
      <c r="O2363" s="2">
        <f ca="1"/>
        <v>1.064243771488915</v>
      </c>
      <c r="X2363" s="2">
        <f ca="1"/>
        <v>47.7618000295694</v>
      </c>
      <c r="AG2363" s="2">
        <f ca="1"/>
        <v>0.67086520074742029</v>
      </c>
      <c r="AH2363" s="2" t="str">
        <f ca="1"/>
        <v>Bad</v>
      </c>
    </row>
    <row r="2364" spans="2:34" x14ac:dyDescent="0.2">
      <c r="B2364" s="2">
        <f ca="1"/>
        <v>0.65853739388286203</v>
      </c>
      <c r="O2364" s="2">
        <f ca="1"/>
        <v>-0.75596266584286154</v>
      </c>
      <c r="X2364" s="2">
        <f ca="1"/>
        <v>61.733517303152738</v>
      </c>
      <c r="AG2364" s="2">
        <f ca="1"/>
        <v>0.34887480678614402</v>
      </c>
      <c r="AH2364" s="2" t="str">
        <f ca="1"/>
        <v>OK</v>
      </c>
    </row>
    <row r="2365" spans="2:34" x14ac:dyDescent="0.2">
      <c r="B2365" s="2">
        <f ca="1"/>
        <v>0.74217866912923647</v>
      </c>
      <c r="O2365" s="2">
        <f ca="1"/>
        <v>0.77208749631360662</v>
      </c>
      <c r="X2365" s="2">
        <f ca="1"/>
        <v>41.570091489725634</v>
      </c>
      <c r="AG2365" s="2">
        <f ca="1"/>
        <v>0.1018705235019195</v>
      </c>
      <c r="AH2365" s="2" t="str">
        <f ca="1"/>
        <v>OK</v>
      </c>
    </row>
    <row r="2366" spans="2:34" x14ac:dyDescent="0.2">
      <c r="B2366" s="2">
        <f ca="1"/>
        <v>0.81311491907956723</v>
      </c>
      <c r="O2366" s="2">
        <f ca="1"/>
        <v>0.46741819167241377</v>
      </c>
      <c r="X2366" s="2">
        <f ca="1"/>
        <v>50.352433403104044</v>
      </c>
      <c r="AG2366" s="2">
        <f ca="1"/>
        <v>0.3721053602276061</v>
      </c>
      <c r="AH2366" s="2" t="str">
        <f ca="1"/>
        <v>OK</v>
      </c>
    </row>
    <row r="2367" spans="2:34" x14ac:dyDescent="0.2">
      <c r="B2367" s="2">
        <f ca="1"/>
        <v>0.81692938437573326</v>
      </c>
      <c r="O2367" s="2">
        <f ca="1"/>
        <v>-0.11953751316482583</v>
      </c>
      <c r="X2367" s="2">
        <f ca="1"/>
        <v>67.056193695416525</v>
      </c>
      <c r="AG2367" s="2">
        <f ca="1"/>
        <v>0.5572100540331093</v>
      </c>
      <c r="AH2367" s="2" t="str">
        <f ca="1"/>
        <v>Bad</v>
      </c>
    </row>
    <row r="2368" spans="2:34" x14ac:dyDescent="0.2">
      <c r="B2368" s="2">
        <f ca="1"/>
        <v>0.823515296748623</v>
      </c>
      <c r="O2368" s="2">
        <f ca="1"/>
        <v>-0.12871974437757602</v>
      </c>
      <c r="X2368" s="2">
        <f ca="1"/>
        <v>50.620607969270637</v>
      </c>
      <c r="AG2368" s="2">
        <f ca="1"/>
        <v>0.36020572710053633</v>
      </c>
      <c r="AH2368" s="2" t="str">
        <f ca="1"/>
        <v>OK</v>
      </c>
    </row>
    <row r="2369" spans="2:34" x14ac:dyDescent="0.2">
      <c r="B2369" s="2">
        <f ca="1"/>
        <v>0.45706163435304892</v>
      </c>
      <c r="O2369" s="2">
        <f ca="1"/>
        <v>-0.89998576261561858</v>
      </c>
      <c r="X2369" s="2">
        <f ca="1"/>
        <v>49.931403153280854</v>
      </c>
      <c r="AG2369" s="2">
        <f ca="1"/>
        <v>0.70489093301661443</v>
      </c>
      <c r="AH2369" s="2" t="str">
        <f ca="1"/>
        <v>Bad</v>
      </c>
    </row>
    <row r="2370" spans="2:34" x14ac:dyDescent="0.2">
      <c r="B2370" s="2">
        <f ca="1"/>
        <v>0.39443153569608636</v>
      </c>
      <c r="O2370" s="2">
        <f ca="1"/>
        <v>2.05223331460676</v>
      </c>
      <c r="X2370" s="2">
        <f ca="1"/>
        <v>48.261199491052331</v>
      </c>
      <c r="AG2370" s="2">
        <f ca="1"/>
        <v>0.27224472073242367</v>
      </c>
      <c r="AH2370" s="2" t="str">
        <f ca="1"/>
        <v>OK</v>
      </c>
    </row>
    <row r="2371" spans="2:34" x14ac:dyDescent="0.2">
      <c r="B2371" s="2">
        <f ca="1"/>
        <v>0.97706546674390649</v>
      </c>
      <c r="O2371" s="2">
        <f ca="1"/>
        <v>1.2036000871943549</v>
      </c>
      <c r="X2371" s="2">
        <f ca="1"/>
        <v>31.370525550543739</v>
      </c>
      <c r="AG2371" s="2">
        <f ca="1"/>
        <v>0.59324985065876046</v>
      </c>
      <c r="AH2371" s="2" t="str">
        <f ca="1"/>
        <v>Bad</v>
      </c>
    </row>
    <row r="2372" spans="2:34" x14ac:dyDescent="0.2">
      <c r="B2372" s="2">
        <f ca="1"/>
        <v>0.59071106269633145</v>
      </c>
      <c r="O2372" s="2">
        <f ca="1"/>
        <v>0.10847259237863577</v>
      </c>
      <c r="X2372" s="2">
        <f ca="1"/>
        <v>69.464586122707416</v>
      </c>
      <c r="AG2372" s="2">
        <f ca="1"/>
        <v>0.52836681381349093</v>
      </c>
      <c r="AH2372" s="2" t="str">
        <f ca="1"/>
        <v>Bad</v>
      </c>
    </row>
    <row r="2373" spans="2:34" x14ac:dyDescent="0.2">
      <c r="B2373" s="2">
        <f ca="1"/>
        <v>0.41007995400616104</v>
      </c>
      <c r="O2373" s="2">
        <f ca="1"/>
        <v>1.9138879175350116</v>
      </c>
      <c r="X2373" s="2">
        <f ca="1"/>
        <v>88.598449132521836</v>
      </c>
      <c r="AG2373" s="2">
        <f ca="1"/>
        <v>0.22036009147633751</v>
      </c>
      <c r="AH2373" s="2" t="str">
        <f ca="1"/>
        <v>OK</v>
      </c>
    </row>
    <row r="2374" spans="2:34" x14ac:dyDescent="0.2">
      <c r="B2374" s="2">
        <f ca="1"/>
        <v>0.76900748847921574</v>
      </c>
      <c r="O2374" s="2">
        <f ca="1"/>
        <v>-1.1531107316099436</v>
      </c>
      <c r="X2374" s="2">
        <f ca="1"/>
        <v>29.619132728025811</v>
      </c>
      <c r="AG2374" s="2">
        <f ca="1"/>
        <v>0.87303392333632179</v>
      </c>
      <c r="AH2374" s="2" t="str">
        <f ca="1"/>
        <v>Bad</v>
      </c>
    </row>
    <row r="2375" spans="2:34" x14ac:dyDescent="0.2">
      <c r="B2375" s="2">
        <f ca="1"/>
        <v>0.87952397948233307</v>
      </c>
      <c r="O2375" s="2">
        <f ca="1"/>
        <v>-0.71915569564049153</v>
      </c>
      <c r="X2375" s="2">
        <f ca="1"/>
        <v>35.513223443301627</v>
      </c>
      <c r="AG2375" s="2">
        <f ca="1"/>
        <v>0.78745236351810899</v>
      </c>
      <c r="AH2375" s="2" t="str">
        <f ca="1"/>
        <v>Bad</v>
      </c>
    </row>
    <row r="2376" spans="2:34" x14ac:dyDescent="0.2">
      <c r="B2376" s="2">
        <f ca="1"/>
        <v>0.34564771431838581</v>
      </c>
      <c r="O2376" s="2">
        <f ca="1"/>
        <v>1.7706076108097664</v>
      </c>
      <c r="X2376" s="2">
        <f ca="1"/>
        <v>43.437475287656554</v>
      </c>
      <c r="AG2376" s="2">
        <f ca="1"/>
        <v>0.63629868100284259</v>
      </c>
      <c r="AH2376" s="2" t="str">
        <f ca="1"/>
        <v>Bad</v>
      </c>
    </row>
    <row r="2377" spans="2:34" x14ac:dyDescent="0.2">
      <c r="B2377" s="2">
        <f ca="1"/>
        <v>0.32503961008264204</v>
      </c>
      <c r="O2377" s="2">
        <f ca="1"/>
        <v>0.48621655712237372</v>
      </c>
      <c r="X2377" s="2">
        <f ca="1"/>
        <v>40.891792368366339</v>
      </c>
      <c r="AG2377" s="2">
        <f ca="1"/>
        <v>0.3403797827773003</v>
      </c>
      <c r="AH2377" s="2" t="str">
        <f ca="1"/>
        <v>OK</v>
      </c>
    </row>
    <row r="2378" spans="2:34" x14ac:dyDescent="0.2">
      <c r="B2378" s="2">
        <f ca="1"/>
        <v>0.67398557025436134</v>
      </c>
      <c r="O2378" s="2">
        <f ca="1"/>
        <v>-0.70039180399393575</v>
      </c>
      <c r="X2378" s="2">
        <f ca="1"/>
        <v>72.459069435466688</v>
      </c>
      <c r="AG2378" s="2">
        <f ca="1"/>
        <v>1.2504392623511551E-2</v>
      </c>
      <c r="AH2378" s="2" t="str">
        <f ca="1"/>
        <v>Good</v>
      </c>
    </row>
    <row r="2379" spans="2:34" x14ac:dyDescent="0.2">
      <c r="B2379" s="2">
        <f ca="1"/>
        <v>0.99863929832631548</v>
      </c>
      <c r="O2379" s="2">
        <f ca="1"/>
        <v>0.38784074682497954</v>
      </c>
      <c r="X2379" s="2">
        <f ca="1"/>
        <v>35.620437952878916</v>
      </c>
      <c r="AG2379" s="2">
        <f ca="1"/>
        <v>4.1295246332545776E-2</v>
      </c>
      <c r="AH2379" s="2" t="str">
        <f ca="1"/>
        <v>Good</v>
      </c>
    </row>
    <row r="2380" spans="2:34" x14ac:dyDescent="0.2">
      <c r="B2380" s="2">
        <f ca="1"/>
        <v>0.6332936282205659</v>
      </c>
      <c r="O2380" s="2">
        <f ca="1"/>
        <v>0.37027222430589202</v>
      </c>
      <c r="X2380" s="2">
        <f ca="1"/>
        <v>55.779885474122878</v>
      </c>
      <c r="AG2380" s="2">
        <f ca="1"/>
        <v>0.53892376250043017</v>
      </c>
      <c r="AH2380" s="2" t="str">
        <f ca="1"/>
        <v>Bad</v>
      </c>
    </row>
    <row r="2381" spans="2:34" x14ac:dyDescent="0.2">
      <c r="B2381" s="2">
        <f ca="1"/>
        <v>0.69633220841338672</v>
      </c>
      <c r="O2381" s="2">
        <f ca="1"/>
        <v>0.57203034280732712</v>
      </c>
      <c r="X2381" s="2">
        <f ca="1"/>
        <v>54.622138547021891</v>
      </c>
      <c r="AG2381" s="2">
        <f ca="1"/>
        <v>0.21490106781915053</v>
      </c>
      <c r="AH2381" s="2" t="str">
        <f ca="1"/>
        <v>OK</v>
      </c>
    </row>
    <row r="2382" spans="2:34" x14ac:dyDescent="0.2">
      <c r="B2382" s="2">
        <f ca="1"/>
        <v>0.9624073769173711</v>
      </c>
      <c r="O2382" s="2">
        <f ca="1"/>
        <v>-0.31777623640629854</v>
      </c>
      <c r="X2382" s="2">
        <f ca="1"/>
        <v>48.472264342687794</v>
      </c>
      <c r="AG2382" s="2">
        <f ca="1"/>
        <v>0.43179348751805757</v>
      </c>
      <c r="AH2382" s="2" t="str">
        <f ca="1"/>
        <v>Bad</v>
      </c>
    </row>
    <row r="2383" spans="2:34" x14ac:dyDescent="0.2">
      <c r="B2383" s="2">
        <f ca="1"/>
        <v>0.63733438030643841</v>
      </c>
      <c r="O2383" s="2">
        <f ca="1"/>
        <v>-0.30926817767000359</v>
      </c>
      <c r="X2383" s="2">
        <f ca="1"/>
        <v>42.345661903699828</v>
      </c>
      <c r="AG2383" s="2">
        <f ca="1"/>
        <v>0.61002187763403937</v>
      </c>
      <c r="AH2383" s="2" t="str">
        <f ca="1"/>
        <v>Bad</v>
      </c>
    </row>
    <row r="2384" spans="2:34" x14ac:dyDescent="0.2">
      <c r="B2384" s="2">
        <f ca="1"/>
        <v>0.59741032730160137</v>
      </c>
      <c r="O2384" s="2">
        <f ca="1"/>
        <v>0.47093617923087322</v>
      </c>
      <c r="X2384" s="2">
        <f ca="1"/>
        <v>42.056049870396997</v>
      </c>
      <c r="AG2384" s="2">
        <f ca="1"/>
        <v>0.14302029392550919</v>
      </c>
      <c r="AH2384" s="2" t="str">
        <f ca="1"/>
        <v>OK</v>
      </c>
    </row>
    <row r="2385" spans="2:34" x14ac:dyDescent="0.2">
      <c r="B2385" s="2">
        <f ca="1"/>
        <v>0.83258418393091516</v>
      </c>
      <c r="O2385" s="2">
        <f ca="1"/>
        <v>0.61536918168953236</v>
      </c>
      <c r="X2385" s="2">
        <f ca="1"/>
        <v>46.897110146335557</v>
      </c>
      <c r="AG2385" s="2">
        <f ca="1"/>
        <v>0.28479436379109413</v>
      </c>
      <c r="AH2385" s="2" t="str">
        <f ca="1"/>
        <v>OK</v>
      </c>
    </row>
    <row r="2386" spans="2:34" x14ac:dyDescent="0.2">
      <c r="B2386" s="2">
        <f ca="1"/>
        <v>5.8855299915679504E-2</v>
      </c>
      <c r="O2386" s="2">
        <f ca="1"/>
        <v>0.11576120665062069</v>
      </c>
      <c r="X2386" s="2">
        <f ca="1"/>
        <v>52.794832450639177</v>
      </c>
      <c r="AG2386" s="2">
        <f ca="1"/>
        <v>0.26608525128991456</v>
      </c>
      <c r="AH2386" s="2" t="str">
        <f ca="1"/>
        <v>OK</v>
      </c>
    </row>
    <row r="2387" spans="2:34" x14ac:dyDescent="0.2">
      <c r="B2387" s="2">
        <f ca="1"/>
        <v>0.60571376363430551</v>
      </c>
      <c r="O2387" s="2">
        <f ca="1"/>
        <v>-0.18429660421181329</v>
      </c>
      <c r="X2387" s="2">
        <f ca="1"/>
        <v>54.676849927883488</v>
      </c>
      <c r="AG2387" s="2">
        <f ca="1"/>
        <v>0.85576846056803269</v>
      </c>
      <c r="AH2387" s="2" t="str">
        <f ca="1"/>
        <v>Bad</v>
      </c>
    </row>
    <row r="2388" spans="2:34" x14ac:dyDescent="0.2">
      <c r="B2388" s="2">
        <f ca="1"/>
        <v>0.32198339665284625</v>
      </c>
      <c r="O2388" s="2">
        <f ca="1"/>
        <v>-0.38841155175447578</v>
      </c>
      <c r="X2388" s="2">
        <f ca="1"/>
        <v>31.506616420139704</v>
      </c>
      <c r="AG2388" s="2">
        <f ca="1"/>
        <v>0.13288539215111417</v>
      </c>
      <c r="AH2388" s="2" t="str">
        <f ca="1"/>
        <v>OK</v>
      </c>
    </row>
    <row r="2389" spans="2:34" x14ac:dyDescent="0.2">
      <c r="B2389" s="2">
        <f ca="1"/>
        <v>0.53441817051843588</v>
      </c>
      <c r="O2389" s="2">
        <f ca="1"/>
        <v>1.0908982209882796E-2</v>
      </c>
      <c r="X2389" s="2">
        <f ca="1"/>
        <v>60.949771504360726</v>
      </c>
      <c r="AG2389" s="2">
        <f ca="1"/>
        <v>0.20337799474273011</v>
      </c>
      <c r="AH2389" s="2" t="str">
        <f ca="1"/>
        <v>OK</v>
      </c>
    </row>
    <row r="2390" spans="2:34" x14ac:dyDescent="0.2">
      <c r="B2390" s="2">
        <f ca="1"/>
        <v>0.88918321130497269</v>
      </c>
      <c r="O2390" s="2">
        <f ca="1"/>
        <v>-0.96805392805960788</v>
      </c>
      <c r="X2390" s="2">
        <f ca="1"/>
        <v>52.25396886889726</v>
      </c>
      <c r="AG2390" s="2">
        <f ca="1"/>
        <v>9.2798370026413224E-2</v>
      </c>
      <c r="AH2390" s="2" t="str">
        <f ca="1"/>
        <v>OK</v>
      </c>
    </row>
    <row r="2391" spans="2:34" x14ac:dyDescent="0.2">
      <c r="B2391" s="2">
        <f ca="1"/>
        <v>0.96080109373029798</v>
      </c>
      <c r="O2391" s="2">
        <f ca="1"/>
        <v>2.6006449374908285</v>
      </c>
      <c r="X2391" s="2">
        <f ca="1"/>
        <v>29.373820877529333</v>
      </c>
      <c r="AG2391" s="2">
        <f ca="1"/>
        <v>0.29712503119661782</v>
      </c>
      <c r="AH2391" s="2" t="str">
        <f ca="1"/>
        <v>OK</v>
      </c>
    </row>
    <row r="2392" spans="2:34" x14ac:dyDescent="0.2">
      <c r="B2392" s="2">
        <f ca="1"/>
        <v>0.29978827074718617</v>
      </c>
      <c r="O2392" s="2">
        <f ca="1"/>
        <v>0.91298492678735943</v>
      </c>
      <c r="X2392" s="2">
        <f ca="1"/>
        <v>47.832050720514161</v>
      </c>
      <c r="AG2392" s="2">
        <f ca="1"/>
        <v>0.55042589141129228</v>
      </c>
      <c r="AH2392" s="2" t="str">
        <f ca="1"/>
        <v>Bad</v>
      </c>
    </row>
    <row r="2393" spans="2:34" x14ac:dyDescent="0.2">
      <c r="B2393" s="2">
        <f ca="1"/>
        <v>0.17014298316014598</v>
      </c>
      <c r="O2393" s="2">
        <f ca="1"/>
        <v>-0.14885969614506192</v>
      </c>
      <c r="X2393" s="2">
        <f ca="1"/>
        <v>54.66429668450801</v>
      </c>
      <c r="AG2393" s="2">
        <f ca="1"/>
        <v>0.20287771660423748</v>
      </c>
      <c r="AH2393" s="2" t="str">
        <f ca="1"/>
        <v>OK</v>
      </c>
    </row>
    <row r="2394" spans="2:34" x14ac:dyDescent="0.2">
      <c r="B2394" s="2">
        <f ca="1"/>
        <v>1.4406300954685314E-2</v>
      </c>
      <c r="O2394" s="2">
        <f ca="1"/>
        <v>-0.42945328313562076</v>
      </c>
      <c r="X2394" s="2">
        <f ca="1"/>
        <v>35.364139498619849</v>
      </c>
      <c r="AG2394" s="2">
        <f ca="1"/>
        <v>3.8360120763908601E-2</v>
      </c>
      <c r="AH2394" s="2" t="str">
        <f ca="1"/>
        <v>Good</v>
      </c>
    </row>
    <row r="2395" spans="2:34" x14ac:dyDescent="0.2">
      <c r="B2395" s="2">
        <f ca="1"/>
        <v>0.73316051875978139</v>
      </c>
      <c r="O2395" s="2">
        <f ca="1"/>
        <v>1.1891928225024202</v>
      </c>
      <c r="X2395" s="2">
        <f ca="1"/>
        <v>33.856160286715998</v>
      </c>
      <c r="AG2395" s="2">
        <f ca="1"/>
        <v>0.62382697180550006</v>
      </c>
      <c r="AH2395" s="2" t="str">
        <f ca="1"/>
        <v>Bad</v>
      </c>
    </row>
    <row r="2396" spans="2:34" x14ac:dyDescent="0.2">
      <c r="B2396" s="2">
        <f ca="1"/>
        <v>0.61608416182991643</v>
      </c>
      <c r="O2396" s="2">
        <f ca="1"/>
        <v>0.30888296292170547</v>
      </c>
      <c r="X2396" s="2">
        <f ca="1"/>
        <v>39.16353893127598</v>
      </c>
      <c r="AG2396" s="2">
        <f ca="1"/>
        <v>0.24322407177076277</v>
      </c>
      <c r="AH2396" s="2" t="str">
        <f ca="1"/>
        <v>OK</v>
      </c>
    </row>
    <row r="2397" spans="2:34" x14ac:dyDescent="0.2">
      <c r="B2397" s="2">
        <f ca="1"/>
        <v>2.5744955675285564E-2</v>
      </c>
      <c r="O2397" s="2">
        <f ca="1"/>
        <v>-2.50938162125794E-2</v>
      </c>
      <c r="X2397" s="2">
        <f ca="1"/>
        <v>65.488498920087352</v>
      </c>
      <c r="AG2397" s="2">
        <f ca="1"/>
        <v>0.50674919627348358</v>
      </c>
      <c r="AH2397" s="2" t="str">
        <f ca="1"/>
        <v>Bad</v>
      </c>
    </row>
    <row r="2398" spans="2:34" x14ac:dyDescent="0.2">
      <c r="B2398" s="2">
        <f ca="1"/>
        <v>1.3490638672179811E-2</v>
      </c>
      <c r="O2398" s="2">
        <f ca="1"/>
        <v>-0.92474500547573302</v>
      </c>
      <c r="X2398" s="2">
        <f ca="1"/>
        <v>45.278018519523862</v>
      </c>
      <c r="AG2398" s="2">
        <f ca="1"/>
        <v>0.51492751697988881</v>
      </c>
      <c r="AH2398" s="2" t="str">
        <f ca="1"/>
        <v>Bad</v>
      </c>
    </row>
    <row r="2399" spans="2:34" x14ac:dyDescent="0.2">
      <c r="B2399" s="2">
        <f ca="1"/>
        <v>0.21827572312480958</v>
      </c>
      <c r="O2399" s="2">
        <f ca="1"/>
        <v>1.1376888917677039</v>
      </c>
      <c r="X2399" s="2">
        <f ca="1"/>
        <v>92.720591455123852</v>
      </c>
      <c r="AG2399" s="2">
        <f ca="1"/>
        <v>4.6348514500863303E-2</v>
      </c>
      <c r="AH2399" s="2" t="str">
        <f ca="1"/>
        <v>Good</v>
      </c>
    </row>
    <row r="2400" spans="2:34" x14ac:dyDescent="0.2">
      <c r="B2400" s="2">
        <f ca="1"/>
        <v>0.51403710565323557</v>
      </c>
      <c r="O2400" s="2">
        <f ca="1"/>
        <v>0.43984597501058503</v>
      </c>
      <c r="X2400" s="2">
        <f ca="1"/>
        <v>38.522544385684711</v>
      </c>
      <c r="AG2400" s="2">
        <f ca="1"/>
        <v>0.26310875446184068</v>
      </c>
      <c r="AH2400" s="2" t="str">
        <f ca="1"/>
        <v>OK</v>
      </c>
    </row>
    <row r="2401" spans="2:34" x14ac:dyDescent="0.2">
      <c r="B2401" s="2">
        <f ca="1"/>
        <v>0.14143616866387276</v>
      </c>
      <c r="O2401" s="2">
        <f ca="1"/>
        <v>1.0685705968624954</v>
      </c>
      <c r="X2401" s="2">
        <f ca="1"/>
        <v>58.267387263969241</v>
      </c>
      <c r="AG2401" s="2">
        <f ca="1"/>
        <v>0.32516925409892772</v>
      </c>
      <c r="AH2401" s="2" t="str">
        <f ca="1"/>
        <v>OK</v>
      </c>
    </row>
    <row r="2402" spans="2:34" x14ac:dyDescent="0.2">
      <c r="B2402" s="2">
        <f ca="1"/>
        <v>0.60346752166156237</v>
      </c>
      <c r="O2402" s="2">
        <f ca="1"/>
        <v>-0.99138568717571018</v>
      </c>
      <c r="X2402" s="2">
        <f ca="1"/>
        <v>33.976933043552279</v>
      </c>
      <c r="AG2402" s="2">
        <f ca="1"/>
        <v>0.15223912620656033</v>
      </c>
      <c r="AH2402" s="2" t="str">
        <f ca="1"/>
        <v>OK</v>
      </c>
    </row>
    <row r="2403" spans="2:34" x14ac:dyDescent="0.2">
      <c r="B2403" s="2">
        <f ca="1"/>
        <v>6.2735158204254793E-2</v>
      </c>
      <c r="O2403" s="2">
        <f ca="1"/>
        <v>1.1057678560666229</v>
      </c>
      <c r="X2403" s="2">
        <f ca="1"/>
        <v>62.911610923450787</v>
      </c>
      <c r="AG2403" s="2">
        <f ca="1"/>
        <v>4.6829059098230097E-3</v>
      </c>
      <c r="AH2403" s="2" t="str">
        <f ca="1"/>
        <v>Good</v>
      </c>
    </row>
    <row r="2404" spans="2:34" x14ac:dyDescent="0.2">
      <c r="B2404" s="2">
        <f ca="1"/>
        <v>0.87470190152738425</v>
      </c>
      <c r="O2404" s="2">
        <f ca="1"/>
        <v>-0.30116099076621616</v>
      </c>
      <c r="X2404" s="2">
        <f ca="1"/>
        <v>44.633418150202708</v>
      </c>
      <c r="AG2404" s="2">
        <f ca="1"/>
        <v>0.10149134907974133</v>
      </c>
      <c r="AH2404" s="2" t="str">
        <f ca="1"/>
        <v>OK</v>
      </c>
    </row>
    <row r="2405" spans="2:34" x14ac:dyDescent="0.2">
      <c r="B2405" s="2">
        <f ca="1"/>
        <v>0.73595288466504827</v>
      </c>
      <c r="O2405" s="2">
        <f ca="1"/>
        <v>0.3223804400429528</v>
      </c>
      <c r="X2405" s="2">
        <f ca="1"/>
        <v>49.554326369116225</v>
      </c>
      <c r="AG2405" s="2">
        <f ca="1"/>
        <v>0.30370484516129803</v>
      </c>
      <c r="AH2405" s="2" t="str">
        <f ca="1"/>
        <v>OK</v>
      </c>
    </row>
    <row r="2406" spans="2:34" x14ac:dyDescent="0.2">
      <c r="B2406" s="2">
        <f ca="1"/>
        <v>0.98764158317837691</v>
      </c>
      <c r="O2406" s="2">
        <f ca="1"/>
        <v>-0.29477295972650314</v>
      </c>
      <c r="X2406" s="2">
        <f ca="1"/>
        <v>52.827338321086202</v>
      </c>
      <c r="AG2406" s="2">
        <f ca="1"/>
        <v>0.33071942791363984</v>
      </c>
      <c r="AH2406" s="2" t="str">
        <f ca="1"/>
        <v>OK</v>
      </c>
    </row>
    <row r="2407" spans="2:34" x14ac:dyDescent="0.2">
      <c r="B2407" s="2">
        <f ca="1"/>
        <v>0.43435003331422828</v>
      </c>
      <c r="O2407" s="2">
        <f ca="1"/>
        <v>0.22812736152334293</v>
      </c>
      <c r="X2407" s="2">
        <f ca="1"/>
        <v>60.448044368913934</v>
      </c>
      <c r="AG2407" s="2">
        <f ca="1"/>
        <v>2.3833947164758618E-2</v>
      </c>
      <c r="AH2407" s="2" t="str">
        <f ca="1"/>
        <v>Good</v>
      </c>
    </row>
    <row r="2408" spans="2:34" x14ac:dyDescent="0.2">
      <c r="B2408" s="2">
        <f ca="1"/>
        <v>0.81131812572712581</v>
      </c>
      <c r="O2408" s="2">
        <f ca="1"/>
        <v>0.66842550719122773</v>
      </c>
      <c r="X2408" s="2">
        <f ca="1"/>
        <v>58.476454460660811</v>
      </c>
      <c r="AG2408" s="2">
        <f ca="1"/>
        <v>0.75879171465611583</v>
      </c>
      <c r="AH2408" s="2" t="str">
        <f ca="1"/>
        <v>Bad</v>
      </c>
    </row>
    <row r="2409" spans="2:34" x14ac:dyDescent="0.2">
      <c r="B2409" s="2">
        <f ca="1"/>
        <v>0.72452005797839791</v>
      </c>
      <c r="O2409" s="2">
        <f ca="1"/>
        <v>0.11152211429936673</v>
      </c>
      <c r="X2409" s="2">
        <f ca="1"/>
        <v>65.838003386886726</v>
      </c>
      <c r="AG2409" s="2">
        <f ca="1"/>
        <v>0.42486892642269214</v>
      </c>
      <c r="AH2409" s="2" t="str">
        <f ca="1"/>
        <v>Bad</v>
      </c>
    </row>
    <row r="2410" spans="2:34" x14ac:dyDescent="0.2">
      <c r="B2410" s="2">
        <f ca="1"/>
        <v>0.92868182828458679</v>
      </c>
      <c r="O2410" s="2">
        <f ca="1"/>
        <v>1.2365757596207803</v>
      </c>
      <c r="X2410" s="2">
        <f ca="1"/>
        <v>29.909189217977922</v>
      </c>
      <c r="AG2410" s="2">
        <f ca="1"/>
        <v>0.98417378198182459</v>
      </c>
      <c r="AH2410" s="2" t="str">
        <f ca="1"/>
        <v>Bad</v>
      </c>
    </row>
    <row r="2411" spans="2:34" x14ac:dyDescent="0.2">
      <c r="B2411" s="2">
        <f ca="1"/>
        <v>0.71324306627771561</v>
      </c>
      <c r="O2411" s="2">
        <f ca="1"/>
        <v>-0.36765213027426363</v>
      </c>
      <c r="X2411" s="2">
        <f ca="1"/>
        <v>69.301944506020831</v>
      </c>
      <c r="AG2411" s="2">
        <f ca="1"/>
        <v>0.6177600281462936</v>
      </c>
      <c r="AH2411" s="2" t="str">
        <f ca="1"/>
        <v>Bad</v>
      </c>
    </row>
    <row r="2412" spans="2:34" x14ac:dyDescent="0.2">
      <c r="B2412" s="2">
        <f ca="1"/>
        <v>0.52589468606523204</v>
      </c>
      <c r="O2412" s="2">
        <f ca="1"/>
        <v>0.23133643530242995</v>
      </c>
      <c r="X2412" s="2">
        <f ca="1"/>
        <v>42.062924528798774</v>
      </c>
      <c r="AG2412" s="2">
        <f ca="1"/>
        <v>0.93733576991066481</v>
      </c>
      <c r="AH2412" s="2" t="str">
        <f ca="1"/>
        <v>Bad</v>
      </c>
    </row>
    <row r="2413" spans="2:34" x14ac:dyDescent="0.2">
      <c r="B2413" s="2">
        <f ca="1"/>
        <v>0.24092917379981849</v>
      </c>
      <c r="O2413" s="2">
        <f ca="1"/>
        <v>0.52399697522066302</v>
      </c>
      <c r="X2413" s="2">
        <f ca="1"/>
        <v>50.37034732392118</v>
      </c>
      <c r="AG2413" s="2">
        <f ca="1"/>
        <v>0.23205583415176356</v>
      </c>
      <c r="AH2413" s="2" t="str">
        <f ca="1"/>
        <v>OK</v>
      </c>
    </row>
    <row r="2414" spans="2:34" x14ac:dyDescent="0.2">
      <c r="B2414" s="2">
        <f ca="1"/>
        <v>0.13435250629115614</v>
      </c>
      <c r="O2414" s="2">
        <f ca="1"/>
        <v>1.1074527306975348</v>
      </c>
      <c r="X2414" s="2">
        <f ca="1"/>
        <v>69.729454584203111</v>
      </c>
      <c r="AG2414" s="2">
        <f ca="1"/>
        <v>0.44288822799240424</v>
      </c>
      <c r="AH2414" s="2" t="str">
        <f ca="1"/>
        <v>Bad</v>
      </c>
    </row>
    <row r="2415" spans="2:34" x14ac:dyDescent="0.2">
      <c r="B2415" s="2">
        <f ca="1"/>
        <v>0.65615064101532283</v>
      </c>
      <c r="O2415" s="2">
        <f ca="1"/>
        <v>-0.52652848075457193</v>
      </c>
      <c r="X2415" s="2">
        <f ca="1"/>
        <v>34.719977688364651</v>
      </c>
      <c r="AG2415" s="2">
        <f ca="1"/>
        <v>0.79010318305712834</v>
      </c>
      <c r="AH2415" s="2" t="str">
        <f ca="1"/>
        <v>Bad</v>
      </c>
    </row>
    <row r="2416" spans="2:34" x14ac:dyDescent="0.2">
      <c r="B2416" s="2">
        <f ca="1"/>
        <v>0.99722530564106315</v>
      </c>
      <c r="O2416" s="2">
        <f ca="1"/>
        <v>-1.6567004431977543</v>
      </c>
      <c r="X2416" s="2">
        <f ca="1"/>
        <v>35.67948584656228</v>
      </c>
      <c r="AG2416" s="2">
        <f ca="1"/>
        <v>0.54505662650966125</v>
      </c>
      <c r="AH2416" s="2" t="str">
        <f ca="1"/>
        <v>Bad</v>
      </c>
    </row>
    <row r="2417" spans="2:34" x14ac:dyDescent="0.2">
      <c r="B2417" s="2">
        <f ca="1"/>
        <v>0.37784830130046587</v>
      </c>
      <c r="O2417" s="2">
        <f ca="1"/>
        <v>-1.85630764661231E-2</v>
      </c>
      <c r="X2417" s="2">
        <f ca="1"/>
        <v>39.870837907557977</v>
      </c>
      <c r="AG2417" s="2">
        <f ca="1"/>
        <v>0.29645358916801623</v>
      </c>
      <c r="AH2417" s="2" t="str">
        <f ca="1"/>
        <v>OK</v>
      </c>
    </row>
    <row r="2418" spans="2:34" x14ac:dyDescent="0.2">
      <c r="B2418" s="2">
        <f ca="1"/>
        <v>0.63807999435378004</v>
      </c>
      <c r="O2418" s="2">
        <f ca="1"/>
        <v>-0.11266592766251987</v>
      </c>
      <c r="X2418" s="2">
        <f ca="1"/>
        <v>47.461307636022852</v>
      </c>
      <c r="AG2418" s="2">
        <f ca="1"/>
        <v>9.849426324975985E-3</v>
      </c>
      <c r="AH2418" s="2" t="str">
        <f ca="1"/>
        <v>Good</v>
      </c>
    </row>
    <row r="2419" spans="2:34" x14ac:dyDescent="0.2">
      <c r="B2419" s="2">
        <f ca="1"/>
        <v>0.14170728800425669</v>
      </c>
      <c r="O2419" s="2">
        <f ca="1"/>
        <v>-2.5336780776378109</v>
      </c>
      <c r="X2419" s="2">
        <f ca="1"/>
        <v>39.938647088852328</v>
      </c>
      <c r="AG2419" s="2">
        <f ca="1"/>
        <v>0.59931033920339316</v>
      </c>
      <c r="AH2419" s="2" t="str">
        <f ca="1"/>
        <v>Bad</v>
      </c>
    </row>
    <row r="2420" spans="2:34" x14ac:dyDescent="0.2">
      <c r="B2420" s="2">
        <f ca="1"/>
        <v>0.64819008407934864</v>
      </c>
      <c r="O2420" s="2">
        <f ca="1"/>
        <v>-0.38999072260097556</v>
      </c>
      <c r="X2420" s="2">
        <f ca="1"/>
        <v>29.692251330656816</v>
      </c>
      <c r="AG2420" s="2">
        <f ca="1"/>
        <v>0.8309375868826816</v>
      </c>
      <c r="AH2420" s="2" t="str">
        <f ca="1"/>
        <v>Bad</v>
      </c>
    </row>
    <row r="2421" spans="2:34" x14ac:dyDescent="0.2">
      <c r="B2421" s="2">
        <f ca="1"/>
        <v>0.2820251527610389</v>
      </c>
      <c r="O2421" s="2">
        <f ca="1"/>
        <v>-2.6334325438190138</v>
      </c>
      <c r="X2421" s="2">
        <f ca="1"/>
        <v>51.9297594437312</v>
      </c>
      <c r="AG2421" s="2">
        <f ca="1"/>
        <v>0.85514849109546787</v>
      </c>
      <c r="AH2421" s="2" t="str">
        <f ca="1"/>
        <v>Bad</v>
      </c>
    </row>
    <row r="2422" spans="2:34" x14ac:dyDescent="0.2">
      <c r="B2422" s="2">
        <f ca="1"/>
        <v>1.7039374804371343E-2</v>
      </c>
      <c r="O2422" s="2">
        <f ca="1"/>
        <v>1.1097662088103701</v>
      </c>
      <c r="X2422" s="2">
        <f ca="1"/>
        <v>48.547138655506608</v>
      </c>
      <c r="AG2422" s="2">
        <f ca="1"/>
        <v>0.18333797647029337</v>
      </c>
      <c r="AH2422" s="2" t="str">
        <f ca="1"/>
        <v>OK</v>
      </c>
    </row>
    <row r="2423" spans="2:34" x14ac:dyDescent="0.2">
      <c r="B2423" s="2">
        <f ca="1"/>
        <v>4.1952301435730588E-2</v>
      </c>
      <c r="O2423" s="2">
        <f ca="1"/>
        <v>1.1659933979006385</v>
      </c>
      <c r="X2423" s="2">
        <f ca="1"/>
        <v>58.382742590012029</v>
      </c>
      <c r="AG2423" s="2">
        <f ca="1"/>
        <v>0.16196213418832328</v>
      </c>
      <c r="AH2423" s="2" t="str">
        <f ca="1"/>
        <v>OK</v>
      </c>
    </row>
    <row r="2424" spans="2:34" x14ac:dyDescent="0.2">
      <c r="B2424" s="2">
        <f ca="1"/>
        <v>0.76779121580443266</v>
      </c>
      <c r="O2424" s="2">
        <f ca="1"/>
        <v>-1.0199988686082171</v>
      </c>
      <c r="X2424" s="2">
        <f ca="1"/>
        <v>53.191286758605393</v>
      </c>
      <c r="AG2424" s="2">
        <f ca="1"/>
        <v>9.5595319670140899E-2</v>
      </c>
      <c r="AH2424" s="2" t="str">
        <f ca="1"/>
        <v>OK</v>
      </c>
    </row>
    <row r="2425" spans="2:34" x14ac:dyDescent="0.2">
      <c r="B2425" s="2">
        <f ca="1"/>
        <v>0.27601231423509875</v>
      </c>
      <c r="O2425" s="2">
        <f ca="1"/>
        <v>-0.52717686479721881</v>
      </c>
      <c r="X2425" s="2">
        <f ca="1"/>
        <v>59.563537800316588</v>
      </c>
      <c r="AG2425" s="2">
        <f ca="1"/>
        <v>0.60088281941425059</v>
      </c>
      <c r="AH2425" s="2" t="str">
        <f ca="1"/>
        <v>Bad</v>
      </c>
    </row>
    <row r="2426" spans="2:34" x14ac:dyDescent="0.2">
      <c r="B2426" s="2">
        <f ca="1"/>
        <v>0.12302240900576122</v>
      </c>
      <c r="O2426" s="2">
        <f ca="1"/>
        <v>-0.20459044505130911</v>
      </c>
      <c r="X2426" s="2">
        <f ca="1"/>
        <v>23.565834156145474</v>
      </c>
      <c r="AG2426" s="2">
        <f ca="1"/>
        <v>0.89239826755491225</v>
      </c>
      <c r="AH2426" s="2" t="str">
        <f ca="1"/>
        <v>Bad</v>
      </c>
    </row>
    <row r="2427" spans="2:34" x14ac:dyDescent="0.2">
      <c r="B2427" s="2">
        <f ca="1"/>
        <v>0.45125335027958902</v>
      </c>
      <c r="O2427" s="2">
        <f ca="1"/>
        <v>1.4394267310960192</v>
      </c>
      <c r="X2427" s="2">
        <f ca="1"/>
        <v>43.16697938168997</v>
      </c>
      <c r="AG2427" s="2">
        <f ca="1"/>
        <v>0.84795175808887402</v>
      </c>
      <c r="AH2427" s="2" t="str">
        <f ca="1"/>
        <v>Bad</v>
      </c>
    </row>
    <row r="2428" spans="2:34" x14ac:dyDescent="0.2">
      <c r="B2428" s="2">
        <f ca="1"/>
        <v>6.506470751798088E-2</v>
      </c>
      <c r="O2428" s="2">
        <f ca="1"/>
        <v>1.9585749298274868</v>
      </c>
      <c r="X2428" s="2">
        <f ca="1"/>
        <v>61.874181138456244</v>
      </c>
      <c r="AG2428" s="2">
        <f ca="1"/>
        <v>0.99084877390175818</v>
      </c>
      <c r="AH2428" s="2" t="str">
        <f ca="1"/>
        <v>Bad</v>
      </c>
    </row>
    <row r="2429" spans="2:34" x14ac:dyDescent="0.2">
      <c r="B2429" s="2">
        <f ca="1"/>
        <v>5.5821624950063597E-2</v>
      </c>
      <c r="O2429" s="2">
        <f ca="1"/>
        <v>6.9510258755210802E-2</v>
      </c>
      <c r="X2429" s="2">
        <f ca="1"/>
        <v>58.355871744132699</v>
      </c>
      <c r="AG2429" s="2">
        <f ca="1"/>
        <v>0.24125075620647718</v>
      </c>
      <c r="AH2429" s="2" t="str">
        <f ca="1"/>
        <v>OK</v>
      </c>
    </row>
    <row r="2430" spans="2:34" x14ac:dyDescent="0.2">
      <c r="B2430" s="2">
        <f ca="1"/>
        <v>0.68054071393341009</v>
      </c>
      <c r="O2430" s="2">
        <f ca="1"/>
        <v>-0.76993503542555508</v>
      </c>
      <c r="X2430" s="2">
        <f ca="1"/>
        <v>73.643675029392327</v>
      </c>
      <c r="AG2430" s="2">
        <f ca="1"/>
        <v>0.13658474741865456</v>
      </c>
      <c r="AH2430" s="2" t="str">
        <f ca="1"/>
        <v>OK</v>
      </c>
    </row>
    <row r="2431" spans="2:34" x14ac:dyDescent="0.2">
      <c r="B2431" s="2">
        <f ca="1"/>
        <v>0.32969745431136999</v>
      </c>
      <c r="O2431" s="2">
        <f ca="1"/>
        <v>1.4844178827039436</v>
      </c>
      <c r="X2431" s="2">
        <f ca="1"/>
        <v>60.836756318451506</v>
      </c>
      <c r="AG2431" s="2">
        <f ca="1"/>
        <v>4.1266514184067571E-2</v>
      </c>
      <c r="AH2431" s="2" t="str">
        <f ca="1"/>
        <v>Good</v>
      </c>
    </row>
    <row r="2432" spans="2:34" x14ac:dyDescent="0.2">
      <c r="B2432" s="2">
        <f ca="1"/>
        <v>0.47715187655684654</v>
      </c>
      <c r="O2432" s="2">
        <f ca="1"/>
        <v>1.8187928634823531</v>
      </c>
      <c r="X2432" s="2">
        <f ca="1"/>
        <v>24.604199609207384</v>
      </c>
      <c r="AG2432" s="2">
        <f ca="1"/>
        <v>0.4889948701237059</v>
      </c>
      <c r="AH2432" s="2" t="str">
        <f ca="1"/>
        <v>Bad</v>
      </c>
    </row>
    <row r="2433" spans="2:34" x14ac:dyDescent="0.2">
      <c r="B2433" s="2">
        <f ca="1"/>
        <v>0.73642813303000443</v>
      </c>
      <c r="O2433" s="2">
        <f ca="1"/>
        <v>-0.23798157829390862</v>
      </c>
      <c r="X2433" s="2">
        <f ca="1"/>
        <v>41.79607470543673</v>
      </c>
      <c r="AG2433" s="2">
        <f ca="1"/>
        <v>0.40085280062628859</v>
      </c>
      <c r="AH2433" s="2" t="str">
        <f ca="1"/>
        <v>Bad</v>
      </c>
    </row>
    <row r="2434" spans="2:34" x14ac:dyDescent="0.2">
      <c r="B2434" s="2">
        <f ca="1"/>
        <v>0.85854212616697811</v>
      </c>
      <c r="O2434" s="2">
        <f ca="1"/>
        <v>1.3497033924506114</v>
      </c>
      <c r="X2434" s="2">
        <f ca="1"/>
        <v>31.480231006697458</v>
      </c>
      <c r="AG2434" s="2">
        <f ca="1"/>
        <v>0.36647541628700542</v>
      </c>
      <c r="AH2434" s="2" t="str">
        <f ca="1"/>
        <v>OK</v>
      </c>
    </row>
    <row r="2435" spans="2:34" x14ac:dyDescent="0.2">
      <c r="B2435" s="2">
        <f ca="1"/>
        <v>9.2409556994904385E-2</v>
      </c>
      <c r="O2435" s="2">
        <f ca="1"/>
        <v>0.76668611424973687</v>
      </c>
      <c r="X2435" s="2">
        <f ca="1"/>
        <v>51.34147884534287</v>
      </c>
      <c r="AG2435" s="2">
        <f ca="1"/>
        <v>0.61000197436285086</v>
      </c>
      <c r="AH2435" s="2" t="str">
        <f ca="1"/>
        <v>Bad</v>
      </c>
    </row>
    <row r="2436" spans="2:34" x14ac:dyDescent="0.2">
      <c r="B2436" s="2">
        <f ca="1"/>
        <v>0.20839841179038365</v>
      </c>
      <c r="O2436" s="2">
        <f ca="1"/>
        <v>1.9631313791158818</v>
      </c>
      <c r="X2436" s="2">
        <f ca="1"/>
        <v>40.385768770876069</v>
      </c>
      <c r="AG2436" s="2">
        <f ca="1"/>
        <v>0.49086466230796022</v>
      </c>
      <c r="AH2436" s="2" t="str">
        <f ca="1"/>
        <v>Bad</v>
      </c>
    </row>
    <row r="2437" spans="2:34" x14ac:dyDescent="0.2">
      <c r="B2437" s="2">
        <f ca="1"/>
        <v>0.26991358522844355</v>
      </c>
      <c r="O2437" s="2">
        <f ca="1"/>
        <v>0.80265239678464295</v>
      </c>
      <c r="X2437" s="2">
        <f ca="1"/>
        <v>42.631165861255944</v>
      </c>
      <c r="AG2437" s="2">
        <f ca="1"/>
        <v>0.32735526234595502</v>
      </c>
      <c r="AH2437" s="2" t="str">
        <f ca="1"/>
        <v>OK</v>
      </c>
    </row>
    <row r="2438" spans="2:34" x14ac:dyDescent="0.2">
      <c r="B2438" s="2">
        <f ca="1"/>
        <v>0.70545722341625661</v>
      </c>
      <c r="O2438" s="2">
        <f ca="1"/>
        <v>-0.49048022468375729</v>
      </c>
      <c r="X2438" s="2">
        <f ca="1"/>
        <v>27.471078458505968</v>
      </c>
      <c r="AG2438" s="2">
        <f ca="1"/>
        <v>0.11314894937450437</v>
      </c>
      <c r="AH2438" s="2" t="str">
        <f ca="1"/>
        <v>OK</v>
      </c>
    </row>
    <row r="2439" spans="2:34" x14ac:dyDescent="0.2">
      <c r="B2439" s="2">
        <f ca="1"/>
        <v>0.92152155811192116</v>
      </c>
      <c r="O2439" s="2">
        <f ca="1"/>
        <v>0.21056922575973047</v>
      </c>
      <c r="X2439" s="2">
        <f ca="1"/>
        <v>30.757546139218846</v>
      </c>
      <c r="AG2439" s="2">
        <f ca="1"/>
        <v>4.4782394563313677E-2</v>
      </c>
      <c r="AH2439" s="2" t="str">
        <f ca="1"/>
        <v>Good</v>
      </c>
    </row>
    <row r="2440" spans="2:34" x14ac:dyDescent="0.2">
      <c r="B2440" s="2">
        <f ca="1"/>
        <v>0.74588671162808007</v>
      </c>
      <c r="O2440" s="2">
        <f ca="1"/>
        <v>-2.0199241704519988</v>
      </c>
      <c r="X2440" s="2">
        <f ca="1"/>
        <v>32.252082020574171</v>
      </c>
      <c r="AG2440" s="2">
        <f ca="1"/>
        <v>0.92312762900982004</v>
      </c>
      <c r="AH2440" s="2" t="str">
        <f ca="1"/>
        <v>Bad</v>
      </c>
    </row>
    <row r="2441" spans="2:34" x14ac:dyDescent="0.2">
      <c r="B2441" s="2">
        <f ca="1"/>
        <v>0.66162245558695276</v>
      </c>
      <c r="O2441" s="2">
        <f ca="1"/>
        <v>0.54739847894530536</v>
      </c>
      <c r="X2441" s="2">
        <f ca="1"/>
        <v>27.81755878012742</v>
      </c>
      <c r="AG2441" s="2">
        <f ca="1"/>
        <v>0.92635717767958359</v>
      </c>
      <c r="AH2441" s="2" t="str">
        <f ca="1"/>
        <v>Bad</v>
      </c>
    </row>
    <row r="2442" spans="2:34" x14ac:dyDescent="0.2">
      <c r="B2442" s="2">
        <f ca="1"/>
        <v>0.87657497603442813</v>
      </c>
      <c r="O2442" s="2">
        <f ca="1"/>
        <v>-0.69448723223000097</v>
      </c>
      <c r="X2442" s="2">
        <f ca="1"/>
        <v>61.158576790802705</v>
      </c>
      <c r="AG2442" s="2">
        <f ca="1"/>
        <v>0.97969771661847083</v>
      </c>
      <c r="AH2442" s="2" t="str">
        <f ca="1"/>
        <v>Bad</v>
      </c>
    </row>
    <row r="2443" spans="2:34" x14ac:dyDescent="0.2">
      <c r="B2443" s="2">
        <f ca="1"/>
        <v>0.76787899319568864</v>
      </c>
      <c r="O2443" s="2">
        <f ca="1"/>
        <v>-1.024781230697922</v>
      </c>
      <c r="X2443" s="2">
        <f ca="1"/>
        <v>50.59789054432531</v>
      </c>
      <c r="AG2443" s="2">
        <f ca="1"/>
        <v>0.83220954553122883</v>
      </c>
      <c r="AH2443" s="2" t="str">
        <f ca="1"/>
        <v>Bad</v>
      </c>
    </row>
    <row r="2444" spans="2:34" x14ac:dyDescent="0.2">
      <c r="B2444" s="2">
        <f ca="1"/>
        <v>0.89898451310059024</v>
      </c>
      <c r="O2444" s="2">
        <f ca="1"/>
        <v>-0.75911136376806232</v>
      </c>
      <c r="X2444" s="2">
        <f ca="1"/>
        <v>40.895700277813596</v>
      </c>
      <c r="AG2444" s="2">
        <f ca="1"/>
        <v>9.5804355208659819E-2</v>
      </c>
      <c r="AH2444" s="2" t="str">
        <f ca="1"/>
        <v>OK</v>
      </c>
    </row>
    <row r="2445" spans="2:34" x14ac:dyDescent="0.2">
      <c r="B2445" s="2">
        <f ca="1"/>
        <v>0.5948682407282806</v>
      </c>
      <c r="O2445" s="2">
        <f ca="1"/>
        <v>1.1812419933176741</v>
      </c>
      <c r="X2445" s="2">
        <f ca="1"/>
        <v>41.271807587610667</v>
      </c>
      <c r="AG2445" s="2">
        <f ca="1"/>
        <v>0.83747534775465704</v>
      </c>
      <c r="AH2445" s="2" t="str">
        <f ca="1"/>
        <v>Bad</v>
      </c>
    </row>
    <row r="2446" spans="2:34" x14ac:dyDescent="0.2">
      <c r="B2446" s="2">
        <f ca="1"/>
        <v>0.6185992804373428</v>
      </c>
      <c r="O2446" s="2">
        <f ca="1"/>
        <v>1.244235368160292</v>
      </c>
      <c r="X2446" s="2">
        <f ca="1"/>
        <v>38.033777612248002</v>
      </c>
      <c r="AG2446" s="2">
        <f ca="1"/>
        <v>0.90009647822878214</v>
      </c>
      <c r="AH2446" s="2" t="str">
        <f ca="1"/>
        <v>Bad</v>
      </c>
    </row>
    <row r="2447" spans="2:34" x14ac:dyDescent="0.2">
      <c r="B2447" s="2">
        <f ca="1"/>
        <v>0.22698366927123925</v>
      </c>
      <c r="O2447" s="2">
        <f ca="1"/>
        <v>-0.5153813197198569</v>
      </c>
      <c r="X2447" s="2">
        <f ca="1"/>
        <v>45.286488702397712</v>
      </c>
      <c r="AG2447" s="2">
        <f ca="1"/>
        <v>0.11837490528253425</v>
      </c>
      <c r="AH2447" s="2" t="str">
        <f ca="1"/>
        <v>OK</v>
      </c>
    </row>
    <row r="2448" spans="2:34" x14ac:dyDescent="0.2">
      <c r="B2448" s="2">
        <f ca="1"/>
        <v>0.45852299931445639</v>
      </c>
      <c r="O2448" s="2">
        <f ca="1"/>
        <v>-0.78249801437784838</v>
      </c>
      <c r="X2448" s="2">
        <f ca="1"/>
        <v>39.980070727045401</v>
      </c>
      <c r="AG2448" s="2">
        <f ca="1"/>
        <v>0.8123681601372521</v>
      </c>
      <c r="AH2448" s="2" t="str">
        <f ca="1"/>
        <v>Bad</v>
      </c>
    </row>
    <row r="2449" spans="2:34" x14ac:dyDescent="0.2">
      <c r="B2449" s="2">
        <f ca="1"/>
        <v>0.30966878111751228</v>
      </c>
      <c r="O2449" s="2">
        <f ca="1"/>
        <v>1.6738207342988594</v>
      </c>
      <c r="X2449" s="2">
        <f ca="1"/>
        <v>54.144080439765332</v>
      </c>
      <c r="AG2449" s="2">
        <f ca="1"/>
        <v>3.2534140965690295E-2</v>
      </c>
      <c r="AH2449" s="2" t="str">
        <f ca="1"/>
        <v>Good</v>
      </c>
    </row>
    <row r="2450" spans="2:34" x14ac:dyDescent="0.2">
      <c r="B2450" s="2">
        <f ca="1"/>
        <v>0.40472466851789202</v>
      </c>
      <c r="O2450" s="2">
        <f ca="1"/>
        <v>0.82594355746742132</v>
      </c>
      <c r="X2450" s="2">
        <f ca="1"/>
        <v>57.929181463008504</v>
      </c>
      <c r="AG2450" s="2">
        <f ca="1"/>
        <v>0.94900890432880236</v>
      </c>
      <c r="AH2450" s="2" t="str">
        <f ca="1"/>
        <v>Bad</v>
      </c>
    </row>
    <row r="2451" spans="2:34" x14ac:dyDescent="0.2">
      <c r="B2451" s="2">
        <f ca="1"/>
        <v>0.56536351682090458</v>
      </c>
      <c r="O2451" s="2">
        <f ca="1"/>
        <v>-0.53456137623390565</v>
      </c>
      <c r="X2451" s="2">
        <f ca="1"/>
        <v>61.734870130279276</v>
      </c>
      <c r="AG2451" s="2">
        <f ca="1"/>
        <v>0.79813485427597586</v>
      </c>
      <c r="AH2451" s="2" t="str">
        <f ca="1"/>
        <v>Bad</v>
      </c>
    </row>
    <row r="2452" spans="2:34" x14ac:dyDescent="0.2">
      <c r="B2452" s="2">
        <f ca="1"/>
        <v>7.9611825549808612E-2</v>
      </c>
      <c r="O2452" s="2">
        <f ca="1"/>
        <v>-0.98720030339962672</v>
      </c>
      <c r="X2452" s="2">
        <f ca="1"/>
        <v>48.803083514778791</v>
      </c>
      <c r="AG2452" s="2">
        <f ca="1"/>
        <v>0.3683370462717932</v>
      </c>
      <c r="AH2452" s="2" t="str">
        <f ca="1"/>
        <v>OK</v>
      </c>
    </row>
    <row r="2453" spans="2:34" x14ac:dyDescent="0.2">
      <c r="B2453" s="2">
        <f ca="1"/>
        <v>0.98917415410675757</v>
      </c>
      <c r="O2453" s="2">
        <f ca="1"/>
        <v>0.6345814074417736</v>
      </c>
      <c r="X2453" s="2">
        <f ca="1"/>
        <v>44.147934304355658</v>
      </c>
      <c r="AG2453" s="2">
        <f ca="1"/>
        <v>0.84962196747590357</v>
      </c>
      <c r="AH2453" s="2" t="str">
        <f ca="1"/>
        <v>Bad</v>
      </c>
    </row>
    <row r="2454" spans="2:34" x14ac:dyDescent="0.2">
      <c r="B2454" s="2">
        <f ca="1"/>
        <v>0.58410572123620441</v>
      </c>
      <c r="O2454" s="2">
        <f ca="1"/>
        <v>0.60781601337342794</v>
      </c>
      <c r="X2454" s="2">
        <f ca="1"/>
        <v>41.19611141274666</v>
      </c>
      <c r="AG2454" s="2">
        <f ca="1"/>
        <v>0.40335170396964748</v>
      </c>
      <c r="AH2454" s="2" t="str">
        <f ca="1"/>
        <v>Bad</v>
      </c>
    </row>
    <row r="2455" spans="2:34" x14ac:dyDescent="0.2">
      <c r="B2455" s="2">
        <f ca="1"/>
        <v>0.66573144537903861</v>
      </c>
      <c r="O2455" s="2">
        <f ca="1"/>
        <v>0.62396108869786349</v>
      </c>
      <c r="X2455" s="2">
        <f ca="1"/>
        <v>49.860782982899686</v>
      </c>
      <c r="AG2455" s="2">
        <f ca="1"/>
        <v>0.84890840136139811</v>
      </c>
      <c r="AH2455" s="2" t="str">
        <f ca="1"/>
        <v>Bad</v>
      </c>
    </row>
    <row r="2456" spans="2:34" x14ac:dyDescent="0.2">
      <c r="B2456" s="2">
        <f ca="1"/>
        <v>0.58877105327867585</v>
      </c>
      <c r="O2456" s="2">
        <f ca="1"/>
        <v>-0.68547881807879407</v>
      </c>
      <c r="X2456" s="2">
        <f ca="1"/>
        <v>37.4093665982262</v>
      </c>
      <c r="AG2456" s="2">
        <f ca="1"/>
        <v>0.79805959750954858</v>
      </c>
      <c r="AH2456" s="2" t="str">
        <f ca="1"/>
        <v>Bad</v>
      </c>
    </row>
    <row r="2457" spans="2:34" x14ac:dyDescent="0.2">
      <c r="B2457" s="2">
        <f ca="1"/>
        <v>0.57741518642446499</v>
      </c>
      <c r="O2457" s="2">
        <f ca="1"/>
        <v>0.78590262701835356</v>
      </c>
      <c r="X2457" s="2">
        <f ca="1"/>
        <v>57.320439589398063</v>
      </c>
      <c r="AG2457" s="2">
        <f ca="1"/>
        <v>0.2737564584801957</v>
      </c>
      <c r="AH2457" s="2" t="str">
        <f ca="1"/>
        <v>OK</v>
      </c>
    </row>
    <row r="2458" spans="2:34" x14ac:dyDescent="0.2">
      <c r="B2458" s="2">
        <f ca="1"/>
        <v>0.21318727344207011</v>
      </c>
      <c r="O2458" s="2">
        <f ca="1"/>
        <v>1.2058207991898737</v>
      </c>
      <c r="X2458" s="2">
        <f ca="1"/>
        <v>41.270773239644647</v>
      </c>
      <c r="AG2458" s="2">
        <f ca="1"/>
        <v>0.81086610228351153</v>
      </c>
      <c r="AH2458" s="2" t="str">
        <f ca="1"/>
        <v>Bad</v>
      </c>
    </row>
    <row r="2459" spans="2:34" x14ac:dyDescent="0.2">
      <c r="B2459" s="2">
        <f ca="1"/>
        <v>0.2431468888444055</v>
      </c>
      <c r="O2459" s="2">
        <f ca="1"/>
        <v>0.82015017661798018</v>
      </c>
      <c r="X2459" s="2">
        <f ca="1"/>
        <v>63.666911783329112</v>
      </c>
      <c r="AG2459" s="2">
        <f ca="1"/>
        <v>0.24785643208863539</v>
      </c>
      <c r="AH2459" s="2" t="str">
        <f ca="1"/>
        <v>OK</v>
      </c>
    </row>
    <row r="2460" spans="2:34" x14ac:dyDescent="0.2">
      <c r="B2460" s="2">
        <f ca="1"/>
        <v>0.24098063456920604</v>
      </c>
      <c r="O2460" s="2">
        <f ca="1"/>
        <v>0.47201808124613603</v>
      </c>
      <c r="X2460" s="2">
        <f ca="1"/>
        <v>46.837634112905249</v>
      </c>
      <c r="AG2460" s="2">
        <f ca="1"/>
        <v>0.36825443292536053</v>
      </c>
      <c r="AH2460" s="2" t="str">
        <f ca="1"/>
        <v>OK</v>
      </c>
    </row>
    <row r="2461" spans="2:34" x14ac:dyDescent="0.2">
      <c r="B2461" s="2">
        <f ca="1"/>
        <v>0.70828305051705054</v>
      </c>
      <c r="O2461" s="2">
        <f ca="1"/>
        <v>-0.81485754276030664</v>
      </c>
      <c r="X2461" s="2">
        <f ca="1"/>
        <v>39.631310881300209</v>
      </c>
      <c r="AG2461" s="2">
        <f ca="1"/>
        <v>1.5215565170144441E-2</v>
      </c>
      <c r="AH2461" s="2" t="str">
        <f ca="1"/>
        <v>Good</v>
      </c>
    </row>
    <row r="2462" spans="2:34" x14ac:dyDescent="0.2">
      <c r="B2462" s="2">
        <f ca="1"/>
        <v>0.35035391380354586</v>
      </c>
      <c r="O2462" s="2">
        <f ca="1"/>
        <v>-8.9764710772207407E-2</v>
      </c>
      <c r="X2462" s="2">
        <f ca="1"/>
        <v>42.777278650014878</v>
      </c>
      <c r="AG2462" s="2">
        <f ca="1"/>
        <v>0.5635644139209206</v>
      </c>
      <c r="AH2462" s="2" t="str">
        <f ca="1"/>
        <v>Bad</v>
      </c>
    </row>
    <row r="2463" spans="2:34" x14ac:dyDescent="0.2">
      <c r="B2463" s="2">
        <f ca="1"/>
        <v>0.8050506286132848</v>
      </c>
      <c r="O2463" s="2">
        <f ca="1"/>
        <v>-0.54630381347813628</v>
      </c>
      <c r="X2463" s="2">
        <f ca="1"/>
        <v>36.905238024069142</v>
      </c>
      <c r="AG2463" s="2">
        <f ca="1"/>
        <v>0.64259809745474628</v>
      </c>
      <c r="AH2463" s="2" t="str">
        <f ca="1"/>
        <v>Bad</v>
      </c>
    </row>
    <row r="2464" spans="2:34" x14ac:dyDescent="0.2">
      <c r="B2464" s="2">
        <f ca="1"/>
        <v>0.14077737919686406</v>
      </c>
      <c r="O2464" s="2">
        <f ca="1"/>
        <v>1.6098950078625121</v>
      </c>
      <c r="X2464" s="2">
        <f ca="1"/>
        <v>47.324687097928091</v>
      </c>
      <c r="AG2464" s="2">
        <f ca="1"/>
        <v>0.68205784578209361</v>
      </c>
      <c r="AH2464" s="2" t="str">
        <f ca="1"/>
        <v>Bad</v>
      </c>
    </row>
    <row r="2465" spans="2:34" x14ac:dyDescent="0.2">
      <c r="B2465" s="2">
        <f ca="1"/>
        <v>0.94988423161838398</v>
      </c>
      <c r="O2465" s="2">
        <f ca="1"/>
        <v>-1.6715428024173438</v>
      </c>
      <c r="X2465" s="2">
        <f ca="1"/>
        <v>53.938584782677509</v>
      </c>
      <c r="AG2465" s="2">
        <f ca="1"/>
        <v>0.67881670580381992</v>
      </c>
      <c r="AH2465" s="2" t="str">
        <f ca="1"/>
        <v>Bad</v>
      </c>
    </row>
    <row r="2466" spans="2:34" x14ac:dyDescent="0.2">
      <c r="B2466" s="2">
        <f ca="1"/>
        <v>0.65603545911834149</v>
      </c>
      <c r="O2466" s="2">
        <f ca="1"/>
        <v>-8.029827645765801E-2</v>
      </c>
      <c r="X2466" s="2">
        <f ca="1"/>
        <v>38.165922211117717</v>
      </c>
      <c r="AG2466" s="2">
        <f ca="1"/>
        <v>0.49074140447004533</v>
      </c>
      <c r="AH2466" s="2" t="str">
        <f ca="1"/>
        <v>Bad</v>
      </c>
    </row>
    <row r="2467" spans="2:34" x14ac:dyDescent="0.2">
      <c r="B2467" s="2">
        <f ca="1"/>
        <v>7.4834981813005852E-2</v>
      </c>
      <c r="O2467" s="2">
        <f ca="1"/>
        <v>0.9733922973169209</v>
      </c>
      <c r="X2467" s="2">
        <f ca="1"/>
        <v>27.716164866647937</v>
      </c>
      <c r="AG2467" s="2">
        <f ca="1"/>
        <v>6.2260578173778169E-2</v>
      </c>
      <c r="AH2467" s="2" t="str">
        <f ca="1"/>
        <v>OK</v>
      </c>
    </row>
    <row r="2468" spans="2:34" x14ac:dyDescent="0.2">
      <c r="B2468" s="2">
        <f ca="1"/>
        <v>0.3425019735179915</v>
      </c>
      <c r="O2468" s="2">
        <f ca="1"/>
        <v>-0.99032658673183316</v>
      </c>
      <c r="X2468" s="2">
        <f ca="1"/>
        <v>60.116499162946788</v>
      </c>
      <c r="AG2468" s="2">
        <f ca="1"/>
        <v>0.16140409485120255</v>
      </c>
      <c r="AH2468" s="2" t="str">
        <f ca="1"/>
        <v>OK</v>
      </c>
    </row>
    <row r="2469" spans="2:34" x14ac:dyDescent="0.2">
      <c r="B2469" s="2">
        <f ca="1"/>
        <v>0.91571623354759457</v>
      </c>
      <c r="O2469" s="2">
        <f ca="1"/>
        <v>-0.21950429386656328</v>
      </c>
      <c r="X2469" s="2">
        <f ca="1"/>
        <v>72.130099113205247</v>
      </c>
      <c r="AG2469" s="2">
        <f ca="1"/>
        <v>0.42223388945223239</v>
      </c>
      <c r="AH2469" s="2" t="str">
        <f ca="1"/>
        <v>Bad</v>
      </c>
    </row>
    <row r="2470" spans="2:34" x14ac:dyDescent="0.2">
      <c r="B2470" s="2">
        <f ca="1"/>
        <v>0.97758216276481869</v>
      </c>
      <c r="O2470" s="2">
        <f ca="1"/>
        <v>0.77938420778884832</v>
      </c>
      <c r="X2470" s="2">
        <f ca="1"/>
        <v>30.194780149195672</v>
      </c>
      <c r="AG2470" s="2">
        <f ca="1"/>
        <v>2.8835259317200101E-2</v>
      </c>
      <c r="AH2470" s="2" t="str">
        <f ca="1"/>
        <v>Good</v>
      </c>
    </row>
    <row r="2471" spans="2:34" x14ac:dyDescent="0.2">
      <c r="B2471" s="2">
        <f ca="1"/>
        <v>0.33842271419162939</v>
      </c>
      <c r="O2471" s="2">
        <f ca="1"/>
        <v>-1.1513663435521615</v>
      </c>
      <c r="X2471" s="2">
        <f ca="1"/>
        <v>50.654408778167436</v>
      </c>
      <c r="AG2471" s="2">
        <f ca="1"/>
        <v>0.32540132261937948</v>
      </c>
      <c r="AH2471" s="2" t="str">
        <f ca="1"/>
        <v>OK</v>
      </c>
    </row>
    <row r="2472" spans="2:34" x14ac:dyDescent="0.2">
      <c r="B2472" s="2">
        <f ca="1"/>
        <v>0.32250065950247087</v>
      </c>
      <c r="O2472" s="2">
        <f ca="1"/>
        <v>-0.1089433027947546</v>
      </c>
      <c r="X2472" s="2">
        <f ca="1"/>
        <v>61.852006284635983</v>
      </c>
      <c r="AG2472" s="2">
        <f ca="1"/>
        <v>0.33319255545310744</v>
      </c>
      <c r="AH2472" s="2" t="str">
        <f ca="1"/>
        <v>OK</v>
      </c>
    </row>
    <row r="2473" spans="2:34" x14ac:dyDescent="0.2">
      <c r="B2473" s="2">
        <f ca="1"/>
        <v>0.85398712961473988</v>
      </c>
      <c r="O2473" s="2">
        <f ca="1"/>
        <v>0.44579319351932678</v>
      </c>
      <c r="X2473" s="2">
        <f ca="1"/>
        <v>44.865803162391806</v>
      </c>
      <c r="AG2473" s="2">
        <f ca="1"/>
        <v>0.20175724206890244</v>
      </c>
      <c r="AH2473" s="2" t="str">
        <f ca="1"/>
        <v>OK</v>
      </c>
    </row>
    <row r="2474" spans="2:34" x14ac:dyDescent="0.2">
      <c r="B2474" s="2">
        <f ca="1"/>
        <v>4.6214449982885153E-2</v>
      </c>
      <c r="O2474" s="2">
        <f ca="1"/>
        <v>0.60332690402472977</v>
      </c>
      <c r="X2474" s="2">
        <f ca="1"/>
        <v>30.970655906458955</v>
      </c>
      <c r="AG2474" s="2">
        <f ca="1"/>
        <v>0.45812127027443728</v>
      </c>
      <c r="AH2474" s="2" t="str">
        <f ca="1"/>
        <v>Bad</v>
      </c>
    </row>
    <row r="2475" spans="2:34" x14ac:dyDescent="0.2">
      <c r="B2475" s="2">
        <f ca="1"/>
        <v>0.16181686535598883</v>
      </c>
      <c r="O2475" s="2">
        <f ca="1"/>
        <v>-1.049319900715896</v>
      </c>
      <c r="X2475" s="2">
        <f ca="1"/>
        <v>71.924100629698842</v>
      </c>
      <c r="AG2475" s="2">
        <f ca="1"/>
        <v>0.61136841810189324</v>
      </c>
      <c r="AH2475" s="2" t="str">
        <f ca="1"/>
        <v>Bad</v>
      </c>
    </row>
    <row r="2476" spans="2:34" x14ac:dyDescent="0.2">
      <c r="B2476" s="2">
        <f ca="1"/>
        <v>0.36477236856278572</v>
      </c>
      <c r="O2476" s="2">
        <f ca="1"/>
        <v>1.5740957226826431</v>
      </c>
      <c r="X2476" s="2">
        <f ca="1"/>
        <v>83.596564459265096</v>
      </c>
      <c r="AG2476" s="2">
        <f ca="1"/>
        <v>0.64079051514928742</v>
      </c>
      <c r="AH2476" s="2" t="str">
        <f ca="1"/>
        <v>Bad</v>
      </c>
    </row>
    <row r="2477" spans="2:34" x14ac:dyDescent="0.2">
      <c r="B2477" s="2">
        <f ca="1"/>
        <v>0.78130659469375541</v>
      </c>
      <c r="O2477" s="2">
        <f ca="1"/>
        <v>-1.010012122318225</v>
      </c>
      <c r="X2477" s="2">
        <f ca="1"/>
        <v>58.767186424949344</v>
      </c>
      <c r="AG2477" s="2">
        <f ca="1"/>
        <v>0.92600207966124426</v>
      </c>
      <c r="AH2477" s="2" t="str">
        <f ca="1"/>
        <v>Bad</v>
      </c>
    </row>
    <row r="2478" spans="2:34" x14ac:dyDescent="0.2">
      <c r="B2478" s="2">
        <f ca="1"/>
        <v>0.15855640590741915</v>
      </c>
      <c r="O2478" s="2">
        <f ca="1"/>
        <v>1.2595295156613902</v>
      </c>
      <c r="X2478" s="2">
        <f ca="1"/>
        <v>44.633818584146411</v>
      </c>
      <c r="AG2478" s="2">
        <f ca="1"/>
        <v>0.27333051320383039</v>
      </c>
      <c r="AH2478" s="2" t="str">
        <f ca="1"/>
        <v>OK</v>
      </c>
    </row>
    <row r="2479" spans="2:34" x14ac:dyDescent="0.2">
      <c r="B2479" s="2">
        <f ca="1"/>
        <v>0.43655836706553286</v>
      </c>
      <c r="O2479" s="2">
        <f ca="1"/>
        <v>1.3323333029835751</v>
      </c>
      <c r="X2479" s="2">
        <f ca="1"/>
        <v>73.380633431521204</v>
      </c>
      <c r="AG2479" s="2">
        <f ca="1"/>
        <v>0.8599190741886491</v>
      </c>
      <c r="AH2479" s="2" t="str">
        <f ca="1"/>
        <v>Bad</v>
      </c>
    </row>
    <row r="2480" spans="2:34" x14ac:dyDescent="0.2">
      <c r="B2480" s="2">
        <f ca="1"/>
        <v>1.5021417229022616E-2</v>
      </c>
      <c r="O2480" s="2">
        <f ca="1"/>
        <v>0.24013068059495862</v>
      </c>
      <c r="X2480" s="2">
        <f ca="1"/>
        <v>70.40340448710306</v>
      </c>
      <c r="AG2480" s="2">
        <f ca="1"/>
        <v>0.56253522153974878</v>
      </c>
      <c r="AH2480" s="2" t="str">
        <f ca="1"/>
        <v>Bad</v>
      </c>
    </row>
    <row r="2481" spans="2:34" x14ac:dyDescent="0.2">
      <c r="B2481" s="2">
        <f ca="1"/>
        <v>0.82701616755649732</v>
      </c>
      <c r="O2481" s="2">
        <f ca="1"/>
        <v>-1.038435376282884</v>
      </c>
      <c r="X2481" s="2">
        <f ca="1"/>
        <v>46.513396207851592</v>
      </c>
      <c r="AG2481" s="2">
        <f ca="1"/>
        <v>0.85658483515629746</v>
      </c>
      <c r="AH2481" s="2" t="str">
        <f ca="1"/>
        <v>Bad</v>
      </c>
    </row>
    <row r="2482" spans="2:34" x14ac:dyDescent="0.2">
      <c r="B2482" s="2">
        <f ca="1"/>
        <v>0.79616013754537795</v>
      </c>
      <c r="O2482" s="2">
        <f ca="1"/>
        <v>2.0037524969327589</v>
      </c>
      <c r="X2482" s="2">
        <f ca="1"/>
        <v>41.805369331495832</v>
      </c>
      <c r="AG2482" s="2">
        <f ca="1"/>
        <v>0.94799820370880927</v>
      </c>
      <c r="AH2482" s="2" t="str">
        <f ca="1"/>
        <v>Bad</v>
      </c>
    </row>
    <row r="2483" spans="2:34" x14ac:dyDescent="0.2">
      <c r="B2483" s="2">
        <f ca="1"/>
        <v>0.85733124112909587</v>
      </c>
      <c r="O2483" s="2">
        <f ca="1"/>
        <v>-0.9625582338220452</v>
      </c>
      <c r="X2483" s="2">
        <f ca="1"/>
        <v>45.200725024649124</v>
      </c>
      <c r="AG2483" s="2">
        <f ca="1"/>
        <v>0.79482440390574616</v>
      </c>
      <c r="AH2483" s="2" t="str">
        <f ca="1"/>
        <v>Bad</v>
      </c>
    </row>
    <row r="2484" spans="2:34" x14ac:dyDescent="0.2">
      <c r="B2484" s="2">
        <f ca="1"/>
        <v>0.19315296178134278</v>
      </c>
      <c r="O2484" s="2">
        <f ca="1"/>
        <v>0.9183181161168108</v>
      </c>
      <c r="X2484" s="2">
        <f ca="1"/>
        <v>42.630446764679952</v>
      </c>
      <c r="AG2484" s="2">
        <f ca="1"/>
        <v>0.71331309011953237</v>
      </c>
      <c r="AH2484" s="2" t="str">
        <f ca="1"/>
        <v>Bad</v>
      </c>
    </row>
    <row r="2485" spans="2:34" x14ac:dyDescent="0.2">
      <c r="B2485" s="2">
        <f ca="1"/>
        <v>0.50779683913900442</v>
      </c>
      <c r="O2485" s="2">
        <f ca="1"/>
        <v>0.88394908996270471</v>
      </c>
      <c r="X2485" s="2">
        <f ca="1"/>
        <v>45.099298214779978</v>
      </c>
      <c r="AG2485" s="2">
        <f ca="1"/>
        <v>0.95423048706003599</v>
      </c>
      <c r="AH2485" s="2" t="str">
        <f ca="1"/>
        <v>Bad</v>
      </c>
    </row>
    <row r="2486" spans="2:34" x14ac:dyDescent="0.2">
      <c r="B2486" s="2">
        <f ca="1"/>
        <v>0.21743804147312629</v>
      </c>
      <c r="O2486" s="2">
        <f ca="1"/>
        <v>0.40161154400673693</v>
      </c>
      <c r="X2486" s="2">
        <f ca="1"/>
        <v>49.300857095235372</v>
      </c>
      <c r="AG2486" s="2">
        <f ca="1"/>
        <v>0.53237086588836435</v>
      </c>
      <c r="AH2486" s="2" t="str">
        <f ca="1"/>
        <v>Bad</v>
      </c>
    </row>
    <row r="2487" spans="2:34" x14ac:dyDescent="0.2">
      <c r="B2487" s="2">
        <f ca="1"/>
        <v>5.2910639592969044E-3</v>
      </c>
      <c r="O2487" s="2">
        <f ca="1"/>
        <v>1.508367781511214</v>
      </c>
      <c r="X2487" s="2">
        <f ca="1"/>
        <v>46.110558799725084</v>
      </c>
      <c r="AG2487" s="2">
        <f ca="1"/>
        <v>0.54637524789743486</v>
      </c>
      <c r="AH2487" s="2" t="str">
        <f ca="1"/>
        <v>Bad</v>
      </c>
    </row>
    <row r="2488" spans="2:34" x14ac:dyDescent="0.2">
      <c r="B2488" s="2">
        <f ca="1"/>
        <v>0.91463240896375964</v>
      </c>
      <c r="O2488" s="2">
        <f ca="1"/>
        <v>0.36269894764746885</v>
      </c>
      <c r="X2488" s="2">
        <f ca="1"/>
        <v>47.28050115248984</v>
      </c>
      <c r="AG2488" s="2">
        <f ca="1"/>
        <v>3.5748767092273148E-2</v>
      </c>
      <c r="AH2488" s="2" t="str">
        <f ca="1"/>
        <v>Good</v>
      </c>
    </row>
    <row r="2489" spans="2:34" x14ac:dyDescent="0.2">
      <c r="B2489" s="2">
        <f ca="1"/>
        <v>0.40550882417119194</v>
      </c>
      <c r="O2489" s="2">
        <f ca="1"/>
        <v>-0.20175266509535025</v>
      </c>
      <c r="X2489" s="2">
        <f ca="1"/>
        <v>47.647928129414382</v>
      </c>
      <c r="AG2489" s="2">
        <f ca="1"/>
        <v>0.4121671409098604</v>
      </c>
      <c r="AH2489" s="2" t="str">
        <f ca="1"/>
        <v>Bad</v>
      </c>
    </row>
    <row r="2490" spans="2:34" x14ac:dyDescent="0.2">
      <c r="B2490" s="2">
        <f ca="1"/>
        <v>1.5206338492818938E-2</v>
      </c>
      <c r="O2490" s="2">
        <f ca="1"/>
        <v>0.1302410782215136</v>
      </c>
      <c r="X2490" s="2">
        <f ca="1"/>
        <v>39.506557523268469</v>
      </c>
      <c r="AG2490" s="2">
        <f ca="1"/>
        <v>0.35005515393153397</v>
      </c>
      <c r="AH2490" s="2" t="str">
        <f ca="1"/>
        <v>OK</v>
      </c>
    </row>
    <row r="2491" spans="2:34" x14ac:dyDescent="0.2">
      <c r="B2491" s="2">
        <f ca="1"/>
        <v>0.43176548479308119</v>
      </c>
      <c r="O2491" s="2">
        <f ca="1"/>
        <v>1.5537618445628485</v>
      </c>
      <c r="X2491" s="2">
        <f ca="1"/>
        <v>54.140208362603914</v>
      </c>
      <c r="AG2491" s="2">
        <f ca="1"/>
        <v>0.43867124470941077</v>
      </c>
      <c r="AH2491" s="2" t="str">
        <f ca="1"/>
        <v>Bad</v>
      </c>
    </row>
    <row r="2492" spans="2:34" x14ac:dyDescent="0.2">
      <c r="B2492" s="2">
        <f ca="1"/>
        <v>0.85829826764622341</v>
      </c>
      <c r="O2492" s="2">
        <f ca="1"/>
        <v>0.88578472577128087</v>
      </c>
      <c r="X2492" s="2">
        <f ca="1"/>
        <v>65.443540566861813</v>
      </c>
      <c r="AG2492" s="2">
        <f ca="1"/>
        <v>0.81349751753035471</v>
      </c>
      <c r="AH2492" s="2" t="str">
        <f ca="1"/>
        <v>Bad</v>
      </c>
    </row>
    <row r="2493" spans="2:34" x14ac:dyDescent="0.2">
      <c r="B2493" s="2">
        <f ca="1"/>
        <v>0.95368212069577352</v>
      </c>
      <c r="O2493" s="2">
        <f ca="1"/>
        <v>-3.2559621556294126E-2</v>
      </c>
      <c r="X2493" s="2">
        <f ca="1"/>
        <v>40.596788056174866</v>
      </c>
      <c r="AG2493" s="2">
        <f ca="1"/>
        <v>0.12193995208672814</v>
      </c>
      <c r="AH2493" s="2" t="str">
        <f ca="1"/>
        <v>OK</v>
      </c>
    </row>
    <row r="2494" spans="2:34" x14ac:dyDescent="0.2">
      <c r="B2494" s="2">
        <f ca="1"/>
        <v>6.8591243834518645E-2</v>
      </c>
      <c r="O2494" s="2">
        <f ca="1"/>
        <v>-1.0904572202763827</v>
      </c>
      <c r="X2494" s="2">
        <f ca="1"/>
        <v>47.1581275546977</v>
      </c>
      <c r="AG2494" s="2">
        <f ca="1"/>
        <v>0.66910102940702387</v>
      </c>
      <c r="AH2494" s="2" t="str">
        <f ca="1"/>
        <v>Bad</v>
      </c>
    </row>
    <row r="2495" spans="2:34" x14ac:dyDescent="0.2">
      <c r="B2495" s="2">
        <f ca="1"/>
        <v>0.49566672573777537</v>
      </c>
      <c r="O2495" s="2">
        <f ca="1"/>
        <v>0.65056069825991503</v>
      </c>
      <c r="X2495" s="2">
        <f ca="1"/>
        <v>20.098426290656789</v>
      </c>
      <c r="AG2495" s="2">
        <f ca="1"/>
        <v>0.40189245256801276</v>
      </c>
      <c r="AH2495" s="2" t="str">
        <f ca="1"/>
        <v>Bad</v>
      </c>
    </row>
    <row r="2496" spans="2:34" x14ac:dyDescent="0.2">
      <c r="B2496" s="2">
        <f ca="1"/>
        <v>0.27904992571885434</v>
      </c>
      <c r="O2496" s="2">
        <f ca="1"/>
        <v>0.14167729982126992</v>
      </c>
      <c r="X2496" s="2">
        <f ca="1"/>
        <v>50.127876747579833</v>
      </c>
      <c r="AG2496" s="2">
        <f ca="1"/>
        <v>3.9730563400194097E-2</v>
      </c>
      <c r="AH2496" s="2" t="str">
        <f ca="1"/>
        <v>Good</v>
      </c>
    </row>
    <row r="2497" spans="2:34" x14ac:dyDescent="0.2">
      <c r="B2497" s="2">
        <f ca="1"/>
        <v>0.45983911242468789</v>
      </c>
      <c r="O2497" s="2">
        <f ca="1"/>
        <v>-0.93958479656127569</v>
      </c>
      <c r="X2497" s="2">
        <f ca="1"/>
        <v>29.751235491371464</v>
      </c>
      <c r="AG2497" s="2">
        <f ca="1"/>
        <v>0.47567247397792656</v>
      </c>
      <c r="AH2497" s="2" t="str">
        <f ca="1"/>
        <v>Bad</v>
      </c>
    </row>
    <row r="2498" spans="2:34" x14ac:dyDescent="0.2">
      <c r="B2498" s="2">
        <f ca="1"/>
        <v>0.82741390452692332</v>
      </c>
      <c r="O2498" s="2">
        <f ca="1"/>
        <v>-1.8948293211250944</v>
      </c>
      <c r="X2498" s="2">
        <f ca="1"/>
        <v>46.683364214591933</v>
      </c>
      <c r="AG2498" s="2">
        <f ca="1"/>
        <v>0.80127147695939316</v>
      </c>
      <c r="AH2498" s="2" t="str">
        <f ca="1"/>
        <v>Bad</v>
      </c>
    </row>
    <row r="2499" spans="2:34" x14ac:dyDescent="0.2">
      <c r="B2499" s="2">
        <f ca="1"/>
        <v>6.1523675621269813E-2</v>
      </c>
      <c r="O2499" s="2">
        <f ca="1"/>
        <v>-1.4285206137234636</v>
      </c>
      <c r="X2499" s="2">
        <f ca="1"/>
        <v>40.779914410671495</v>
      </c>
      <c r="AG2499" s="2">
        <f ca="1"/>
        <v>0.61277088012086089</v>
      </c>
      <c r="AH2499" s="2" t="str">
        <f ca="1"/>
        <v>Bad</v>
      </c>
    </row>
    <row r="2500" spans="2:34" x14ac:dyDescent="0.2">
      <c r="B2500" s="2">
        <f ca="1"/>
        <v>0.13336962763751226</v>
      </c>
      <c r="O2500" s="2">
        <f ca="1"/>
        <v>-0.98204957857939479</v>
      </c>
      <c r="X2500" s="2">
        <f ca="1"/>
        <v>15.629879865469983</v>
      </c>
      <c r="AG2500" s="2">
        <f ca="1"/>
        <v>0.9785499404800424</v>
      </c>
      <c r="AH2500" s="2" t="str">
        <f ca="1"/>
        <v>Bad</v>
      </c>
    </row>
    <row r="2501" spans="2:34" x14ac:dyDescent="0.2">
      <c r="B2501" s="2">
        <f ca="1"/>
        <v>0.93138921565282295</v>
      </c>
      <c r="O2501" s="2">
        <f ca="1"/>
        <v>0.54591496951252438</v>
      </c>
      <c r="X2501" s="2">
        <f ca="1"/>
        <v>59.494626368421066</v>
      </c>
      <c r="AG2501" s="2">
        <f ca="1"/>
        <v>0.45874659863478273</v>
      </c>
      <c r="AH2501" s="2" t="str">
        <f ca="1"/>
        <v>Bad</v>
      </c>
    </row>
    <row r="2502" spans="2:34" x14ac:dyDescent="0.2">
      <c r="B2502" s="2">
        <f ca="1"/>
        <v>0.5102875544698402</v>
      </c>
      <c r="O2502" s="2">
        <f ca="1"/>
        <v>0.68245360115021236</v>
      </c>
      <c r="X2502" s="2">
        <f ca="1"/>
        <v>31.956384210837868</v>
      </c>
      <c r="AG2502" s="2">
        <f ca="1"/>
        <v>0.83300367732094061</v>
      </c>
      <c r="AH2502" s="2" t="str">
        <f ca="1"/>
        <v>Bad</v>
      </c>
    </row>
    <row r="2503" spans="2:34" x14ac:dyDescent="0.2">
      <c r="B2503" s="2">
        <f ca="1"/>
        <v>0.41426927237436106</v>
      </c>
      <c r="O2503" s="2">
        <f ca="1"/>
        <v>0.74008214043580156</v>
      </c>
      <c r="X2503" s="2">
        <f ca="1"/>
        <v>43.272746727683753</v>
      </c>
      <c r="AG2503" s="2">
        <f ca="1"/>
        <v>0.97432370339593133</v>
      </c>
      <c r="AH2503" s="2" t="str">
        <f ca="1"/>
        <v>Bad</v>
      </c>
    </row>
    <row r="2504" spans="2:34" x14ac:dyDescent="0.2">
      <c r="B2504" s="2">
        <f ca="1"/>
        <v>0.52078519379857058</v>
      </c>
      <c r="O2504" s="2">
        <f ca="1"/>
        <v>-0.15114703765337234</v>
      </c>
      <c r="X2504" s="2">
        <f ca="1"/>
        <v>59.51019359562909</v>
      </c>
      <c r="AG2504" s="2">
        <f ca="1"/>
        <v>0.22236933572654327</v>
      </c>
      <c r="AH2504" s="2" t="str">
        <f ca="1"/>
        <v>OK</v>
      </c>
    </row>
    <row r="2505" spans="2:34" x14ac:dyDescent="0.2">
      <c r="B2505" s="2">
        <f ca="1"/>
        <v>0.76662601591628654</v>
      </c>
      <c r="O2505" s="2">
        <f ca="1"/>
        <v>-1.5441022743397084</v>
      </c>
      <c r="X2505" s="2">
        <f ca="1"/>
        <v>41.369747903490826</v>
      </c>
      <c r="AG2505" s="2">
        <f ca="1"/>
        <v>0.401155746119219</v>
      </c>
      <c r="AH2505" s="2" t="str">
        <f ca="1"/>
        <v>Bad</v>
      </c>
    </row>
    <row r="2506" spans="2:34" x14ac:dyDescent="0.2">
      <c r="B2506" s="2">
        <f ca="1"/>
        <v>0.23881015622908208</v>
      </c>
      <c r="O2506" s="2">
        <f ca="1"/>
        <v>-1.1064606005274822</v>
      </c>
      <c r="X2506" s="2">
        <f ca="1"/>
        <v>89.214545116311044</v>
      </c>
      <c r="AG2506" s="2">
        <f ca="1"/>
        <v>0.23510146062948012</v>
      </c>
      <c r="AH2506" s="2" t="str">
        <f ca="1"/>
        <v>OK</v>
      </c>
    </row>
    <row r="2507" spans="2:34" x14ac:dyDescent="0.2">
      <c r="B2507" s="2">
        <f ca="1"/>
        <v>0.54661171866694835</v>
      </c>
      <c r="O2507" s="2">
        <f ca="1"/>
        <v>0.72682494804318643</v>
      </c>
      <c r="X2507" s="2">
        <f ca="1"/>
        <v>56.532789859983353</v>
      </c>
      <c r="AG2507" s="2">
        <f ca="1"/>
        <v>0.97790004742272996</v>
      </c>
      <c r="AH2507" s="2" t="str">
        <f ca="1"/>
        <v>Bad</v>
      </c>
    </row>
    <row r="2508" spans="2:34" x14ac:dyDescent="0.2">
      <c r="B2508" s="2">
        <f ca="1"/>
        <v>0.10761603007019693</v>
      </c>
      <c r="O2508" s="2">
        <f ca="1"/>
        <v>1.049509888665388</v>
      </c>
      <c r="X2508" s="2">
        <f ca="1"/>
        <v>48.189386971405177</v>
      </c>
      <c r="AG2508" s="2">
        <f ca="1"/>
        <v>5.9031566586451145E-2</v>
      </c>
      <c r="AH2508" s="2" t="str">
        <f ca="1"/>
        <v>OK</v>
      </c>
    </row>
    <row r="2509" spans="2:34" x14ac:dyDescent="0.2">
      <c r="B2509" s="2">
        <f ca="1"/>
        <v>0.47433380563190242</v>
      </c>
      <c r="O2509" s="2">
        <f ca="1"/>
        <v>1.0457804265511894</v>
      </c>
      <c r="X2509" s="2">
        <f ca="1"/>
        <v>79.02225537065388</v>
      </c>
      <c r="AG2509" s="2">
        <f ca="1"/>
        <v>0.65904899815967699</v>
      </c>
      <c r="AH2509" s="2" t="str">
        <f ca="1"/>
        <v>Bad</v>
      </c>
    </row>
    <row r="2510" spans="2:34" x14ac:dyDescent="0.2">
      <c r="B2510" s="2">
        <f ca="1"/>
        <v>0.36569476387936817</v>
      </c>
      <c r="O2510" s="2">
        <f ca="1"/>
        <v>1.0290072048238716</v>
      </c>
      <c r="X2510" s="2">
        <f ca="1"/>
        <v>66.765024434061473</v>
      </c>
      <c r="AG2510" s="2">
        <f ca="1"/>
        <v>0.35294521886630381</v>
      </c>
      <c r="AH2510" s="2" t="str">
        <f ca="1"/>
        <v>OK</v>
      </c>
    </row>
    <row r="2511" spans="2:34" x14ac:dyDescent="0.2">
      <c r="B2511" s="2">
        <f ca="1"/>
        <v>0.23974788725627194</v>
      </c>
      <c r="O2511" s="2">
        <f ca="1"/>
        <v>0.32918636282590746</v>
      </c>
      <c r="X2511" s="2">
        <f ca="1"/>
        <v>29.701586440543892</v>
      </c>
      <c r="AG2511" s="2">
        <f ca="1"/>
        <v>0.52971054089679814</v>
      </c>
      <c r="AH2511" s="2" t="str">
        <f ca="1"/>
        <v>Bad</v>
      </c>
    </row>
    <row r="2512" spans="2:34" x14ac:dyDescent="0.2">
      <c r="B2512" s="2">
        <f ca="1"/>
        <v>0.13109592989773677</v>
      </c>
      <c r="O2512" s="2">
        <f ca="1"/>
        <v>-1.5759052048309887</v>
      </c>
      <c r="X2512" s="2">
        <f ca="1"/>
        <v>66.836877996344157</v>
      </c>
      <c r="AG2512" s="2">
        <f ca="1"/>
        <v>0.71594797748674055</v>
      </c>
      <c r="AH2512" s="2" t="str">
        <f ca="1"/>
        <v>Bad</v>
      </c>
    </row>
    <row r="2513" spans="2:34" x14ac:dyDescent="0.2">
      <c r="B2513" s="2">
        <f ca="1"/>
        <v>0.43024659137129184</v>
      </c>
      <c r="O2513" s="2">
        <f ca="1"/>
        <v>-0.91855973826543813</v>
      </c>
      <c r="X2513" s="2">
        <f ca="1"/>
        <v>54.943178667966627</v>
      </c>
      <c r="AG2513" s="2">
        <f ca="1"/>
        <v>0.50932197752683095</v>
      </c>
      <c r="AH2513" s="2" t="str">
        <f ca="1"/>
        <v>Bad</v>
      </c>
    </row>
    <row r="2514" spans="2:34" x14ac:dyDescent="0.2">
      <c r="B2514" s="2">
        <f ca="1"/>
        <v>0.70365847940139314</v>
      </c>
      <c r="O2514" s="2">
        <f ca="1"/>
        <v>0.7765522381626413</v>
      </c>
      <c r="X2514" s="2">
        <f ca="1"/>
        <v>60.724340875148044</v>
      </c>
      <c r="AG2514" s="2">
        <f ca="1"/>
        <v>0.70435904237835589</v>
      </c>
      <c r="AH2514" s="2" t="str">
        <f ca="1"/>
        <v>Bad</v>
      </c>
    </row>
    <row r="2515" spans="2:34" x14ac:dyDescent="0.2">
      <c r="B2515" s="2">
        <f ca="1"/>
        <v>0.78190864066262189</v>
      </c>
      <c r="O2515" s="2">
        <f ca="1"/>
        <v>0.72241130229098816</v>
      </c>
      <c r="X2515" s="2">
        <f ca="1"/>
        <v>89.656084992484338</v>
      </c>
      <c r="AG2515" s="2">
        <f ca="1"/>
        <v>0.71143957139116387</v>
      </c>
      <c r="AH2515" s="2" t="str">
        <f ca="1"/>
        <v>Bad</v>
      </c>
    </row>
    <row r="2516" spans="2:34" x14ac:dyDescent="0.2">
      <c r="B2516" s="2">
        <f ca="1"/>
        <v>0.75459495468067783</v>
      </c>
      <c r="O2516" s="2">
        <f ca="1"/>
        <v>0.31314091287727797</v>
      </c>
      <c r="X2516" s="2">
        <f ca="1"/>
        <v>36.8224945593239</v>
      </c>
      <c r="AG2516" s="2">
        <f ca="1"/>
        <v>0.19865014021861183</v>
      </c>
      <c r="AH2516" s="2" t="str">
        <f ca="1"/>
        <v>OK</v>
      </c>
    </row>
    <row r="2517" spans="2:34" x14ac:dyDescent="0.2">
      <c r="B2517" s="2">
        <f ca="1"/>
        <v>0.8128060152952028</v>
      </c>
      <c r="O2517" s="2">
        <f ca="1"/>
        <v>0.93576284465527726</v>
      </c>
      <c r="X2517" s="2">
        <f ca="1"/>
        <v>39.161629518059449</v>
      </c>
      <c r="AG2517" s="2">
        <f ca="1"/>
        <v>0.48245477428772254</v>
      </c>
      <c r="AH2517" s="2" t="str">
        <f ca="1"/>
        <v>Bad</v>
      </c>
    </row>
    <row r="2518" spans="2:34" x14ac:dyDescent="0.2">
      <c r="B2518" s="2">
        <f ca="1"/>
        <v>3.6740191322226279E-2</v>
      </c>
      <c r="O2518" s="2">
        <f ca="1"/>
        <v>0.78420711861611703</v>
      </c>
      <c r="X2518" s="2">
        <f ca="1"/>
        <v>34.283131449014583</v>
      </c>
      <c r="AG2518" s="2">
        <f ca="1"/>
        <v>0.20020741486372051</v>
      </c>
      <c r="AH2518" s="2" t="str">
        <f ca="1"/>
        <v>OK</v>
      </c>
    </row>
    <row r="2519" spans="2:34" x14ac:dyDescent="0.2">
      <c r="B2519" s="2">
        <f ca="1"/>
        <v>0.57913037674701751</v>
      </c>
      <c r="O2519" s="2">
        <f ca="1"/>
        <v>1.0191744842429182</v>
      </c>
      <c r="X2519" s="2">
        <f ca="1"/>
        <v>33.39574793700902</v>
      </c>
      <c r="AG2519" s="2">
        <f ca="1"/>
        <v>0.86669791619593828</v>
      </c>
      <c r="AH2519" s="2" t="str">
        <f ca="1"/>
        <v>Bad</v>
      </c>
    </row>
    <row r="2520" spans="2:34" x14ac:dyDescent="0.2">
      <c r="B2520" s="2">
        <f ca="1"/>
        <v>0.49359774866797701</v>
      </c>
      <c r="O2520" s="2">
        <f ca="1"/>
        <v>-0.35922737453800868</v>
      </c>
      <c r="X2520" s="2">
        <f ca="1"/>
        <v>60.804733355763062</v>
      </c>
      <c r="AG2520" s="2">
        <f ca="1"/>
        <v>0.87916472595289075</v>
      </c>
      <c r="AH2520" s="2" t="str">
        <f ca="1"/>
        <v>Bad</v>
      </c>
    </row>
    <row r="2521" spans="2:34" x14ac:dyDescent="0.2">
      <c r="B2521" s="2">
        <f ca="1"/>
        <v>0.93619641204321424</v>
      </c>
      <c r="O2521" s="2">
        <f ca="1"/>
        <v>0.45936960614972899</v>
      </c>
      <c r="X2521" s="2">
        <f ca="1"/>
        <v>56.344473003385708</v>
      </c>
      <c r="AG2521" s="2">
        <f ca="1"/>
        <v>0.93308281842093121</v>
      </c>
      <c r="AH2521" s="2" t="str">
        <f ca="1"/>
        <v>Bad</v>
      </c>
    </row>
    <row r="2522" spans="2:34" x14ac:dyDescent="0.2">
      <c r="B2522" s="2">
        <f ca="1"/>
        <v>0.74809007630460478</v>
      </c>
      <c r="O2522" s="2">
        <f ca="1"/>
        <v>-0.83541701659824374</v>
      </c>
      <c r="X2522" s="2">
        <f ca="1"/>
        <v>34.372680775281921</v>
      </c>
      <c r="AG2522" s="2">
        <f ca="1"/>
        <v>9.6944436458406891E-2</v>
      </c>
      <c r="AH2522" s="2" t="str">
        <f ca="1"/>
        <v>OK</v>
      </c>
    </row>
    <row r="2523" spans="2:34" x14ac:dyDescent="0.2">
      <c r="B2523" s="2">
        <f ca="1"/>
        <v>8.6295034272726667E-2</v>
      </c>
      <c r="O2523" s="2">
        <f ca="1"/>
        <v>7.4512743714318555E-2</v>
      </c>
      <c r="X2523" s="2">
        <f ca="1"/>
        <v>48.529766700056676</v>
      </c>
      <c r="AG2523" s="2">
        <f ca="1"/>
        <v>0.54392669176526387</v>
      </c>
      <c r="AH2523" s="2" t="str">
        <f ca="1"/>
        <v>Bad</v>
      </c>
    </row>
    <row r="2524" spans="2:34" x14ac:dyDescent="0.2">
      <c r="B2524" s="2">
        <f ca="1"/>
        <v>0.16583141718491645</v>
      </c>
      <c r="O2524" s="2">
        <f ca="1"/>
        <v>0.20101117853571152</v>
      </c>
      <c r="X2524" s="2">
        <f ca="1"/>
        <v>51.535665147920824</v>
      </c>
      <c r="AG2524" s="2">
        <f ca="1"/>
        <v>6.7086923540501386E-2</v>
      </c>
      <c r="AH2524" s="2" t="str">
        <f ca="1"/>
        <v>OK</v>
      </c>
    </row>
    <row r="2525" spans="2:34" x14ac:dyDescent="0.2">
      <c r="B2525" s="2">
        <f ca="1"/>
        <v>6.0073668595266749E-2</v>
      </c>
      <c r="O2525" s="2">
        <f ca="1"/>
        <v>0.80627598492287655</v>
      </c>
      <c r="X2525" s="2">
        <f ca="1"/>
        <v>51.539090022785373</v>
      </c>
      <c r="AG2525" s="2">
        <f ca="1"/>
        <v>0.24846417377248708</v>
      </c>
      <c r="AH2525" s="2" t="str">
        <f ca="1"/>
        <v>OK</v>
      </c>
    </row>
    <row r="2526" spans="2:34" x14ac:dyDescent="0.2">
      <c r="B2526" s="2">
        <f ca="1"/>
        <v>0.38990150382871902</v>
      </c>
      <c r="O2526" s="2">
        <f ca="1"/>
        <v>-0.10537046431773521</v>
      </c>
      <c r="X2526" s="2">
        <f ca="1"/>
        <v>50.333926550432437</v>
      </c>
      <c r="AG2526" s="2">
        <f ca="1"/>
        <v>0.81914027061122052</v>
      </c>
      <c r="AH2526" s="2" t="str">
        <f ca="1"/>
        <v>Bad</v>
      </c>
    </row>
    <row r="2527" spans="2:34" x14ac:dyDescent="0.2">
      <c r="B2527" s="2">
        <f ca="1"/>
        <v>0.45017122449686675</v>
      </c>
      <c r="O2527" s="2">
        <f ca="1"/>
        <v>2.4595752693808222</v>
      </c>
      <c r="X2527" s="2">
        <f ca="1"/>
        <v>42.842137762488044</v>
      </c>
      <c r="AG2527" s="2">
        <f ca="1"/>
        <v>0.54884739269102933</v>
      </c>
      <c r="AH2527" s="2" t="str">
        <f ca="1"/>
        <v>Bad</v>
      </c>
    </row>
    <row r="2528" spans="2:34" x14ac:dyDescent="0.2">
      <c r="B2528" s="2">
        <f ca="1"/>
        <v>0.11915188553598766</v>
      </c>
      <c r="O2528" s="2">
        <f ca="1"/>
        <v>1.7575654925729391</v>
      </c>
      <c r="X2528" s="2">
        <f ca="1"/>
        <v>43.95656585004425</v>
      </c>
      <c r="AG2528" s="2">
        <f ca="1"/>
        <v>0.98499335519666453</v>
      </c>
      <c r="AH2528" s="2" t="str">
        <f ca="1"/>
        <v>Bad</v>
      </c>
    </row>
    <row r="2529" spans="2:34" x14ac:dyDescent="0.2">
      <c r="B2529" s="2">
        <f ca="1"/>
        <v>0.65035726464298715</v>
      </c>
      <c r="O2529" s="2">
        <f ca="1"/>
        <v>2.421373121272465</v>
      </c>
      <c r="X2529" s="2">
        <f ca="1"/>
        <v>38.120989875465654</v>
      </c>
      <c r="AG2529" s="2">
        <f ca="1"/>
        <v>0.20150106210917773</v>
      </c>
      <c r="AH2529" s="2" t="str">
        <f ca="1"/>
        <v>OK</v>
      </c>
    </row>
    <row r="2530" spans="2:34" x14ac:dyDescent="0.2">
      <c r="B2530" s="2">
        <f ca="1"/>
        <v>0.2854366087343676</v>
      </c>
      <c r="O2530" s="2">
        <f ca="1"/>
        <v>0.37813898784712213</v>
      </c>
      <c r="X2530" s="2">
        <f ca="1"/>
        <v>69.855572108674863</v>
      </c>
      <c r="AG2530" s="2">
        <f ca="1"/>
        <v>0.54555920285891557</v>
      </c>
      <c r="AH2530" s="2" t="str">
        <f ca="1"/>
        <v>Bad</v>
      </c>
    </row>
    <row r="2531" spans="2:34" x14ac:dyDescent="0.2">
      <c r="B2531" s="2">
        <f ca="1"/>
        <v>8.6383034410019821E-2</v>
      </c>
      <c r="O2531" s="2">
        <f ca="1"/>
        <v>0.25795895467496444</v>
      </c>
      <c r="X2531" s="2">
        <f ca="1"/>
        <v>29.507828298443421</v>
      </c>
      <c r="AG2531" s="2">
        <f ca="1"/>
        <v>0.25628253965573133</v>
      </c>
      <c r="AH2531" s="2" t="str">
        <f ca="1"/>
        <v>OK</v>
      </c>
    </row>
    <row r="2532" spans="2:34" x14ac:dyDescent="0.2">
      <c r="B2532" s="2">
        <f ca="1"/>
        <v>0.47670370881892565</v>
      </c>
      <c r="O2532" s="2">
        <f ca="1"/>
        <v>-1.1576655557447915</v>
      </c>
      <c r="X2532" s="2">
        <f ca="1"/>
        <v>57.613391639374569</v>
      </c>
      <c r="AG2532" s="2">
        <f ca="1"/>
        <v>0.40889676615490056</v>
      </c>
      <c r="AH2532" s="2" t="str">
        <f ca="1"/>
        <v>Bad</v>
      </c>
    </row>
    <row r="2533" spans="2:34" x14ac:dyDescent="0.2">
      <c r="B2533" s="2">
        <f ca="1"/>
        <v>0.50740907190285744</v>
      </c>
      <c r="O2533" s="2">
        <f ca="1"/>
        <v>-1.2140483656103307</v>
      </c>
      <c r="X2533" s="2">
        <f ca="1"/>
        <v>35.676554439588756</v>
      </c>
      <c r="AG2533" s="2">
        <f ca="1"/>
        <v>0.48912089841017092</v>
      </c>
      <c r="AH2533" s="2" t="str">
        <f ca="1"/>
        <v>Bad</v>
      </c>
    </row>
    <row r="2534" spans="2:34" x14ac:dyDescent="0.2">
      <c r="B2534" s="2">
        <f ca="1"/>
        <v>0.91088152485073248</v>
      </c>
      <c r="O2534" s="2">
        <f ca="1"/>
        <v>-9.4637831531391617E-2</v>
      </c>
      <c r="X2534" s="2">
        <f ca="1"/>
        <v>64.251055396209082</v>
      </c>
      <c r="AG2534" s="2">
        <f ca="1"/>
        <v>0.32323115042746631</v>
      </c>
      <c r="AH2534" s="2" t="str">
        <f ca="1"/>
        <v>OK</v>
      </c>
    </row>
    <row r="2535" spans="2:34" x14ac:dyDescent="0.2">
      <c r="B2535" s="2">
        <f ca="1"/>
        <v>0.90789513771182428</v>
      </c>
      <c r="O2535" s="2">
        <f ca="1"/>
        <v>2.0293502503802272</v>
      </c>
      <c r="X2535" s="2">
        <f ca="1"/>
        <v>39.312317514887503</v>
      </c>
      <c r="AG2535" s="2">
        <f ca="1"/>
        <v>0.35670516312984057</v>
      </c>
      <c r="AH2535" s="2" t="str">
        <f ca="1"/>
        <v>OK</v>
      </c>
    </row>
    <row r="2536" spans="2:34" x14ac:dyDescent="0.2">
      <c r="B2536" s="2">
        <f ca="1"/>
        <v>0.34123260967614066</v>
      </c>
      <c r="O2536" s="2">
        <f ca="1"/>
        <v>0.93501337973872145</v>
      </c>
      <c r="X2536" s="2">
        <f ca="1"/>
        <v>39.456606137008585</v>
      </c>
      <c r="AG2536" s="2">
        <f ca="1"/>
        <v>0.22208581902393987</v>
      </c>
      <c r="AH2536" s="2" t="str">
        <f ca="1"/>
        <v>OK</v>
      </c>
    </row>
    <row r="2537" spans="2:34" x14ac:dyDescent="0.2">
      <c r="B2537" s="2">
        <f ca="1"/>
        <v>0.58272583866360361</v>
      </c>
      <c r="O2537" s="2">
        <f ca="1"/>
        <v>1.0174303559210136</v>
      </c>
      <c r="X2537" s="2">
        <f ca="1"/>
        <v>61.189270219041219</v>
      </c>
      <c r="AG2537" s="2">
        <f ca="1"/>
        <v>0.52757653978023766</v>
      </c>
      <c r="AH2537" s="2" t="str">
        <f ca="1"/>
        <v>Bad</v>
      </c>
    </row>
    <row r="2538" spans="2:34" x14ac:dyDescent="0.2">
      <c r="B2538" s="2">
        <f ca="1"/>
        <v>0.71804566586948937</v>
      </c>
      <c r="O2538" s="2">
        <f ca="1"/>
        <v>0.23729378794061942</v>
      </c>
      <c r="X2538" s="2">
        <f ca="1"/>
        <v>31.859513373674531</v>
      </c>
      <c r="AG2538" s="2">
        <f ca="1"/>
        <v>6.2696200894318377E-2</v>
      </c>
      <c r="AH2538" s="2" t="str">
        <f ca="1"/>
        <v>OK</v>
      </c>
    </row>
    <row r="2539" spans="2:34" x14ac:dyDescent="0.2">
      <c r="B2539" s="2">
        <f ca="1"/>
        <v>0.10590747950983181</v>
      </c>
      <c r="O2539" s="2">
        <f ca="1"/>
        <v>-0.40629018026372049</v>
      </c>
      <c r="X2539" s="2">
        <f ca="1"/>
        <v>34.881744378592373</v>
      </c>
      <c r="AG2539" s="2">
        <f ca="1"/>
        <v>0.13258440160580331</v>
      </c>
      <c r="AH2539" s="2" t="str">
        <f ca="1"/>
        <v>OK</v>
      </c>
    </row>
    <row r="2540" spans="2:34" x14ac:dyDescent="0.2">
      <c r="B2540" s="2">
        <f ca="1"/>
        <v>0.67524915191169987</v>
      </c>
      <c r="O2540" s="2">
        <f ca="1"/>
        <v>0.64696457607420299</v>
      </c>
      <c r="X2540" s="2">
        <f ca="1"/>
        <v>82.9728749415967</v>
      </c>
      <c r="AG2540" s="2">
        <f ca="1"/>
        <v>0.2988533547465595</v>
      </c>
      <c r="AH2540" s="2" t="str">
        <f ca="1"/>
        <v>OK</v>
      </c>
    </row>
    <row r="2541" spans="2:34" x14ac:dyDescent="0.2">
      <c r="B2541" s="2">
        <f ca="1"/>
        <v>0.20646155921078324</v>
      </c>
      <c r="O2541" s="2">
        <f ca="1"/>
        <v>-0.64478425619978308</v>
      </c>
      <c r="X2541" s="2">
        <f ca="1"/>
        <v>42.82321928897953</v>
      </c>
      <c r="AG2541" s="2">
        <f ca="1"/>
        <v>0.43603755802889332</v>
      </c>
      <c r="AH2541" s="2" t="str">
        <f ca="1"/>
        <v>Bad</v>
      </c>
    </row>
    <row r="2542" spans="2:34" x14ac:dyDescent="0.2">
      <c r="B2542" s="2">
        <f ca="1"/>
        <v>0.71335920148477228</v>
      </c>
      <c r="O2542" s="2">
        <f ca="1"/>
        <v>-0.96815685425351206</v>
      </c>
      <c r="X2542" s="2">
        <f ca="1"/>
        <v>75.677045962990235</v>
      </c>
      <c r="AG2542" s="2">
        <f ca="1"/>
        <v>0.5305382167681818</v>
      </c>
      <c r="AH2542" s="2" t="str">
        <f ca="1"/>
        <v>Bad</v>
      </c>
    </row>
    <row r="2543" spans="2:34" x14ac:dyDescent="0.2">
      <c r="B2543" s="2">
        <f ca="1"/>
        <v>0.30635530744599171</v>
      </c>
      <c r="O2543" s="2">
        <f ca="1"/>
        <v>-1.0700034112421721</v>
      </c>
      <c r="X2543" s="2">
        <f ca="1"/>
        <v>44.67468515551468</v>
      </c>
      <c r="AG2543" s="2">
        <f ca="1"/>
        <v>0.91458183578113528</v>
      </c>
      <c r="AH2543" s="2" t="str">
        <f ca="1"/>
        <v>Bad</v>
      </c>
    </row>
    <row r="2544" spans="2:34" x14ac:dyDescent="0.2">
      <c r="B2544" s="2">
        <f ca="1"/>
        <v>0.46219109524532476</v>
      </c>
      <c r="O2544" s="2">
        <f ca="1"/>
        <v>1.1174495626903362</v>
      </c>
      <c r="X2544" s="2">
        <f ca="1"/>
        <v>63.445888016738508</v>
      </c>
      <c r="AG2544" s="2">
        <f ca="1"/>
        <v>0.54000875921902725</v>
      </c>
      <c r="AH2544" s="2" t="str">
        <f ca="1"/>
        <v>Bad</v>
      </c>
    </row>
    <row r="2545" spans="2:34" x14ac:dyDescent="0.2">
      <c r="B2545" s="2">
        <f ca="1"/>
        <v>0.64342206785786971</v>
      </c>
      <c r="O2545" s="2">
        <f ca="1"/>
        <v>0.27573960986543028</v>
      </c>
      <c r="X2545" s="2">
        <f ca="1"/>
        <v>39.702798783341052</v>
      </c>
      <c r="AG2545" s="2">
        <f ca="1"/>
        <v>0.61067064050479103</v>
      </c>
      <c r="AH2545" s="2" t="str">
        <f ca="1"/>
        <v>Bad</v>
      </c>
    </row>
    <row r="2546" spans="2:34" x14ac:dyDescent="0.2">
      <c r="B2546" s="2">
        <f ca="1"/>
        <v>0.24055061707418934</v>
      </c>
      <c r="O2546" s="2">
        <f ca="1"/>
        <v>-1.2387117657478075</v>
      </c>
      <c r="X2546" s="2">
        <f ca="1"/>
        <v>58.920217964351551</v>
      </c>
      <c r="AG2546" s="2">
        <f ca="1"/>
        <v>0.9340966574268319</v>
      </c>
      <c r="AH2546" s="2" t="str">
        <f ca="1"/>
        <v>Bad</v>
      </c>
    </row>
    <row r="2547" spans="2:34" x14ac:dyDescent="0.2">
      <c r="B2547" s="2">
        <f ca="1"/>
        <v>0.55323168619079843</v>
      </c>
      <c r="O2547" s="2">
        <f ca="1"/>
        <v>1.3460038677619763</v>
      </c>
      <c r="X2547" s="2">
        <f ca="1"/>
        <v>38.745274245960928</v>
      </c>
      <c r="AG2547" s="2">
        <f ca="1"/>
        <v>1.6823045008959481E-2</v>
      </c>
      <c r="AH2547" s="2" t="str">
        <f ca="1"/>
        <v>Good</v>
      </c>
    </row>
    <row r="2548" spans="2:34" x14ac:dyDescent="0.2">
      <c r="B2548" s="2">
        <f ca="1"/>
        <v>0.30163447269759902</v>
      </c>
      <c r="O2548" s="2">
        <f ca="1"/>
        <v>-1.2428015865628919</v>
      </c>
      <c r="X2548" s="2">
        <f ca="1"/>
        <v>46.250148261495958</v>
      </c>
      <c r="AG2548" s="2">
        <f ca="1"/>
        <v>0.53230769666385624</v>
      </c>
      <c r="AH2548" s="2" t="str">
        <f ca="1"/>
        <v>Bad</v>
      </c>
    </row>
    <row r="2549" spans="2:34" x14ac:dyDescent="0.2">
      <c r="B2549" s="2">
        <f ca="1"/>
        <v>0.31585460268294008</v>
      </c>
      <c r="O2549" s="2">
        <f ca="1"/>
        <v>-0.2714790941927564</v>
      </c>
      <c r="X2549" s="2">
        <f ca="1"/>
        <v>27.70262236920307</v>
      </c>
      <c r="AG2549" s="2">
        <f ca="1"/>
        <v>0.71242895077620427</v>
      </c>
      <c r="AH2549" s="2" t="str">
        <f ca="1"/>
        <v>Bad</v>
      </c>
    </row>
    <row r="2550" spans="2:34" x14ac:dyDescent="0.2">
      <c r="B2550" s="2">
        <f ca="1"/>
        <v>0.68553709596826451</v>
      </c>
      <c r="O2550" s="2">
        <f ca="1"/>
        <v>0.78223360488281202</v>
      </c>
      <c r="X2550" s="2">
        <f ca="1"/>
        <v>59.576805875443611</v>
      </c>
      <c r="AG2550" s="2">
        <f ca="1"/>
        <v>0.97338745523077597</v>
      </c>
      <c r="AH2550" s="2" t="str">
        <f ca="1"/>
        <v>Bad</v>
      </c>
    </row>
    <row r="2551" spans="2:34" x14ac:dyDescent="0.2">
      <c r="B2551" s="2">
        <f ca="1"/>
        <v>0.39408589721939835</v>
      </c>
      <c r="O2551" s="2">
        <f ca="1"/>
        <v>-0.6167213878003297</v>
      </c>
      <c r="X2551" s="2">
        <f ca="1"/>
        <v>87.627353311977672</v>
      </c>
      <c r="AG2551" s="2">
        <f ca="1"/>
        <v>0.97863455326762461</v>
      </c>
      <c r="AH2551" s="2" t="str">
        <f ca="1"/>
        <v>Bad</v>
      </c>
    </row>
    <row r="2552" spans="2:34" x14ac:dyDescent="0.2">
      <c r="B2552" s="2">
        <f ca="1"/>
        <v>0.46331145184077838</v>
      </c>
      <c r="O2552" s="2">
        <f ca="1"/>
        <v>-0.88396116076671827</v>
      </c>
      <c r="X2552" s="2">
        <f ca="1"/>
        <v>49.890890133997381</v>
      </c>
      <c r="AG2552" s="2">
        <f ca="1"/>
        <v>0.18441019571193351</v>
      </c>
      <c r="AH2552" s="2" t="str">
        <f ca="1"/>
        <v>OK</v>
      </c>
    </row>
    <row r="2553" spans="2:34" x14ac:dyDescent="0.2">
      <c r="B2553" s="2">
        <f ca="1"/>
        <v>0.60093141246306359</v>
      </c>
      <c r="O2553" s="2">
        <f ca="1"/>
        <v>-0.6560912889259396</v>
      </c>
      <c r="X2553" s="2">
        <f ca="1"/>
        <v>31.955010014604028</v>
      </c>
      <c r="AG2553" s="2">
        <f ca="1"/>
        <v>0.92551502632310245</v>
      </c>
      <c r="AH2553" s="2" t="str">
        <f ca="1"/>
        <v>Bad</v>
      </c>
    </row>
    <row r="2554" spans="2:34" x14ac:dyDescent="0.2">
      <c r="B2554" s="2">
        <f ca="1"/>
        <v>0.15044614980549786</v>
      </c>
      <c r="O2554" s="2">
        <f ca="1"/>
        <v>1.560849917674749</v>
      </c>
      <c r="X2554" s="2">
        <f ca="1"/>
        <v>85.847472305424333</v>
      </c>
      <c r="AG2554" s="2">
        <f ca="1"/>
        <v>0.58682735346833947</v>
      </c>
      <c r="AH2554" s="2" t="str">
        <f ca="1"/>
        <v>Bad</v>
      </c>
    </row>
    <row r="2555" spans="2:34" x14ac:dyDescent="0.2">
      <c r="B2555" s="2">
        <f ca="1"/>
        <v>0.52306844193919222</v>
      </c>
      <c r="O2555" s="2">
        <f ca="1"/>
        <v>-8.7442755616719978E-2</v>
      </c>
      <c r="X2555" s="2">
        <f ca="1"/>
        <v>74.213814806499329</v>
      </c>
      <c r="AG2555" s="2">
        <f ca="1"/>
        <v>0.48563937184770301</v>
      </c>
      <c r="AH2555" s="2" t="str">
        <f ca="1"/>
        <v>Bad</v>
      </c>
    </row>
    <row r="2556" spans="2:34" x14ac:dyDescent="0.2">
      <c r="B2556" s="2">
        <f ca="1"/>
        <v>0.97197468003128407</v>
      </c>
      <c r="O2556" s="2">
        <f ca="1"/>
        <v>0.46807166961620233</v>
      </c>
      <c r="X2556" s="2">
        <f ca="1"/>
        <v>63.03986395993968</v>
      </c>
      <c r="AG2556" s="2">
        <f ca="1"/>
        <v>0.76693970541348766</v>
      </c>
      <c r="AH2556" s="2" t="str">
        <f ca="1"/>
        <v>Bad</v>
      </c>
    </row>
    <row r="2557" spans="2:34" x14ac:dyDescent="0.2">
      <c r="B2557" s="2">
        <f ca="1"/>
        <v>0.6951959077789347</v>
      </c>
      <c r="O2557" s="2">
        <f ca="1"/>
        <v>-1.069353596504957E-2</v>
      </c>
      <c r="X2557" s="2">
        <f ca="1"/>
        <v>35.390184878123257</v>
      </c>
      <c r="AG2557" s="2">
        <f ca="1"/>
        <v>0.67191834321060395</v>
      </c>
      <c r="AH2557" s="2" t="str">
        <f ca="1"/>
        <v>Bad</v>
      </c>
    </row>
    <row r="2558" spans="2:34" x14ac:dyDescent="0.2">
      <c r="B2558" s="2">
        <f ca="1"/>
        <v>6.3160577712288557E-2</v>
      </c>
      <c r="O2558" s="2">
        <f ca="1"/>
        <v>-0.17585031197238535</v>
      </c>
      <c r="X2558" s="2">
        <f ca="1"/>
        <v>27.650026265664756</v>
      </c>
      <c r="AG2558" s="2">
        <f ca="1"/>
        <v>0.50943423607852334</v>
      </c>
      <c r="AH2558" s="2" t="str">
        <f ca="1"/>
        <v>Bad</v>
      </c>
    </row>
    <row r="2559" spans="2:34" x14ac:dyDescent="0.2">
      <c r="B2559" s="2">
        <f ca="1"/>
        <v>0.97708229443545846</v>
      </c>
      <c r="O2559" s="2">
        <f ca="1"/>
        <v>-1.6968820653849686</v>
      </c>
      <c r="X2559" s="2">
        <f ca="1"/>
        <v>24.812316029872644</v>
      </c>
      <c r="AG2559" s="2">
        <f ca="1"/>
        <v>0.7598925092637161</v>
      </c>
      <c r="AH2559" s="2" t="str">
        <f ca="1"/>
        <v>Bad</v>
      </c>
    </row>
    <row r="2560" spans="2:34" x14ac:dyDescent="0.2">
      <c r="B2560" s="2">
        <f ca="1"/>
        <v>0.82728448734932081</v>
      </c>
      <c r="O2560" s="2">
        <f ca="1"/>
        <v>0.45132741679790905</v>
      </c>
      <c r="X2560" s="2">
        <f ca="1"/>
        <v>57.385485838205639</v>
      </c>
      <c r="AG2560" s="2">
        <f ca="1"/>
        <v>0.20597881764288761</v>
      </c>
      <c r="AH2560" s="2" t="str">
        <f ca="1"/>
        <v>OK</v>
      </c>
    </row>
    <row r="2561" spans="2:34" x14ac:dyDescent="0.2">
      <c r="B2561" s="2">
        <f ca="1"/>
        <v>0.97728769233139956</v>
      </c>
      <c r="O2561" s="2">
        <f ca="1"/>
        <v>-1.251663408150018</v>
      </c>
      <c r="X2561" s="2">
        <f ca="1"/>
        <v>52.996748585139642</v>
      </c>
      <c r="AG2561" s="2">
        <f ca="1"/>
        <v>0.62693008718127463</v>
      </c>
      <c r="AH2561" s="2" t="str">
        <f ca="1"/>
        <v>Bad</v>
      </c>
    </row>
    <row r="2562" spans="2:34" x14ac:dyDescent="0.2">
      <c r="B2562" s="2">
        <f ca="1"/>
        <v>0.1908530218011848</v>
      </c>
      <c r="O2562" s="2">
        <f ca="1"/>
        <v>-0.74530365382647346</v>
      </c>
      <c r="X2562" s="2">
        <f ca="1"/>
        <v>53.357101962313862</v>
      </c>
      <c r="AG2562" s="2">
        <f ca="1"/>
        <v>0.88259686065504717</v>
      </c>
      <c r="AH2562" s="2" t="str">
        <f ca="1"/>
        <v>Bad</v>
      </c>
    </row>
    <row r="2563" spans="2:34" x14ac:dyDescent="0.2">
      <c r="B2563" s="2">
        <f ca="1"/>
        <v>0.34330772977036839</v>
      </c>
      <c r="O2563" s="2">
        <f ca="1"/>
        <v>0.67698476967057297</v>
      </c>
      <c r="X2563" s="2">
        <f ca="1"/>
        <v>33.345651609675052</v>
      </c>
      <c r="AG2563" s="2">
        <f ca="1"/>
        <v>0.79743629540393224</v>
      </c>
      <c r="AH2563" s="2" t="str">
        <f ca="1"/>
        <v>Bad</v>
      </c>
    </row>
    <row r="2564" spans="2:34" x14ac:dyDescent="0.2">
      <c r="B2564" s="2">
        <f ca="1"/>
        <v>0.39081696516054976</v>
      </c>
      <c r="O2564" s="2">
        <f ca="1"/>
        <v>0.2300122953139454</v>
      </c>
      <c r="X2564" s="2">
        <f ca="1"/>
        <v>54.514264556749119</v>
      </c>
      <c r="AG2564" s="2">
        <f ca="1"/>
        <v>0.12619143343952954</v>
      </c>
      <c r="AH2564" s="2" t="str">
        <f ca="1"/>
        <v>OK</v>
      </c>
    </row>
    <row r="2565" spans="2:34" x14ac:dyDescent="0.2">
      <c r="B2565" s="2">
        <f ca="1"/>
        <v>0.65703755087854443</v>
      </c>
      <c r="O2565" s="2">
        <f ca="1"/>
        <v>-3.6182763522837023E-2</v>
      </c>
      <c r="X2565" s="2">
        <f ca="1"/>
        <v>32.085424138240676</v>
      </c>
      <c r="AG2565" s="2">
        <f ca="1"/>
        <v>0.39892739523021037</v>
      </c>
      <c r="AH2565" s="2" t="str">
        <f ca="1"/>
        <v>OK</v>
      </c>
    </row>
    <row r="2566" spans="2:34" x14ac:dyDescent="0.2">
      <c r="B2566" s="2">
        <f ca="1"/>
        <v>0.39043875195411304</v>
      </c>
      <c r="O2566" s="2">
        <f ca="1"/>
        <v>0.79173276084393474</v>
      </c>
      <c r="X2566" s="2">
        <f ca="1"/>
        <v>49.224109965439979</v>
      </c>
      <c r="AG2566" s="2">
        <f ca="1"/>
        <v>0.61073128069779692</v>
      </c>
      <c r="AH2566" s="2" t="str">
        <f ca="1"/>
        <v>Bad</v>
      </c>
    </row>
    <row r="2567" spans="2:34" x14ac:dyDescent="0.2">
      <c r="B2567" s="2">
        <f ca="1"/>
        <v>0.10933275750169669</v>
      </c>
      <c r="O2567" s="2">
        <f ca="1"/>
        <v>-1.8972175246035592</v>
      </c>
      <c r="X2567" s="2">
        <f ca="1"/>
        <v>38.795325726961593</v>
      </c>
      <c r="AG2567" s="2">
        <f ca="1"/>
        <v>0.6642828345134506</v>
      </c>
      <c r="AH2567" s="2" t="str">
        <f ca="1"/>
        <v>Bad</v>
      </c>
    </row>
    <row r="2568" spans="2:34" x14ac:dyDescent="0.2">
      <c r="B2568" s="2">
        <f ca="1"/>
        <v>0.43155277340432585</v>
      </c>
      <c r="O2568" s="2">
        <f ca="1"/>
        <v>0.20828887965590576</v>
      </c>
      <c r="X2568" s="2">
        <f ca="1"/>
        <v>37.409429839296308</v>
      </c>
      <c r="AG2568" s="2">
        <f ca="1"/>
        <v>0.86560780373602109</v>
      </c>
      <c r="AH2568" s="2" t="str">
        <f ca="1"/>
        <v>Bad</v>
      </c>
    </row>
    <row r="2569" spans="2:34" x14ac:dyDescent="0.2">
      <c r="B2569" s="2">
        <f ca="1"/>
        <v>0.81402480365541341</v>
      </c>
      <c r="O2569" s="2">
        <f ca="1"/>
        <v>0.36761462499604375</v>
      </c>
      <c r="X2569" s="2">
        <f ca="1"/>
        <v>68.602246087732141</v>
      </c>
      <c r="AG2569" s="2">
        <f ca="1"/>
        <v>0.51735837225120274</v>
      </c>
      <c r="AH2569" s="2" t="str">
        <f ca="1"/>
        <v>Bad</v>
      </c>
    </row>
    <row r="2570" spans="2:34" x14ac:dyDescent="0.2">
      <c r="B2570" s="2">
        <f ca="1"/>
        <v>0.63836630840391462</v>
      </c>
      <c r="O2570" s="2">
        <f ca="1"/>
        <v>-0.17333156716990628</v>
      </c>
      <c r="X2570" s="2">
        <f ca="1"/>
        <v>48.821805094347248</v>
      </c>
      <c r="AG2570" s="2">
        <f ca="1"/>
        <v>0.49210044511546891</v>
      </c>
      <c r="AH2570" s="2" t="str">
        <f ca="1"/>
        <v>Bad</v>
      </c>
    </row>
    <row r="2571" spans="2:34" x14ac:dyDescent="0.2">
      <c r="B2571" s="2">
        <f ca="1"/>
        <v>0.13251716045288209</v>
      </c>
      <c r="O2571" s="2">
        <f ca="1"/>
        <v>-0.33705890747322287</v>
      </c>
      <c r="X2571" s="2">
        <f ca="1"/>
        <v>30.613975534215104</v>
      </c>
      <c r="AG2571" s="2">
        <f ca="1"/>
        <v>9.5601376913543978E-2</v>
      </c>
      <c r="AH2571" s="2" t="str">
        <f ca="1"/>
        <v>OK</v>
      </c>
    </row>
    <row r="2572" spans="2:34" x14ac:dyDescent="0.2">
      <c r="B2572" s="2">
        <f ca="1"/>
        <v>0.13164489452098715</v>
      </c>
      <c r="O2572" s="2">
        <f ca="1"/>
        <v>-0.37422783345773447</v>
      </c>
      <c r="X2572" s="2">
        <f ca="1"/>
        <v>33.723978427177542</v>
      </c>
      <c r="AG2572" s="2">
        <f ca="1"/>
        <v>0.69683926058898948</v>
      </c>
      <c r="AH2572" s="2" t="str">
        <f ca="1"/>
        <v>Bad</v>
      </c>
    </row>
    <row r="2573" spans="2:34" x14ac:dyDescent="0.2">
      <c r="B2573" s="2">
        <f ca="1"/>
        <v>0.41713757625233927</v>
      </c>
      <c r="O2573" s="2">
        <f ca="1"/>
        <v>0.73632390698582961</v>
      </c>
      <c r="X2573" s="2">
        <f ca="1"/>
        <v>50.659632318604878</v>
      </c>
      <c r="AG2573" s="2">
        <f ca="1"/>
        <v>0.60370184885738776</v>
      </c>
      <c r="AH2573" s="2" t="str">
        <f ca="1"/>
        <v>Bad</v>
      </c>
    </row>
    <row r="2574" spans="2:34" x14ac:dyDescent="0.2">
      <c r="B2574" s="2">
        <f ca="1"/>
        <v>0.83896575010621555</v>
      </c>
      <c r="O2574" s="2">
        <f ca="1"/>
        <v>0.88940870987299725</v>
      </c>
      <c r="X2574" s="2">
        <f ca="1"/>
        <v>50.336763859836573</v>
      </c>
      <c r="AG2574" s="2">
        <f ca="1"/>
        <v>0.59969136060002159</v>
      </c>
      <c r="AH2574" s="2" t="str">
        <f ca="1"/>
        <v>Bad</v>
      </c>
    </row>
    <row r="2575" spans="2:34" x14ac:dyDescent="0.2">
      <c r="B2575" s="2">
        <f ca="1"/>
        <v>0.92286366447167767</v>
      </c>
      <c r="O2575" s="2">
        <f ca="1"/>
        <v>0.9745812625807061</v>
      </c>
      <c r="X2575" s="2">
        <f ca="1"/>
        <v>71.513207692428409</v>
      </c>
      <c r="AG2575" s="2">
        <f ca="1"/>
        <v>0.12189202971428958</v>
      </c>
      <c r="AH2575" s="2" t="str">
        <f ca="1"/>
        <v>OK</v>
      </c>
    </row>
    <row r="2576" spans="2:34" x14ac:dyDescent="0.2">
      <c r="B2576" s="2">
        <f ca="1"/>
        <v>0.52295756988997999</v>
      </c>
      <c r="O2576" s="2">
        <f ca="1"/>
        <v>1.3043381976876582</v>
      </c>
      <c r="X2576" s="2">
        <f ca="1"/>
        <v>31.59669377935629</v>
      </c>
      <c r="AG2576" s="2">
        <f ca="1"/>
        <v>0.52365280691379334</v>
      </c>
      <c r="AH2576" s="2" t="str">
        <f ca="1"/>
        <v>Bad</v>
      </c>
    </row>
    <row r="2577" spans="2:34" x14ac:dyDescent="0.2">
      <c r="B2577" s="2">
        <f ca="1"/>
        <v>0.40107075172725271</v>
      </c>
      <c r="O2577" s="2">
        <f ca="1"/>
        <v>-1.0991377664880007</v>
      </c>
      <c r="X2577" s="2">
        <f ca="1"/>
        <v>49.806276186167509</v>
      </c>
      <c r="AG2577" s="2">
        <f ca="1"/>
        <v>0.31782884290448932</v>
      </c>
      <c r="AH2577" s="2" t="str">
        <f ca="1"/>
        <v>OK</v>
      </c>
    </row>
    <row r="2578" spans="2:34" x14ac:dyDescent="0.2">
      <c r="B2578" s="2">
        <f ca="1"/>
        <v>0.31870257368732036</v>
      </c>
      <c r="O2578" s="2">
        <f ca="1"/>
        <v>-0.38719042354143585</v>
      </c>
      <c r="X2578" s="2">
        <f ca="1"/>
        <v>32.333159059533443</v>
      </c>
      <c r="AG2578" s="2">
        <f ca="1"/>
        <v>0.79089095125141329</v>
      </c>
      <c r="AH2578" s="2" t="str">
        <f ca="1"/>
        <v>Bad</v>
      </c>
    </row>
    <row r="2579" spans="2:34" x14ac:dyDescent="0.2">
      <c r="B2579" s="2">
        <f ca="1"/>
        <v>0.35339988462362415</v>
      </c>
      <c r="O2579" s="2">
        <f ca="1"/>
        <v>0.27310968529320334</v>
      </c>
      <c r="X2579" s="2">
        <f ca="1"/>
        <v>48.316492057705588</v>
      </c>
      <c r="AG2579" s="2">
        <f ca="1"/>
        <v>0.6244616910918841</v>
      </c>
      <c r="AH2579" s="2" t="str">
        <f ca="1"/>
        <v>Bad</v>
      </c>
    </row>
    <row r="2580" spans="2:34" x14ac:dyDescent="0.2">
      <c r="B2580" s="2">
        <f ca="1"/>
        <v>7.1071256051300935E-2</v>
      </c>
      <c r="O2580" s="2">
        <f ca="1"/>
        <v>0.21491809215013699</v>
      </c>
      <c r="X2580" s="2">
        <f ca="1"/>
        <v>42.309668875619984</v>
      </c>
      <c r="AG2580" s="2">
        <f ca="1"/>
        <v>0.48997037367696317</v>
      </c>
      <c r="AH2580" s="2" t="str">
        <f ca="1"/>
        <v>Bad</v>
      </c>
    </row>
    <row r="2581" spans="2:34" x14ac:dyDescent="0.2">
      <c r="B2581" s="2">
        <f ca="1"/>
        <v>0.13730886047682378</v>
      </c>
      <c r="O2581" s="2">
        <f ca="1"/>
        <v>0.27604851592776469</v>
      </c>
      <c r="X2581" s="2">
        <f ca="1"/>
        <v>55.000374303187627</v>
      </c>
      <c r="AG2581" s="2">
        <f ca="1"/>
        <v>4.1191510480413696E-2</v>
      </c>
      <c r="AH2581" s="2" t="str">
        <f ca="1"/>
        <v>Good</v>
      </c>
    </row>
    <row r="2582" spans="2:34" x14ac:dyDescent="0.2">
      <c r="B2582" s="2">
        <f ca="1"/>
        <v>0.45986282640092369</v>
      </c>
      <c r="O2582" s="2">
        <f ca="1"/>
        <v>-0.53298745033593375</v>
      </c>
      <c r="X2582" s="2">
        <f ca="1"/>
        <v>37.634272563395093</v>
      </c>
      <c r="AG2582" s="2">
        <f ca="1"/>
        <v>0.67556250085120317</v>
      </c>
      <c r="AH2582" s="2" t="str">
        <f ca="1"/>
        <v>Bad</v>
      </c>
    </row>
    <row r="2583" spans="2:34" x14ac:dyDescent="0.2">
      <c r="B2583" s="2">
        <f ca="1"/>
        <v>0.92315143792325327</v>
      </c>
      <c r="O2583" s="2">
        <f ca="1"/>
        <v>-0.68564746714942826</v>
      </c>
      <c r="X2583" s="2">
        <f ca="1"/>
        <v>92.925259706715508</v>
      </c>
      <c r="AG2583" s="2">
        <f ca="1"/>
        <v>0.31911221768968701</v>
      </c>
      <c r="AH2583" s="2" t="str">
        <f ca="1"/>
        <v>OK</v>
      </c>
    </row>
    <row r="2584" spans="2:34" x14ac:dyDescent="0.2">
      <c r="B2584" s="2">
        <f ca="1"/>
        <v>0.40138947161684224</v>
      </c>
      <c r="O2584" s="2">
        <f ca="1"/>
        <v>7.9417403368506501E-2</v>
      </c>
      <c r="X2584" s="2">
        <f ca="1"/>
        <v>61.747678583945074</v>
      </c>
      <c r="AG2584" s="2">
        <f ca="1"/>
        <v>0.46979599022176344</v>
      </c>
      <c r="AH2584" s="2" t="str">
        <f ca="1"/>
        <v>Bad</v>
      </c>
    </row>
    <row r="2585" spans="2:34" x14ac:dyDescent="0.2">
      <c r="B2585" s="2">
        <f ca="1"/>
        <v>0.88527685140332824</v>
      </c>
      <c r="O2585" s="2">
        <f ca="1"/>
        <v>0.70500623784792937</v>
      </c>
      <c r="X2585" s="2">
        <f ca="1"/>
        <v>67.71899589824335</v>
      </c>
      <c r="AG2585" s="2">
        <f ca="1"/>
        <v>0.35480780712932791</v>
      </c>
      <c r="AH2585" s="2" t="str">
        <f ca="1"/>
        <v>OK</v>
      </c>
    </row>
    <row r="2586" spans="2:34" x14ac:dyDescent="0.2">
      <c r="B2586" s="2">
        <f ca="1"/>
        <v>0.38315238000248919</v>
      </c>
      <c r="O2586" s="2">
        <f ca="1"/>
        <v>0.80806119239684671</v>
      </c>
      <c r="X2586" s="2">
        <f ca="1"/>
        <v>54.28602429248123</v>
      </c>
      <c r="AG2586" s="2">
        <f ca="1"/>
        <v>0.32320560351605798</v>
      </c>
      <c r="AH2586" s="2" t="str">
        <f ca="1"/>
        <v>OK</v>
      </c>
    </row>
    <row r="2587" spans="2:34" x14ac:dyDescent="0.2">
      <c r="B2587" s="2">
        <f ca="1"/>
        <v>0.91908607260484931</v>
      </c>
      <c r="O2587" s="2">
        <f ca="1"/>
        <v>1.8498404993789019</v>
      </c>
      <c r="X2587" s="2">
        <f ca="1"/>
        <v>36.856776556066364</v>
      </c>
      <c r="AG2587" s="2">
        <f ca="1"/>
        <v>0.67687029956467737</v>
      </c>
      <c r="AH2587" s="2" t="str">
        <f ca="1"/>
        <v>Bad</v>
      </c>
    </row>
    <row r="2588" spans="2:34" x14ac:dyDescent="0.2">
      <c r="B2588" s="2">
        <f ca="1"/>
        <v>0.55236524863164504</v>
      </c>
      <c r="O2588" s="2">
        <f ca="1"/>
        <v>0.89297887551456401</v>
      </c>
      <c r="X2588" s="2">
        <f ca="1"/>
        <v>61.174976057652508</v>
      </c>
      <c r="AG2588" s="2">
        <f ca="1"/>
        <v>0.65979598109315285</v>
      </c>
      <c r="AH2588" s="2" t="str">
        <f ca="1"/>
        <v>Bad</v>
      </c>
    </row>
    <row r="2589" spans="2:34" x14ac:dyDescent="0.2">
      <c r="B2589" s="2">
        <f ca="1"/>
        <v>0.30238616768318072</v>
      </c>
      <c r="O2589" s="2">
        <f ca="1"/>
        <v>1.9670244616944681</v>
      </c>
      <c r="X2589" s="2">
        <f ca="1"/>
        <v>51.941688164889115</v>
      </c>
      <c r="AG2589" s="2">
        <f ca="1"/>
        <v>0.59948990120450052</v>
      </c>
      <c r="AH2589" s="2" t="str">
        <f ca="1"/>
        <v>Bad</v>
      </c>
    </row>
    <row r="2590" spans="2:34" x14ac:dyDescent="0.2">
      <c r="B2590" s="2">
        <f ca="1"/>
        <v>0.13807747562523232</v>
      </c>
      <c r="O2590" s="2">
        <f ca="1"/>
        <v>-1.4738991783715349</v>
      </c>
      <c r="X2590" s="2">
        <f ca="1"/>
        <v>61.043820927376984</v>
      </c>
      <c r="AG2590" s="2">
        <f ca="1"/>
        <v>0.10898963912986348</v>
      </c>
      <c r="AH2590" s="2" t="str">
        <f ca="1"/>
        <v>OK</v>
      </c>
    </row>
    <row r="2591" spans="2:34" x14ac:dyDescent="0.2">
      <c r="B2591" s="2">
        <f ca="1"/>
        <v>0.46199747403949942</v>
      </c>
      <c r="O2591" s="2">
        <f ca="1"/>
        <v>0.37697941746462821</v>
      </c>
      <c r="X2591" s="2">
        <f ca="1"/>
        <v>32.606810248381237</v>
      </c>
      <c r="AG2591" s="2">
        <f ca="1"/>
        <v>0.7274916196984651</v>
      </c>
      <c r="AH2591" s="2" t="str">
        <f ca="1"/>
        <v>Bad</v>
      </c>
    </row>
    <row r="2592" spans="2:34" x14ac:dyDescent="0.2">
      <c r="B2592" s="2">
        <f ca="1"/>
        <v>0.55623736253256495</v>
      </c>
      <c r="O2592" s="2">
        <f ca="1"/>
        <v>-1.3190136512475161</v>
      </c>
      <c r="X2592" s="2">
        <f ca="1"/>
        <v>55.661681420812521</v>
      </c>
      <c r="AG2592" s="2">
        <f ca="1"/>
        <v>0.93633924723535933</v>
      </c>
      <c r="AH2592" s="2" t="str">
        <f ca="1"/>
        <v>Bad</v>
      </c>
    </row>
    <row r="2593" spans="2:34" x14ac:dyDescent="0.2">
      <c r="B2593" s="2">
        <f ca="1"/>
        <v>0.30425979784471924</v>
      </c>
      <c r="O2593" s="2">
        <f ca="1"/>
        <v>-0.22412664251516115</v>
      </c>
      <c r="X2593" s="2">
        <f ca="1"/>
        <v>49.493842866537399</v>
      </c>
      <c r="AG2593" s="2">
        <f ca="1"/>
        <v>0.19772344634887928</v>
      </c>
      <c r="AH2593" s="2" t="str">
        <f ca="1"/>
        <v>OK</v>
      </c>
    </row>
    <row r="2594" spans="2:34" x14ac:dyDescent="0.2">
      <c r="B2594" s="2">
        <f ca="1"/>
        <v>0.61829757593118106</v>
      </c>
      <c r="O2594" s="2">
        <f ca="1"/>
        <v>0.11832674611533001</v>
      </c>
      <c r="X2594" s="2">
        <f ca="1"/>
        <v>40.790960247077891</v>
      </c>
      <c r="AG2594" s="2">
        <f ca="1"/>
        <v>0.22254452266734814</v>
      </c>
      <c r="AH2594" s="2" t="str">
        <f ca="1"/>
        <v>OK</v>
      </c>
    </row>
    <row r="2595" spans="2:34" x14ac:dyDescent="0.2">
      <c r="B2595" s="2">
        <f ca="1"/>
        <v>0.10961734008505464</v>
      </c>
      <c r="O2595" s="2">
        <f ca="1"/>
        <v>0.97296795120355217</v>
      </c>
      <c r="X2595" s="2">
        <f ca="1"/>
        <v>29.231061531559565</v>
      </c>
      <c r="AG2595" s="2">
        <f ca="1"/>
        <v>0.76812288765481629</v>
      </c>
      <c r="AH2595" s="2" t="str">
        <f ca="1"/>
        <v>Bad</v>
      </c>
    </row>
    <row r="2596" spans="2:34" x14ac:dyDescent="0.2">
      <c r="B2596" s="2">
        <f ca="1"/>
        <v>0.39002647227895682</v>
      </c>
      <c r="O2596" s="2">
        <f ca="1"/>
        <v>-1.0517913277060373</v>
      </c>
      <c r="X2596" s="2">
        <f ca="1"/>
        <v>62.156302938413937</v>
      </c>
      <c r="AG2596" s="2">
        <f ca="1"/>
        <v>0.25894690524911845</v>
      </c>
      <c r="AH2596" s="2" t="str">
        <f ca="1"/>
        <v>OK</v>
      </c>
    </row>
    <row r="2597" spans="2:34" x14ac:dyDescent="0.2">
      <c r="B2597" s="2">
        <f ca="1"/>
        <v>0.11328065135649679</v>
      </c>
      <c r="O2597" s="2">
        <f ca="1"/>
        <v>1.2311528841873771</v>
      </c>
      <c r="X2597" s="2">
        <f ca="1"/>
        <v>43.47133887062482</v>
      </c>
      <c r="AG2597" s="2">
        <f ca="1"/>
        <v>0.15132032783269955</v>
      </c>
      <c r="AH2597" s="2" t="str">
        <f ca="1"/>
        <v>OK</v>
      </c>
    </row>
    <row r="2598" spans="2:34" x14ac:dyDescent="0.2">
      <c r="B2598" s="2">
        <f ca="1"/>
        <v>0.69155943384779373</v>
      </c>
      <c r="O2598" s="2">
        <f ca="1"/>
        <v>-1.0843323120502648</v>
      </c>
      <c r="X2598" s="2">
        <f ca="1"/>
        <v>57.154682168991833</v>
      </c>
      <c r="AG2598" s="2">
        <f ca="1"/>
        <v>3.6931409604565868E-2</v>
      </c>
      <c r="AH2598" s="2" t="str">
        <f ca="1"/>
        <v>Good</v>
      </c>
    </row>
    <row r="2599" spans="2:34" x14ac:dyDescent="0.2">
      <c r="B2599" s="2">
        <f ca="1"/>
        <v>0.65608152094739247</v>
      </c>
      <c r="O2599" s="2">
        <f ca="1"/>
        <v>-1.9326319864747343</v>
      </c>
      <c r="X2599" s="2">
        <f ca="1"/>
        <v>40.638522628144727</v>
      </c>
      <c r="AG2599" s="2">
        <f ca="1"/>
        <v>0.558888353318028</v>
      </c>
      <c r="AH2599" s="2" t="str">
        <f ca="1"/>
        <v>Bad</v>
      </c>
    </row>
    <row r="2600" spans="2:34" x14ac:dyDescent="0.2">
      <c r="B2600" s="2">
        <f ca="1"/>
        <v>0.56826000685097733</v>
      </c>
      <c r="O2600" s="2">
        <f ca="1"/>
        <v>-0.58776243134422057</v>
      </c>
      <c r="X2600" s="2">
        <f ca="1"/>
        <v>46.731332042235387</v>
      </c>
      <c r="AG2600" s="2">
        <f ca="1"/>
        <v>0.49390194814201838</v>
      </c>
      <c r="AH2600" s="2" t="str">
        <f ca="1"/>
        <v>Bad</v>
      </c>
    </row>
    <row r="2601" spans="2:34" x14ac:dyDescent="0.2">
      <c r="B2601" s="2">
        <f ca="1"/>
        <v>0.87189887272817601</v>
      </c>
      <c r="O2601" s="2">
        <f ca="1"/>
        <v>0.82131197255283539</v>
      </c>
      <c r="X2601" s="2">
        <f ca="1"/>
        <v>74.621363729586136</v>
      </c>
      <c r="AG2601" s="2">
        <f ca="1"/>
        <v>0.38882016396103047</v>
      </c>
      <c r="AH2601" s="2" t="str">
        <f ca="1"/>
        <v>OK</v>
      </c>
    </row>
    <row r="2602" spans="2:34" x14ac:dyDescent="0.2">
      <c r="B2602" s="2">
        <f ca="1"/>
        <v>0.30467079239532269</v>
      </c>
      <c r="O2602" s="2">
        <f ca="1"/>
        <v>-0.42578207524249229</v>
      </c>
      <c r="X2602" s="2">
        <f ca="1"/>
        <v>53.252421073099555</v>
      </c>
      <c r="AG2602" s="2">
        <f ca="1"/>
        <v>0.93931677075594133</v>
      </c>
      <c r="AH2602" s="2" t="str">
        <f ca="1"/>
        <v>Bad</v>
      </c>
    </row>
    <row r="2603" spans="2:34" x14ac:dyDescent="0.2">
      <c r="B2603" s="2">
        <f ca="1"/>
        <v>0.74672446669565984</v>
      </c>
      <c r="O2603" s="2">
        <f ca="1"/>
        <v>0.3872124520063065</v>
      </c>
      <c r="X2603" s="2">
        <f ca="1"/>
        <v>24.093814147485414</v>
      </c>
      <c r="AG2603" s="2">
        <f ca="1"/>
        <v>0.54713925574780675</v>
      </c>
      <c r="AH2603" s="2" t="str">
        <f ca="1"/>
        <v>Bad</v>
      </c>
    </row>
    <row r="2604" spans="2:34" x14ac:dyDescent="0.2">
      <c r="B2604" s="2">
        <f ca="1"/>
        <v>0.66699167633446987</v>
      </c>
      <c r="O2604" s="2">
        <f ca="1"/>
        <v>0.2698356860607059</v>
      </c>
      <c r="X2604" s="2">
        <f ca="1"/>
        <v>63.385291756172286</v>
      </c>
      <c r="AG2604" s="2">
        <f ca="1"/>
        <v>0.50966413218413242</v>
      </c>
      <c r="AH2604" s="2" t="str">
        <f ca="1"/>
        <v>Bad</v>
      </c>
    </row>
    <row r="2605" spans="2:34" x14ac:dyDescent="0.2">
      <c r="B2605" s="2">
        <f ca="1"/>
        <v>0.98524653482846491</v>
      </c>
      <c r="O2605" s="2">
        <f ca="1"/>
        <v>-0.66638402169174371</v>
      </c>
      <c r="X2605" s="2">
        <f ca="1"/>
        <v>58.83531408918455</v>
      </c>
      <c r="AG2605" s="2">
        <f ca="1"/>
        <v>0.61930487079326824</v>
      </c>
      <c r="AH2605" s="2" t="str">
        <f ca="1"/>
        <v>Bad</v>
      </c>
    </row>
    <row r="2606" spans="2:34" x14ac:dyDescent="0.2">
      <c r="B2606" s="2">
        <f ca="1"/>
        <v>0.93947024116135891</v>
      </c>
      <c r="O2606" s="2">
        <f ca="1"/>
        <v>1.1760676935587895</v>
      </c>
      <c r="X2606" s="2">
        <f ca="1"/>
        <v>81.068696282008332</v>
      </c>
      <c r="AG2606" s="2">
        <f ca="1"/>
        <v>0.8790623052807951</v>
      </c>
      <c r="AH2606" s="2" t="str">
        <f ca="1"/>
        <v>Bad</v>
      </c>
    </row>
    <row r="2607" spans="2:34" x14ac:dyDescent="0.2">
      <c r="B2607" s="2">
        <f ca="1"/>
        <v>0.65520838169219231</v>
      </c>
      <c r="O2607" s="2">
        <f ca="1"/>
        <v>-0.79359684389060325</v>
      </c>
      <c r="X2607" s="2">
        <f ca="1"/>
        <v>48.343732431834034</v>
      </c>
      <c r="AG2607" s="2">
        <f ca="1"/>
        <v>0.87073473397782575</v>
      </c>
      <c r="AH2607" s="2" t="str">
        <f ca="1"/>
        <v>Bad</v>
      </c>
    </row>
    <row r="2608" spans="2:34" x14ac:dyDescent="0.2">
      <c r="B2608" s="2">
        <f ca="1"/>
        <v>0.94216871294935678</v>
      </c>
      <c r="O2608" s="2">
        <f ca="1"/>
        <v>-0.72428790099739648</v>
      </c>
      <c r="X2608" s="2">
        <f ca="1"/>
        <v>44.511090393270109</v>
      </c>
      <c r="AG2608" s="2">
        <f ca="1"/>
        <v>0.16193160081641311</v>
      </c>
      <c r="AH2608" s="2" t="str">
        <f ca="1"/>
        <v>OK</v>
      </c>
    </row>
    <row r="2609" spans="2:34" x14ac:dyDescent="0.2">
      <c r="B2609" s="2">
        <f ca="1"/>
        <v>0.62596940374855414</v>
      </c>
      <c r="O2609" s="2">
        <f ca="1"/>
        <v>0.85604762195883266</v>
      </c>
      <c r="X2609" s="2">
        <f ca="1"/>
        <v>112.16618187048695</v>
      </c>
      <c r="AG2609" s="2">
        <f ca="1"/>
        <v>0.50511609176566252</v>
      </c>
      <c r="AH2609" s="2" t="str">
        <f ca="1"/>
        <v>Bad</v>
      </c>
    </row>
    <row r="2610" spans="2:34" x14ac:dyDescent="0.2">
      <c r="B2610" s="2">
        <f ca="1"/>
        <v>0.12598127309340024</v>
      </c>
      <c r="O2610" s="2">
        <f ca="1"/>
        <v>-0.63722919508600762</v>
      </c>
      <c r="X2610" s="2">
        <f ca="1"/>
        <v>43.258823194234786</v>
      </c>
      <c r="AG2610" s="2">
        <f ca="1"/>
        <v>0.69668912572252606</v>
      </c>
      <c r="AH2610" s="2" t="str">
        <f ca="1"/>
        <v>Bad</v>
      </c>
    </row>
    <row r="2611" spans="2:34" x14ac:dyDescent="0.2">
      <c r="B2611" s="2">
        <f ca="1"/>
        <v>8.4179090137750379E-2</v>
      </c>
      <c r="O2611" s="2">
        <f ca="1"/>
        <v>0.94058839921414772</v>
      </c>
      <c r="X2611" s="2">
        <f ca="1"/>
        <v>29.059774169246822</v>
      </c>
      <c r="AG2611" s="2">
        <f ca="1"/>
        <v>6.6687269891454681E-2</v>
      </c>
      <c r="AH2611" s="2" t="str">
        <f ca="1"/>
        <v>OK</v>
      </c>
    </row>
    <row r="2612" spans="2:34" x14ac:dyDescent="0.2">
      <c r="B2612" s="2">
        <f ca="1"/>
        <v>0.48746998624413229</v>
      </c>
      <c r="O2612" s="2">
        <f ca="1"/>
        <v>0.59309747638886212</v>
      </c>
      <c r="X2612" s="2">
        <f ca="1"/>
        <v>61.740722722187769</v>
      </c>
      <c r="AG2612" s="2">
        <f ca="1"/>
        <v>0.12534648552628358</v>
      </c>
      <c r="AH2612" s="2" t="str">
        <f ca="1"/>
        <v>OK</v>
      </c>
    </row>
    <row r="2613" spans="2:34" x14ac:dyDescent="0.2">
      <c r="B2613" s="2">
        <f ca="1"/>
        <v>0.39115352731570274</v>
      </c>
      <c r="O2613" s="2">
        <f ca="1"/>
        <v>5.7303755610015314E-2</v>
      </c>
      <c r="X2613" s="2">
        <f ca="1"/>
        <v>59.690065099107244</v>
      </c>
      <c r="AG2613" s="2">
        <f ca="1"/>
        <v>0.64967640201830923</v>
      </c>
      <c r="AH2613" s="2" t="str">
        <f ca="1"/>
        <v>Bad</v>
      </c>
    </row>
    <row r="2614" spans="2:34" x14ac:dyDescent="0.2">
      <c r="B2614" s="2">
        <f ca="1"/>
        <v>0.60453186783581847</v>
      </c>
      <c r="O2614" s="2">
        <f ca="1"/>
        <v>0.23649485496166536</v>
      </c>
      <c r="X2614" s="2">
        <f ca="1"/>
        <v>53.631479024372965</v>
      </c>
      <c r="AG2614" s="2">
        <f ca="1"/>
        <v>0.9629756906166711</v>
      </c>
      <c r="AH2614" s="2" t="str">
        <f ca="1"/>
        <v>Bad</v>
      </c>
    </row>
    <row r="2615" spans="2:34" x14ac:dyDescent="0.2">
      <c r="B2615" s="2">
        <f ca="1"/>
        <v>0.14130819250632709</v>
      </c>
      <c r="O2615" s="2">
        <f ca="1"/>
        <v>1.1638567503739499</v>
      </c>
      <c r="X2615" s="2">
        <f ca="1"/>
        <v>41.97247438938534</v>
      </c>
      <c r="AG2615" s="2">
        <f ca="1"/>
        <v>0.65399713778609181</v>
      </c>
      <c r="AH2615" s="2" t="str">
        <f ca="1"/>
        <v>Bad</v>
      </c>
    </row>
    <row r="2616" spans="2:34" x14ac:dyDescent="0.2">
      <c r="B2616" s="2">
        <f ca="1"/>
        <v>0.31076020965494733</v>
      </c>
      <c r="O2616" s="2">
        <f ca="1"/>
        <v>1.6135871655769942</v>
      </c>
      <c r="X2616" s="2">
        <f ca="1"/>
        <v>55.676252643220124</v>
      </c>
      <c r="AG2616" s="2">
        <f ca="1"/>
        <v>0.84107822917354591</v>
      </c>
      <c r="AH2616" s="2" t="str">
        <f ca="1"/>
        <v>Bad</v>
      </c>
    </row>
    <row r="2617" spans="2:34" x14ac:dyDescent="0.2">
      <c r="B2617" s="2">
        <f ca="1"/>
        <v>2.884561167345856E-2</v>
      </c>
      <c r="O2617" s="2">
        <f ca="1"/>
        <v>0.31868123648357399</v>
      </c>
      <c r="X2617" s="2">
        <f ca="1"/>
        <v>36.52902719700333</v>
      </c>
      <c r="AG2617" s="2">
        <f ca="1"/>
        <v>0.98096887395277488</v>
      </c>
      <c r="AH2617" s="2" t="str">
        <f ca="1"/>
        <v>Bad</v>
      </c>
    </row>
    <row r="2618" spans="2:34" x14ac:dyDescent="0.2">
      <c r="B2618" s="2">
        <f ca="1"/>
        <v>0.33343654275638279</v>
      </c>
      <c r="O2618" s="2">
        <f ca="1"/>
        <v>-0.38115787377113947</v>
      </c>
      <c r="X2618" s="2">
        <f ca="1"/>
        <v>55.811924297044968</v>
      </c>
      <c r="AG2618" s="2">
        <f ca="1"/>
        <v>0.99414309402719514</v>
      </c>
      <c r="AH2618" s="2" t="str">
        <f ca="1"/>
        <v>Bad</v>
      </c>
    </row>
    <row r="2619" spans="2:34" x14ac:dyDescent="0.2">
      <c r="B2619" s="2">
        <f ca="1"/>
        <v>0.35043582259715578</v>
      </c>
      <c r="O2619" s="2">
        <f ca="1"/>
        <v>-1.0629836459697493</v>
      </c>
      <c r="X2619" s="2">
        <f ca="1"/>
        <v>69.70359394309898</v>
      </c>
      <c r="AG2619" s="2">
        <f ca="1"/>
        <v>0.69420994209008335</v>
      </c>
      <c r="AH2619" s="2" t="str">
        <f ca="1"/>
        <v>Bad</v>
      </c>
    </row>
    <row r="2620" spans="2:34" x14ac:dyDescent="0.2">
      <c r="B2620" s="2">
        <f ca="1"/>
        <v>0.23470057522687315</v>
      </c>
      <c r="O2620" s="2">
        <f ca="1"/>
        <v>0.30362395570184952</v>
      </c>
      <c r="X2620" s="2">
        <f ca="1"/>
        <v>48.227302706131454</v>
      </c>
      <c r="AG2620" s="2">
        <f ca="1"/>
        <v>0.60155329521273671</v>
      </c>
      <c r="AH2620" s="2" t="str">
        <f ca="1"/>
        <v>Bad</v>
      </c>
    </row>
    <row r="2621" spans="2:34" x14ac:dyDescent="0.2">
      <c r="B2621" s="2">
        <f ca="1"/>
        <v>0.95535018525813609</v>
      </c>
      <c r="O2621" s="2">
        <f ca="1"/>
        <v>1.6646934031115255</v>
      </c>
      <c r="X2621" s="2">
        <f ca="1"/>
        <v>50.911206507996233</v>
      </c>
      <c r="AG2621" s="2">
        <f ca="1"/>
        <v>0.89134139701918169</v>
      </c>
      <c r="AH2621" s="2" t="str">
        <f ca="1"/>
        <v>Bad</v>
      </c>
    </row>
    <row r="2622" spans="2:34" x14ac:dyDescent="0.2">
      <c r="B2622" s="2">
        <f ca="1"/>
        <v>0.77547893076065266</v>
      </c>
      <c r="O2622" s="2">
        <f ca="1"/>
        <v>0.54954797176035719</v>
      </c>
      <c r="X2622" s="2">
        <f ca="1"/>
        <v>53.825441178314428</v>
      </c>
      <c r="AG2622" s="2">
        <f ca="1"/>
        <v>0.66584964559036464</v>
      </c>
      <c r="AH2622" s="2" t="str">
        <f ca="1"/>
        <v>Bad</v>
      </c>
    </row>
    <row r="2623" spans="2:34" x14ac:dyDescent="0.2">
      <c r="B2623" s="2">
        <f ca="1"/>
        <v>6.4504467877128935E-2</v>
      </c>
      <c r="O2623" s="2">
        <f ca="1"/>
        <v>-0.41619383335635535</v>
      </c>
      <c r="X2623" s="2">
        <f ca="1"/>
        <v>50.423762046812897</v>
      </c>
      <c r="AG2623" s="2">
        <f ca="1"/>
        <v>0.32607616753140056</v>
      </c>
      <c r="AH2623" s="2" t="str">
        <f ca="1"/>
        <v>OK</v>
      </c>
    </row>
    <row r="2624" spans="2:34" x14ac:dyDescent="0.2">
      <c r="B2624" s="2">
        <f ca="1"/>
        <v>0.73508944873287296</v>
      </c>
      <c r="O2624" s="2">
        <f ca="1"/>
        <v>-1.5669509955672643E-2</v>
      </c>
      <c r="X2624" s="2">
        <f ca="1"/>
        <v>63.184107031601009</v>
      </c>
      <c r="AG2624" s="2">
        <f ca="1"/>
        <v>0.1799928569460536</v>
      </c>
      <c r="AH2624" s="2" t="str">
        <f ca="1"/>
        <v>OK</v>
      </c>
    </row>
    <row r="2625" spans="2:34" x14ac:dyDescent="0.2">
      <c r="B2625" s="2">
        <f ca="1"/>
        <v>0.77662172053003387</v>
      </c>
      <c r="O2625" s="2">
        <f ca="1"/>
        <v>-0.60685452720701805</v>
      </c>
      <c r="X2625" s="2">
        <f ca="1"/>
        <v>60.405739878254622</v>
      </c>
      <c r="AG2625" s="2">
        <f ca="1"/>
        <v>0.70420077159972783</v>
      </c>
      <c r="AH2625" s="2" t="str">
        <f ca="1"/>
        <v>Bad</v>
      </c>
    </row>
    <row r="2626" spans="2:34" x14ac:dyDescent="0.2">
      <c r="B2626" s="2">
        <f ca="1"/>
        <v>0.98840302480899433</v>
      </c>
      <c r="O2626" s="2">
        <f ca="1"/>
        <v>-0.15426701660133749</v>
      </c>
      <c r="X2626" s="2">
        <f ca="1"/>
        <v>41.177132795833202</v>
      </c>
      <c r="AG2626" s="2">
        <f ca="1"/>
        <v>0.71419718626496098</v>
      </c>
      <c r="AH2626" s="2" t="str">
        <f ca="1"/>
        <v>Bad</v>
      </c>
    </row>
    <row r="2627" spans="2:34" x14ac:dyDescent="0.2">
      <c r="B2627" s="2">
        <f ca="1"/>
        <v>0.51543391601673227</v>
      </c>
      <c r="O2627" s="2">
        <f ca="1"/>
        <v>0.29806117743935651</v>
      </c>
      <c r="X2627" s="2">
        <f ca="1"/>
        <v>63.487280193963038</v>
      </c>
      <c r="AG2627" s="2">
        <f ca="1"/>
        <v>0.7079514852335036</v>
      </c>
      <c r="AH2627" s="2" t="str">
        <f ca="1"/>
        <v>Bad</v>
      </c>
    </row>
    <row r="2628" spans="2:34" x14ac:dyDescent="0.2">
      <c r="B2628" s="2">
        <f ca="1"/>
        <v>0.97854278561693042</v>
      </c>
      <c r="O2628" s="2">
        <f ca="1"/>
        <v>-0.14042068381366657</v>
      </c>
      <c r="X2628" s="2">
        <f ca="1"/>
        <v>21.650380069980962</v>
      </c>
      <c r="AG2628" s="2">
        <f ca="1"/>
        <v>0.78350224231823362</v>
      </c>
      <c r="AH2628" s="2" t="str">
        <f ca="1"/>
        <v>Bad</v>
      </c>
    </row>
    <row r="2629" spans="2:34" x14ac:dyDescent="0.2">
      <c r="B2629" s="2">
        <f ca="1"/>
        <v>0.27315038295697991</v>
      </c>
      <c r="O2629" s="2">
        <f ca="1"/>
        <v>-1.329590809982137</v>
      </c>
      <c r="X2629" s="2">
        <f ca="1"/>
        <v>40.154694222258279</v>
      </c>
      <c r="AG2629" s="2">
        <f ca="1"/>
        <v>0.43367430205285151</v>
      </c>
      <c r="AH2629" s="2" t="str">
        <f ca="1"/>
        <v>Bad</v>
      </c>
    </row>
    <row r="2630" spans="2:34" x14ac:dyDescent="0.2">
      <c r="B2630" s="2">
        <f ca="1"/>
        <v>0.57305165937855085</v>
      </c>
      <c r="O2630" s="2">
        <f ca="1"/>
        <v>-0.4491574150547149</v>
      </c>
      <c r="X2630" s="2">
        <f ca="1"/>
        <v>39.613718875150674</v>
      </c>
      <c r="AG2630" s="2">
        <f ca="1"/>
        <v>0.30625214393714928</v>
      </c>
      <c r="AH2630" s="2" t="str">
        <f ca="1"/>
        <v>OK</v>
      </c>
    </row>
    <row r="2631" spans="2:34" x14ac:dyDescent="0.2">
      <c r="B2631" s="2">
        <f ca="1"/>
        <v>0.41386026877949766</v>
      </c>
      <c r="O2631" s="2">
        <f ca="1"/>
        <v>-0.32525123845836706</v>
      </c>
      <c r="X2631" s="2">
        <f ca="1"/>
        <v>27.014470009159389</v>
      </c>
      <c r="AG2631" s="2">
        <f ca="1"/>
        <v>0.45160355132781604</v>
      </c>
      <c r="AH2631" s="2" t="str">
        <f ca="1"/>
        <v>Bad</v>
      </c>
    </row>
    <row r="2632" spans="2:34" x14ac:dyDescent="0.2">
      <c r="B2632" s="2">
        <f ca="1"/>
        <v>0.25315448700768872</v>
      </c>
      <c r="O2632" s="2">
        <f ca="1"/>
        <v>0.39645901112091186</v>
      </c>
      <c r="X2632" s="2">
        <f ca="1"/>
        <v>25.263782012942521</v>
      </c>
      <c r="AG2632" s="2">
        <f ca="1"/>
        <v>0.57064154689427604</v>
      </c>
      <c r="AH2632" s="2" t="str">
        <f ca="1"/>
        <v>Bad</v>
      </c>
    </row>
    <row r="2633" spans="2:34" x14ac:dyDescent="0.2">
      <c r="B2633" s="2">
        <f ca="1"/>
        <v>0.29034307558180039</v>
      </c>
      <c r="O2633" s="2">
        <f ca="1"/>
        <v>0.79682292433858104</v>
      </c>
      <c r="X2633" s="2">
        <f ca="1"/>
        <v>95.764123742630687</v>
      </c>
      <c r="AG2633" s="2">
        <f ca="1"/>
        <v>0.58539545381069202</v>
      </c>
      <c r="AH2633" s="2" t="str">
        <f ca="1"/>
        <v>Bad</v>
      </c>
    </row>
    <row r="2634" spans="2:34" x14ac:dyDescent="0.2">
      <c r="B2634" s="2">
        <f ca="1"/>
        <v>0.18660893871428375</v>
      </c>
      <c r="O2634" s="2">
        <f ca="1"/>
        <v>-1.6716685352510723</v>
      </c>
      <c r="X2634" s="2">
        <f ca="1"/>
        <v>43.649824488220624</v>
      </c>
      <c r="AG2634" s="2">
        <f ca="1"/>
        <v>0.6243198478079679</v>
      </c>
      <c r="AH2634" s="2" t="str">
        <f ca="1"/>
        <v>Bad</v>
      </c>
    </row>
    <row r="2635" spans="2:34" x14ac:dyDescent="0.2">
      <c r="B2635" s="2">
        <f ca="1"/>
        <v>0.69536205830678832</v>
      </c>
      <c r="O2635" s="2">
        <f ca="1"/>
        <v>-1.5993425446665686</v>
      </c>
      <c r="X2635" s="2">
        <f ca="1"/>
        <v>76.828382899847981</v>
      </c>
      <c r="AG2635" s="2">
        <f ca="1"/>
        <v>0.21021193131174098</v>
      </c>
      <c r="AH2635" s="2" t="str">
        <f ca="1"/>
        <v>OK</v>
      </c>
    </row>
    <row r="2636" spans="2:34" x14ac:dyDescent="0.2">
      <c r="B2636" s="2">
        <f ca="1"/>
        <v>0.59699016680244932</v>
      </c>
      <c r="O2636" s="2">
        <f ca="1"/>
        <v>0.21610614508080409</v>
      </c>
      <c r="X2636" s="2">
        <f ca="1"/>
        <v>86.398931053440847</v>
      </c>
      <c r="AG2636" s="2">
        <f ca="1"/>
        <v>0.78959017609411597</v>
      </c>
      <c r="AH2636" s="2" t="str">
        <f ca="1"/>
        <v>Bad</v>
      </c>
    </row>
    <row r="2637" spans="2:34" x14ac:dyDescent="0.2">
      <c r="B2637" s="2">
        <f ca="1"/>
        <v>0.68172674663562027</v>
      </c>
      <c r="O2637" s="2">
        <f ca="1"/>
        <v>-0.47842380603430162</v>
      </c>
      <c r="X2637" s="2">
        <f ca="1"/>
        <v>49.892194273415768</v>
      </c>
      <c r="AG2637" s="2">
        <f ca="1"/>
        <v>0.48368320769398898</v>
      </c>
      <c r="AH2637" s="2" t="str">
        <f ca="1"/>
        <v>Bad</v>
      </c>
    </row>
    <row r="2638" spans="2:34" x14ac:dyDescent="0.2">
      <c r="B2638" s="2">
        <f ca="1"/>
        <v>0.54011322408012186</v>
      </c>
      <c r="O2638" s="2">
        <f ca="1"/>
        <v>0.79191675768111613</v>
      </c>
      <c r="X2638" s="2">
        <f ca="1"/>
        <v>40.380719955690687</v>
      </c>
      <c r="AG2638" s="2">
        <f ca="1"/>
        <v>0.12385197061100128</v>
      </c>
      <c r="AH2638" s="2" t="str">
        <f ca="1"/>
        <v>OK</v>
      </c>
    </row>
    <row r="2639" spans="2:34" x14ac:dyDescent="0.2">
      <c r="B2639" s="2">
        <f ca="1"/>
        <v>0.46166951423322566</v>
      </c>
      <c r="O2639" s="2">
        <f ca="1"/>
        <v>-1.2808408072306863</v>
      </c>
      <c r="X2639" s="2">
        <f ca="1"/>
        <v>72.80680267577803</v>
      </c>
      <c r="AG2639" s="2">
        <f ca="1"/>
        <v>4.0460354439634472E-2</v>
      </c>
      <c r="AH2639" s="2" t="str">
        <f ca="1"/>
        <v>Good</v>
      </c>
    </row>
    <row r="2640" spans="2:34" x14ac:dyDescent="0.2">
      <c r="B2640" s="2">
        <f ca="1"/>
        <v>0.31115351370729627</v>
      </c>
      <c r="O2640" s="2">
        <f ca="1"/>
        <v>1.4871910968286417</v>
      </c>
      <c r="X2640" s="2">
        <f ca="1"/>
        <v>85.452174904603112</v>
      </c>
      <c r="AG2640" s="2">
        <f ca="1"/>
        <v>3.9209250068222179E-2</v>
      </c>
      <c r="AH2640" s="2" t="str">
        <f ca="1"/>
        <v>Good</v>
      </c>
    </row>
    <row r="2641" spans="2:34" x14ac:dyDescent="0.2">
      <c r="B2641" s="2">
        <f ca="1"/>
        <v>0.37394744685744041</v>
      </c>
      <c r="O2641" s="2">
        <f ca="1"/>
        <v>-1.2184510914448878</v>
      </c>
      <c r="X2641" s="2">
        <f ca="1"/>
        <v>41.441393445047289</v>
      </c>
      <c r="AG2641" s="2">
        <f ca="1"/>
        <v>0.18578310977180568</v>
      </c>
      <c r="AH2641" s="2" t="str">
        <f ca="1"/>
        <v>OK</v>
      </c>
    </row>
    <row r="2642" spans="2:34" x14ac:dyDescent="0.2">
      <c r="B2642" s="2">
        <f ca="1"/>
        <v>0.86279284088480068</v>
      </c>
      <c r="O2642" s="2">
        <f ca="1"/>
        <v>0.21178394941567771</v>
      </c>
      <c r="X2642" s="2">
        <f ca="1"/>
        <v>29.317034348839822</v>
      </c>
      <c r="AG2642" s="2">
        <f ca="1"/>
        <v>0.32157329842351312</v>
      </c>
      <c r="AH2642" s="2" t="str">
        <f ca="1"/>
        <v>OK</v>
      </c>
    </row>
    <row r="2643" spans="2:34" x14ac:dyDescent="0.2">
      <c r="B2643" s="2">
        <f ca="1"/>
        <v>0.82974623972723416</v>
      </c>
      <c r="O2643" s="2">
        <f ca="1"/>
        <v>-0.45771253409935231</v>
      </c>
      <c r="X2643" s="2">
        <f ca="1"/>
        <v>72.353851367213991</v>
      </c>
      <c r="AG2643" s="2">
        <f ca="1"/>
        <v>0.5983547517609451</v>
      </c>
      <c r="AH2643" s="2" t="str">
        <f ca="1"/>
        <v>Bad</v>
      </c>
    </row>
    <row r="2644" spans="2:34" x14ac:dyDescent="0.2">
      <c r="B2644" s="2">
        <f ca="1"/>
        <v>0.24790844788973798</v>
      </c>
      <c r="O2644" s="2">
        <f ca="1"/>
        <v>-0.53120716419042335</v>
      </c>
      <c r="X2644" s="2">
        <f ca="1"/>
        <v>49.075248070134009</v>
      </c>
      <c r="AG2644" s="2">
        <f ca="1"/>
        <v>0.21012197448223691</v>
      </c>
      <c r="AH2644" s="2" t="str">
        <f ca="1"/>
        <v>OK</v>
      </c>
    </row>
    <row r="2645" spans="2:34" x14ac:dyDescent="0.2">
      <c r="B2645" s="2">
        <f ca="1"/>
        <v>0.55413825510013348</v>
      </c>
      <c r="O2645" s="2">
        <f ca="1"/>
        <v>0.72447606094300387</v>
      </c>
      <c r="X2645" s="2">
        <f ca="1"/>
        <v>78.910489328639315</v>
      </c>
      <c r="AG2645" s="2">
        <f ca="1"/>
        <v>0.84328613697169241</v>
      </c>
      <c r="AH2645" s="2" t="str">
        <f ca="1"/>
        <v>Bad</v>
      </c>
    </row>
    <row r="2646" spans="2:34" x14ac:dyDescent="0.2">
      <c r="B2646" s="2">
        <f ca="1"/>
        <v>0.10400646615804821</v>
      </c>
      <c r="O2646" s="2">
        <f ca="1"/>
        <v>-1.203088743008309</v>
      </c>
      <c r="X2646" s="2">
        <f ca="1"/>
        <v>46.863076832713837</v>
      </c>
      <c r="AG2646" s="2">
        <f ca="1"/>
        <v>0.34079969854209557</v>
      </c>
      <c r="AH2646" s="2" t="str">
        <f ca="1"/>
        <v>OK</v>
      </c>
    </row>
    <row r="2647" spans="2:34" x14ac:dyDescent="0.2">
      <c r="B2647" s="2">
        <f ca="1"/>
        <v>0.65930140986003161</v>
      </c>
      <c r="O2647" s="2">
        <f ca="1"/>
        <v>-1.0223046686555211</v>
      </c>
      <c r="X2647" s="2">
        <f ca="1"/>
        <v>52.582096939117555</v>
      </c>
      <c r="AG2647" s="2">
        <f ca="1"/>
        <v>0.11751400140772894</v>
      </c>
      <c r="AH2647" s="2" t="str">
        <f ca="1"/>
        <v>OK</v>
      </c>
    </row>
    <row r="2648" spans="2:34" x14ac:dyDescent="0.2">
      <c r="B2648" s="2">
        <f ca="1"/>
        <v>0.33236908670129384</v>
      </c>
      <c r="O2648" s="2">
        <f ca="1"/>
        <v>-0.3233825848979045</v>
      </c>
      <c r="X2648" s="2">
        <f ca="1"/>
        <v>54.483502169082705</v>
      </c>
      <c r="AG2648" s="2">
        <f ca="1"/>
        <v>0.31458449493591911</v>
      </c>
      <c r="AH2648" s="2" t="str">
        <f ca="1"/>
        <v>OK</v>
      </c>
    </row>
    <row r="2649" spans="2:34" x14ac:dyDescent="0.2">
      <c r="B2649" s="2">
        <f ca="1"/>
        <v>0.43883433267568228</v>
      </c>
      <c r="O2649" s="2">
        <f ca="1"/>
        <v>0.33321848724538683</v>
      </c>
      <c r="X2649" s="2">
        <f ca="1"/>
        <v>44.472302561220054</v>
      </c>
      <c r="AG2649" s="2">
        <f ca="1"/>
        <v>0.76322020191934703</v>
      </c>
      <c r="AH2649" s="2" t="str">
        <f ca="1"/>
        <v>Bad</v>
      </c>
    </row>
    <row r="2650" spans="2:34" x14ac:dyDescent="0.2">
      <c r="B2650" s="2">
        <f ca="1"/>
        <v>0.42382381681246195</v>
      </c>
      <c r="O2650" s="2">
        <f ca="1"/>
        <v>-0.2269957273508264</v>
      </c>
      <c r="X2650" s="2">
        <f ca="1"/>
        <v>61.935703429014197</v>
      </c>
      <c r="AG2650" s="2">
        <f ca="1"/>
        <v>0.17473295636140329</v>
      </c>
      <c r="AH2650" s="2" t="str">
        <f ca="1"/>
        <v>OK</v>
      </c>
    </row>
    <row r="2651" spans="2:34" x14ac:dyDescent="0.2">
      <c r="B2651" s="2">
        <f ca="1"/>
        <v>0.42785791688436148</v>
      </c>
      <c r="O2651" s="2">
        <f ca="1"/>
        <v>1.330819221856087</v>
      </c>
      <c r="X2651" s="2">
        <f ca="1"/>
        <v>52.632330973731996</v>
      </c>
      <c r="AG2651" s="2">
        <f ca="1"/>
        <v>0.93664358160026184</v>
      </c>
      <c r="AH2651" s="2" t="str">
        <f ca="1"/>
        <v>Bad</v>
      </c>
    </row>
    <row r="2652" spans="2:34" x14ac:dyDescent="0.2">
      <c r="B2652" s="2">
        <f ca="1"/>
        <v>0.11898112458193588</v>
      </c>
      <c r="O2652" s="2">
        <f ca="1"/>
        <v>-0.12537808564251901</v>
      </c>
      <c r="X2652" s="2">
        <f ca="1"/>
        <v>37.28199662534611</v>
      </c>
      <c r="AG2652" s="2">
        <f ca="1"/>
        <v>3.0021669004219653E-2</v>
      </c>
      <c r="AH2652" s="2" t="str">
        <f ca="1"/>
        <v>Good</v>
      </c>
    </row>
    <row r="2653" spans="2:34" x14ac:dyDescent="0.2">
      <c r="B2653" s="2">
        <f ca="1"/>
        <v>0.74304209836364277</v>
      </c>
      <c r="O2653" s="2">
        <f ca="1"/>
        <v>-1.6891388504839651</v>
      </c>
      <c r="X2653" s="2">
        <f ca="1"/>
        <v>53.582519266413662</v>
      </c>
      <c r="AG2653" s="2">
        <f ca="1"/>
        <v>0.18771803678704058</v>
      </c>
      <c r="AH2653" s="2" t="str">
        <f ca="1"/>
        <v>OK</v>
      </c>
    </row>
    <row r="2654" spans="2:34" x14ac:dyDescent="0.2">
      <c r="B2654" s="2">
        <f ca="1"/>
        <v>0.26452203973084853</v>
      </c>
      <c r="O2654" s="2">
        <f ca="1"/>
        <v>1.2365680903101819</v>
      </c>
      <c r="X2654" s="2">
        <f ca="1"/>
        <v>80.513115587230516</v>
      </c>
      <c r="AG2654" s="2">
        <f ca="1"/>
        <v>0.23414490520897258</v>
      </c>
      <c r="AH2654" s="2" t="str">
        <f ca="1"/>
        <v>OK</v>
      </c>
    </row>
    <row r="2655" spans="2:34" x14ac:dyDescent="0.2">
      <c r="B2655" s="2">
        <f ca="1"/>
        <v>0.99107132892673877</v>
      </c>
      <c r="O2655" s="2">
        <f ca="1"/>
        <v>-0.11564731472008408</v>
      </c>
      <c r="X2655" s="2">
        <f ca="1"/>
        <v>26.819303062412331</v>
      </c>
      <c r="AG2655" s="2">
        <f ca="1"/>
        <v>0.52949044902585762</v>
      </c>
      <c r="AH2655" s="2" t="str">
        <f ca="1"/>
        <v>Bad</v>
      </c>
    </row>
    <row r="2656" spans="2:34" x14ac:dyDescent="0.2">
      <c r="B2656" s="2">
        <f ca="1"/>
        <v>6.9187758954017742E-2</v>
      </c>
      <c r="O2656" s="2">
        <f ca="1"/>
        <v>1.3512977740903747</v>
      </c>
      <c r="X2656" s="2">
        <f ca="1"/>
        <v>50.645274737574752</v>
      </c>
      <c r="AG2656" s="2">
        <f ca="1"/>
        <v>0.1266740751765858</v>
      </c>
      <c r="AH2656" s="2" t="str">
        <f ca="1"/>
        <v>OK</v>
      </c>
    </row>
    <row r="2657" spans="2:34" x14ac:dyDescent="0.2">
      <c r="B2657" s="2">
        <f ca="1"/>
        <v>0.64081868218677562</v>
      </c>
      <c r="O2657" s="2">
        <f ca="1"/>
        <v>-0.18605944271154548</v>
      </c>
      <c r="X2657" s="2">
        <f ca="1"/>
        <v>32.766961939142561</v>
      </c>
      <c r="AG2657" s="2">
        <f ca="1"/>
        <v>0.11934645383388509</v>
      </c>
      <c r="AH2657" s="2" t="str">
        <f ca="1"/>
        <v>OK</v>
      </c>
    </row>
    <row r="2658" spans="2:34" x14ac:dyDescent="0.2">
      <c r="B2658" s="2">
        <f ca="1"/>
        <v>0.99575514008375032</v>
      </c>
      <c r="O2658" s="2">
        <f ca="1"/>
        <v>0.27439621830827643</v>
      </c>
      <c r="X2658" s="2">
        <f ca="1"/>
        <v>48.555671426470113</v>
      </c>
      <c r="AG2658" s="2">
        <f ca="1"/>
        <v>0.44562201636030885</v>
      </c>
      <c r="AH2658" s="2" t="str">
        <f ca="1"/>
        <v>Bad</v>
      </c>
    </row>
    <row r="2659" spans="2:34" x14ac:dyDescent="0.2">
      <c r="B2659" s="2">
        <f ca="1"/>
        <v>0.59581209983104833</v>
      </c>
      <c r="O2659" s="2">
        <f ca="1"/>
        <v>-1.5206909748573263</v>
      </c>
      <c r="X2659" s="2">
        <f ca="1"/>
        <v>52.179651496828861</v>
      </c>
      <c r="AG2659" s="2">
        <f ca="1"/>
        <v>0.79340868576604273</v>
      </c>
      <c r="AH2659" s="2" t="str">
        <f ca="1"/>
        <v>Bad</v>
      </c>
    </row>
    <row r="2660" spans="2:34" x14ac:dyDescent="0.2">
      <c r="B2660" s="2">
        <f ca="1"/>
        <v>0.67022703141913142</v>
      </c>
      <c r="O2660" s="2">
        <f ca="1"/>
        <v>0.41310020159907945</v>
      </c>
      <c r="X2660" s="2">
        <f ca="1"/>
        <v>41.556620661458268</v>
      </c>
      <c r="AG2660" s="2">
        <f ca="1"/>
        <v>0.68485635697669345</v>
      </c>
      <c r="AH2660" s="2" t="str">
        <f ca="1"/>
        <v>Bad</v>
      </c>
    </row>
    <row r="2661" spans="2:34" x14ac:dyDescent="0.2">
      <c r="B2661" s="2">
        <f ca="1"/>
        <v>0.17296356514432709</v>
      </c>
      <c r="O2661" s="2">
        <f ca="1"/>
        <v>1.3447715021402424</v>
      </c>
      <c r="X2661" s="2">
        <f ca="1"/>
        <v>69.02155984195106</v>
      </c>
      <c r="AG2661" s="2">
        <f ca="1"/>
        <v>0.29421046984180355</v>
      </c>
      <c r="AH2661" s="2" t="str">
        <f ca="1"/>
        <v>OK</v>
      </c>
    </row>
    <row r="2662" spans="2:34" x14ac:dyDescent="0.2">
      <c r="B2662" s="2">
        <f ca="1"/>
        <v>0.90533957105623264</v>
      </c>
      <c r="O2662" s="2">
        <f ca="1"/>
        <v>-1.4725007749739893</v>
      </c>
      <c r="X2662" s="2">
        <f ca="1"/>
        <v>38.269797949764374</v>
      </c>
      <c r="AG2662" s="2">
        <f ca="1"/>
        <v>0.30868227896127975</v>
      </c>
      <c r="AH2662" s="2" t="str">
        <f ca="1"/>
        <v>OK</v>
      </c>
    </row>
    <row r="2663" spans="2:34" x14ac:dyDescent="0.2">
      <c r="B2663" s="2">
        <f ca="1"/>
        <v>0.82297869210468555</v>
      </c>
      <c r="O2663" s="2">
        <f ca="1"/>
        <v>-1.3413204850763225</v>
      </c>
      <c r="X2663" s="2">
        <f ca="1"/>
        <v>50.435715938623396</v>
      </c>
      <c r="AG2663" s="2">
        <f ca="1"/>
        <v>0.92061625395457147</v>
      </c>
      <c r="AH2663" s="2" t="str">
        <f ca="1"/>
        <v>Bad</v>
      </c>
    </row>
    <row r="2664" spans="2:34" x14ac:dyDescent="0.2">
      <c r="B2664" s="2">
        <f ca="1"/>
        <v>0.34979202772306306</v>
      </c>
      <c r="O2664" s="2">
        <f ca="1"/>
        <v>-0.74365983573131256</v>
      </c>
      <c r="X2664" s="2">
        <f ca="1"/>
        <v>28.11870664316784</v>
      </c>
      <c r="AG2664" s="2">
        <f ca="1"/>
        <v>0.87213420448125789</v>
      </c>
      <c r="AH2664" s="2" t="str">
        <f ca="1"/>
        <v>Bad</v>
      </c>
    </row>
    <row r="2665" spans="2:34" x14ac:dyDescent="0.2">
      <c r="B2665" s="2">
        <f ca="1"/>
        <v>0.40842502954401794</v>
      </c>
      <c r="O2665" s="2">
        <f ca="1"/>
        <v>-1.4126961646094567</v>
      </c>
      <c r="X2665" s="2">
        <f ca="1"/>
        <v>46.13450867171214</v>
      </c>
      <c r="AG2665" s="2">
        <f ca="1"/>
        <v>0.56155716071361983</v>
      </c>
      <c r="AH2665" s="2" t="str">
        <f ca="1"/>
        <v>Bad</v>
      </c>
    </row>
    <row r="2666" spans="2:34" x14ac:dyDescent="0.2">
      <c r="B2666" s="2">
        <f ca="1"/>
        <v>0.8318259999207358</v>
      </c>
      <c r="O2666" s="2">
        <f ca="1"/>
        <v>0.77206317939266245</v>
      </c>
      <c r="X2666" s="2">
        <f ca="1"/>
        <v>14.964075797462993</v>
      </c>
      <c r="AG2666" s="2">
        <f ca="1"/>
        <v>0.49620462196983328</v>
      </c>
      <c r="AH2666" s="2" t="str">
        <f ca="1"/>
        <v>Bad</v>
      </c>
    </row>
    <row r="2667" spans="2:34" x14ac:dyDescent="0.2">
      <c r="B2667" s="2">
        <f ca="1"/>
        <v>0.61796186926889973</v>
      </c>
      <c r="O2667" s="2">
        <f ca="1"/>
        <v>-0.58821671748891124</v>
      </c>
      <c r="X2667" s="2">
        <f ca="1"/>
        <v>64.664117459190962</v>
      </c>
      <c r="AG2667" s="2">
        <f ca="1"/>
        <v>0.14237017823510056</v>
      </c>
      <c r="AH2667" s="2" t="str">
        <f ca="1"/>
        <v>OK</v>
      </c>
    </row>
    <row r="2668" spans="2:34" x14ac:dyDescent="0.2">
      <c r="B2668" s="2">
        <f ca="1"/>
        <v>0.97353794258555149</v>
      </c>
      <c r="O2668" s="2">
        <f ca="1"/>
        <v>1.1754576734920608</v>
      </c>
      <c r="X2668" s="2">
        <f ca="1"/>
        <v>57.070947002458411</v>
      </c>
      <c r="AG2668" s="2">
        <f ca="1"/>
        <v>0.91070928977606203</v>
      </c>
      <c r="AH2668" s="2" t="str">
        <f ca="1"/>
        <v>Bad</v>
      </c>
    </row>
    <row r="2669" spans="2:34" x14ac:dyDescent="0.2">
      <c r="B2669" s="2">
        <f ca="1"/>
        <v>0.24126924891003387</v>
      </c>
      <c r="O2669" s="2">
        <f ca="1"/>
        <v>0.78288087260343131</v>
      </c>
      <c r="X2669" s="2">
        <f ca="1"/>
        <v>27.28235871453748</v>
      </c>
      <c r="AG2669" s="2">
        <f ca="1"/>
        <v>0.76009826576898254</v>
      </c>
      <c r="AH2669" s="2" t="str">
        <f ca="1"/>
        <v>Bad</v>
      </c>
    </row>
    <row r="2670" spans="2:34" x14ac:dyDescent="0.2">
      <c r="B2670" s="2">
        <f ca="1"/>
        <v>0.31282864773277308</v>
      </c>
      <c r="O2670" s="2">
        <f ca="1"/>
        <v>8.0667586906390615E-2</v>
      </c>
      <c r="X2670" s="2">
        <f ca="1"/>
        <v>57.327873523244847</v>
      </c>
      <c r="AG2670" s="2">
        <f ca="1"/>
        <v>3.2115280172807958E-2</v>
      </c>
      <c r="AH2670" s="2" t="str">
        <f ca="1"/>
        <v>Good</v>
      </c>
    </row>
    <row r="2671" spans="2:34" x14ac:dyDescent="0.2">
      <c r="B2671" s="2">
        <f ca="1"/>
        <v>0.18592176214046741</v>
      </c>
      <c r="O2671" s="2">
        <f ca="1"/>
        <v>0.53293219022330751</v>
      </c>
      <c r="X2671" s="2">
        <f ca="1"/>
        <v>56.353015925009231</v>
      </c>
      <c r="AG2671" s="2">
        <f ca="1"/>
        <v>0.33190160928122414</v>
      </c>
      <c r="AH2671" s="2" t="str">
        <f ca="1"/>
        <v>OK</v>
      </c>
    </row>
    <row r="2672" spans="2:34" x14ac:dyDescent="0.2">
      <c r="B2672" s="2">
        <f ca="1"/>
        <v>0.81820890829431514</v>
      </c>
      <c r="O2672" s="2">
        <f ca="1"/>
        <v>1.1099507264381603</v>
      </c>
      <c r="X2672" s="2">
        <f ca="1"/>
        <v>43.143324682965947</v>
      </c>
      <c r="AG2672" s="2">
        <f ca="1"/>
        <v>0.23571083564133399</v>
      </c>
      <c r="AH2672" s="2" t="str">
        <f ca="1"/>
        <v>OK</v>
      </c>
    </row>
    <row r="2673" spans="2:34" x14ac:dyDescent="0.2">
      <c r="B2673" s="2">
        <f ca="1"/>
        <v>0.12062525222084464</v>
      </c>
      <c r="O2673" s="2">
        <f ca="1"/>
        <v>0.7127730101276426</v>
      </c>
      <c r="X2673" s="2">
        <f ca="1"/>
        <v>52.51505177917074</v>
      </c>
      <c r="AG2673" s="2">
        <f ca="1"/>
        <v>0.44284573984780184</v>
      </c>
      <c r="AH2673" s="2" t="str">
        <f ca="1"/>
        <v>Bad</v>
      </c>
    </row>
    <row r="2674" spans="2:34" x14ac:dyDescent="0.2">
      <c r="B2674" s="2">
        <f ca="1"/>
        <v>0.58824239207037854</v>
      </c>
      <c r="O2674" s="2">
        <f ca="1"/>
        <v>-0.88702287472607488</v>
      </c>
      <c r="X2674" s="2">
        <f ca="1"/>
        <v>38.620873574477656</v>
      </c>
      <c r="AG2674" s="2">
        <f ca="1"/>
        <v>0.75243529967352307</v>
      </c>
      <c r="AH2674" s="2" t="str">
        <f ca="1"/>
        <v>Bad</v>
      </c>
    </row>
    <row r="2675" spans="2:34" x14ac:dyDescent="0.2">
      <c r="B2675" s="2">
        <f ca="1"/>
        <v>0.25707662613542581</v>
      </c>
      <c r="O2675" s="2">
        <f ca="1"/>
        <v>0.71389811238222156</v>
      </c>
      <c r="X2675" s="2">
        <f ca="1"/>
        <v>50.091889137997697</v>
      </c>
      <c r="AG2675" s="2">
        <f ca="1"/>
        <v>0.1477729589643717</v>
      </c>
      <c r="AH2675" s="2" t="str">
        <f ca="1"/>
        <v>OK</v>
      </c>
    </row>
    <row r="2676" spans="2:34" x14ac:dyDescent="0.2">
      <c r="B2676" s="2">
        <f ca="1"/>
        <v>0.61403711875621236</v>
      </c>
      <c r="O2676" s="2">
        <f ca="1"/>
        <v>1.7335971098544647E-2</v>
      </c>
      <c r="X2676" s="2">
        <f ca="1"/>
        <v>51.710882884430703</v>
      </c>
      <c r="AG2676" s="2">
        <f ca="1"/>
        <v>0.46560213149180751</v>
      </c>
      <c r="AH2676" s="2" t="str">
        <f ca="1"/>
        <v>Bad</v>
      </c>
    </row>
    <row r="2677" spans="2:34" x14ac:dyDescent="0.2">
      <c r="B2677" s="2">
        <f ca="1"/>
        <v>0.17662009788322464</v>
      </c>
      <c r="O2677" s="2">
        <f ca="1"/>
        <v>0.5167586403589961</v>
      </c>
      <c r="X2677" s="2">
        <f ca="1"/>
        <v>66.968118683579704</v>
      </c>
      <c r="AG2677" s="2">
        <f ca="1"/>
        <v>0.51844309867856508</v>
      </c>
      <c r="AH2677" s="2" t="str">
        <f ca="1"/>
        <v>Bad</v>
      </c>
    </row>
    <row r="2678" spans="2:34" x14ac:dyDescent="0.2">
      <c r="B2678" s="2">
        <f ca="1"/>
        <v>0.43004187796557791</v>
      </c>
      <c r="O2678" s="2">
        <f ca="1"/>
        <v>0.83373658005587137</v>
      </c>
      <c r="X2678" s="2">
        <f ca="1"/>
        <v>48.927958200260122</v>
      </c>
      <c r="AG2678" s="2">
        <f ca="1"/>
        <v>0.20364531632104876</v>
      </c>
      <c r="AH2678" s="2" t="str">
        <f ca="1"/>
        <v>OK</v>
      </c>
    </row>
    <row r="2679" spans="2:34" x14ac:dyDescent="0.2">
      <c r="B2679" s="2">
        <f ca="1"/>
        <v>0.69499931029353879</v>
      </c>
      <c r="O2679" s="2">
        <f ca="1"/>
        <v>0.21093779218619468</v>
      </c>
      <c r="X2679" s="2">
        <f ca="1"/>
        <v>26.345921833090266</v>
      </c>
      <c r="AG2679" s="2">
        <f ca="1"/>
        <v>0.78030392713517194</v>
      </c>
      <c r="AH2679" s="2" t="str">
        <f ca="1"/>
        <v>Bad</v>
      </c>
    </row>
    <row r="2680" spans="2:34" x14ac:dyDescent="0.2">
      <c r="B2680" s="2">
        <f ca="1"/>
        <v>0.25908364041939524</v>
      </c>
      <c r="O2680" s="2">
        <f ca="1"/>
        <v>-0.19085712987738865</v>
      </c>
      <c r="X2680" s="2">
        <f ca="1"/>
        <v>48.44313805443646</v>
      </c>
      <c r="AG2680" s="2">
        <f ca="1"/>
        <v>0.2239819078832217</v>
      </c>
      <c r="AH2680" s="2" t="str">
        <f ca="1"/>
        <v>OK</v>
      </c>
    </row>
    <row r="2681" spans="2:34" x14ac:dyDescent="0.2">
      <c r="B2681" s="2">
        <f ca="1"/>
        <v>0.19983619565237576</v>
      </c>
      <c r="O2681" s="2">
        <f ca="1"/>
        <v>-9.0837936306711706E-2</v>
      </c>
      <c r="X2681" s="2">
        <f ca="1"/>
        <v>24.565776138601127</v>
      </c>
      <c r="AG2681" s="2">
        <f ca="1"/>
        <v>0.34127030314043894</v>
      </c>
      <c r="AH2681" s="2" t="str">
        <f ca="1"/>
        <v>OK</v>
      </c>
    </row>
    <row r="2682" spans="2:34" x14ac:dyDescent="0.2">
      <c r="B2682" s="2">
        <f ca="1"/>
        <v>0.42027920837643173</v>
      </c>
      <c r="O2682" s="2">
        <f ca="1"/>
        <v>0.30427090750133523</v>
      </c>
      <c r="X2682" s="2">
        <f ca="1"/>
        <v>49.313695007619323</v>
      </c>
      <c r="AG2682" s="2">
        <f ca="1"/>
        <v>0.88609282677468193</v>
      </c>
      <c r="AH2682" s="2" t="str">
        <f ca="1"/>
        <v>Bad</v>
      </c>
    </row>
    <row r="2683" spans="2:34" x14ac:dyDescent="0.2">
      <c r="B2683" s="2">
        <f ca="1"/>
        <v>0.37714045919297656</v>
      </c>
      <c r="O2683" s="2">
        <f ca="1"/>
        <v>0.72880838978319062</v>
      </c>
      <c r="X2683" s="2">
        <f ca="1"/>
        <v>64.796822972430476</v>
      </c>
      <c r="AG2683" s="2">
        <f ca="1"/>
        <v>0.69552608229151081</v>
      </c>
      <c r="AH2683" s="2" t="str">
        <f ca="1"/>
        <v>Bad</v>
      </c>
    </row>
    <row r="2684" spans="2:34" x14ac:dyDescent="0.2">
      <c r="B2684" s="2">
        <f ca="1"/>
        <v>0.28064989413156538</v>
      </c>
      <c r="O2684" s="2">
        <f ca="1"/>
        <v>1.9000058832130167</v>
      </c>
      <c r="X2684" s="2">
        <f ca="1"/>
        <v>58.330359955027262</v>
      </c>
      <c r="AG2684" s="2">
        <f ca="1"/>
        <v>0.8265922405204349</v>
      </c>
      <c r="AH2684" s="2" t="str">
        <f ca="1"/>
        <v>Bad</v>
      </c>
    </row>
    <row r="2685" spans="2:34" x14ac:dyDescent="0.2">
      <c r="B2685" s="2">
        <f ca="1"/>
        <v>0.8036557330035532</v>
      </c>
      <c r="O2685" s="2">
        <f ca="1"/>
        <v>-0.86010842141385835</v>
      </c>
      <c r="X2685" s="2">
        <f ca="1"/>
        <v>49.934642252944379</v>
      </c>
      <c r="AG2685" s="2">
        <f ca="1"/>
        <v>0.56606395442721813</v>
      </c>
      <c r="AH2685" s="2" t="str">
        <f ca="1"/>
        <v>Bad</v>
      </c>
    </row>
    <row r="2686" spans="2:34" x14ac:dyDescent="0.2">
      <c r="B2686" s="2">
        <f ca="1"/>
        <v>0.94079620096082373</v>
      </c>
      <c r="O2686" s="2">
        <f ca="1"/>
        <v>1.1843549283306269</v>
      </c>
      <c r="X2686" s="2">
        <f ca="1"/>
        <v>52.189350183049193</v>
      </c>
      <c r="AG2686" s="2">
        <f ca="1"/>
        <v>3.7876445027248185E-2</v>
      </c>
      <c r="AH2686" s="2" t="str">
        <f ca="1"/>
        <v>Good</v>
      </c>
    </row>
    <row r="2687" spans="2:34" x14ac:dyDescent="0.2">
      <c r="B2687" s="2">
        <f ca="1"/>
        <v>0.51624956043914705</v>
      </c>
      <c r="O2687" s="2">
        <f ca="1"/>
        <v>-0.89043713139461222</v>
      </c>
      <c r="X2687" s="2">
        <f ca="1"/>
        <v>48.676010804813323</v>
      </c>
      <c r="AG2687" s="2">
        <f ca="1"/>
        <v>0.70239754529869236</v>
      </c>
      <c r="AH2687" s="2" t="str">
        <f ca="1"/>
        <v>Bad</v>
      </c>
    </row>
    <row r="2688" spans="2:34" x14ac:dyDescent="0.2">
      <c r="B2688" s="2">
        <f ca="1"/>
        <v>0.78493720920746579</v>
      </c>
      <c r="O2688" s="2">
        <f ca="1"/>
        <v>0.23083601480071556</v>
      </c>
      <c r="X2688" s="2">
        <f ca="1"/>
        <v>39.70062654195069</v>
      </c>
      <c r="AG2688" s="2">
        <f ca="1"/>
        <v>0.47807339300502316</v>
      </c>
      <c r="AH2688" s="2" t="str">
        <f ca="1"/>
        <v>Bad</v>
      </c>
    </row>
    <row r="2689" spans="2:34" x14ac:dyDescent="0.2">
      <c r="B2689" s="2">
        <f ca="1"/>
        <v>0.36138721326188672</v>
      </c>
      <c r="O2689" s="2">
        <f ca="1"/>
        <v>-0.45582939440461051</v>
      </c>
      <c r="X2689" s="2">
        <f ca="1"/>
        <v>36.216059750282461</v>
      </c>
      <c r="AG2689" s="2">
        <f ca="1"/>
        <v>0.83536616203635417</v>
      </c>
      <c r="AH2689" s="2" t="str">
        <f ca="1"/>
        <v>Bad</v>
      </c>
    </row>
    <row r="2690" spans="2:34" x14ac:dyDescent="0.2">
      <c r="B2690" s="2">
        <f ca="1"/>
        <v>0.43183179010091854</v>
      </c>
      <c r="O2690" s="2">
        <f ca="1"/>
        <v>0.47228039378001896</v>
      </c>
      <c r="X2690" s="2">
        <f ca="1"/>
        <v>38.074602858946037</v>
      </c>
      <c r="AG2690" s="2">
        <f ca="1"/>
        <v>0.97816547726730696</v>
      </c>
      <c r="AH2690" s="2" t="str">
        <f ca="1"/>
        <v>Bad</v>
      </c>
    </row>
    <row r="2691" spans="2:34" x14ac:dyDescent="0.2">
      <c r="B2691" s="2">
        <f ca="1"/>
        <v>0.45219515402403254</v>
      </c>
      <c r="O2691" s="2">
        <f ca="1"/>
        <v>-1.8590776574806682</v>
      </c>
      <c r="X2691" s="2">
        <f ca="1"/>
        <v>80.796178299894905</v>
      </c>
      <c r="AG2691" s="2">
        <f ca="1"/>
        <v>0.83815892780374734</v>
      </c>
      <c r="AH2691" s="2" t="str">
        <f ca="1"/>
        <v>Bad</v>
      </c>
    </row>
    <row r="2692" spans="2:34" x14ac:dyDescent="0.2">
      <c r="B2692" s="2">
        <f ca="1"/>
        <v>0.85639168708471036</v>
      </c>
      <c r="O2692" s="2">
        <f ca="1"/>
        <v>0.64153978091998631</v>
      </c>
      <c r="X2692" s="2">
        <f ca="1"/>
        <v>60.964330785463773</v>
      </c>
      <c r="AG2692" s="2">
        <f ca="1"/>
        <v>0.42455804228971106</v>
      </c>
      <c r="AH2692" s="2" t="str">
        <f ca="1"/>
        <v>Bad</v>
      </c>
    </row>
    <row r="2693" spans="2:34" x14ac:dyDescent="0.2">
      <c r="B2693" s="2">
        <f ca="1"/>
        <v>0.86577995488863135</v>
      </c>
      <c r="O2693" s="2">
        <f ca="1"/>
        <v>1.1479510681834888</v>
      </c>
      <c r="X2693" s="2">
        <f ca="1"/>
        <v>55.284169880806282</v>
      </c>
      <c r="AG2693" s="2">
        <f ca="1"/>
        <v>0.63899749086151947</v>
      </c>
      <c r="AH2693" s="2" t="str">
        <f ca="1"/>
        <v>Bad</v>
      </c>
    </row>
    <row r="2694" spans="2:34" x14ac:dyDescent="0.2">
      <c r="B2694" s="2">
        <f ca="1"/>
        <v>0.44413287783041988</v>
      </c>
      <c r="O2694" s="2">
        <f ca="1"/>
        <v>0.25718317225871312</v>
      </c>
      <c r="X2694" s="2">
        <f ca="1"/>
        <v>56.912297564337095</v>
      </c>
      <c r="AG2694" s="2">
        <f ca="1"/>
        <v>0.65819032327420879</v>
      </c>
      <c r="AH2694" s="2" t="str">
        <f ca="1"/>
        <v>Bad</v>
      </c>
    </row>
    <row r="2695" spans="2:34" x14ac:dyDescent="0.2">
      <c r="B2695" s="2">
        <f ca="1"/>
        <v>0.79175304653995582</v>
      </c>
      <c r="O2695" s="2">
        <f ca="1"/>
        <v>-1.6861124790612609</v>
      </c>
      <c r="X2695" s="2">
        <f ca="1"/>
        <v>75.862657910513065</v>
      </c>
      <c r="AG2695" s="2">
        <f ca="1"/>
        <v>0.36827134719701715</v>
      </c>
      <c r="AH2695" s="2" t="str">
        <f ca="1"/>
        <v>OK</v>
      </c>
    </row>
    <row r="2696" spans="2:34" x14ac:dyDescent="0.2">
      <c r="B2696" s="2">
        <f ca="1"/>
        <v>0.69983577168456446</v>
      </c>
      <c r="O2696" s="2">
        <f ca="1"/>
        <v>1.1612633075912251</v>
      </c>
      <c r="X2696" s="2">
        <f ca="1"/>
        <v>34.583038800131405</v>
      </c>
      <c r="AG2696" s="2">
        <f ca="1"/>
        <v>0.62980715180779612</v>
      </c>
      <c r="AH2696" s="2" t="str">
        <f ca="1"/>
        <v>Bad</v>
      </c>
    </row>
    <row r="2697" spans="2:34" x14ac:dyDescent="0.2">
      <c r="B2697" s="2">
        <f ca="1"/>
        <v>0.22953855168828952</v>
      </c>
      <c r="O2697" s="2">
        <f ca="1"/>
        <v>-1.8484421101593633</v>
      </c>
      <c r="X2697" s="2">
        <f ca="1"/>
        <v>43.997408595784833</v>
      </c>
      <c r="AG2697" s="2">
        <f ca="1"/>
        <v>0.12061221386985199</v>
      </c>
      <c r="AH2697" s="2" t="str">
        <f ca="1"/>
        <v>OK</v>
      </c>
    </row>
    <row r="2698" spans="2:34" x14ac:dyDescent="0.2">
      <c r="B2698" s="2">
        <f ca="1"/>
        <v>0.58063720439292932</v>
      </c>
      <c r="O2698" s="2">
        <f ca="1"/>
        <v>1.6840907957513462</v>
      </c>
      <c r="X2698" s="2">
        <f ca="1"/>
        <v>32.422289351675992</v>
      </c>
      <c r="AG2698" s="2">
        <f ca="1"/>
        <v>0.93302970230939275</v>
      </c>
      <c r="AH2698" s="2" t="str">
        <f ca="1"/>
        <v>Bad</v>
      </c>
    </row>
    <row r="2699" spans="2:34" x14ac:dyDescent="0.2">
      <c r="B2699" s="2">
        <f ca="1"/>
        <v>0.43941445418248559</v>
      </c>
      <c r="O2699" s="2">
        <f ca="1"/>
        <v>-0.32374446950983476</v>
      </c>
      <c r="X2699" s="2">
        <f ca="1"/>
        <v>56.909127332686595</v>
      </c>
      <c r="AG2699" s="2">
        <f ca="1"/>
        <v>0.79744683261551064</v>
      </c>
      <c r="AH2699" s="2" t="str">
        <f ca="1"/>
        <v>Bad</v>
      </c>
    </row>
    <row r="2700" spans="2:34" x14ac:dyDescent="0.2">
      <c r="B2700" s="2">
        <f ca="1"/>
        <v>5.3112184387708039E-2</v>
      </c>
      <c r="O2700" s="2">
        <f ca="1"/>
        <v>0.31627017114486311</v>
      </c>
      <c r="X2700" s="2">
        <f ca="1"/>
        <v>67.160392459173835</v>
      </c>
      <c r="AG2700" s="2">
        <f ca="1"/>
        <v>0.23506434377069163</v>
      </c>
      <c r="AH2700" s="2" t="str">
        <f ca="1"/>
        <v>OK</v>
      </c>
    </row>
    <row r="2701" spans="2:34" x14ac:dyDescent="0.2">
      <c r="B2701" s="2">
        <f ca="1"/>
        <v>0.17311882178468441</v>
      </c>
      <c r="O2701" s="2">
        <f ca="1"/>
        <v>-0.57086006226990005</v>
      </c>
      <c r="X2701" s="2">
        <f ca="1"/>
        <v>49.000048050463448</v>
      </c>
      <c r="AG2701" s="2">
        <f ca="1"/>
        <v>0.89020038901197229</v>
      </c>
      <c r="AH2701" s="2" t="str">
        <f ca="1"/>
        <v>Bad</v>
      </c>
    </row>
    <row r="2702" spans="2:34" x14ac:dyDescent="0.2">
      <c r="B2702" s="2">
        <f ca="1"/>
        <v>7.3320573359860308E-2</v>
      </c>
      <c r="O2702" s="2">
        <f ca="1"/>
        <v>-0.44817057883378214</v>
      </c>
      <c r="X2702" s="2">
        <f ca="1"/>
        <v>44.785593497793116</v>
      </c>
      <c r="AG2702" s="2">
        <f ca="1"/>
        <v>0.92515287685294068</v>
      </c>
      <c r="AH2702" s="2" t="str">
        <f ca="1"/>
        <v>Bad</v>
      </c>
    </row>
    <row r="2703" spans="2:34" x14ac:dyDescent="0.2">
      <c r="B2703" s="2">
        <f ca="1"/>
        <v>0.6664368685260047</v>
      </c>
      <c r="O2703" s="2">
        <f ca="1"/>
        <v>0.64256092061256875</v>
      </c>
      <c r="X2703" s="2">
        <f ca="1"/>
        <v>63.400459552020216</v>
      </c>
      <c r="AG2703" s="2">
        <f ca="1"/>
        <v>0.15884967419017704</v>
      </c>
      <c r="AH2703" s="2" t="str">
        <f ca="1"/>
        <v>OK</v>
      </c>
    </row>
    <row r="2704" spans="2:34" x14ac:dyDescent="0.2">
      <c r="B2704" s="2">
        <f ca="1"/>
        <v>0.9740999173972531</v>
      </c>
      <c r="O2704" s="2">
        <f ca="1"/>
        <v>-0.24806852066873575</v>
      </c>
      <c r="X2704" s="2">
        <f ca="1"/>
        <v>61.433611858378583</v>
      </c>
      <c r="AG2704" s="2">
        <f ca="1"/>
        <v>0.68496632176482097</v>
      </c>
      <c r="AH2704" s="2" t="str">
        <f ca="1"/>
        <v>Bad</v>
      </c>
    </row>
    <row r="2705" spans="2:34" x14ac:dyDescent="0.2">
      <c r="B2705" s="2">
        <f ca="1"/>
        <v>0.23965073142779181</v>
      </c>
      <c r="O2705" s="2">
        <f ca="1"/>
        <v>1.3004652192910544</v>
      </c>
      <c r="X2705" s="2">
        <f ca="1"/>
        <v>46.468475551157539</v>
      </c>
      <c r="AG2705" s="2">
        <f ca="1"/>
        <v>0.14986917624307905</v>
      </c>
      <c r="AH2705" s="2" t="str">
        <f ca="1"/>
        <v>OK</v>
      </c>
    </row>
    <row r="2706" spans="2:34" x14ac:dyDescent="0.2">
      <c r="B2706" s="2">
        <f ca="1"/>
        <v>0.83279098565792364</v>
      </c>
      <c r="O2706" s="2">
        <f ca="1"/>
        <v>0.56813308796561879</v>
      </c>
      <c r="X2706" s="2">
        <f ca="1"/>
        <v>51.811882022288373</v>
      </c>
      <c r="AG2706" s="2">
        <f ca="1"/>
        <v>0.26859681818336489</v>
      </c>
      <c r="AH2706" s="2" t="str">
        <f ca="1"/>
        <v>OK</v>
      </c>
    </row>
    <row r="2707" spans="2:34" x14ac:dyDescent="0.2">
      <c r="B2707" s="2">
        <f ca="1"/>
        <v>0.79337977014733019</v>
      </c>
      <c r="O2707" s="2">
        <f ca="1"/>
        <v>-4.3403039940329437E-2</v>
      </c>
      <c r="X2707" s="2">
        <f ca="1"/>
        <v>132.80057283530718</v>
      </c>
      <c r="AG2707" s="2">
        <f ca="1"/>
        <v>0.67466661574497144</v>
      </c>
      <c r="AH2707" s="2" t="str">
        <f ca="1"/>
        <v>Bad</v>
      </c>
    </row>
    <row r="2708" spans="2:34" x14ac:dyDescent="0.2">
      <c r="B2708" s="2">
        <f ca="1"/>
        <v>0.35712463366087999</v>
      </c>
      <c r="O2708" s="2">
        <f ca="1"/>
        <v>1.4209488158223385</v>
      </c>
      <c r="X2708" s="2">
        <f ca="1"/>
        <v>41.278410128803237</v>
      </c>
      <c r="AG2708" s="2">
        <f ca="1"/>
        <v>0.30364917514951717</v>
      </c>
      <c r="AH2708" s="2" t="str">
        <f ca="1"/>
        <v>OK</v>
      </c>
    </row>
    <row r="2709" spans="2:34" x14ac:dyDescent="0.2">
      <c r="B2709" s="2">
        <f ca="1"/>
        <v>2.3313337070219431E-2</v>
      </c>
      <c r="O2709" s="2">
        <f ca="1"/>
        <v>0.19626295795780266</v>
      </c>
      <c r="X2709" s="2">
        <f ca="1"/>
        <v>111.07966538294768</v>
      </c>
      <c r="AG2709" s="2">
        <f ca="1"/>
        <v>0.90525616918546281</v>
      </c>
      <c r="AH2709" s="2" t="str">
        <f ca="1"/>
        <v>Bad</v>
      </c>
    </row>
    <row r="2710" spans="2:34" x14ac:dyDescent="0.2">
      <c r="B2710" s="2">
        <f ca="1"/>
        <v>0.61765058215429236</v>
      </c>
      <c r="O2710" s="2">
        <f ca="1"/>
        <v>-0.74898647899148085</v>
      </c>
      <c r="X2710" s="2">
        <f ca="1"/>
        <v>35.682076887270668</v>
      </c>
      <c r="AG2710" s="2">
        <f ca="1"/>
        <v>0.1566558125541444</v>
      </c>
      <c r="AH2710" s="2" t="str">
        <f ca="1"/>
        <v>OK</v>
      </c>
    </row>
    <row r="2711" spans="2:34" x14ac:dyDescent="0.2">
      <c r="B2711" s="2">
        <f ca="1"/>
        <v>3.3656896447939566E-2</v>
      </c>
      <c r="O2711" s="2">
        <f ca="1"/>
        <v>1.2509837923202816</v>
      </c>
      <c r="X2711" s="2">
        <f ca="1"/>
        <v>33.015789565655361</v>
      </c>
      <c r="AG2711" s="2">
        <f ca="1"/>
        <v>8.5937246015062696E-2</v>
      </c>
      <c r="AH2711" s="2" t="str">
        <f ca="1"/>
        <v>OK</v>
      </c>
    </row>
    <row r="2712" spans="2:34" x14ac:dyDescent="0.2">
      <c r="B2712" s="2">
        <f ca="1"/>
        <v>0.71625169947612144</v>
      </c>
      <c r="O2712" s="2">
        <f ca="1"/>
        <v>-0.41458310176016411</v>
      </c>
      <c r="X2712" s="2">
        <f ca="1"/>
        <v>39.448692716892133</v>
      </c>
      <c r="AG2712" s="2">
        <f ca="1"/>
        <v>0.47611126464672493</v>
      </c>
      <c r="AH2712" s="2" t="str">
        <f ca="1"/>
        <v>Bad</v>
      </c>
    </row>
    <row r="2713" spans="2:34" x14ac:dyDescent="0.2">
      <c r="B2713" s="2">
        <f ca="1"/>
        <v>0.27364342310678014</v>
      </c>
      <c r="O2713" s="2">
        <f ca="1"/>
        <v>0.37412486010526969</v>
      </c>
      <c r="X2713" s="2">
        <f ca="1"/>
        <v>63.166952451162437</v>
      </c>
      <c r="AG2713" s="2">
        <f ca="1"/>
        <v>0.79425456958411922</v>
      </c>
      <c r="AH2713" s="2" t="str">
        <f ca="1"/>
        <v>Bad</v>
      </c>
    </row>
    <row r="2714" spans="2:34" x14ac:dyDescent="0.2">
      <c r="B2714" s="2">
        <f ca="1"/>
        <v>0.61863524474112852</v>
      </c>
      <c r="O2714" s="2">
        <f ca="1"/>
        <v>9.885012379163724E-2</v>
      </c>
      <c r="X2714" s="2">
        <f ca="1"/>
        <v>46.519109372605527</v>
      </c>
      <c r="AG2714" s="2">
        <f ca="1"/>
        <v>0.5595716121340264</v>
      </c>
      <c r="AH2714" s="2" t="str">
        <f ca="1"/>
        <v>Bad</v>
      </c>
    </row>
    <row r="2715" spans="2:34" x14ac:dyDescent="0.2">
      <c r="B2715" s="2">
        <f ca="1"/>
        <v>0.65512813543811288</v>
      </c>
      <c r="O2715" s="2">
        <f ca="1"/>
        <v>-1.0783938409998177</v>
      </c>
      <c r="X2715" s="2">
        <f ca="1"/>
        <v>35.292964365850366</v>
      </c>
      <c r="AG2715" s="2">
        <f ca="1"/>
        <v>0.29509425518031351</v>
      </c>
      <c r="AH2715" s="2" t="str">
        <f ca="1"/>
        <v>OK</v>
      </c>
    </row>
    <row r="2716" spans="2:34" x14ac:dyDescent="0.2">
      <c r="B2716" s="2">
        <f ca="1"/>
        <v>0.62640772012327073</v>
      </c>
      <c r="O2716" s="2">
        <f ca="1"/>
        <v>-3.6586731381710515E-2</v>
      </c>
      <c r="X2716" s="2">
        <f ca="1"/>
        <v>37.989476246993888</v>
      </c>
      <c r="AG2716" s="2">
        <f ca="1"/>
        <v>0.11700638813943853</v>
      </c>
      <c r="AH2716" s="2" t="str">
        <f ca="1"/>
        <v>OK</v>
      </c>
    </row>
    <row r="2717" spans="2:34" x14ac:dyDescent="0.2">
      <c r="B2717" s="2">
        <f ca="1"/>
        <v>0.95159350948796373</v>
      </c>
      <c r="O2717" s="2">
        <f ca="1"/>
        <v>-0.77782883490731114</v>
      </c>
      <c r="X2717" s="2">
        <f ca="1"/>
        <v>76.098826602235775</v>
      </c>
      <c r="AG2717" s="2">
        <f ca="1"/>
        <v>0.95476343344782455</v>
      </c>
      <c r="AH2717" s="2" t="str">
        <f ca="1"/>
        <v>Bad</v>
      </c>
    </row>
    <row r="2718" spans="2:34" x14ac:dyDescent="0.2">
      <c r="B2718" s="2">
        <f ca="1"/>
        <v>0.76085251532531095</v>
      </c>
      <c r="O2718" s="2">
        <f ca="1"/>
        <v>-0.94512013601604627</v>
      </c>
      <c r="X2718" s="2">
        <f ca="1"/>
        <v>57.390056090120979</v>
      </c>
      <c r="AG2718" s="2">
        <f ca="1"/>
        <v>0.36853905075637039</v>
      </c>
      <c r="AH2718" s="2" t="str">
        <f ca="1"/>
        <v>OK</v>
      </c>
    </row>
    <row r="2719" spans="2:34" x14ac:dyDescent="0.2">
      <c r="B2719" s="2">
        <f ca="1"/>
        <v>0.50252137568030686</v>
      </c>
      <c r="O2719" s="2">
        <f ca="1"/>
        <v>-0.68978865395585809</v>
      </c>
      <c r="X2719" s="2">
        <f ca="1"/>
        <v>69.794500403511094</v>
      </c>
      <c r="AG2719" s="2">
        <f ca="1"/>
        <v>0.54579365298773008</v>
      </c>
      <c r="AH2719" s="2" t="str">
        <f ca="1"/>
        <v>Bad</v>
      </c>
    </row>
    <row r="2720" spans="2:34" x14ac:dyDescent="0.2">
      <c r="B2720" s="2">
        <f ca="1"/>
        <v>0.25099407574699395</v>
      </c>
      <c r="O2720" s="2">
        <f ca="1"/>
        <v>1.0850717303644972</v>
      </c>
      <c r="X2720" s="2">
        <f ca="1"/>
        <v>89.732976148543443</v>
      </c>
      <c r="AG2720" s="2">
        <f ca="1"/>
        <v>0.59585734846483418</v>
      </c>
      <c r="AH2720" s="2" t="str">
        <f ca="1"/>
        <v>Bad</v>
      </c>
    </row>
    <row r="2721" spans="2:34" x14ac:dyDescent="0.2">
      <c r="B2721" s="2">
        <f ca="1"/>
        <v>0.88304969675710843</v>
      </c>
      <c r="O2721" s="2">
        <f ca="1"/>
        <v>0.95451639064169735</v>
      </c>
      <c r="X2721" s="2">
        <f ca="1"/>
        <v>51.294102487875364</v>
      </c>
      <c r="AG2721" s="2">
        <f ca="1"/>
        <v>8.1379936539937248E-2</v>
      </c>
      <c r="AH2721" s="2" t="str">
        <f ca="1"/>
        <v>OK</v>
      </c>
    </row>
    <row r="2722" spans="2:34" x14ac:dyDescent="0.2">
      <c r="B2722" s="2">
        <f ca="1"/>
        <v>0.85760026584516402</v>
      </c>
      <c r="O2722" s="2">
        <f ca="1"/>
        <v>-7.7109599560225145E-2</v>
      </c>
      <c r="X2722" s="2">
        <f ca="1"/>
        <v>43.939012283462809</v>
      </c>
      <c r="AG2722" s="2">
        <f ca="1"/>
        <v>0.16576690744943323</v>
      </c>
      <c r="AH2722" s="2" t="str">
        <f ca="1"/>
        <v>OK</v>
      </c>
    </row>
    <row r="2723" spans="2:34" x14ac:dyDescent="0.2">
      <c r="B2723" s="2">
        <f ca="1"/>
        <v>0.48153007110801505</v>
      </c>
      <c r="O2723" s="2">
        <f ca="1"/>
        <v>-0.51001296889657721</v>
      </c>
      <c r="X2723" s="2">
        <f ca="1"/>
        <v>42.553747723809884</v>
      </c>
      <c r="AG2723" s="2">
        <f ca="1"/>
        <v>0.53748412696965331</v>
      </c>
      <c r="AH2723" s="2" t="str">
        <f ca="1"/>
        <v>Bad</v>
      </c>
    </row>
    <row r="2724" spans="2:34" x14ac:dyDescent="0.2">
      <c r="B2724" s="2">
        <f ca="1"/>
        <v>0.58947359914313191</v>
      </c>
      <c r="O2724" s="2">
        <f ca="1"/>
        <v>-0.35243212877288066</v>
      </c>
      <c r="X2724" s="2">
        <f ca="1"/>
        <v>91.352050318067114</v>
      </c>
      <c r="AG2724" s="2">
        <f ca="1"/>
        <v>0.11987555182361298</v>
      </c>
      <c r="AH2724" s="2" t="str">
        <f ca="1"/>
        <v>OK</v>
      </c>
    </row>
    <row r="2725" spans="2:34" x14ac:dyDescent="0.2">
      <c r="B2725" s="2">
        <f ca="1"/>
        <v>0.83246642623132372</v>
      </c>
      <c r="O2725" s="2">
        <f ca="1"/>
        <v>-0.7748318759891647</v>
      </c>
      <c r="X2725" s="2">
        <f ca="1"/>
        <v>61.201505728206335</v>
      </c>
      <c r="AG2725" s="2">
        <f ca="1"/>
        <v>0.91984315878125122</v>
      </c>
      <c r="AH2725" s="2" t="str">
        <f ca="1"/>
        <v>Bad</v>
      </c>
    </row>
    <row r="2726" spans="2:34" x14ac:dyDescent="0.2">
      <c r="B2726" s="2">
        <f ca="1"/>
        <v>0.75014394245212546</v>
      </c>
      <c r="O2726" s="2">
        <f ca="1"/>
        <v>1.4135308381538855E-2</v>
      </c>
      <c r="X2726" s="2">
        <f ca="1"/>
        <v>53.107775059341222</v>
      </c>
      <c r="AG2726" s="2">
        <f ca="1"/>
        <v>0.14417371473980034</v>
      </c>
      <c r="AH2726" s="2" t="str">
        <f ca="1"/>
        <v>OK</v>
      </c>
    </row>
    <row r="2727" spans="2:34" x14ac:dyDescent="0.2">
      <c r="B2727" s="2">
        <f ca="1"/>
        <v>0.11391591643334498</v>
      </c>
      <c r="O2727" s="2">
        <f ca="1"/>
        <v>-2.1470952607304756</v>
      </c>
      <c r="X2727" s="2">
        <f ca="1"/>
        <v>52.582337391805616</v>
      </c>
      <c r="AG2727" s="2">
        <f ca="1"/>
        <v>0.18160674943743271</v>
      </c>
      <c r="AH2727" s="2" t="str">
        <f ca="1"/>
        <v>OK</v>
      </c>
    </row>
    <row r="2728" spans="2:34" x14ac:dyDescent="0.2">
      <c r="B2728" s="2">
        <f ca="1"/>
        <v>6.5377232073299485E-2</v>
      </c>
      <c r="O2728" s="2">
        <f ca="1"/>
        <v>-0.14282948343914659</v>
      </c>
      <c r="X2728" s="2">
        <f ca="1"/>
        <v>34.717233220740994</v>
      </c>
      <c r="AG2728" s="2">
        <f ca="1"/>
        <v>0.30449333653931965</v>
      </c>
      <c r="AH2728" s="2" t="str">
        <f ca="1"/>
        <v>OK</v>
      </c>
    </row>
    <row r="2729" spans="2:34" x14ac:dyDescent="0.2">
      <c r="B2729" s="2">
        <f ca="1"/>
        <v>0.12453040461341214</v>
      </c>
      <c r="O2729" s="2">
        <f ca="1"/>
        <v>0.64547210096061802</v>
      </c>
      <c r="X2729" s="2">
        <f ca="1"/>
        <v>46.778466055634702</v>
      </c>
      <c r="AG2729" s="2">
        <f ca="1"/>
        <v>0.58978866173061451</v>
      </c>
      <c r="AH2729" s="2" t="str">
        <f ca="1"/>
        <v>Bad</v>
      </c>
    </row>
    <row r="2730" spans="2:34" x14ac:dyDescent="0.2">
      <c r="B2730" s="2">
        <f ca="1"/>
        <v>0.2864953309087992</v>
      </c>
      <c r="O2730" s="2">
        <f ca="1"/>
        <v>2.2674764322222254</v>
      </c>
      <c r="X2730" s="2">
        <f ca="1"/>
        <v>63.059250442689489</v>
      </c>
      <c r="AG2730" s="2">
        <f ca="1"/>
        <v>0.49221535648923664</v>
      </c>
      <c r="AH2730" s="2" t="str">
        <f ca="1"/>
        <v>Bad</v>
      </c>
    </row>
    <row r="2731" spans="2:34" x14ac:dyDescent="0.2">
      <c r="B2731" s="2">
        <f ca="1"/>
        <v>0.12335141097106961</v>
      </c>
      <c r="O2731" s="2">
        <f ca="1"/>
        <v>-0.18242820246690791</v>
      </c>
      <c r="X2731" s="2">
        <f ca="1"/>
        <v>46.717995496376375</v>
      </c>
      <c r="AG2731" s="2">
        <f ca="1"/>
        <v>3.2170346073429945E-2</v>
      </c>
      <c r="AH2731" s="2" t="str">
        <f ca="1"/>
        <v>Good</v>
      </c>
    </row>
    <row r="2732" spans="2:34" x14ac:dyDescent="0.2">
      <c r="B2732" s="2">
        <f ca="1"/>
        <v>0.15716744511813596</v>
      </c>
      <c r="O2732" s="2">
        <f ca="1"/>
        <v>0.72660187911565977</v>
      </c>
      <c r="X2732" s="2">
        <f ca="1"/>
        <v>63.559394759392077</v>
      </c>
      <c r="AG2732" s="2">
        <f ca="1"/>
        <v>0.77400511563921026</v>
      </c>
      <c r="AH2732" s="2" t="str">
        <f ca="1"/>
        <v>Bad</v>
      </c>
    </row>
    <row r="2733" spans="2:34" x14ac:dyDescent="0.2">
      <c r="B2733" s="2">
        <f ca="1"/>
        <v>0.8764770951251879</v>
      </c>
      <c r="O2733" s="2">
        <f ca="1"/>
        <v>0.64111698699132413</v>
      </c>
      <c r="X2733" s="2">
        <f ca="1"/>
        <v>62.794515330830876</v>
      </c>
      <c r="AG2733" s="2">
        <f ca="1"/>
        <v>0.57625007268665196</v>
      </c>
      <c r="AH2733" s="2" t="str">
        <f ca="1"/>
        <v>Bad</v>
      </c>
    </row>
    <row r="2734" spans="2:34" x14ac:dyDescent="0.2">
      <c r="B2734" s="2">
        <f ca="1"/>
        <v>0.72971446603499901</v>
      </c>
      <c r="O2734" s="2">
        <f ca="1"/>
        <v>-0.40453016083154658</v>
      </c>
      <c r="X2734" s="2">
        <f ca="1"/>
        <v>52.420790540865269</v>
      </c>
      <c r="AG2734" s="2">
        <f ca="1"/>
        <v>0.26356371026698389</v>
      </c>
      <c r="AH2734" s="2" t="str">
        <f ca="1"/>
        <v>OK</v>
      </c>
    </row>
    <row r="2735" spans="2:34" x14ac:dyDescent="0.2">
      <c r="B2735" s="2">
        <f ca="1"/>
        <v>8.5260037818280621E-2</v>
      </c>
      <c r="O2735" s="2">
        <f ca="1"/>
        <v>0.91815334083795064</v>
      </c>
      <c r="X2735" s="2">
        <f ca="1"/>
        <v>34.169334698954131</v>
      </c>
      <c r="AG2735" s="2">
        <f ca="1"/>
        <v>0.73389825593690428</v>
      </c>
      <c r="AH2735" s="2" t="str">
        <f ca="1"/>
        <v>Bad</v>
      </c>
    </row>
    <row r="2736" spans="2:34" x14ac:dyDescent="0.2">
      <c r="B2736" s="2">
        <f ca="1"/>
        <v>0.70650318368099829</v>
      </c>
      <c r="O2736" s="2">
        <f ca="1"/>
        <v>4.3162353739972889E-2</v>
      </c>
      <c r="X2736" s="2">
        <f ca="1"/>
        <v>62.525623846610486</v>
      </c>
      <c r="AG2736" s="2">
        <f ca="1"/>
        <v>0.90199492189400443</v>
      </c>
      <c r="AH2736" s="2" t="str">
        <f ca="1"/>
        <v>Bad</v>
      </c>
    </row>
    <row r="2737" spans="2:34" x14ac:dyDescent="0.2">
      <c r="B2737" s="2">
        <f ca="1"/>
        <v>0.52089643420353049</v>
      </c>
      <c r="O2737" s="2">
        <f ca="1"/>
        <v>0.99726578182088355</v>
      </c>
      <c r="X2737" s="2">
        <f ca="1"/>
        <v>70.860053490519334</v>
      </c>
      <c r="AG2737" s="2">
        <f ca="1"/>
        <v>0.80648089133117962</v>
      </c>
      <c r="AH2737" s="2" t="str">
        <f ca="1"/>
        <v>Bad</v>
      </c>
    </row>
    <row r="2738" spans="2:34" x14ac:dyDescent="0.2">
      <c r="B2738" s="2">
        <f ca="1"/>
        <v>0.76638161379577552</v>
      </c>
      <c r="O2738" s="2">
        <f ca="1"/>
        <v>-1.3384661995926543</v>
      </c>
      <c r="X2738" s="2">
        <f ca="1"/>
        <v>53.743561768846831</v>
      </c>
      <c r="AG2738" s="2">
        <f ca="1"/>
        <v>0.17803533505394342</v>
      </c>
      <c r="AH2738" s="2" t="str">
        <f ca="1"/>
        <v>OK</v>
      </c>
    </row>
    <row r="2739" spans="2:34" x14ac:dyDescent="0.2">
      <c r="B2739" s="2">
        <f ca="1"/>
        <v>0.57196819654233932</v>
      </c>
      <c r="O2739" s="2">
        <f ca="1"/>
        <v>-0.10705313091969743</v>
      </c>
      <c r="X2739" s="2">
        <f ca="1"/>
        <v>46.980405066063923</v>
      </c>
      <c r="AG2739" s="2">
        <f ca="1"/>
        <v>0.50923366754342214</v>
      </c>
      <c r="AH2739" s="2" t="str">
        <f ca="1"/>
        <v>Bad</v>
      </c>
    </row>
    <row r="2740" spans="2:34" x14ac:dyDescent="0.2">
      <c r="B2740" s="2">
        <f ca="1"/>
        <v>0.56851357737878616</v>
      </c>
      <c r="O2740" s="2">
        <f ca="1"/>
        <v>-0.23310538950224674</v>
      </c>
      <c r="X2740" s="2">
        <f ca="1"/>
        <v>57.152186820641148</v>
      </c>
      <c r="AG2740" s="2">
        <f ca="1"/>
        <v>0.70086410641116714</v>
      </c>
      <c r="AH2740" s="2" t="str">
        <f ca="1"/>
        <v>Bad</v>
      </c>
    </row>
    <row r="2741" spans="2:34" x14ac:dyDescent="0.2">
      <c r="B2741" s="2">
        <f ca="1"/>
        <v>0.44381499857173479</v>
      </c>
      <c r="O2741" s="2">
        <f ca="1"/>
        <v>-1.1651110707439709</v>
      </c>
      <c r="X2741" s="2">
        <f ca="1"/>
        <v>59.295648646482732</v>
      </c>
      <c r="AG2741" s="2">
        <f ca="1"/>
        <v>0.58770875976511183</v>
      </c>
      <c r="AH2741" s="2" t="str">
        <f ca="1"/>
        <v>Bad</v>
      </c>
    </row>
    <row r="2742" spans="2:34" x14ac:dyDescent="0.2">
      <c r="B2742" s="2">
        <f ca="1"/>
        <v>0.1525201241786156</v>
      </c>
      <c r="O2742" s="2">
        <f ca="1"/>
        <v>1.0281733101860422</v>
      </c>
      <c r="X2742" s="2">
        <f ca="1"/>
        <v>46.265425798752567</v>
      </c>
      <c r="AG2742" s="2">
        <f ca="1"/>
        <v>0.92058865033108161</v>
      </c>
      <c r="AH2742" s="2" t="str">
        <f ca="1"/>
        <v>Bad</v>
      </c>
    </row>
    <row r="2743" spans="2:34" x14ac:dyDescent="0.2">
      <c r="B2743" s="2">
        <f ca="1"/>
        <v>0.10396485524935284</v>
      </c>
      <c r="O2743" s="2">
        <f ca="1"/>
        <v>-0.93506858116995661</v>
      </c>
      <c r="X2743" s="2">
        <f ca="1"/>
        <v>65.359487735469912</v>
      </c>
      <c r="AG2743" s="2">
        <f ca="1"/>
        <v>0.90446193863333391</v>
      </c>
      <c r="AH2743" s="2" t="str">
        <f ca="1"/>
        <v>Bad</v>
      </c>
    </row>
    <row r="2744" spans="2:34" x14ac:dyDescent="0.2">
      <c r="B2744" s="2">
        <f ca="1"/>
        <v>0.74565727666313775</v>
      </c>
      <c r="O2744" s="2">
        <f ca="1"/>
        <v>-0.33969297012447053</v>
      </c>
      <c r="X2744" s="2">
        <f ca="1"/>
        <v>45.892385585309825</v>
      </c>
      <c r="AG2744" s="2">
        <f ca="1"/>
        <v>6.0164636212667544E-2</v>
      </c>
      <c r="AH2744" s="2" t="str">
        <f ca="1"/>
        <v>OK</v>
      </c>
    </row>
    <row r="2745" spans="2:34" x14ac:dyDescent="0.2">
      <c r="B2745" s="2">
        <f ca="1"/>
        <v>0.56756916754735443</v>
      </c>
      <c r="O2745" s="2">
        <f ca="1"/>
        <v>-1.6271523920550806</v>
      </c>
      <c r="X2745" s="2">
        <f ca="1"/>
        <v>46.383384351300123</v>
      </c>
      <c r="AG2745" s="2">
        <f ca="1"/>
        <v>0.38666019300209831</v>
      </c>
      <c r="AH2745" s="2" t="str">
        <f ca="1"/>
        <v>OK</v>
      </c>
    </row>
    <row r="2746" spans="2:34" x14ac:dyDescent="0.2">
      <c r="B2746" s="2">
        <f ca="1"/>
        <v>0.18644357565565239</v>
      </c>
      <c r="O2746" s="2">
        <f ca="1"/>
        <v>-0.96029187210316735</v>
      </c>
      <c r="X2746" s="2">
        <f ca="1"/>
        <v>33.528418601821414</v>
      </c>
      <c r="AG2746" s="2">
        <f ca="1"/>
        <v>0.93780259725190618</v>
      </c>
      <c r="AH2746" s="2" t="str">
        <f ca="1"/>
        <v>Bad</v>
      </c>
    </row>
    <row r="2747" spans="2:34" x14ac:dyDescent="0.2">
      <c r="B2747" s="2">
        <f ca="1"/>
        <v>0.39781405485946042</v>
      </c>
      <c r="O2747" s="2">
        <f ca="1"/>
        <v>-1.2590250008787394</v>
      </c>
      <c r="X2747" s="2">
        <f ca="1"/>
        <v>71.988750453404705</v>
      </c>
      <c r="AG2747" s="2">
        <f ca="1"/>
        <v>0.83616904146303583</v>
      </c>
      <c r="AH2747" s="2" t="str">
        <f ca="1"/>
        <v>Bad</v>
      </c>
    </row>
    <row r="2748" spans="2:34" x14ac:dyDescent="0.2">
      <c r="B2748" s="2">
        <f ca="1"/>
        <v>0.79329264908562025</v>
      </c>
      <c r="O2748" s="2">
        <f ca="1"/>
        <v>0.46060543110503754</v>
      </c>
      <c r="X2748" s="2">
        <f ca="1"/>
        <v>33.727319621286156</v>
      </c>
      <c r="AG2748" s="2">
        <f ca="1"/>
        <v>0.20525772906635176</v>
      </c>
      <c r="AH2748" s="2" t="str">
        <f ca="1"/>
        <v>OK</v>
      </c>
    </row>
    <row r="2749" spans="2:34" x14ac:dyDescent="0.2">
      <c r="B2749" s="2">
        <f ca="1"/>
        <v>0.31137229165637459</v>
      </c>
      <c r="O2749" s="2">
        <f ca="1"/>
        <v>-1.1960252425751932</v>
      </c>
      <c r="X2749" s="2">
        <f ca="1"/>
        <v>36.374269634564762</v>
      </c>
      <c r="AG2749" s="2">
        <f ca="1"/>
        <v>0.34578613137613767</v>
      </c>
      <c r="AH2749" s="2" t="str">
        <f ca="1"/>
        <v>OK</v>
      </c>
    </row>
    <row r="2750" spans="2:34" x14ac:dyDescent="0.2">
      <c r="B2750" s="2">
        <f ca="1"/>
        <v>8.9813278696948551E-3</v>
      </c>
      <c r="O2750" s="2">
        <f ca="1"/>
        <v>-0.42241424732309651</v>
      </c>
      <c r="X2750" s="2">
        <f ca="1"/>
        <v>46.300656855921972</v>
      </c>
      <c r="AG2750" s="2">
        <f ca="1"/>
        <v>0.52635813155264577</v>
      </c>
      <c r="AH2750" s="2" t="str">
        <f ca="1"/>
        <v>Bad</v>
      </c>
    </row>
    <row r="2751" spans="2:34" x14ac:dyDescent="0.2">
      <c r="B2751" s="2">
        <f ca="1"/>
        <v>0.80181316478407294</v>
      </c>
      <c r="O2751" s="2">
        <f ca="1"/>
        <v>-0.22495675975277607</v>
      </c>
      <c r="X2751" s="2">
        <f ca="1"/>
        <v>40.216587582473274</v>
      </c>
      <c r="AG2751" s="2">
        <f ca="1"/>
        <v>0.52895755585768689</v>
      </c>
      <c r="AH2751" s="2" t="str">
        <f ca="1"/>
        <v>Bad</v>
      </c>
    </row>
    <row r="2752" spans="2:34" x14ac:dyDescent="0.2">
      <c r="B2752" s="2">
        <f ca="1"/>
        <v>0.85887707249213174</v>
      </c>
      <c r="O2752" s="2">
        <f ca="1"/>
        <v>-0.36714085067092295</v>
      </c>
      <c r="X2752" s="2">
        <f ca="1"/>
        <v>36.645443164468098</v>
      </c>
      <c r="AG2752" s="2">
        <f ca="1"/>
        <v>0.429728367183972</v>
      </c>
      <c r="AH2752" s="2" t="str">
        <f ca="1"/>
        <v>Bad</v>
      </c>
    </row>
    <row r="2753" spans="2:34" x14ac:dyDescent="0.2">
      <c r="B2753" s="2">
        <f ca="1"/>
        <v>0.70548574911046158</v>
      </c>
      <c r="O2753" s="2">
        <f ca="1"/>
        <v>-1.0628809230604301</v>
      </c>
      <c r="X2753" s="2">
        <f ca="1"/>
        <v>44.407618658872757</v>
      </c>
      <c r="AG2753" s="2">
        <f ca="1"/>
        <v>0.62808264990167606</v>
      </c>
      <c r="AH2753" s="2" t="str">
        <f ca="1"/>
        <v>Bad</v>
      </c>
    </row>
    <row r="2754" spans="2:34" x14ac:dyDescent="0.2">
      <c r="B2754" s="2">
        <f ca="1"/>
        <v>0.18196386576319545</v>
      </c>
      <c r="O2754" s="2">
        <f ca="1"/>
        <v>-0.45000582930504934</v>
      </c>
      <c r="X2754" s="2">
        <f ca="1"/>
        <v>53.728319547964503</v>
      </c>
      <c r="AG2754" s="2">
        <f ca="1"/>
        <v>0.9005827061585292</v>
      </c>
      <c r="AH2754" s="2" t="str">
        <f ca="1"/>
        <v>Bad</v>
      </c>
    </row>
    <row r="2755" spans="2:34" x14ac:dyDescent="0.2">
      <c r="B2755" s="2">
        <f ca="1"/>
        <v>0.91455808513220838</v>
      </c>
      <c r="O2755" s="2">
        <f ca="1"/>
        <v>-0.2064357363284319</v>
      </c>
      <c r="X2755" s="2">
        <f ca="1"/>
        <v>73.137866106289593</v>
      </c>
      <c r="AG2755" s="2">
        <f ca="1"/>
        <v>0.88602174738299899</v>
      </c>
      <c r="AH2755" s="2" t="str">
        <f ca="1"/>
        <v>Bad</v>
      </c>
    </row>
    <row r="2756" spans="2:34" x14ac:dyDescent="0.2">
      <c r="B2756" s="2">
        <f ca="1"/>
        <v>0.6394968620219561</v>
      </c>
      <c r="O2756" s="2">
        <f ca="1"/>
        <v>2.8667168609238547</v>
      </c>
      <c r="X2756" s="2">
        <f ca="1"/>
        <v>64.788399918210743</v>
      </c>
      <c r="AG2756" s="2">
        <f ca="1"/>
        <v>0.18349139235184131</v>
      </c>
      <c r="AH2756" s="2" t="str">
        <f ca="1"/>
        <v>OK</v>
      </c>
    </row>
    <row r="2757" spans="2:34" x14ac:dyDescent="0.2">
      <c r="B2757" s="2">
        <f ca="1"/>
        <v>0.15753893645935269</v>
      </c>
      <c r="O2757" s="2">
        <f ca="1"/>
        <v>0.80045271525929262</v>
      </c>
      <c r="X2757" s="2">
        <f ca="1"/>
        <v>66.313692770125371</v>
      </c>
      <c r="AG2757" s="2">
        <f ca="1"/>
        <v>0.92391881722936597</v>
      </c>
      <c r="AH2757" s="2" t="str">
        <f ca="1"/>
        <v>Bad</v>
      </c>
    </row>
    <row r="2758" spans="2:34" x14ac:dyDescent="0.2">
      <c r="B2758" s="2">
        <f ca="1"/>
        <v>0.90905249825821799</v>
      </c>
      <c r="O2758" s="2">
        <f ca="1"/>
        <v>-0.24011032892263406</v>
      </c>
      <c r="X2758" s="2">
        <f ca="1"/>
        <v>63.105328384343188</v>
      </c>
      <c r="AG2758" s="2">
        <f ca="1"/>
        <v>0.81184719088211432</v>
      </c>
      <c r="AH2758" s="2" t="str">
        <f ca="1"/>
        <v>Bad</v>
      </c>
    </row>
    <row r="2759" spans="2:34" x14ac:dyDescent="0.2">
      <c r="B2759" s="2">
        <f ca="1"/>
        <v>0.82863952445752798</v>
      </c>
      <c r="O2759" s="2">
        <f ca="1"/>
        <v>-1.4084685921968154</v>
      </c>
      <c r="X2759" s="2">
        <f ca="1"/>
        <v>48.209084548411852</v>
      </c>
      <c r="AG2759" s="2">
        <f ca="1"/>
        <v>0.16264778318345607</v>
      </c>
      <c r="AH2759" s="2" t="str">
        <f ca="1"/>
        <v>OK</v>
      </c>
    </row>
    <row r="2760" spans="2:34" x14ac:dyDescent="0.2">
      <c r="B2760" s="2">
        <f ca="1"/>
        <v>0.51422062813934444</v>
      </c>
      <c r="O2760" s="2">
        <f ca="1"/>
        <v>-0.60167262176567327</v>
      </c>
      <c r="X2760" s="2">
        <f ca="1"/>
        <v>40.452557724405558</v>
      </c>
      <c r="AG2760" s="2">
        <f ca="1"/>
        <v>0.84375784573136836</v>
      </c>
      <c r="AH2760" s="2" t="str">
        <f ca="1"/>
        <v>Bad</v>
      </c>
    </row>
    <row r="2761" spans="2:34" x14ac:dyDescent="0.2">
      <c r="B2761" s="2">
        <f ca="1"/>
        <v>8.9556223046883821E-2</v>
      </c>
      <c r="O2761" s="2">
        <f ca="1"/>
        <v>-0.54875734854132852</v>
      </c>
      <c r="X2761" s="2">
        <f ca="1"/>
        <v>76.706468043989531</v>
      </c>
      <c r="AG2761" s="2">
        <f ca="1"/>
        <v>0.67254266453880307</v>
      </c>
      <c r="AH2761" s="2" t="str">
        <f ca="1"/>
        <v>Bad</v>
      </c>
    </row>
    <row r="2762" spans="2:34" x14ac:dyDescent="0.2">
      <c r="B2762" s="2">
        <f ca="1"/>
        <v>0.8050496263772362</v>
      </c>
      <c r="O2762" s="2">
        <f ca="1"/>
        <v>0.8575600271940742</v>
      </c>
      <c r="X2762" s="2">
        <f ca="1"/>
        <v>50.246151025581028</v>
      </c>
      <c r="AG2762" s="2">
        <f ca="1"/>
        <v>3.9672855525528794E-2</v>
      </c>
      <c r="AH2762" s="2" t="str">
        <f ca="1"/>
        <v>Good</v>
      </c>
    </row>
    <row r="2763" spans="2:34" x14ac:dyDescent="0.2">
      <c r="B2763" s="2">
        <f ca="1"/>
        <v>0.15019190699701701</v>
      </c>
      <c r="O2763" s="2">
        <f ca="1"/>
        <v>-0.39763933783124594</v>
      </c>
      <c r="X2763" s="2">
        <f ca="1"/>
        <v>41.531864039032307</v>
      </c>
      <c r="AG2763" s="2">
        <f ca="1"/>
        <v>0.96282038405220804</v>
      </c>
      <c r="AH2763" s="2" t="str">
        <f ca="1"/>
        <v>Bad</v>
      </c>
    </row>
    <row r="2764" spans="2:34" x14ac:dyDescent="0.2">
      <c r="B2764" s="2">
        <f ca="1"/>
        <v>0.44501380544926716</v>
      </c>
      <c r="O2764" s="2">
        <f ca="1"/>
        <v>-2.0072802416624933</v>
      </c>
      <c r="X2764" s="2">
        <f ca="1"/>
        <v>49.160647081044502</v>
      </c>
      <c r="AG2764" s="2">
        <f ca="1"/>
        <v>0.86341086121645372</v>
      </c>
      <c r="AH2764" s="2" t="str">
        <f ca="1"/>
        <v>Bad</v>
      </c>
    </row>
    <row r="2765" spans="2:34" x14ac:dyDescent="0.2">
      <c r="B2765" s="2">
        <f ca="1"/>
        <v>0.35325143325586383</v>
      </c>
      <c r="O2765" s="2">
        <f ca="1"/>
        <v>-1.215887940380423</v>
      </c>
      <c r="X2765" s="2">
        <f ca="1"/>
        <v>29.853518903170091</v>
      </c>
      <c r="AG2765" s="2">
        <f ca="1"/>
        <v>0.61473487348996847</v>
      </c>
      <c r="AH2765" s="2" t="str">
        <f ca="1"/>
        <v>Bad</v>
      </c>
    </row>
    <row r="2766" spans="2:34" x14ac:dyDescent="0.2">
      <c r="B2766" s="2">
        <f ca="1"/>
        <v>0.58900425193325545</v>
      </c>
      <c r="O2766" s="2">
        <f ca="1"/>
        <v>-1.6945425971437471</v>
      </c>
      <c r="X2766" s="2">
        <f ca="1"/>
        <v>25.054617344269982</v>
      </c>
      <c r="AG2766" s="2">
        <f ca="1"/>
        <v>0.71632491782188756</v>
      </c>
      <c r="AH2766" s="2" t="str">
        <f ca="1"/>
        <v>Bad</v>
      </c>
    </row>
    <row r="2767" spans="2:34" x14ac:dyDescent="0.2">
      <c r="B2767" s="2">
        <f ca="1"/>
        <v>0.65197929462463455</v>
      </c>
      <c r="O2767" s="2">
        <f ca="1"/>
        <v>0.587401899782106</v>
      </c>
      <c r="X2767" s="2">
        <f ca="1"/>
        <v>39.948438020703357</v>
      </c>
      <c r="AG2767" s="2">
        <f ca="1"/>
        <v>0.21361019844317952</v>
      </c>
      <c r="AH2767" s="2" t="str">
        <f ca="1"/>
        <v>OK</v>
      </c>
    </row>
    <row r="2768" spans="2:34" x14ac:dyDescent="0.2">
      <c r="B2768" s="2">
        <f ca="1"/>
        <v>0.57699815316562408</v>
      </c>
      <c r="O2768" s="2">
        <f ca="1"/>
        <v>-0.3787556827552585</v>
      </c>
      <c r="X2768" s="2">
        <f ca="1"/>
        <v>50.356086803953701</v>
      </c>
      <c r="AG2768" s="2">
        <f ca="1"/>
        <v>0.82449779535218193</v>
      </c>
      <c r="AH2768" s="2" t="str">
        <f ca="1"/>
        <v>Bad</v>
      </c>
    </row>
    <row r="2769" spans="2:34" x14ac:dyDescent="0.2">
      <c r="B2769" s="2">
        <f ca="1"/>
        <v>0.91410341288117802</v>
      </c>
      <c r="O2769" s="2">
        <f ca="1"/>
        <v>1.0116358336687694</v>
      </c>
      <c r="X2769" s="2">
        <f ca="1"/>
        <v>109.39864100240314</v>
      </c>
      <c r="AG2769" s="2">
        <f ca="1"/>
        <v>0.20849268788160846</v>
      </c>
      <c r="AH2769" s="2" t="str">
        <f ca="1"/>
        <v>OK</v>
      </c>
    </row>
    <row r="2770" spans="2:34" x14ac:dyDescent="0.2">
      <c r="B2770" s="2">
        <f ca="1"/>
        <v>0.87838090105020261</v>
      </c>
      <c r="O2770" s="2">
        <f ca="1"/>
        <v>0.12728863951144567</v>
      </c>
      <c r="X2770" s="2">
        <f ca="1"/>
        <v>47.538652763350569</v>
      </c>
      <c r="AG2770" s="2">
        <f ca="1"/>
        <v>0.44915362246580659</v>
      </c>
      <c r="AH2770" s="2" t="str">
        <f ca="1"/>
        <v>Bad</v>
      </c>
    </row>
    <row r="2771" spans="2:34" x14ac:dyDescent="0.2">
      <c r="B2771" s="2">
        <f ca="1"/>
        <v>0.44576796236856842</v>
      </c>
      <c r="O2771" s="2">
        <f ca="1"/>
        <v>0.65074906526758092</v>
      </c>
      <c r="X2771" s="2">
        <f ca="1"/>
        <v>46.596888993803574</v>
      </c>
      <c r="AG2771" s="2">
        <f ca="1"/>
        <v>0.12171444441310908</v>
      </c>
      <c r="AH2771" s="2" t="str">
        <f ca="1"/>
        <v>OK</v>
      </c>
    </row>
    <row r="2772" spans="2:34" x14ac:dyDescent="0.2">
      <c r="B2772" s="2">
        <f ca="1"/>
        <v>0.7979016751398782</v>
      </c>
      <c r="O2772" s="2">
        <f ca="1"/>
        <v>-0.37937101330706197</v>
      </c>
      <c r="X2772" s="2">
        <f ca="1"/>
        <v>30.639488568964278</v>
      </c>
      <c r="AG2772" s="2">
        <f ca="1"/>
        <v>0.46331538219110868</v>
      </c>
      <c r="AH2772" s="2" t="str">
        <f ca="1"/>
        <v>Bad</v>
      </c>
    </row>
    <row r="2773" spans="2:34" x14ac:dyDescent="0.2">
      <c r="B2773" s="2">
        <f ca="1"/>
        <v>0.79891024159088064</v>
      </c>
      <c r="O2773" s="2">
        <f ca="1"/>
        <v>1.5044467398189452</v>
      </c>
      <c r="X2773" s="2">
        <f ca="1"/>
        <v>21.398880027874931</v>
      </c>
      <c r="AG2773" s="2">
        <f ca="1"/>
        <v>0.939351175664773</v>
      </c>
      <c r="AH2773" s="2" t="str">
        <f ca="1"/>
        <v>Bad</v>
      </c>
    </row>
    <row r="2774" spans="2:34" x14ac:dyDescent="0.2">
      <c r="B2774" s="2">
        <f ca="1"/>
        <v>0.40990011130462722</v>
      </c>
      <c r="O2774" s="2">
        <f ca="1"/>
        <v>-0.30651118680288519</v>
      </c>
      <c r="X2774" s="2">
        <f ca="1"/>
        <v>43.332847978932669</v>
      </c>
      <c r="AG2774" s="2">
        <f ca="1"/>
        <v>0.4253179280419539</v>
      </c>
      <c r="AH2774" s="2" t="str">
        <f ca="1"/>
        <v>Bad</v>
      </c>
    </row>
    <row r="2775" spans="2:34" x14ac:dyDescent="0.2">
      <c r="B2775" s="2">
        <f ca="1"/>
        <v>0.84124356871335859</v>
      </c>
      <c r="O2775" s="2">
        <f ca="1"/>
        <v>-0.82059426563416005</v>
      </c>
      <c r="X2775" s="2">
        <f ca="1"/>
        <v>32.226866472040051</v>
      </c>
      <c r="AG2775" s="2">
        <f ca="1"/>
        <v>2.499708828474434E-2</v>
      </c>
      <c r="AH2775" s="2" t="str">
        <f ca="1"/>
        <v>Good</v>
      </c>
    </row>
    <row r="2776" spans="2:34" x14ac:dyDescent="0.2">
      <c r="B2776" s="2">
        <f ca="1"/>
        <v>0.31963072891927768</v>
      </c>
      <c r="O2776" s="2">
        <f ca="1"/>
        <v>-1.670212839566088</v>
      </c>
      <c r="X2776" s="2">
        <f ca="1"/>
        <v>75.323770309764001</v>
      </c>
      <c r="AG2776" s="2">
        <f ca="1"/>
        <v>0.56938047687956983</v>
      </c>
      <c r="AH2776" s="2" t="str">
        <f ca="1"/>
        <v>Bad</v>
      </c>
    </row>
    <row r="2777" spans="2:34" x14ac:dyDescent="0.2">
      <c r="B2777" s="2">
        <f ca="1"/>
        <v>0.48354705002885523</v>
      </c>
      <c r="O2777" s="2">
        <f ca="1"/>
        <v>-0.58075654046463365</v>
      </c>
      <c r="X2777" s="2">
        <f ca="1"/>
        <v>39.187253533819344</v>
      </c>
      <c r="AG2777" s="2">
        <f ca="1"/>
        <v>0.99384361476575855</v>
      </c>
      <c r="AH2777" s="2" t="str">
        <f ca="1"/>
        <v>Bad</v>
      </c>
    </row>
    <row r="2778" spans="2:34" x14ac:dyDescent="0.2">
      <c r="B2778" s="2">
        <f ca="1"/>
        <v>0.81904725260416367</v>
      </c>
      <c r="O2778" s="2">
        <f ca="1"/>
        <v>-0.94583685105122195</v>
      </c>
      <c r="X2778" s="2">
        <f ca="1"/>
        <v>43.512410423141858</v>
      </c>
      <c r="AG2778" s="2">
        <f ca="1"/>
        <v>0.3735878079550945</v>
      </c>
      <c r="AH2778" s="2" t="str">
        <f ca="1"/>
        <v>OK</v>
      </c>
    </row>
    <row r="2779" spans="2:34" x14ac:dyDescent="0.2">
      <c r="B2779" s="2">
        <f ca="1"/>
        <v>0.15914414993100001</v>
      </c>
      <c r="O2779" s="2">
        <f ca="1"/>
        <v>1.5410085467921792</v>
      </c>
      <c r="X2779" s="2">
        <f ca="1"/>
        <v>34.185428859346885</v>
      </c>
      <c r="AG2779" s="2">
        <f ca="1"/>
        <v>0.74833140643898655</v>
      </c>
      <c r="AH2779" s="2" t="str">
        <f ca="1"/>
        <v>Bad</v>
      </c>
    </row>
    <row r="2780" spans="2:34" x14ac:dyDescent="0.2">
      <c r="B2780" s="2">
        <f ca="1"/>
        <v>0.78370691211863908</v>
      </c>
      <c r="O2780" s="2">
        <f ca="1"/>
        <v>0.7831781500821221</v>
      </c>
      <c r="X2780" s="2">
        <f ca="1"/>
        <v>41.225424390342923</v>
      </c>
      <c r="AG2780" s="2">
        <f ca="1"/>
        <v>0.99209827010628171</v>
      </c>
      <c r="AH2780" s="2" t="str">
        <f ca="1"/>
        <v>Bad</v>
      </c>
    </row>
    <row r="2781" spans="2:34" x14ac:dyDescent="0.2">
      <c r="B2781" s="2">
        <f ca="1"/>
        <v>0.40974372799683545</v>
      </c>
      <c r="O2781" s="2">
        <f ca="1"/>
        <v>-2.7042909329296774</v>
      </c>
      <c r="X2781" s="2">
        <f ca="1"/>
        <v>29.125927353131345</v>
      </c>
      <c r="AG2781" s="2">
        <f ca="1"/>
        <v>0.92835246655191095</v>
      </c>
      <c r="AH2781" s="2" t="str">
        <f ca="1"/>
        <v>Bad</v>
      </c>
    </row>
    <row r="2782" spans="2:34" x14ac:dyDescent="0.2">
      <c r="B2782" s="2">
        <f ca="1"/>
        <v>0.17257126454813609</v>
      </c>
      <c r="O2782" s="2">
        <f ca="1"/>
        <v>-0.76193213538193738</v>
      </c>
      <c r="X2782" s="2">
        <f ca="1"/>
        <v>77.835902190017791</v>
      </c>
      <c r="AG2782" s="2">
        <f ca="1"/>
        <v>2.7720767992647444E-2</v>
      </c>
      <c r="AH2782" s="2" t="str">
        <f ca="1"/>
        <v>Good</v>
      </c>
    </row>
    <row r="2783" spans="2:34" x14ac:dyDescent="0.2">
      <c r="B2783" s="2">
        <f ca="1"/>
        <v>0.54975291538154192</v>
      </c>
      <c r="O2783" s="2">
        <f ca="1"/>
        <v>0.94103236138717972</v>
      </c>
      <c r="X2783" s="2">
        <f ca="1"/>
        <v>28.337626136892105</v>
      </c>
      <c r="AG2783" s="2">
        <f ca="1"/>
        <v>0.48929921548417155</v>
      </c>
      <c r="AH2783" s="2" t="str">
        <f ca="1"/>
        <v>Bad</v>
      </c>
    </row>
    <row r="2784" spans="2:34" x14ac:dyDescent="0.2">
      <c r="B2784" s="2">
        <f ca="1"/>
        <v>0.27118350925706847</v>
      </c>
      <c r="O2784" s="2">
        <f ca="1"/>
        <v>0.33709449213399462</v>
      </c>
      <c r="X2784" s="2">
        <f ca="1"/>
        <v>33.804643854863194</v>
      </c>
      <c r="AG2784" s="2">
        <f ca="1"/>
        <v>0.96683702498972224</v>
      </c>
      <c r="AH2784" s="2" t="str">
        <f ca="1"/>
        <v>Bad</v>
      </c>
    </row>
    <row r="2785" spans="2:34" x14ac:dyDescent="0.2">
      <c r="B2785" s="2">
        <f ca="1"/>
        <v>0.54282383355777997</v>
      </c>
      <c r="O2785" s="2">
        <f ca="1"/>
        <v>-0.53089832714830798</v>
      </c>
      <c r="X2785" s="2">
        <f ca="1"/>
        <v>46.38380234947563</v>
      </c>
      <c r="AG2785" s="2">
        <f ca="1"/>
        <v>0.70066734304519707</v>
      </c>
      <c r="AH2785" s="2" t="str">
        <f ca="1"/>
        <v>Bad</v>
      </c>
    </row>
    <row r="2786" spans="2:34" x14ac:dyDescent="0.2">
      <c r="B2786" s="2">
        <f ca="1"/>
        <v>0.61930162486283313</v>
      </c>
      <c r="O2786" s="2">
        <f ca="1"/>
        <v>-2.0058884137631949</v>
      </c>
      <c r="X2786" s="2">
        <f ca="1"/>
        <v>34.449674478623528</v>
      </c>
      <c r="AG2786" s="2">
        <f ca="1"/>
        <v>0.22387883699484901</v>
      </c>
      <c r="AH2786" s="2" t="str">
        <f ca="1"/>
        <v>OK</v>
      </c>
    </row>
    <row r="2787" spans="2:34" x14ac:dyDescent="0.2">
      <c r="B2787" s="2">
        <f ca="1"/>
        <v>0.81673149839914272</v>
      </c>
      <c r="O2787" s="2">
        <f ca="1"/>
        <v>-1.1625087296637451</v>
      </c>
      <c r="X2787" s="2">
        <f ca="1"/>
        <v>38.996420159789743</v>
      </c>
      <c r="AG2787" s="2">
        <f ca="1"/>
        <v>0.45356540196690931</v>
      </c>
      <c r="AH2787" s="2" t="str">
        <f ca="1"/>
        <v>Bad</v>
      </c>
    </row>
    <row r="2788" spans="2:34" x14ac:dyDescent="0.2">
      <c r="B2788" s="2">
        <f ca="1"/>
        <v>0.70862811225409961</v>
      </c>
      <c r="O2788" s="2">
        <f ca="1"/>
        <v>1.2383118249950955</v>
      </c>
      <c r="X2788" s="2">
        <f ca="1"/>
        <v>35.343086100483994</v>
      </c>
      <c r="AG2788" s="2">
        <f ca="1"/>
        <v>0.74503324060548604</v>
      </c>
      <c r="AH2788" s="2" t="str">
        <f ca="1"/>
        <v>Bad</v>
      </c>
    </row>
    <row r="2789" spans="2:34" x14ac:dyDescent="0.2">
      <c r="B2789" s="2">
        <f ca="1"/>
        <v>2.1387544829545968E-2</v>
      </c>
      <c r="O2789" s="2">
        <f ca="1"/>
        <v>1.562350597065544</v>
      </c>
      <c r="X2789" s="2">
        <f ca="1"/>
        <v>78.072579474860774</v>
      </c>
      <c r="AG2789" s="2">
        <f ca="1"/>
        <v>0.9626366942208171</v>
      </c>
      <c r="AH2789" s="2" t="str">
        <f ca="1"/>
        <v>Bad</v>
      </c>
    </row>
    <row r="2790" spans="2:34" x14ac:dyDescent="0.2">
      <c r="B2790" s="2">
        <f ca="1"/>
        <v>3.6742567066061049E-2</v>
      </c>
      <c r="O2790" s="2">
        <f ca="1"/>
        <v>-0.55516642926413351</v>
      </c>
      <c r="X2790" s="2">
        <f ca="1"/>
        <v>54.054243486974599</v>
      </c>
      <c r="AG2790" s="2">
        <f ca="1"/>
        <v>0.70813138134657749</v>
      </c>
      <c r="AH2790" s="2" t="str">
        <f ca="1"/>
        <v>Bad</v>
      </c>
    </row>
    <row r="2791" spans="2:34" x14ac:dyDescent="0.2">
      <c r="B2791" s="2">
        <f ca="1"/>
        <v>0.93566452198029149</v>
      </c>
      <c r="O2791" s="2">
        <f ca="1"/>
        <v>0.86206448598736651</v>
      </c>
      <c r="X2791" s="2">
        <f ca="1"/>
        <v>40.998602938367348</v>
      </c>
      <c r="AG2791" s="2">
        <f ca="1"/>
        <v>0.18135693313348322</v>
      </c>
      <c r="AH2791" s="2" t="str">
        <f ca="1"/>
        <v>OK</v>
      </c>
    </row>
    <row r="2792" spans="2:34" x14ac:dyDescent="0.2">
      <c r="B2792" s="2">
        <f ca="1"/>
        <v>0.75309628274836005</v>
      </c>
      <c r="O2792" s="2">
        <f ca="1"/>
        <v>1.3134269625159256</v>
      </c>
      <c r="X2792" s="2">
        <f ca="1"/>
        <v>32.070759088752098</v>
      </c>
      <c r="AG2792" s="2">
        <f ca="1"/>
        <v>0.27644768912262219</v>
      </c>
      <c r="AH2792" s="2" t="str">
        <f ca="1"/>
        <v>OK</v>
      </c>
    </row>
    <row r="2793" spans="2:34" x14ac:dyDescent="0.2">
      <c r="B2793" s="2">
        <f ca="1"/>
        <v>0.67047208107560774</v>
      </c>
      <c r="O2793" s="2">
        <f ca="1"/>
        <v>-0.52438313994760799</v>
      </c>
      <c r="X2793" s="2">
        <f ca="1"/>
        <v>31.695929974546694</v>
      </c>
      <c r="AG2793" s="2">
        <f ca="1"/>
        <v>0.4667576607009265</v>
      </c>
      <c r="AH2793" s="2" t="str">
        <f ca="1"/>
        <v>Bad</v>
      </c>
    </row>
    <row r="2794" spans="2:34" x14ac:dyDescent="0.2">
      <c r="B2794" s="2">
        <f ca="1"/>
        <v>0.49172513208102164</v>
      </c>
      <c r="O2794" s="2">
        <f ca="1"/>
        <v>-1.4026224801784775</v>
      </c>
      <c r="X2794" s="2">
        <f ca="1"/>
        <v>18.599360305677312</v>
      </c>
      <c r="AG2794" s="2">
        <f ca="1"/>
        <v>0.84100890721382426</v>
      </c>
      <c r="AH2794" s="2" t="str">
        <f ca="1"/>
        <v>Bad</v>
      </c>
    </row>
    <row r="2795" spans="2:34" x14ac:dyDescent="0.2">
      <c r="B2795" s="2">
        <f ca="1"/>
        <v>0.60185666719202646</v>
      </c>
      <c r="O2795" s="2">
        <f ca="1"/>
        <v>0.85229735483758717</v>
      </c>
      <c r="X2795" s="2">
        <f ca="1"/>
        <v>39.943241307895548</v>
      </c>
      <c r="AG2795" s="2">
        <f ca="1"/>
        <v>0.76459247713069844</v>
      </c>
      <c r="AH2795" s="2" t="str">
        <f ca="1"/>
        <v>Bad</v>
      </c>
    </row>
    <row r="2796" spans="2:34" x14ac:dyDescent="0.2">
      <c r="B2796" s="2">
        <f ca="1"/>
        <v>0.8488455275161042</v>
      </c>
      <c r="O2796" s="2">
        <f ca="1"/>
        <v>-0.35591710179810271</v>
      </c>
      <c r="X2796" s="2">
        <f ca="1"/>
        <v>41.324775485561702</v>
      </c>
      <c r="AG2796" s="2">
        <f ca="1"/>
        <v>0.91158440735228385</v>
      </c>
      <c r="AH2796" s="2" t="str">
        <f ca="1"/>
        <v>Bad</v>
      </c>
    </row>
    <row r="2797" spans="2:34" x14ac:dyDescent="0.2">
      <c r="B2797" s="2">
        <f ca="1"/>
        <v>3.1961142846794743E-2</v>
      </c>
      <c r="O2797" s="2">
        <f ca="1"/>
        <v>0.61670797317770232</v>
      </c>
      <c r="X2797" s="2">
        <f ca="1"/>
        <v>53.007548110892941</v>
      </c>
      <c r="AG2797" s="2">
        <f ca="1"/>
        <v>0.26526141170353257</v>
      </c>
      <c r="AH2797" s="2" t="str">
        <f ca="1"/>
        <v>OK</v>
      </c>
    </row>
    <row r="2798" spans="2:34" x14ac:dyDescent="0.2">
      <c r="B2798" s="2">
        <f ca="1"/>
        <v>0.18790209056064056</v>
      </c>
      <c r="O2798" s="2">
        <f ca="1"/>
        <v>-0.73331406115453213</v>
      </c>
      <c r="X2798" s="2">
        <f ca="1"/>
        <v>50.698948881583121</v>
      </c>
      <c r="AG2798" s="2">
        <f ca="1"/>
        <v>0.39856995864855027</v>
      </c>
      <c r="AH2798" s="2" t="str">
        <f ca="1"/>
        <v>OK</v>
      </c>
    </row>
    <row r="2799" spans="2:34" x14ac:dyDescent="0.2">
      <c r="B2799" s="2">
        <f ca="1"/>
        <v>0.58722031689324372</v>
      </c>
      <c r="O2799" s="2">
        <f ca="1"/>
        <v>-1.1958510003036209</v>
      </c>
      <c r="X2799" s="2">
        <f ca="1"/>
        <v>66.740380867170273</v>
      </c>
      <c r="AG2799" s="2">
        <f ca="1"/>
        <v>0.78876330481504242</v>
      </c>
      <c r="AH2799" s="2" t="str">
        <f ca="1"/>
        <v>Bad</v>
      </c>
    </row>
    <row r="2800" spans="2:34" x14ac:dyDescent="0.2">
      <c r="B2800" s="2">
        <f ca="1"/>
        <v>0.64579224211309527</v>
      </c>
      <c r="O2800" s="2">
        <f ca="1"/>
        <v>-2.2622916736136833</v>
      </c>
      <c r="X2800" s="2">
        <f ca="1"/>
        <v>76.961038461685391</v>
      </c>
      <c r="AG2800" s="2">
        <f ca="1"/>
        <v>0.60353306641542948</v>
      </c>
      <c r="AH2800" s="2" t="str">
        <f ca="1"/>
        <v>Bad</v>
      </c>
    </row>
    <row r="2801" spans="2:34" x14ac:dyDescent="0.2">
      <c r="B2801" s="2">
        <f ca="1"/>
        <v>0.15700498898326942</v>
      </c>
      <c r="O2801" s="2">
        <f ca="1"/>
        <v>-0.21918187087525948</v>
      </c>
      <c r="X2801" s="2">
        <f ca="1"/>
        <v>36.682541873309418</v>
      </c>
      <c r="AG2801" s="2">
        <f ca="1"/>
        <v>0.58301388321004066</v>
      </c>
      <c r="AH2801" s="2" t="str">
        <f ca="1"/>
        <v>Bad</v>
      </c>
    </row>
    <row r="2802" spans="2:34" x14ac:dyDescent="0.2">
      <c r="B2802" s="2">
        <f ca="1"/>
        <v>0.85452302114083389</v>
      </c>
      <c r="O2802" s="2">
        <f ca="1"/>
        <v>-0.68096684490570358</v>
      </c>
      <c r="X2802" s="2">
        <f ca="1"/>
        <v>42.282500050435665</v>
      </c>
      <c r="AG2802" s="2">
        <f ca="1"/>
        <v>0.28063460247463756</v>
      </c>
      <c r="AH2802" s="2" t="str">
        <f ca="1"/>
        <v>OK</v>
      </c>
    </row>
    <row r="2803" spans="2:34" x14ac:dyDescent="0.2">
      <c r="B2803" s="2">
        <f ca="1"/>
        <v>5.0276290456034323E-2</v>
      </c>
      <c r="O2803" s="2">
        <f ca="1"/>
        <v>-1.2607691008760564</v>
      </c>
      <c r="X2803" s="2">
        <f ca="1"/>
        <v>29.267392010767367</v>
      </c>
      <c r="AG2803" s="2">
        <f ca="1"/>
        <v>0.21307989785720838</v>
      </c>
      <c r="AH2803" s="2" t="str">
        <f ca="1"/>
        <v>OK</v>
      </c>
    </row>
    <row r="2804" spans="2:34" x14ac:dyDescent="0.2">
      <c r="B2804" s="2">
        <f ca="1"/>
        <v>0.72024952422562527</v>
      </c>
      <c r="O2804" s="2">
        <f ca="1"/>
        <v>0.32603641435425679</v>
      </c>
      <c r="X2804" s="2">
        <f ca="1"/>
        <v>93.969173687240385</v>
      </c>
      <c r="AG2804" s="2">
        <f ca="1"/>
        <v>0.66212951693899802</v>
      </c>
      <c r="AH2804" s="2" t="str">
        <f ca="1"/>
        <v>Bad</v>
      </c>
    </row>
    <row r="2805" spans="2:34" x14ac:dyDescent="0.2">
      <c r="B2805" s="2">
        <f ca="1"/>
        <v>0.69746382545812469</v>
      </c>
      <c r="O2805" s="2">
        <f ca="1"/>
        <v>0.88417397517021634</v>
      </c>
      <c r="X2805" s="2">
        <f ca="1"/>
        <v>47.653150116508421</v>
      </c>
      <c r="AG2805" s="2">
        <f ca="1"/>
        <v>9.117856763305543E-2</v>
      </c>
      <c r="AH2805" s="2" t="str">
        <f ca="1"/>
        <v>OK</v>
      </c>
    </row>
    <row r="2806" spans="2:34" x14ac:dyDescent="0.2">
      <c r="B2806" s="2">
        <f ca="1"/>
        <v>0.32014597083850549</v>
      </c>
      <c r="O2806" s="2">
        <f ca="1"/>
        <v>-0.26180234485911175</v>
      </c>
      <c r="X2806" s="2">
        <f ca="1"/>
        <v>38.338423754755183</v>
      </c>
      <c r="AG2806" s="2">
        <f ca="1"/>
        <v>0.57506695599255475</v>
      </c>
      <c r="AH2806" s="2" t="str">
        <f ca="1"/>
        <v>Bad</v>
      </c>
    </row>
    <row r="2807" spans="2:34" x14ac:dyDescent="0.2">
      <c r="B2807" s="2">
        <f ca="1"/>
        <v>0.89061157927045409</v>
      </c>
      <c r="O2807" s="2">
        <f ca="1"/>
        <v>5.2424292549582113E-2</v>
      </c>
      <c r="X2807" s="2">
        <f ca="1"/>
        <v>11.889223129070814</v>
      </c>
      <c r="AG2807" s="2">
        <f ca="1"/>
        <v>0.189570893576535</v>
      </c>
      <c r="AH2807" s="2" t="str">
        <f ca="1"/>
        <v>OK</v>
      </c>
    </row>
    <row r="2808" spans="2:34" x14ac:dyDescent="0.2">
      <c r="B2808" s="2">
        <f ca="1"/>
        <v>0.75860816323453051</v>
      </c>
      <c r="O2808" s="2">
        <f ca="1"/>
        <v>2.9937410743040598</v>
      </c>
      <c r="X2808" s="2">
        <f ca="1"/>
        <v>71.934826644648354</v>
      </c>
      <c r="AG2808" s="2">
        <f ca="1"/>
        <v>0.48066625743968783</v>
      </c>
      <c r="AH2808" s="2" t="str">
        <f ca="1"/>
        <v>Bad</v>
      </c>
    </row>
    <row r="2809" spans="2:34" x14ac:dyDescent="0.2">
      <c r="B2809" s="2">
        <f ca="1"/>
        <v>0.46507543228443038</v>
      </c>
      <c r="O2809" s="2">
        <f ca="1"/>
        <v>-1.870822871674501</v>
      </c>
      <c r="X2809" s="2">
        <f ca="1"/>
        <v>77.762529663562717</v>
      </c>
      <c r="AG2809" s="2">
        <f ca="1"/>
        <v>0.41060513370139096</v>
      </c>
      <c r="AH2809" s="2" t="str">
        <f ca="1"/>
        <v>Bad</v>
      </c>
    </row>
    <row r="2810" spans="2:34" x14ac:dyDescent="0.2">
      <c r="B2810" s="2">
        <f ca="1"/>
        <v>1.9645819313842683E-3</v>
      </c>
      <c r="O2810" s="2">
        <f ca="1"/>
        <v>0.20222839137860282</v>
      </c>
      <c r="X2810" s="2">
        <f ca="1"/>
        <v>59.477162919995564</v>
      </c>
      <c r="AG2810" s="2">
        <f ca="1"/>
        <v>0.81482635156252869</v>
      </c>
      <c r="AH2810" s="2" t="str">
        <f ca="1"/>
        <v>Bad</v>
      </c>
    </row>
    <row r="2811" spans="2:34" x14ac:dyDescent="0.2">
      <c r="B2811" s="2">
        <f ca="1"/>
        <v>0.69598597476148849</v>
      </c>
      <c r="O2811" s="2">
        <f ca="1"/>
        <v>-0.27327100483864264</v>
      </c>
      <c r="X2811" s="2">
        <f ca="1"/>
        <v>46.514307094791086</v>
      </c>
      <c r="AG2811" s="2">
        <f ca="1"/>
        <v>0.33573927476705046</v>
      </c>
      <c r="AH2811" s="2" t="str">
        <f ca="1"/>
        <v>OK</v>
      </c>
    </row>
    <row r="2812" spans="2:34" x14ac:dyDescent="0.2">
      <c r="B2812" s="2">
        <f ca="1"/>
        <v>0.40426247117919445</v>
      </c>
      <c r="O2812" s="2">
        <f ca="1"/>
        <v>-1.3145466887942132</v>
      </c>
      <c r="X2812" s="2">
        <f ca="1"/>
        <v>68.721155612183821</v>
      </c>
      <c r="AG2812" s="2">
        <f ca="1"/>
        <v>0.51174448764003122</v>
      </c>
      <c r="AH2812" s="2" t="str">
        <f ca="1"/>
        <v>Bad</v>
      </c>
    </row>
    <row r="2813" spans="2:34" x14ac:dyDescent="0.2">
      <c r="B2813" s="2">
        <f ca="1"/>
        <v>0.76087579803420557</v>
      </c>
      <c r="O2813" s="2">
        <f ca="1"/>
        <v>-1.6970567315887453</v>
      </c>
      <c r="X2813" s="2">
        <f ca="1"/>
        <v>72.863685676233786</v>
      </c>
      <c r="AG2813" s="2">
        <f ca="1"/>
        <v>0.60912560872591226</v>
      </c>
      <c r="AH2813" s="2" t="str">
        <f ca="1"/>
        <v>Bad</v>
      </c>
    </row>
    <row r="2814" spans="2:34" x14ac:dyDescent="0.2">
      <c r="B2814" s="2">
        <f ca="1"/>
        <v>0.21183298834624953</v>
      </c>
      <c r="O2814" s="2">
        <f ca="1"/>
        <v>-0.61022927066873567</v>
      </c>
      <c r="X2814" s="2">
        <f ca="1"/>
        <v>61.958009538603804</v>
      </c>
      <c r="AG2814" s="2">
        <f ca="1"/>
        <v>0.93040966554996141</v>
      </c>
      <c r="AH2814" s="2" t="str">
        <f ca="1"/>
        <v>Bad</v>
      </c>
    </row>
    <row r="2815" spans="2:34" x14ac:dyDescent="0.2">
      <c r="B2815" s="2">
        <f ca="1"/>
        <v>0.56520639800515071</v>
      </c>
      <c r="O2815" s="2">
        <f ca="1"/>
        <v>-0.52261353437953073</v>
      </c>
      <c r="X2815" s="2">
        <f ca="1"/>
        <v>57.510408320197115</v>
      </c>
      <c r="AG2815" s="2">
        <f ca="1"/>
        <v>0.12464421332550191</v>
      </c>
      <c r="AH2815" s="2" t="str">
        <f ca="1"/>
        <v>OK</v>
      </c>
    </row>
    <row r="2816" spans="2:34" x14ac:dyDescent="0.2">
      <c r="B2816" s="2">
        <f ca="1"/>
        <v>0.81160928540929178</v>
      </c>
      <c r="O2816" s="2">
        <f ca="1"/>
        <v>-7.2126374981540314E-2</v>
      </c>
      <c r="X2816" s="2">
        <f ca="1"/>
        <v>55.212211006090619</v>
      </c>
      <c r="AG2816" s="2">
        <f ca="1"/>
        <v>0.55006728438751518</v>
      </c>
      <c r="AH2816" s="2" t="str">
        <f ca="1"/>
        <v>Bad</v>
      </c>
    </row>
    <row r="2817" spans="2:34" x14ac:dyDescent="0.2">
      <c r="B2817" s="2">
        <f ca="1"/>
        <v>0.85376721537917932</v>
      </c>
      <c r="O2817" s="2">
        <f ca="1"/>
        <v>1.3439536752107506</v>
      </c>
      <c r="X2817" s="2">
        <f ca="1"/>
        <v>49.288351193924612</v>
      </c>
      <c r="AG2817" s="2">
        <f ca="1"/>
        <v>0.40247824171744173</v>
      </c>
      <c r="AH2817" s="2" t="str">
        <f ca="1"/>
        <v>Bad</v>
      </c>
    </row>
    <row r="2818" spans="2:34" x14ac:dyDescent="0.2">
      <c r="B2818" s="2">
        <f ca="1"/>
        <v>0.56438325762039199</v>
      </c>
      <c r="O2818" s="2">
        <f ca="1"/>
        <v>0.64480650076021229</v>
      </c>
      <c r="X2818" s="2">
        <f ca="1"/>
        <v>58.482542730151017</v>
      </c>
      <c r="AG2818" s="2">
        <f ca="1"/>
        <v>0.13307055940177537</v>
      </c>
      <c r="AH2818" s="2" t="str">
        <f ca="1"/>
        <v>OK</v>
      </c>
    </row>
    <row r="2819" spans="2:34" x14ac:dyDescent="0.2">
      <c r="B2819" s="2">
        <f ca="1"/>
        <v>0.36946068101077323</v>
      </c>
      <c r="O2819" s="2">
        <f ca="1"/>
        <v>-0.98399901539867574</v>
      </c>
      <c r="X2819" s="2">
        <f ca="1"/>
        <v>73.487640086576803</v>
      </c>
      <c r="AG2819" s="2">
        <f ca="1"/>
        <v>0.52087009298235931</v>
      </c>
      <c r="AH2819" s="2" t="str">
        <f ca="1"/>
        <v>Bad</v>
      </c>
    </row>
    <row r="2820" spans="2:34" x14ac:dyDescent="0.2">
      <c r="B2820" s="2">
        <f ca="1"/>
        <v>0.73679489780995899</v>
      </c>
      <c r="O2820" s="2">
        <f ca="1"/>
        <v>-0.57256679856937043</v>
      </c>
      <c r="X2820" s="2">
        <f ca="1"/>
        <v>40.447943865868695</v>
      </c>
      <c r="AG2820" s="2">
        <f ca="1"/>
        <v>0.33853050207316593</v>
      </c>
      <c r="AH2820" s="2" t="str">
        <f ca="1"/>
        <v>OK</v>
      </c>
    </row>
    <row r="2821" spans="2:34" x14ac:dyDescent="0.2">
      <c r="B2821" s="2">
        <f ca="1"/>
        <v>0.31573720386504633</v>
      </c>
      <c r="O2821" s="2">
        <f ca="1"/>
        <v>-1.3958674569162237</v>
      </c>
      <c r="X2821" s="2">
        <f ca="1"/>
        <v>63.87011051927486</v>
      </c>
      <c r="AG2821" s="2">
        <f ca="1"/>
        <v>0.41127173579528531</v>
      </c>
      <c r="AH2821" s="2" t="str">
        <f ca="1"/>
        <v>Bad</v>
      </c>
    </row>
    <row r="2822" spans="2:34" x14ac:dyDescent="0.2">
      <c r="B2822" s="2">
        <f ca="1"/>
        <v>0.69614385018321912</v>
      </c>
      <c r="O2822" s="2">
        <f ca="1"/>
        <v>0.86348570518007872</v>
      </c>
      <c r="X2822" s="2">
        <f ca="1"/>
        <v>34.35564525588665</v>
      </c>
      <c r="AG2822" s="2">
        <f ca="1"/>
        <v>0.47858880958181582</v>
      </c>
      <c r="AH2822" s="2" t="str">
        <f ca="1"/>
        <v>Bad</v>
      </c>
    </row>
    <row r="2823" spans="2:34" x14ac:dyDescent="0.2">
      <c r="B2823" s="2">
        <f ca="1"/>
        <v>0.93164097646601918</v>
      </c>
      <c r="O2823" s="2">
        <f ca="1"/>
        <v>0.46152213972638201</v>
      </c>
      <c r="X2823" s="2">
        <f ca="1"/>
        <v>56.765287345618148</v>
      </c>
      <c r="AG2823" s="2">
        <f ca="1"/>
        <v>0.64721215353117345</v>
      </c>
      <c r="AH2823" s="2" t="str">
        <f ca="1"/>
        <v>Bad</v>
      </c>
    </row>
    <row r="2824" spans="2:34" x14ac:dyDescent="0.2">
      <c r="B2824" s="2">
        <f ca="1"/>
        <v>0.48334569396896243</v>
      </c>
      <c r="O2824" s="2">
        <f ca="1"/>
        <v>-0.27428509884444313</v>
      </c>
      <c r="X2824" s="2">
        <f ca="1"/>
        <v>41.144644131600181</v>
      </c>
      <c r="AG2824" s="2">
        <f ca="1"/>
        <v>0.46813061471333595</v>
      </c>
      <c r="AH2824" s="2" t="str">
        <f ca="1"/>
        <v>Bad</v>
      </c>
    </row>
    <row r="2825" spans="2:34" x14ac:dyDescent="0.2">
      <c r="B2825" s="2">
        <f ca="1"/>
        <v>0.78529622282206435</v>
      </c>
      <c r="O2825" s="2">
        <f ca="1"/>
        <v>0.3277360368702083</v>
      </c>
      <c r="X2825" s="2">
        <f ca="1"/>
        <v>29.995995208065835</v>
      </c>
      <c r="AG2825" s="2">
        <f ca="1"/>
        <v>0.71174267144191927</v>
      </c>
      <c r="AH2825" s="2" t="str">
        <f ca="1"/>
        <v>Bad</v>
      </c>
    </row>
    <row r="2826" spans="2:34" x14ac:dyDescent="0.2">
      <c r="B2826" s="2">
        <f ca="1"/>
        <v>0.84022262932489578</v>
      </c>
      <c r="O2826" s="2">
        <f ca="1"/>
        <v>-0.10412156705523319</v>
      </c>
      <c r="X2826" s="2">
        <f ca="1"/>
        <v>62.979678908722136</v>
      </c>
      <c r="AG2826" s="2">
        <f ca="1"/>
        <v>0.74054506622790917</v>
      </c>
      <c r="AH2826" s="2" t="str">
        <f ca="1"/>
        <v>Bad</v>
      </c>
    </row>
    <row r="2827" spans="2:34" x14ac:dyDescent="0.2">
      <c r="B2827" s="2">
        <f ca="1"/>
        <v>0.54640528234896668</v>
      </c>
      <c r="O2827" s="2">
        <f ca="1"/>
        <v>-0.90435163172744681</v>
      </c>
      <c r="X2827" s="2">
        <f ca="1"/>
        <v>48.878757724646817</v>
      </c>
      <c r="AG2827" s="2">
        <f ca="1"/>
        <v>0.70952680998018436</v>
      </c>
      <c r="AH2827" s="2" t="str">
        <f ca="1"/>
        <v>Bad</v>
      </c>
    </row>
    <row r="2828" spans="2:34" x14ac:dyDescent="0.2">
      <c r="B2828" s="2">
        <f ca="1"/>
        <v>0.33941681884172303</v>
      </c>
      <c r="O2828" s="2">
        <f ca="1"/>
        <v>0.80396850274807785</v>
      </c>
      <c r="X2828" s="2">
        <f ca="1"/>
        <v>60.212145640090178</v>
      </c>
      <c r="AG2828" s="2">
        <f ca="1"/>
        <v>0.15560201753098379</v>
      </c>
      <c r="AH2828" s="2" t="str">
        <f ca="1"/>
        <v>OK</v>
      </c>
    </row>
    <row r="2829" spans="2:34" x14ac:dyDescent="0.2">
      <c r="B2829" s="2">
        <f ca="1"/>
        <v>0.45257533639544767</v>
      </c>
      <c r="O2829" s="2">
        <f ca="1"/>
        <v>0.91039874014548028</v>
      </c>
      <c r="X2829" s="2">
        <f ca="1"/>
        <v>67.166667562937789</v>
      </c>
      <c r="AG2829" s="2">
        <f ca="1"/>
        <v>0.14149360279763568</v>
      </c>
      <c r="AH2829" s="2" t="str">
        <f ca="1"/>
        <v>OK</v>
      </c>
    </row>
    <row r="2830" spans="2:34" x14ac:dyDescent="0.2">
      <c r="B2830" s="2">
        <f ca="1"/>
        <v>0.44255835538899357</v>
      </c>
      <c r="O2830" s="2">
        <f ca="1"/>
        <v>0.58640709056340135</v>
      </c>
      <c r="X2830" s="2">
        <f ca="1"/>
        <v>37.656066585702803</v>
      </c>
      <c r="AG2830" s="2">
        <f ca="1"/>
        <v>0.85616757715729586</v>
      </c>
      <c r="AH2830" s="2" t="str">
        <f ca="1"/>
        <v>Bad</v>
      </c>
    </row>
    <row r="2831" spans="2:34" x14ac:dyDescent="0.2">
      <c r="B2831" s="2">
        <f ca="1"/>
        <v>0.22182940618715419</v>
      </c>
      <c r="O2831" s="2">
        <f ca="1"/>
        <v>-2.1806154128541464</v>
      </c>
      <c r="X2831" s="2">
        <f ca="1"/>
        <v>51.89896622197729</v>
      </c>
      <c r="AG2831" s="2">
        <f ca="1"/>
        <v>0.89398873468705631</v>
      </c>
      <c r="AH2831" s="2" t="str">
        <f ca="1"/>
        <v>Bad</v>
      </c>
    </row>
    <row r="2832" spans="2:34" x14ac:dyDescent="0.2">
      <c r="B2832" s="2">
        <f ca="1"/>
        <v>5.2414753701620409E-2</v>
      </c>
      <c r="O2832" s="2">
        <f ca="1"/>
        <v>0.41043345665174424</v>
      </c>
      <c r="X2832" s="2">
        <f ca="1"/>
        <v>93.015962218815247</v>
      </c>
      <c r="AG2832" s="2">
        <f ca="1"/>
        <v>0.97811461904235864</v>
      </c>
      <c r="AH2832" s="2" t="str">
        <f ca="1"/>
        <v>Bad</v>
      </c>
    </row>
    <row r="2833" spans="2:34" x14ac:dyDescent="0.2">
      <c r="B2833" s="2">
        <f ca="1"/>
        <v>0.57980428920330684</v>
      </c>
      <c r="O2833" s="2">
        <f ca="1"/>
        <v>2.1156347594392475</v>
      </c>
      <c r="X2833" s="2">
        <f ca="1"/>
        <v>29.299824971287279</v>
      </c>
      <c r="AG2833" s="2">
        <f ca="1"/>
        <v>0.3863890729504571</v>
      </c>
      <c r="AH2833" s="2" t="str">
        <f ca="1"/>
        <v>OK</v>
      </c>
    </row>
    <row r="2834" spans="2:34" x14ac:dyDescent="0.2">
      <c r="B2834" s="2">
        <f ca="1"/>
        <v>0.56134516478011842</v>
      </c>
      <c r="O2834" s="2">
        <f ca="1"/>
        <v>-0.7856110115153575</v>
      </c>
      <c r="X2834" s="2">
        <f ca="1"/>
        <v>62.530539114834923</v>
      </c>
      <c r="AG2834" s="2">
        <f ca="1"/>
        <v>0.58623062498965517</v>
      </c>
      <c r="AH2834" s="2" t="str">
        <f ca="1"/>
        <v>Bad</v>
      </c>
    </row>
    <row r="2835" spans="2:34" x14ac:dyDescent="0.2">
      <c r="B2835" s="2">
        <f ca="1"/>
        <v>0.6309394572714857</v>
      </c>
      <c r="O2835" s="2">
        <f ca="1"/>
        <v>-0.11289586949966517</v>
      </c>
      <c r="X2835" s="2">
        <f ca="1"/>
        <v>75.261637340366974</v>
      </c>
      <c r="AG2835" s="2">
        <f ca="1"/>
        <v>0.78281130520827569</v>
      </c>
      <c r="AH2835" s="2" t="str">
        <f ca="1"/>
        <v>Bad</v>
      </c>
    </row>
    <row r="2836" spans="2:34" x14ac:dyDescent="0.2">
      <c r="B2836" s="2">
        <f ca="1"/>
        <v>0.68583876638696473</v>
      </c>
      <c r="O2836" s="2">
        <f ca="1"/>
        <v>-1.1886384702155923</v>
      </c>
      <c r="X2836" s="2">
        <f ca="1"/>
        <v>60.15393562178452</v>
      </c>
      <c r="AG2836" s="2">
        <f ca="1"/>
        <v>0.10057313355257769</v>
      </c>
      <c r="AH2836" s="2" t="str">
        <f ca="1"/>
        <v>OK</v>
      </c>
    </row>
    <row r="2837" spans="2:34" x14ac:dyDescent="0.2">
      <c r="B2837" s="2">
        <f ca="1"/>
        <v>0.37344979510474818</v>
      </c>
      <c r="O2837" s="2">
        <f ca="1"/>
        <v>-0.74800264389699289</v>
      </c>
      <c r="X2837" s="2">
        <f ca="1"/>
        <v>79.929285608285184</v>
      </c>
      <c r="AG2837" s="2">
        <f ca="1"/>
        <v>0.25876566795944944</v>
      </c>
      <c r="AH2837" s="2" t="str">
        <f ca="1"/>
        <v>OK</v>
      </c>
    </row>
    <row r="2838" spans="2:34" x14ac:dyDescent="0.2">
      <c r="B2838" s="2">
        <f ca="1"/>
        <v>0.40292824548895489</v>
      </c>
      <c r="O2838" s="2">
        <f ca="1"/>
        <v>-0.15120726184068692</v>
      </c>
      <c r="X2838" s="2">
        <f ca="1"/>
        <v>65.207334689027491</v>
      </c>
      <c r="AG2838" s="2">
        <f ca="1"/>
        <v>0.91533563179414967</v>
      </c>
      <c r="AH2838" s="2" t="str">
        <f ca="1"/>
        <v>Bad</v>
      </c>
    </row>
    <row r="2839" spans="2:34" x14ac:dyDescent="0.2">
      <c r="B2839" s="2">
        <f ca="1"/>
        <v>0.2073348546227296</v>
      </c>
      <c r="O2839" s="2">
        <f ca="1"/>
        <v>0.36928006927328072</v>
      </c>
      <c r="X2839" s="2">
        <f ca="1"/>
        <v>27.708084398204758</v>
      </c>
      <c r="AG2839" s="2">
        <f ca="1"/>
        <v>0.26132591179542941</v>
      </c>
      <c r="AH2839" s="2" t="str">
        <f ca="1"/>
        <v>OK</v>
      </c>
    </row>
    <row r="2840" spans="2:34" x14ac:dyDescent="0.2">
      <c r="B2840" s="2">
        <f ca="1"/>
        <v>0.78606652126674081</v>
      </c>
      <c r="O2840" s="2">
        <f ca="1"/>
        <v>-0.99253813096933707</v>
      </c>
      <c r="X2840" s="2">
        <f ca="1"/>
        <v>74.226533617427734</v>
      </c>
      <c r="AG2840" s="2">
        <f ca="1"/>
        <v>0.14088018924826184</v>
      </c>
      <c r="AH2840" s="2" t="str">
        <f ca="1"/>
        <v>OK</v>
      </c>
    </row>
    <row r="2841" spans="2:34" x14ac:dyDescent="0.2">
      <c r="B2841" s="2">
        <f ca="1"/>
        <v>0.27226258112669766</v>
      </c>
      <c r="O2841" s="2">
        <f ca="1"/>
        <v>1.4161047456202902</v>
      </c>
      <c r="X2841" s="2">
        <f ca="1"/>
        <v>54.334968103199202</v>
      </c>
      <c r="AG2841" s="2">
        <f ca="1"/>
        <v>0.84846087772514989</v>
      </c>
      <c r="AH2841" s="2" t="str">
        <f ca="1"/>
        <v>Bad</v>
      </c>
    </row>
    <row r="2842" spans="2:34" x14ac:dyDescent="0.2">
      <c r="B2842" s="2">
        <f ca="1"/>
        <v>0.21897465932389726</v>
      </c>
      <c r="O2842" s="2">
        <f ca="1"/>
        <v>2.0008403207054344</v>
      </c>
      <c r="X2842" s="2">
        <f ca="1"/>
        <v>94.982067242357559</v>
      </c>
      <c r="AG2842" s="2">
        <f ca="1"/>
        <v>0.53814386013628779</v>
      </c>
      <c r="AH2842" s="2" t="str">
        <f ca="1"/>
        <v>Bad</v>
      </c>
    </row>
    <row r="2843" spans="2:34" x14ac:dyDescent="0.2">
      <c r="B2843" s="2">
        <f ca="1"/>
        <v>0.32673800798718955</v>
      </c>
      <c r="O2843" s="2">
        <f ca="1"/>
        <v>0.49449670875295615</v>
      </c>
      <c r="X2843" s="2">
        <f ca="1"/>
        <v>52.902388500339548</v>
      </c>
      <c r="AG2843" s="2">
        <f ca="1"/>
        <v>0.24479477095618551</v>
      </c>
      <c r="AH2843" s="2" t="str">
        <f ca="1"/>
        <v>OK</v>
      </c>
    </row>
    <row r="2844" spans="2:34" x14ac:dyDescent="0.2">
      <c r="B2844" s="2">
        <f ca="1"/>
        <v>0.93098187317176517</v>
      </c>
      <c r="O2844" s="2">
        <f ca="1"/>
        <v>0.45663799584335407</v>
      </c>
      <c r="X2844" s="2">
        <f ca="1"/>
        <v>24.489399453343573</v>
      </c>
      <c r="AG2844" s="2">
        <f ca="1"/>
        <v>0.43032345908487768</v>
      </c>
      <c r="AH2844" s="2" t="str">
        <f ca="1"/>
        <v>Bad</v>
      </c>
    </row>
    <row r="2845" spans="2:34" x14ac:dyDescent="0.2">
      <c r="B2845" s="2">
        <f ca="1"/>
        <v>0.74713859537841909</v>
      </c>
      <c r="O2845" s="2">
        <f ca="1"/>
        <v>0.15605526841859776</v>
      </c>
      <c r="X2845" s="2">
        <f ca="1"/>
        <v>63.028178132586945</v>
      </c>
      <c r="AG2845" s="2">
        <f ca="1"/>
        <v>0.8218159463443353</v>
      </c>
      <c r="AH2845" s="2" t="str">
        <f ca="1"/>
        <v>Bad</v>
      </c>
    </row>
    <row r="2846" spans="2:34" x14ac:dyDescent="0.2">
      <c r="B2846" s="2">
        <f ca="1"/>
        <v>0.59195862723081283</v>
      </c>
      <c r="O2846" s="2">
        <f ca="1"/>
        <v>-0.11875479176638838</v>
      </c>
      <c r="X2846" s="2">
        <f ca="1"/>
        <v>71.065903936958009</v>
      </c>
      <c r="AG2846" s="2">
        <f ca="1"/>
        <v>0.4328100110258859</v>
      </c>
      <c r="AH2846" s="2" t="str">
        <f ca="1"/>
        <v>Bad</v>
      </c>
    </row>
    <row r="2847" spans="2:34" x14ac:dyDescent="0.2">
      <c r="B2847" s="2">
        <f ca="1"/>
        <v>0.51844838550472749</v>
      </c>
      <c r="O2847" s="2">
        <f ca="1"/>
        <v>-0.32882543337177828</v>
      </c>
      <c r="X2847" s="2">
        <f ca="1"/>
        <v>54.586151649618905</v>
      </c>
      <c r="AG2847" s="2">
        <f ca="1"/>
        <v>7.1273055813227071E-2</v>
      </c>
      <c r="AH2847" s="2" t="str">
        <f ca="1"/>
        <v>OK</v>
      </c>
    </row>
    <row r="2848" spans="2:34" x14ac:dyDescent="0.2">
      <c r="B2848" s="2">
        <f ca="1"/>
        <v>0.38291360175322309</v>
      </c>
      <c r="O2848" s="2">
        <f ca="1"/>
        <v>0.68814076137643532</v>
      </c>
      <c r="X2848" s="2">
        <f ca="1"/>
        <v>52.893418287740516</v>
      </c>
      <c r="AG2848" s="2">
        <f ca="1"/>
        <v>1.1095873674745738E-2</v>
      </c>
      <c r="AH2848" s="2" t="str">
        <f ca="1"/>
        <v>Good</v>
      </c>
    </row>
    <row r="2849" spans="2:34" x14ac:dyDescent="0.2">
      <c r="B2849" s="2">
        <f ca="1"/>
        <v>0.98159559525687068</v>
      </c>
      <c r="O2849" s="2">
        <f ca="1"/>
        <v>-4.1673941373568682E-2</v>
      </c>
      <c r="X2849" s="2">
        <f ca="1"/>
        <v>35.448983979112356</v>
      </c>
      <c r="AG2849" s="2">
        <f ca="1"/>
        <v>0.8357552834798585</v>
      </c>
      <c r="AH2849" s="2" t="str">
        <f ca="1"/>
        <v>Bad</v>
      </c>
    </row>
    <row r="2850" spans="2:34" x14ac:dyDescent="0.2">
      <c r="B2850" s="2">
        <f ca="1"/>
        <v>0.31257988249067536</v>
      </c>
      <c r="O2850" s="2">
        <f ca="1"/>
        <v>-1.3847622197997687</v>
      </c>
      <c r="X2850" s="2">
        <f ca="1"/>
        <v>52.90863939203652</v>
      </c>
      <c r="AG2850" s="2">
        <f ca="1"/>
        <v>0.88690053089745602</v>
      </c>
      <c r="AH2850" s="2" t="str">
        <f ca="1"/>
        <v>Bad</v>
      </c>
    </row>
    <row r="2851" spans="2:34" x14ac:dyDescent="0.2">
      <c r="B2851" s="2">
        <f ca="1"/>
        <v>0.97010070575512786</v>
      </c>
      <c r="O2851" s="2">
        <f ca="1"/>
        <v>-0.59755070183523262</v>
      </c>
      <c r="X2851" s="2">
        <f ca="1"/>
        <v>47.889572360313004</v>
      </c>
      <c r="AG2851" s="2">
        <f ca="1"/>
        <v>0.309467633891088</v>
      </c>
      <c r="AH2851" s="2" t="str">
        <f ca="1"/>
        <v>OK</v>
      </c>
    </row>
    <row r="2852" spans="2:34" x14ac:dyDescent="0.2">
      <c r="B2852" s="2">
        <f ca="1"/>
        <v>0.6642158957125055</v>
      </c>
      <c r="O2852" s="2">
        <f ca="1"/>
        <v>1.4836258606904746</v>
      </c>
      <c r="X2852" s="2">
        <f ca="1"/>
        <v>60.71785731879153</v>
      </c>
      <c r="AG2852" s="2">
        <f ca="1"/>
        <v>0.92074907265551387</v>
      </c>
      <c r="AH2852" s="2" t="str">
        <f ca="1"/>
        <v>Bad</v>
      </c>
    </row>
    <row r="2853" spans="2:34" x14ac:dyDescent="0.2">
      <c r="B2853" s="2">
        <f ca="1"/>
        <v>0.18927207895888798</v>
      </c>
      <c r="O2853" s="2">
        <f ca="1"/>
        <v>-1.1106207252075939</v>
      </c>
      <c r="X2853" s="2">
        <f ca="1"/>
        <v>35.396711986217014</v>
      </c>
      <c r="AG2853" s="2">
        <f ca="1"/>
        <v>0.9153973714333945</v>
      </c>
      <c r="AH2853" s="2" t="str">
        <f ca="1"/>
        <v>Bad</v>
      </c>
    </row>
    <row r="2854" spans="2:34" x14ac:dyDescent="0.2">
      <c r="B2854" s="2">
        <f ca="1"/>
        <v>0.17319231731559448</v>
      </c>
      <c r="O2854" s="2">
        <f ca="1"/>
        <v>-1.073286435951385</v>
      </c>
      <c r="X2854" s="2">
        <f ca="1"/>
        <v>54.335746638884864</v>
      </c>
      <c r="AG2854" s="2">
        <f ca="1"/>
        <v>0.13909551092918959</v>
      </c>
      <c r="AH2854" s="2" t="str">
        <f ca="1"/>
        <v>OK</v>
      </c>
    </row>
    <row r="2855" spans="2:34" x14ac:dyDescent="0.2">
      <c r="B2855" s="2">
        <f ca="1"/>
        <v>0.71682299388660842</v>
      </c>
      <c r="O2855" s="2">
        <f ca="1"/>
        <v>-0.60485861225060278</v>
      </c>
      <c r="X2855" s="2">
        <f ca="1"/>
        <v>40.812193747990626</v>
      </c>
      <c r="AG2855" s="2">
        <f ca="1"/>
        <v>2.4049703068288908E-2</v>
      </c>
      <c r="AH2855" s="2" t="str">
        <f ca="1"/>
        <v>Good</v>
      </c>
    </row>
    <row r="2856" spans="2:34" x14ac:dyDescent="0.2">
      <c r="B2856" s="2">
        <f ca="1"/>
        <v>0.10888046248465355</v>
      </c>
      <c r="O2856" s="2">
        <f ca="1"/>
        <v>-0.81650084186084004</v>
      </c>
      <c r="X2856" s="2">
        <f ca="1"/>
        <v>32.875774041009308</v>
      </c>
      <c r="AG2856" s="2">
        <f ca="1"/>
        <v>0.64244279795054049</v>
      </c>
      <c r="AH2856" s="2" t="str">
        <f ca="1"/>
        <v>Bad</v>
      </c>
    </row>
    <row r="2857" spans="2:34" x14ac:dyDescent="0.2">
      <c r="B2857" s="2">
        <f ca="1"/>
        <v>0.47567642083511252</v>
      </c>
      <c r="O2857" s="2">
        <f ca="1"/>
        <v>1.5699676223849313</v>
      </c>
      <c r="X2857" s="2">
        <f ca="1"/>
        <v>63.678462380003438</v>
      </c>
      <c r="AG2857" s="2">
        <f ca="1"/>
        <v>0.17362350326092146</v>
      </c>
      <c r="AH2857" s="2" t="str">
        <f ca="1"/>
        <v>OK</v>
      </c>
    </row>
    <row r="2858" spans="2:34" x14ac:dyDescent="0.2">
      <c r="B2858" s="2">
        <f ca="1"/>
        <v>0.96412389840669199</v>
      </c>
      <c r="O2858" s="2">
        <f ca="1"/>
        <v>0.83149821101057575</v>
      </c>
      <c r="X2858" s="2">
        <f ca="1"/>
        <v>51.949894170647696</v>
      </c>
      <c r="AG2858" s="2">
        <f ca="1"/>
        <v>4.4518758651969081E-2</v>
      </c>
      <c r="AH2858" s="2" t="str">
        <f ca="1"/>
        <v>Good</v>
      </c>
    </row>
    <row r="2859" spans="2:34" x14ac:dyDescent="0.2">
      <c r="B2859" s="2">
        <f ca="1"/>
        <v>0.7373632356973796</v>
      </c>
      <c r="O2859" s="2">
        <f ca="1"/>
        <v>-0.41723916192841698</v>
      </c>
      <c r="X2859" s="2">
        <f ca="1"/>
        <v>26.035729139874366</v>
      </c>
      <c r="AG2859" s="2">
        <f ca="1"/>
        <v>0.29735889623775003</v>
      </c>
      <c r="AH2859" s="2" t="str">
        <f ca="1"/>
        <v>OK</v>
      </c>
    </row>
    <row r="2860" spans="2:34" x14ac:dyDescent="0.2">
      <c r="B2860" s="2">
        <f ca="1"/>
        <v>0.16157073346095618</v>
      </c>
      <c r="O2860" s="2">
        <f ca="1"/>
        <v>0.27563119722937796</v>
      </c>
      <c r="X2860" s="2">
        <f ca="1"/>
        <v>55.337115421646402</v>
      </c>
      <c r="AG2860" s="2">
        <f ca="1"/>
        <v>0.14437959653974475</v>
      </c>
      <c r="AH2860" s="2" t="str">
        <f ca="1"/>
        <v>OK</v>
      </c>
    </row>
    <row r="2861" spans="2:34" x14ac:dyDescent="0.2">
      <c r="B2861" s="2">
        <f ca="1"/>
        <v>0.89012041092591287</v>
      </c>
      <c r="O2861" s="2">
        <f ca="1"/>
        <v>-0.47283833213614107</v>
      </c>
      <c r="X2861" s="2">
        <f ca="1"/>
        <v>52.869439540037675</v>
      </c>
      <c r="AG2861" s="2">
        <f ca="1"/>
        <v>0.24450837993865715</v>
      </c>
      <c r="AH2861" s="2" t="str">
        <f ca="1"/>
        <v>OK</v>
      </c>
    </row>
    <row r="2862" spans="2:34" x14ac:dyDescent="0.2">
      <c r="B2862" s="2">
        <f ca="1"/>
        <v>0.64250138932667422</v>
      </c>
      <c r="O2862" s="2">
        <f ca="1"/>
        <v>1.1085967561378922</v>
      </c>
      <c r="X2862" s="2">
        <f ca="1"/>
        <v>59.379675541205053</v>
      </c>
      <c r="AG2862" s="2">
        <f ca="1"/>
        <v>0.28674854414075268</v>
      </c>
      <c r="AH2862" s="2" t="str">
        <f ca="1"/>
        <v>OK</v>
      </c>
    </row>
    <row r="2863" spans="2:34" x14ac:dyDescent="0.2">
      <c r="B2863" s="2">
        <f ca="1"/>
        <v>0.39974045302209449</v>
      </c>
      <c r="O2863" s="2">
        <f ca="1"/>
        <v>-0.11729245958892243</v>
      </c>
      <c r="X2863" s="2">
        <f ca="1"/>
        <v>52.862412313800782</v>
      </c>
      <c r="AG2863" s="2">
        <f ca="1"/>
        <v>0.14578737519437834</v>
      </c>
      <c r="AH2863" s="2" t="str">
        <f ca="1"/>
        <v>OK</v>
      </c>
    </row>
    <row r="2864" spans="2:34" x14ac:dyDescent="0.2">
      <c r="B2864" s="2">
        <f ca="1"/>
        <v>0.19435909410634578</v>
      </c>
      <c r="O2864" s="2">
        <f ca="1"/>
        <v>-0.3465455574074125</v>
      </c>
      <c r="X2864" s="2">
        <f ca="1"/>
        <v>32.642560384820435</v>
      </c>
      <c r="AG2864" s="2">
        <f ca="1"/>
        <v>0.92969129225098457</v>
      </c>
      <c r="AH2864" s="2" t="str">
        <f ca="1"/>
        <v>Bad</v>
      </c>
    </row>
    <row r="2865" spans="2:34" x14ac:dyDescent="0.2">
      <c r="B2865" s="2">
        <f ca="1"/>
        <v>0.86651194365154649</v>
      </c>
      <c r="O2865" s="2">
        <f ca="1"/>
        <v>-0.22142122035181244</v>
      </c>
      <c r="X2865" s="2">
        <f ca="1"/>
        <v>54.791709247380773</v>
      </c>
      <c r="AG2865" s="2">
        <f ca="1"/>
        <v>0.44645767550106941</v>
      </c>
      <c r="AH2865" s="2" t="str">
        <f ca="1"/>
        <v>Bad</v>
      </c>
    </row>
    <row r="2866" spans="2:34" x14ac:dyDescent="0.2">
      <c r="B2866" s="2">
        <f ca="1"/>
        <v>0.51705288704531394</v>
      </c>
      <c r="O2866" s="2">
        <f ca="1"/>
        <v>-0.66838260494773016</v>
      </c>
      <c r="X2866" s="2">
        <f ca="1"/>
        <v>46.928113648849646</v>
      </c>
      <c r="AG2866" s="2">
        <f ca="1"/>
        <v>0.61753803170183463</v>
      </c>
      <c r="AH2866" s="2" t="str">
        <f ca="1"/>
        <v>Bad</v>
      </c>
    </row>
    <row r="2867" spans="2:34" x14ac:dyDescent="0.2">
      <c r="B2867" s="2">
        <f ca="1"/>
        <v>0.80186100442912944</v>
      </c>
      <c r="O2867" s="2">
        <f ca="1"/>
        <v>0.32429817753719647</v>
      </c>
      <c r="X2867" s="2">
        <f ca="1"/>
        <v>27.544878907800474</v>
      </c>
      <c r="AG2867" s="2">
        <f ca="1"/>
        <v>0.7643711326338738</v>
      </c>
      <c r="AH2867" s="2" t="str">
        <f ca="1"/>
        <v>Bad</v>
      </c>
    </row>
    <row r="2868" spans="2:34" x14ac:dyDescent="0.2">
      <c r="B2868" s="2">
        <f ca="1"/>
        <v>0.93431636244935046</v>
      </c>
      <c r="O2868" s="2">
        <f ca="1"/>
        <v>-0.42720561889711844</v>
      </c>
      <c r="X2868" s="2">
        <f ca="1"/>
        <v>66.748311920285659</v>
      </c>
      <c r="AG2868" s="2">
        <f ca="1"/>
        <v>0.52619397629528009</v>
      </c>
      <c r="AH2868" s="2" t="str">
        <f ca="1"/>
        <v>Bad</v>
      </c>
    </row>
    <row r="2869" spans="2:34" x14ac:dyDescent="0.2">
      <c r="B2869" s="2">
        <f ca="1"/>
        <v>0.78057747503645158</v>
      </c>
      <c r="O2869" s="2">
        <f ca="1"/>
        <v>0.56357100498675194</v>
      </c>
      <c r="X2869" s="2">
        <f ca="1"/>
        <v>37.426674329322161</v>
      </c>
      <c r="AG2869" s="2">
        <f ca="1"/>
        <v>0.77275839166893889</v>
      </c>
      <c r="AH2869" s="2" t="str">
        <f ca="1"/>
        <v>Bad</v>
      </c>
    </row>
    <row r="2870" spans="2:34" x14ac:dyDescent="0.2">
      <c r="B2870" s="2">
        <f ca="1"/>
        <v>0.14753636684341664</v>
      </c>
      <c r="O2870" s="2">
        <f ca="1"/>
        <v>0.40385620798432192</v>
      </c>
      <c r="X2870" s="2">
        <f ca="1"/>
        <v>49.146535508646771</v>
      </c>
      <c r="AG2870" s="2">
        <f ca="1"/>
        <v>0.79149803440711075</v>
      </c>
      <c r="AH2870" s="2" t="str">
        <f ca="1"/>
        <v>Bad</v>
      </c>
    </row>
    <row r="2871" spans="2:34" x14ac:dyDescent="0.2">
      <c r="B2871" s="2">
        <f ca="1"/>
        <v>9.4318643561808191E-3</v>
      </c>
      <c r="O2871" s="2">
        <f ca="1"/>
        <v>0.47100282185679859</v>
      </c>
      <c r="X2871" s="2">
        <f ca="1"/>
        <v>25.792051837951533</v>
      </c>
      <c r="AG2871" s="2">
        <f ca="1"/>
        <v>0.20927399945071889</v>
      </c>
      <c r="AH2871" s="2" t="str">
        <f ca="1"/>
        <v>OK</v>
      </c>
    </row>
    <row r="2872" spans="2:34" x14ac:dyDescent="0.2">
      <c r="B2872" s="2">
        <f ca="1"/>
        <v>0.88841383043211164</v>
      </c>
      <c r="O2872" s="2">
        <f ca="1"/>
        <v>-0.58442508298445495</v>
      </c>
      <c r="X2872" s="2">
        <f ca="1"/>
        <v>37.737607239452984</v>
      </c>
      <c r="AG2872" s="2">
        <f ca="1"/>
        <v>0.10611885887252059</v>
      </c>
      <c r="AH2872" s="2" t="str">
        <f ca="1"/>
        <v>OK</v>
      </c>
    </row>
    <row r="2873" spans="2:34" x14ac:dyDescent="0.2">
      <c r="B2873" s="2">
        <f ca="1"/>
        <v>0.10398800408220987</v>
      </c>
      <c r="O2873" s="2">
        <f ca="1"/>
        <v>2.9694688760930847</v>
      </c>
      <c r="X2873" s="2">
        <f ca="1"/>
        <v>64.573900882035687</v>
      </c>
      <c r="AG2873" s="2">
        <f ca="1"/>
        <v>0.65042234242684382</v>
      </c>
      <c r="AH2873" s="2" t="str">
        <f ca="1"/>
        <v>Bad</v>
      </c>
    </row>
    <row r="2874" spans="2:34" x14ac:dyDescent="0.2">
      <c r="B2874" s="2">
        <f ca="1"/>
        <v>0.37589821133879164</v>
      </c>
      <c r="O2874" s="2">
        <f ca="1"/>
        <v>0.76598648333355268</v>
      </c>
      <c r="X2874" s="2">
        <f ca="1"/>
        <v>36.423593683693326</v>
      </c>
      <c r="AG2874" s="2">
        <f ca="1"/>
        <v>0.77894815960065111</v>
      </c>
      <c r="AH2874" s="2" t="str">
        <f ca="1"/>
        <v>Bad</v>
      </c>
    </row>
    <row r="2875" spans="2:34" x14ac:dyDescent="0.2">
      <c r="B2875" s="2">
        <f ca="1"/>
        <v>0.47164573809392718</v>
      </c>
      <c r="O2875" s="2">
        <f ca="1"/>
        <v>-0.12212751442188269</v>
      </c>
      <c r="X2875" s="2">
        <f ca="1"/>
        <v>55.45594393691885</v>
      </c>
      <c r="AG2875" s="2">
        <f ca="1"/>
        <v>0.67463374841520651</v>
      </c>
      <c r="AH2875" s="2" t="str">
        <f ca="1"/>
        <v>Bad</v>
      </c>
    </row>
    <row r="2876" spans="2:34" x14ac:dyDescent="0.2">
      <c r="B2876" s="2">
        <f ca="1"/>
        <v>0.96433924599803089</v>
      </c>
      <c r="O2876" s="2">
        <f ca="1"/>
        <v>0.4762001650613249</v>
      </c>
      <c r="X2876" s="2">
        <f ca="1"/>
        <v>38.449359607574522</v>
      </c>
      <c r="AG2876" s="2">
        <f ca="1"/>
        <v>0.14006932408881068</v>
      </c>
      <c r="AH2876" s="2" t="str">
        <f ca="1"/>
        <v>OK</v>
      </c>
    </row>
    <row r="2877" spans="2:34" x14ac:dyDescent="0.2">
      <c r="B2877" s="2">
        <f ca="1"/>
        <v>0.45846192500026528</v>
      </c>
      <c r="O2877" s="2">
        <f ca="1"/>
        <v>1.9292429333927905</v>
      </c>
      <c r="X2877" s="2">
        <f ca="1"/>
        <v>36.207922556510937</v>
      </c>
      <c r="AG2877" s="2">
        <f ca="1"/>
        <v>0.61493113113409215</v>
      </c>
      <c r="AH2877" s="2" t="str">
        <f ca="1"/>
        <v>Bad</v>
      </c>
    </row>
    <row r="2878" spans="2:34" x14ac:dyDescent="0.2">
      <c r="B2878" s="2">
        <f ca="1"/>
        <v>0.19431927719728437</v>
      </c>
      <c r="O2878" s="2">
        <f ca="1"/>
        <v>1.6731846506408776</v>
      </c>
      <c r="X2878" s="2">
        <f ca="1"/>
        <v>43.744492226507433</v>
      </c>
      <c r="AG2878" s="2">
        <f ca="1"/>
        <v>0.33915449325187597</v>
      </c>
      <c r="AH2878" s="2" t="str">
        <f ca="1"/>
        <v>OK</v>
      </c>
    </row>
    <row r="2879" spans="2:34" x14ac:dyDescent="0.2">
      <c r="B2879" s="2">
        <f ca="1"/>
        <v>0.49996490116243519</v>
      </c>
      <c r="O2879" s="2">
        <f ca="1"/>
        <v>8.9603197101192772E-2</v>
      </c>
      <c r="X2879" s="2">
        <f ca="1"/>
        <v>68.549953784344254</v>
      </c>
      <c r="AG2879" s="2">
        <f ca="1"/>
        <v>0.76193734959905268</v>
      </c>
      <c r="AH2879" s="2" t="str">
        <f ca="1"/>
        <v>Bad</v>
      </c>
    </row>
    <row r="2880" spans="2:34" x14ac:dyDescent="0.2">
      <c r="B2880" s="2">
        <f ca="1"/>
        <v>0.99088417873019163</v>
      </c>
      <c r="O2880" s="2">
        <f ca="1"/>
        <v>1.4423928988047321</v>
      </c>
      <c r="X2880" s="2">
        <f ca="1"/>
        <v>57.811110800382949</v>
      </c>
      <c r="AG2880" s="2">
        <f ca="1"/>
        <v>0.8776245402162004</v>
      </c>
      <c r="AH2880" s="2" t="str">
        <f ca="1"/>
        <v>Bad</v>
      </c>
    </row>
    <row r="2881" spans="2:34" x14ac:dyDescent="0.2">
      <c r="B2881" s="2">
        <f ca="1"/>
        <v>0.56702484930763397</v>
      </c>
      <c r="O2881" s="2">
        <f ca="1"/>
        <v>-0.46236497584428671</v>
      </c>
      <c r="X2881" s="2">
        <f ca="1"/>
        <v>49.413478583068041</v>
      </c>
      <c r="AG2881" s="2">
        <f ca="1"/>
        <v>0.7751612909909682</v>
      </c>
      <c r="AH2881" s="2" t="str">
        <f ca="1"/>
        <v>Bad</v>
      </c>
    </row>
    <row r="2882" spans="2:34" x14ac:dyDescent="0.2">
      <c r="B2882" s="2">
        <f ca="1"/>
        <v>0.910431344157002</v>
      </c>
      <c r="O2882" s="2">
        <f ca="1"/>
        <v>-2.5493805754828139E-2</v>
      </c>
      <c r="X2882" s="2">
        <f ca="1"/>
        <v>54.998668598508303</v>
      </c>
      <c r="AG2882" s="2">
        <f ca="1"/>
        <v>0.93370844587401436</v>
      </c>
      <c r="AH2882" s="2" t="str">
        <f ca="1"/>
        <v>Bad</v>
      </c>
    </row>
    <row r="2883" spans="2:34" x14ac:dyDescent="0.2">
      <c r="B2883" s="2">
        <f ca="1"/>
        <v>0.97020617309405921</v>
      </c>
      <c r="O2883" s="2">
        <f ca="1"/>
        <v>0.25278507199568212</v>
      </c>
      <c r="X2883" s="2">
        <f ca="1"/>
        <v>46.683372693000003</v>
      </c>
      <c r="AG2883" s="2">
        <f ca="1"/>
        <v>0.11296029500078086</v>
      </c>
      <c r="AH2883" s="2" t="str">
        <f ca="1"/>
        <v>OK</v>
      </c>
    </row>
    <row r="2884" spans="2:34" x14ac:dyDescent="0.2">
      <c r="B2884" s="2">
        <f ca="1"/>
        <v>0.65377838378911579</v>
      </c>
      <c r="O2884" s="2">
        <f ca="1"/>
        <v>0.10049030757455597</v>
      </c>
      <c r="X2884" s="2">
        <f ca="1"/>
        <v>47.451960541362112</v>
      </c>
      <c r="AG2884" s="2">
        <f ca="1"/>
        <v>0.53953727166837417</v>
      </c>
      <c r="AH2884" s="2" t="str">
        <f ca="1"/>
        <v>Bad</v>
      </c>
    </row>
    <row r="2885" spans="2:34" x14ac:dyDescent="0.2">
      <c r="B2885" s="2">
        <f ca="1"/>
        <v>0.73161266681451975</v>
      </c>
      <c r="O2885" s="2">
        <f ca="1"/>
        <v>-0.47963857434270091</v>
      </c>
      <c r="X2885" s="2">
        <f ca="1"/>
        <v>40.543687440396077</v>
      </c>
      <c r="AG2885" s="2">
        <f ca="1"/>
        <v>0.15799191183615058</v>
      </c>
      <c r="AH2885" s="2" t="str">
        <f ca="1"/>
        <v>OK</v>
      </c>
    </row>
    <row r="2886" spans="2:34" x14ac:dyDescent="0.2">
      <c r="B2886" s="2">
        <f ca="1"/>
        <v>0.30852558744207226</v>
      </c>
      <c r="O2886" s="2">
        <f ca="1"/>
        <v>3.679649070847741E-2</v>
      </c>
      <c r="X2886" s="2">
        <f ca="1"/>
        <v>44.045295364729313</v>
      </c>
      <c r="AG2886" s="2">
        <f ca="1"/>
        <v>0.81975699265820801</v>
      </c>
      <c r="AH2886" s="2" t="str">
        <f ca="1"/>
        <v>Bad</v>
      </c>
    </row>
    <row r="2887" spans="2:34" x14ac:dyDescent="0.2">
      <c r="B2887" s="2">
        <f ca="1"/>
        <v>0.63641767857942888</v>
      </c>
      <c r="O2887" s="2">
        <f ca="1"/>
        <v>6.3233285624821542E-2</v>
      </c>
      <c r="X2887" s="2">
        <f ca="1"/>
        <v>45.63189163328326</v>
      </c>
      <c r="AG2887" s="2">
        <f ca="1"/>
        <v>6.3323485571129545E-3</v>
      </c>
      <c r="AH2887" s="2" t="str">
        <f ca="1"/>
        <v>Good</v>
      </c>
    </row>
    <row r="2888" spans="2:34" x14ac:dyDescent="0.2">
      <c r="B2888" s="2">
        <f ca="1"/>
        <v>0.78897003123105258</v>
      </c>
      <c r="O2888" s="2">
        <f ca="1"/>
        <v>1.232080750966857</v>
      </c>
      <c r="X2888" s="2">
        <f ca="1"/>
        <v>46.969044051827467</v>
      </c>
      <c r="AG2888" s="2">
        <f ca="1"/>
        <v>0.39887164754640625</v>
      </c>
      <c r="AH2888" s="2" t="str">
        <f ca="1"/>
        <v>OK</v>
      </c>
    </row>
    <row r="2889" spans="2:34" x14ac:dyDescent="0.2">
      <c r="B2889" s="2">
        <f ca="1"/>
        <v>0.5097165217230053</v>
      </c>
      <c r="O2889" s="2">
        <f ca="1"/>
        <v>-1.0870022665016346</v>
      </c>
      <c r="X2889" s="2">
        <f ca="1"/>
        <v>80.243453041781436</v>
      </c>
      <c r="AG2889" s="2">
        <f ca="1"/>
        <v>0.13187314099319747</v>
      </c>
      <c r="AH2889" s="2" t="str">
        <f ca="1"/>
        <v>OK</v>
      </c>
    </row>
    <row r="2890" spans="2:34" x14ac:dyDescent="0.2">
      <c r="B2890" s="2">
        <f ca="1"/>
        <v>0.98323737344974549</v>
      </c>
      <c r="O2890" s="2">
        <f ca="1"/>
        <v>-0.25779831137339154</v>
      </c>
      <c r="X2890" s="2">
        <f ca="1"/>
        <v>42.657862635336812</v>
      </c>
      <c r="AG2890" s="2">
        <f ca="1"/>
        <v>0.98245583918120705</v>
      </c>
      <c r="AH2890" s="2" t="str">
        <f ca="1"/>
        <v>Bad</v>
      </c>
    </row>
    <row r="2891" spans="2:34" x14ac:dyDescent="0.2">
      <c r="B2891" s="2">
        <f ca="1"/>
        <v>0.63365301362824145</v>
      </c>
      <c r="O2891" s="2">
        <f ca="1"/>
        <v>0.24241011131640591</v>
      </c>
      <c r="X2891" s="2">
        <f ca="1"/>
        <v>35.602029485909497</v>
      </c>
      <c r="AG2891" s="2">
        <f ca="1"/>
        <v>0.87006699678699717</v>
      </c>
      <c r="AH2891" s="2" t="str">
        <f ca="1"/>
        <v>Bad</v>
      </c>
    </row>
    <row r="2892" spans="2:34" x14ac:dyDescent="0.2">
      <c r="B2892" s="2">
        <f ca="1"/>
        <v>0.10400953613175745</v>
      </c>
      <c r="O2892" s="2">
        <f ca="1"/>
        <v>-1.1252433639717183</v>
      </c>
      <c r="X2892" s="2">
        <f ca="1"/>
        <v>32.204534077692564</v>
      </c>
      <c r="AG2892" s="2">
        <f ca="1"/>
        <v>0.5466048926277165</v>
      </c>
      <c r="AH2892" s="2" t="str">
        <f ca="1"/>
        <v>Bad</v>
      </c>
    </row>
    <row r="2893" spans="2:34" x14ac:dyDescent="0.2">
      <c r="B2893" s="2">
        <f ca="1"/>
        <v>0.48818856204688621</v>
      </c>
      <c r="O2893" s="2">
        <f ca="1"/>
        <v>-0.74006951635871432</v>
      </c>
      <c r="X2893" s="2">
        <f ca="1"/>
        <v>48.149266790916244</v>
      </c>
      <c r="AG2893" s="2">
        <f ca="1"/>
        <v>0.49168677787509973</v>
      </c>
      <c r="AH2893" s="2" t="str">
        <f ca="1"/>
        <v>Bad</v>
      </c>
    </row>
    <row r="2894" spans="2:34" x14ac:dyDescent="0.2">
      <c r="B2894" s="2">
        <f ca="1"/>
        <v>0.57461637530444953</v>
      </c>
      <c r="O2894" s="2">
        <f ca="1"/>
        <v>-2.3860326429525176</v>
      </c>
      <c r="X2894" s="2">
        <f ca="1"/>
        <v>46.564326690291161</v>
      </c>
      <c r="AG2894" s="2">
        <f ca="1"/>
        <v>0.4152344289556289</v>
      </c>
      <c r="AH2894" s="2" t="str">
        <f ca="1"/>
        <v>Bad</v>
      </c>
    </row>
    <row r="2895" spans="2:34" x14ac:dyDescent="0.2">
      <c r="B2895" s="2">
        <f ca="1"/>
        <v>0.48577724746993201</v>
      </c>
      <c r="O2895" s="2">
        <f ca="1"/>
        <v>0.28984389980568431</v>
      </c>
      <c r="X2895" s="2">
        <f ca="1"/>
        <v>41.939685426320914</v>
      </c>
      <c r="AG2895" s="2">
        <f ca="1"/>
        <v>0.83619225508091244</v>
      </c>
      <c r="AH2895" s="2" t="str">
        <f ca="1"/>
        <v>Bad</v>
      </c>
    </row>
    <row r="2896" spans="2:34" x14ac:dyDescent="0.2">
      <c r="B2896" s="2">
        <f ca="1"/>
        <v>0.25289626530955323</v>
      </c>
      <c r="O2896" s="2">
        <f ca="1"/>
        <v>-0.37250986709933365</v>
      </c>
      <c r="X2896" s="2">
        <f ca="1"/>
        <v>79.981010441361249</v>
      </c>
      <c r="AG2896" s="2">
        <f ca="1"/>
        <v>0.9806121812169486</v>
      </c>
      <c r="AH2896" s="2" t="str">
        <f ca="1"/>
        <v>Bad</v>
      </c>
    </row>
    <row r="2897" spans="2:34" x14ac:dyDescent="0.2">
      <c r="B2897" s="2">
        <f ca="1"/>
        <v>0.1580194251647733</v>
      </c>
      <c r="O2897" s="2">
        <f ca="1"/>
        <v>0.84218987091530928</v>
      </c>
      <c r="X2897" s="2">
        <f ca="1"/>
        <v>47.902650981492904</v>
      </c>
      <c r="AG2897" s="2">
        <f ca="1"/>
        <v>0.41006181015862064</v>
      </c>
      <c r="AH2897" s="2" t="str">
        <f ca="1"/>
        <v>Bad</v>
      </c>
    </row>
    <row r="2898" spans="2:34" x14ac:dyDescent="0.2">
      <c r="B2898" s="2">
        <f ca="1"/>
        <v>0.5366327942057787</v>
      </c>
      <c r="O2898" s="2">
        <f ca="1"/>
        <v>0.58807008526541726</v>
      </c>
      <c r="X2898" s="2">
        <f ca="1"/>
        <v>45.659200058676788</v>
      </c>
      <c r="AG2898" s="2">
        <f ca="1"/>
        <v>4.5854419209200747E-2</v>
      </c>
      <c r="AH2898" s="2" t="str">
        <f ca="1"/>
        <v>Good</v>
      </c>
    </row>
    <row r="2899" spans="2:34" x14ac:dyDescent="0.2">
      <c r="B2899" s="2">
        <f ca="1"/>
        <v>0.31123648607782584</v>
      </c>
      <c r="O2899" s="2">
        <f ca="1"/>
        <v>-1.1542180943091982</v>
      </c>
      <c r="X2899" s="2">
        <f ca="1"/>
        <v>49.713170709766516</v>
      </c>
      <c r="AG2899" s="2">
        <f ca="1"/>
        <v>0.993446469081259</v>
      </c>
      <c r="AH2899" s="2" t="str">
        <f ca="1"/>
        <v>Bad</v>
      </c>
    </row>
    <row r="2900" spans="2:34" x14ac:dyDescent="0.2">
      <c r="B2900" s="2">
        <f ca="1"/>
        <v>0.45644035463671284</v>
      </c>
      <c r="O2900" s="2">
        <f ca="1"/>
        <v>1.0108613272508122</v>
      </c>
      <c r="X2900" s="2">
        <f ca="1"/>
        <v>56.44226717263286</v>
      </c>
      <c r="AG2900" s="2">
        <f ca="1"/>
        <v>0.19819928253699226</v>
      </c>
      <c r="AH2900" s="2" t="str">
        <f ca="1"/>
        <v>OK</v>
      </c>
    </row>
    <row r="2901" spans="2:34" x14ac:dyDescent="0.2">
      <c r="B2901" s="2">
        <f ca="1"/>
        <v>0.21503688244993047</v>
      </c>
      <c r="O2901" s="2">
        <f ca="1"/>
        <v>4.7052924264214445E-2</v>
      </c>
      <c r="X2901" s="2">
        <f ca="1"/>
        <v>22.690021226732586</v>
      </c>
      <c r="AG2901" s="2">
        <f ca="1"/>
        <v>0.79986485494588933</v>
      </c>
      <c r="AH2901" s="2" t="str">
        <f ca="1"/>
        <v>Bad</v>
      </c>
    </row>
    <row r="2902" spans="2:34" x14ac:dyDescent="0.2">
      <c r="B2902" s="2">
        <f ca="1"/>
        <v>0.92728344080492087</v>
      </c>
      <c r="O2902" s="2">
        <f ca="1"/>
        <v>1.7680298559399596</v>
      </c>
      <c r="X2902" s="2">
        <f ca="1"/>
        <v>90.480266669780434</v>
      </c>
      <c r="AG2902" s="2">
        <f ca="1"/>
        <v>0.16956705363768521</v>
      </c>
      <c r="AH2902" s="2" t="str">
        <f ca="1"/>
        <v>OK</v>
      </c>
    </row>
    <row r="2903" spans="2:34" x14ac:dyDescent="0.2">
      <c r="B2903" s="2">
        <f ca="1"/>
        <v>0.67765789086955608</v>
      </c>
      <c r="O2903" s="2">
        <f ca="1"/>
        <v>0.63015795771502947</v>
      </c>
      <c r="X2903" s="2">
        <f ca="1"/>
        <v>69.920846793518891</v>
      </c>
      <c r="AG2903" s="2">
        <f ca="1"/>
        <v>0.35124043209088884</v>
      </c>
      <c r="AH2903" s="2" t="str">
        <f ca="1"/>
        <v>OK</v>
      </c>
    </row>
    <row r="2904" spans="2:34" x14ac:dyDescent="0.2">
      <c r="B2904" s="2">
        <f ca="1"/>
        <v>0.78644857637903076</v>
      </c>
      <c r="O2904" s="2">
        <f ca="1"/>
        <v>1.0154872454418975</v>
      </c>
      <c r="X2904" s="2">
        <f ca="1"/>
        <v>80.080953433899367</v>
      </c>
      <c r="AG2904" s="2">
        <f ca="1"/>
        <v>0.1954888638512442</v>
      </c>
      <c r="AH2904" s="2" t="str">
        <f ca="1"/>
        <v>OK</v>
      </c>
    </row>
    <row r="2905" spans="2:34" x14ac:dyDescent="0.2">
      <c r="B2905" s="2">
        <f ca="1"/>
        <v>0.41679421732149424</v>
      </c>
      <c r="O2905" s="2">
        <f ca="1"/>
        <v>0.96330316682405248</v>
      </c>
      <c r="X2905" s="2">
        <f ca="1"/>
        <v>42.879169302481102</v>
      </c>
      <c r="AG2905" s="2">
        <f ca="1"/>
        <v>0.51321005711397438</v>
      </c>
      <c r="AH2905" s="2" t="str">
        <f ca="1"/>
        <v>Bad</v>
      </c>
    </row>
    <row r="2906" spans="2:34" x14ac:dyDescent="0.2">
      <c r="B2906" s="2">
        <f ca="1"/>
        <v>0.18247803129432327</v>
      </c>
      <c r="O2906" s="2">
        <f ca="1"/>
        <v>-0.76891910799539964</v>
      </c>
      <c r="X2906" s="2">
        <f ca="1"/>
        <v>51.94987839971801</v>
      </c>
      <c r="AG2906" s="2">
        <f ca="1"/>
        <v>0.12913381224619602</v>
      </c>
      <c r="AH2906" s="2" t="str">
        <f ca="1"/>
        <v>OK</v>
      </c>
    </row>
    <row r="2907" spans="2:34" x14ac:dyDescent="0.2">
      <c r="B2907" s="2">
        <f ca="1"/>
        <v>0.11940108968962715</v>
      </c>
      <c r="O2907" s="2">
        <f ca="1"/>
        <v>2.4098152681605245</v>
      </c>
      <c r="X2907" s="2">
        <f ca="1"/>
        <v>30.86340862025768</v>
      </c>
      <c r="AG2907" s="2">
        <f ca="1"/>
        <v>0.96306574706860459</v>
      </c>
      <c r="AH2907" s="2" t="str">
        <f ca="1"/>
        <v>Bad</v>
      </c>
    </row>
    <row r="2908" spans="2:34" x14ac:dyDescent="0.2">
      <c r="B2908" s="2">
        <f ca="1"/>
        <v>0.13605145731725576</v>
      </c>
      <c r="O2908" s="2">
        <f ca="1"/>
        <v>1.3021563450726732</v>
      </c>
      <c r="X2908" s="2">
        <f ca="1"/>
        <v>31.256708744868149</v>
      </c>
      <c r="AG2908" s="2">
        <f ca="1"/>
        <v>0.80366518661764075</v>
      </c>
      <c r="AH2908" s="2" t="str">
        <f ca="1"/>
        <v>Bad</v>
      </c>
    </row>
    <row r="2909" spans="2:34" x14ac:dyDescent="0.2">
      <c r="B2909" s="2">
        <f ca="1"/>
        <v>0.21210669433765306</v>
      </c>
      <c r="O2909" s="2">
        <f ca="1"/>
        <v>-0.41417955666047152</v>
      </c>
      <c r="X2909" s="2">
        <f ca="1"/>
        <v>32.445033717617683</v>
      </c>
      <c r="AG2909" s="2">
        <f ca="1"/>
        <v>0.84305663775707718</v>
      </c>
      <c r="AH2909" s="2" t="str">
        <f ca="1"/>
        <v>Bad</v>
      </c>
    </row>
    <row r="2910" spans="2:34" x14ac:dyDescent="0.2">
      <c r="B2910" s="2">
        <f ca="1"/>
        <v>0.21535450717826077</v>
      </c>
      <c r="O2910" s="2">
        <f ca="1"/>
        <v>0.50623462804310326</v>
      </c>
      <c r="X2910" s="2">
        <f ca="1"/>
        <v>56.900157462257674</v>
      </c>
      <c r="AG2910" s="2">
        <f ca="1"/>
        <v>0.65006152720641586</v>
      </c>
      <c r="AH2910" s="2" t="str">
        <f ca="1"/>
        <v>Bad</v>
      </c>
    </row>
    <row r="2911" spans="2:34" x14ac:dyDescent="0.2">
      <c r="B2911" s="2">
        <f ca="1"/>
        <v>0.98418054048676207</v>
      </c>
      <c r="O2911" s="2">
        <f ca="1"/>
        <v>-1.4251737602902157</v>
      </c>
      <c r="X2911" s="2">
        <f ca="1"/>
        <v>44.802668959720108</v>
      </c>
      <c r="AG2911" s="2">
        <f ca="1"/>
        <v>3.6182148595522712E-3</v>
      </c>
      <c r="AH2911" s="2" t="str">
        <f ca="1"/>
        <v>Good</v>
      </c>
    </row>
    <row r="2912" spans="2:34" x14ac:dyDescent="0.2">
      <c r="B2912" s="2">
        <f ca="1"/>
        <v>0.55616956462067657</v>
      </c>
      <c r="O2912" s="2">
        <f ca="1"/>
        <v>2.2177723310823909</v>
      </c>
      <c r="X2912" s="2">
        <f ca="1"/>
        <v>56.199451770413596</v>
      </c>
      <c r="AG2912" s="2">
        <f ca="1"/>
        <v>0.42850713171110888</v>
      </c>
      <c r="AH2912" s="2" t="str">
        <f ca="1"/>
        <v>Bad</v>
      </c>
    </row>
    <row r="2913" spans="2:34" x14ac:dyDescent="0.2">
      <c r="B2913" s="2">
        <f ca="1"/>
        <v>0.88706152912324088</v>
      </c>
      <c r="O2913" s="2">
        <f ca="1"/>
        <v>0.72627375089402968</v>
      </c>
      <c r="X2913" s="2">
        <f ca="1"/>
        <v>65.568954489442049</v>
      </c>
      <c r="AG2913" s="2">
        <f ca="1"/>
        <v>0.53213415111729589</v>
      </c>
      <c r="AH2913" s="2" t="str">
        <f ca="1"/>
        <v>Bad</v>
      </c>
    </row>
    <row r="2914" spans="2:34" x14ac:dyDescent="0.2">
      <c r="B2914" s="2">
        <f ca="1"/>
        <v>0.81953164779225474</v>
      </c>
      <c r="O2914" s="2">
        <f ca="1"/>
        <v>1.0777225503631787</v>
      </c>
      <c r="X2914" s="2">
        <f ca="1"/>
        <v>29.118078267916445</v>
      </c>
      <c r="AG2914" s="2">
        <f ca="1"/>
        <v>0.69194309582410618</v>
      </c>
      <c r="AH2914" s="2" t="str">
        <f ca="1"/>
        <v>Bad</v>
      </c>
    </row>
    <row r="2915" spans="2:34" x14ac:dyDescent="0.2">
      <c r="B2915" s="2">
        <f ca="1"/>
        <v>0.40852475646885944</v>
      </c>
      <c r="O2915" s="2">
        <f ca="1"/>
        <v>0.4679497389823658</v>
      </c>
      <c r="X2915" s="2">
        <f ca="1"/>
        <v>35.269239230321837</v>
      </c>
      <c r="AG2915" s="2">
        <f ca="1"/>
        <v>0.93790241817845188</v>
      </c>
      <c r="AH2915" s="2" t="str">
        <f ca="1"/>
        <v>Bad</v>
      </c>
    </row>
    <row r="2916" spans="2:34" x14ac:dyDescent="0.2">
      <c r="B2916" s="2">
        <f ca="1"/>
        <v>2.7051206017034479E-2</v>
      </c>
      <c r="O2916" s="2">
        <f ca="1"/>
        <v>0.48387071185007846</v>
      </c>
      <c r="X2916" s="2">
        <f ca="1"/>
        <v>30.595299168616648</v>
      </c>
      <c r="AG2916" s="2">
        <f ca="1"/>
        <v>0.60973646753261579</v>
      </c>
      <c r="AH2916" s="2" t="str">
        <f ca="1"/>
        <v>Bad</v>
      </c>
    </row>
    <row r="2917" spans="2:34" x14ac:dyDescent="0.2">
      <c r="B2917" s="2">
        <f ca="1"/>
        <v>0.31022425839127865</v>
      </c>
      <c r="O2917" s="2">
        <f ca="1"/>
        <v>1.0640258736615011</v>
      </c>
      <c r="X2917" s="2">
        <f ca="1"/>
        <v>26.447711638377257</v>
      </c>
      <c r="AG2917" s="2">
        <f ca="1"/>
        <v>0.25251313921769047</v>
      </c>
      <c r="AH2917" s="2" t="str">
        <f ca="1"/>
        <v>OK</v>
      </c>
    </row>
    <row r="2918" spans="2:34" x14ac:dyDescent="0.2">
      <c r="B2918" s="2">
        <f ca="1"/>
        <v>0.92198968640228141</v>
      </c>
      <c r="O2918" s="2">
        <f ca="1"/>
        <v>-0.14440550138113539</v>
      </c>
      <c r="X2918" s="2">
        <f ca="1"/>
        <v>25.191823357230451</v>
      </c>
      <c r="AG2918" s="2">
        <f ca="1"/>
        <v>0.38160708734739224</v>
      </c>
      <c r="AH2918" s="2" t="str">
        <f ca="1"/>
        <v>OK</v>
      </c>
    </row>
    <row r="2919" spans="2:34" x14ac:dyDescent="0.2">
      <c r="B2919" s="2">
        <f ca="1"/>
        <v>0.86590459777758988</v>
      </c>
      <c r="O2919" s="2">
        <f ca="1"/>
        <v>1.6312596544312263</v>
      </c>
      <c r="X2919" s="2">
        <f ca="1"/>
        <v>26.078531987240716</v>
      </c>
      <c r="AG2919" s="2">
        <f ca="1"/>
        <v>0.55529148758652846</v>
      </c>
      <c r="AH2919" s="2" t="str">
        <f ca="1"/>
        <v>Bad</v>
      </c>
    </row>
    <row r="2920" spans="2:34" x14ac:dyDescent="0.2">
      <c r="B2920" s="2">
        <f ca="1"/>
        <v>0.26202809310675623</v>
      </c>
      <c r="O2920" s="2">
        <f ca="1"/>
        <v>-0.75501787186230507</v>
      </c>
      <c r="X2920" s="2">
        <f ca="1"/>
        <v>53.078449493827563</v>
      </c>
      <c r="AG2920" s="2">
        <f ca="1"/>
        <v>0.33506790351763138</v>
      </c>
      <c r="AH2920" s="2" t="str">
        <f ca="1"/>
        <v>OK</v>
      </c>
    </row>
    <row r="2921" spans="2:34" x14ac:dyDescent="0.2">
      <c r="B2921" s="2">
        <f ca="1"/>
        <v>0.21387973700622753</v>
      </c>
      <c r="O2921" s="2">
        <f ca="1"/>
        <v>2.9458564497469273</v>
      </c>
      <c r="X2921" s="2">
        <f ca="1"/>
        <v>55.630229994798896</v>
      </c>
      <c r="AG2921" s="2">
        <f ca="1"/>
        <v>0.70076637777651407</v>
      </c>
      <c r="AH2921" s="2" t="str">
        <f ca="1"/>
        <v>Bad</v>
      </c>
    </row>
    <row r="2922" spans="2:34" x14ac:dyDescent="0.2">
      <c r="B2922" s="2">
        <f ca="1"/>
        <v>5.9964238962983973E-2</v>
      </c>
      <c r="O2922" s="2">
        <f ca="1"/>
        <v>-0.76501482378328345</v>
      </c>
      <c r="X2922" s="2">
        <f ca="1"/>
        <v>73.329466444562698</v>
      </c>
      <c r="AG2922" s="2">
        <f ca="1"/>
        <v>0.93518503522222396</v>
      </c>
      <c r="AH2922" s="2" t="str">
        <f ca="1"/>
        <v>Bad</v>
      </c>
    </row>
    <row r="2923" spans="2:34" x14ac:dyDescent="0.2">
      <c r="B2923" s="2">
        <f ca="1"/>
        <v>0.93446802879560642</v>
      </c>
      <c r="O2923" s="2">
        <f ca="1"/>
        <v>-1.2013947369555135E-2</v>
      </c>
      <c r="X2923" s="2">
        <f ca="1"/>
        <v>78.102012665163599</v>
      </c>
      <c r="AG2923" s="2">
        <f ca="1"/>
        <v>0.69023405136419136</v>
      </c>
      <c r="AH2923" s="2" t="str">
        <f ca="1"/>
        <v>Bad</v>
      </c>
    </row>
    <row r="2924" spans="2:34" x14ac:dyDescent="0.2">
      <c r="B2924" s="2">
        <f ca="1"/>
        <v>0.80909152582817123</v>
      </c>
      <c r="O2924" s="2">
        <f ca="1"/>
        <v>0.86956329089270545</v>
      </c>
      <c r="X2924" s="2">
        <f ca="1"/>
        <v>74.951824923093454</v>
      </c>
      <c r="AG2924" s="2">
        <f ca="1"/>
        <v>0.92653866183105427</v>
      </c>
      <c r="AH2924" s="2" t="str">
        <f ca="1"/>
        <v>Bad</v>
      </c>
    </row>
    <row r="2925" spans="2:34" x14ac:dyDescent="0.2">
      <c r="B2925" s="2">
        <f ca="1"/>
        <v>0.7853103609887464</v>
      </c>
      <c r="O2925" s="2">
        <f ca="1"/>
        <v>0.26594322811317522</v>
      </c>
      <c r="X2925" s="2">
        <f ca="1"/>
        <v>54.379228271665276</v>
      </c>
      <c r="AG2925" s="2">
        <f ca="1"/>
        <v>0.97101443813596466</v>
      </c>
      <c r="AH2925" s="2" t="str">
        <f ca="1"/>
        <v>Bad</v>
      </c>
    </row>
    <row r="2926" spans="2:34" x14ac:dyDescent="0.2">
      <c r="B2926" s="2">
        <f ca="1"/>
        <v>0.64805311090210815</v>
      </c>
      <c r="O2926" s="2">
        <f ca="1"/>
        <v>-0.10192078360045215</v>
      </c>
      <c r="X2926" s="2">
        <f ca="1"/>
        <v>68.493586425287035</v>
      </c>
      <c r="AG2926" s="2">
        <f ca="1"/>
        <v>0.1854636290307643</v>
      </c>
      <c r="AH2926" s="2" t="str">
        <f ca="1"/>
        <v>OK</v>
      </c>
    </row>
    <row r="2927" spans="2:34" x14ac:dyDescent="0.2">
      <c r="B2927" s="2">
        <f ca="1"/>
        <v>0.99661987239924366</v>
      </c>
      <c r="O2927" s="2">
        <f ca="1"/>
        <v>-1.0424813658100989</v>
      </c>
      <c r="X2927" s="2">
        <f ca="1"/>
        <v>60.667235785843488</v>
      </c>
      <c r="AG2927" s="2">
        <f ca="1"/>
        <v>0.17897541204581735</v>
      </c>
      <c r="AH2927" s="2" t="str">
        <f ca="1"/>
        <v>OK</v>
      </c>
    </row>
    <row r="2928" spans="2:34" x14ac:dyDescent="0.2">
      <c r="B2928" s="2">
        <f ca="1"/>
        <v>0.1199044304435164</v>
      </c>
      <c r="O2928" s="2">
        <f ca="1"/>
        <v>-0.36166987826559849</v>
      </c>
      <c r="X2928" s="2">
        <f ca="1"/>
        <v>62.492637099270603</v>
      </c>
      <c r="AG2928" s="2">
        <f ca="1"/>
        <v>0.17582570773370687</v>
      </c>
      <c r="AH2928" s="2" t="str">
        <f ca="1"/>
        <v>OK</v>
      </c>
    </row>
    <row r="2929" spans="2:34" x14ac:dyDescent="0.2">
      <c r="B2929" s="2">
        <f ca="1"/>
        <v>0.49355154349651498</v>
      </c>
      <c r="O2929" s="2">
        <f ca="1"/>
        <v>0.24352883071934886</v>
      </c>
      <c r="X2929" s="2">
        <f ca="1"/>
        <v>45.30564735564775</v>
      </c>
      <c r="AG2929" s="2">
        <f ca="1"/>
        <v>0.42141129811242406</v>
      </c>
      <c r="AH2929" s="2" t="str">
        <f ca="1"/>
        <v>Bad</v>
      </c>
    </row>
    <row r="2930" spans="2:34" x14ac:dyDescent="0.2">
      <c r="B2930" s="2">
        <f ca="1"/>
        <v>0.19970464737188509</v>
      </c>
      <c r="O2930" s="2">
        <f ca="1"/>
        <v>-1.1011133981736041</v>
      </c>
      <c r="X2930" s="2">
        <f ca="1"/>
        <v>93.091788583311015</v>
      </c>
      <c r="AG2930" s="2">
        <f ca="1"/>
        <v>0.24180864624010723</v>
      </c>
      <c r="AH2930" s="2" t="str">
        <f ca="1"/>
        <v>OK</v>
      </c>
    </row>
    <row r="2931" spans="2:34" x14ac:dyDescent="0.2">
      <c r="B2931" s="2">
        <f ca="1"/>
        <v>0.89459393321625913</v>
      </c>
      <c r="O2931" s="2">
        <f ca="1"/>
        <v>4.2443703907875194E-3</v>
      </c>
      <c r="X2931" s="2">
        <f ca="1"/>
        <v>21.843496216908282</v>
      </c>
      <c r="AG2931" s="2">
        <f ca="1"/>
        <v>0.65639403574590194</v>
      </c>
      <c r="AH2931" s="2" t="str">
        <f ca="1"/>
        <v>Bad</v>
      </c>
    </row>
    <row r="2932" spans="2:34" x14ac:dyDescent="0.2">
      <c r="B2932" s="2">
        <f ca="1"/>
        <v>0.41489858135418456</v>
      </c>
      <c r="O2932" s="2">
        <f ca="1"/>
        <v>-1.513041971534294</v>
      </c>
      <c r="X2932" s="2">
        <f ca="1"/>
        <v>48.370639090844364</v>
      </c>
      <c r="AG2932" s="2">
        <f ca="1"/>
        <v>0.29658879816295447</v>
      </c>
      <c r="AH2932" s="2" t="str">
        <f ca="1"/>
        <v>OK</v>
      </c>
    </row>
    <row r="2933" spans="2:34" x14ac:dyDescent="0.2">
      <c r="B2933" s="2">
        <f ca="1"/>
        <v>2.4090809684741643E-2</v>
      </c>
      <c r="O2933" s="2">
        <f ca="1"/>
        <v>0.96791038115570727</v>
      </c>
      <c r="X2933" s="2">
        <f ca="1"/>
        <v>69.399799979499079</v>
      </c>
      <c r="AG2933" s="2">
        <f ca="1"/>
        <v>0.1762696036844198</v>
      </c>
      <c r="AH2933" s="2" t="str">
        <f ca="1"/>
        <v>OK</v>
      </c>
    </row>
    <row r="2934" spans="2:34" x14ac:dyDescent="0.2">
      <c r="B2934" s="2">
        <f ca="1"/>
        <v>0.6719610905406963</v>
      </c>
      <c r="O2934" s="2">
        <f ca="1"/>
        <v>-6.9458989777272898E-2</v>
      </c>
      <c r="X2934" s="2">
        <f ca="1"/>
        <v>49.226701565625717</v>
      </c>
      <c r="AG2934" s="2">
        <f ca="1"/>
        <v>0.11590306419498986</v>
      </c>
      <c r="AH2934" s="2" t="str">
        <f ca="1"/>
        <v>OK</v>
      </c>
    </row>
    <row r="2935" spans="2:34" x14ac:dyDescent="0.2">
      <c r="B2935" s="2">
        <f ca="1"/>
        <v>0.74028866789007641</v>
      </c>
      <c r="O2935" s="2">
        <f ca="1"/>
        <v>0.39600408280244542</v>
      </c>
      <c r="X2935" s="2">
        <f ca="1"/>
        <v>32.584743603078479</v>
      </c>
      <c r="AG2935" s="2">
        <f ca="1"/>
        <v>0.50413404596372469</v>
      </c>
      <c r="AH2935" s="2" t="str">
        <f ca="1"/>
        <v>Bad</v>
      </c>
    </row>
    <row r="2936" spans="2:34" x14ac:dyDescent="0.2">
      <c r="B2936" s="2">
        <f ca="1"/>
        <v>0.17069517486622687</v>
      </c>
      <c r="O2936" s="2">
        <f ca="1"/>
        <v>1.7416282968296479</v>
      </c>
      <c r="X2936" s="2">
        <f ca="1"/>
        <v>64.563943683250017</v>
      </c>
      <c r="AG2936" s="2">
        <f ca="1"/>
        <v>0.46358085649429936</v>
      </c>
      <c r="AH2936" s="2" t="str">
        <f ca="1"/>
        <v>Bad</v>
      </c>
    </row>
    <row r="2937" spans="2:34" x14ac:dyDescent="0.2">
      <c r="B2937" s="2">
        <f ca="1"/>
        <v>0.79692369123996931</v>
      </c>
      <c r="O2937" s="2">
        <f ca="1"/>
        <v>1.1864339935139983</v>
      </c>
      <c r="X2937" s="2">
        <f ca="1"/>
        <v>25.707768172406439</v>
      </c>
      <c r="AG2937" s="2">
        <f ca="1"/>
        <v>0.99653822484079635</v>
      </c>
      <c r="AH2937" s="2" t="str">
        <f ca="1"/>
        <v>Bad</v>
      </c>
    </row>
    <row r="2938" spans="2:34" x14ac:dyDescent="0.2">
      <c r="B2938" s="2">
        <f ca="1"/>
        <v>0.60549164527615096</v>
      </c>
      <c r="O2938" s="2">
        <f ca="1"/>
        <v>-0.39743468564725942</v>
      </c>
      <c r="X2938" s="2">
        <f ca="1"/>
        <v>51.947707538554425</v>
      </c>
      <c r="AG2938" s="2">
        <f ca="1"/>
        <v>0.79179805847151097</v>
      </c>
      <c r="AH2938" s="2" t="str">
        <f ca="1"/>
        <v>Bad</v>
      </c>
    </row>
    <row r="2939" spans="2:34" x14ac:dyDescent="0.2">
      <c r="B2939" s="2">
        <f ca="1"/>
        <v>0.41991675993961319</v>
      </c>
      <c r="O2939" s="2">
        <f ca="1"/>
        <v>-0.88248609821088286</v>
      </c>
      <c r="X2939" s="2">
        <f ca="1"/>
        <v>53.556234218964008</v>
      </c>
      <c r="AG2939" s="2">
        <f ca="1"/>
        <v>0.83765862415925207</v>
      </c>
      <c r="AH2939" s="2" t="str">
        <f ca="1"/>
        <v>Bad</v>
      </c>
    </row>
    <row r="2940" spans="2:34" x14ac:dyDescent="0.2">
      <c r="B2940" s="2">
        <f ca="1"/>
        <v>0.74833726307595283</v>
      </c>
      <c r="O2940" s="2">
        <f ca="1"/>
        <v>1.1719571884678848</v>
      </c>
      <c r="X2940" s="2">
        <f ca="1"/>
        <v>50.559609129830918</v>
      </c>
      <c r="AG2940" s="2">
        <f ca="1"/>
        <v>0.13264709491381477</v>
      </c>
      <c r="AH2940" s="2" t="str">
        <f ca="1"/>
        <v>OK</v>
      </c>
    </row>
    <row r="2941" spans="2:34" x14ac:dyDescent="0.2">
      <c r="B2941" s="2">
        <f ca="1"/>
        <v>0.75275332446727239</v>
      </c>
      <c r="O2941" s="2">
        <f ca="1"/>
        <v>0.7585684369659309</v>
      </c>
      <c r="X2941" s="2">
        <f ca="1"/>
        <v>48.482227200850701</v>
      </c>
      <c r="AG2941" s="2">
        <f ca="1"/>
        <v>9.4193398113488369E-2</v>
      </c>
      <c r="AH2941" s="2" t="str">
        <f ca="1"/>
        <v>OK</v>
      </c>
    </row>
    <row r="2942" spans="2:34" x14ac:dyDescent="0.2">
      <c r="B2942" s="2">
        <f ca="1"/>
        <v>0.70362471934796655</v>
      </c>
      <c r="O2942" s="2">
        <f ca="1"/>
        <v>0.57173624418883695</v>
      </c>
      <c r="X2942" s="2">
        <f ca="1"/>
        <v>50.796532081925172</v>
      </c>
      <c r="AG2942" s="2">
        <f ca="1"/>
        <v>0.32696310827850783</v>
      </c>
      <c r="AH2942" s="2" t="str">
        <f ca="1"/>
        <v>OK</v>
      </c>
    </row>
    <row r="2943" spans="2:34" x14ac:dyDescent="0.2">
      <c r="B2943" s="2">
        <f ca="1"/>
        <v>0.10344169620048804</v>
      </c>
      <c r="O2943" s="2">
        <f ca="1"/>
        <v>1.0296140617884861</v>
      </c>
      <c r="X2943" s="2">
        <f ca="1"/>
        <v>38.182974570374753</v>
      </c>
      <c r="AG2943" s="2">
        <f ca="1"/>
        <v>0.45559942012723664</v>
      </c>
      <c r="AH2943" s="2" t="str">
        <f ca="1"/>
        <v>Bad</v>
      </c>
    </row>
    <row r="2944" spans="2:34" x14ac:dyDescent="0.2">
      <c r="B2944" s="2">
        <f ca="1"/>
        <v>0.73230261264129481</v>
      </c>
      <c r="O2944" s="2">
        <f ca="1"/>
        <v>0.22642591221469283</v>
      </c>
      <c r="X2944" s="2">
        <f ca="1"/>
        <v>51.785060887328704</v>
      </c>
      <c r="AG2944" s="2">
        <f ca="1"/>
        <v>0.66137239053309771</v>
      </c>
      <c r="AH2944" s="2" t="str">
        <f ca="1"/>
        <v>Bad</v>
      </c>
    </row>
    <row r="2945" spans="2:34" x14ac:dyDescent="0.2">
      <c r="B2945" s="2">
        <f ca="1"/>
        <v>0.97900495216781702</v>
      </c>
      <c r="O2945" s="2">
        <f ca="1"/>
        <v>0.77434050177918379</v>
      </c>
      <c r="X2945" s="2">
        <f ca="1"/>
        <v>64.668244857813775</v>
      </c>
      <c r="AG2945" s="2">
        <f ca="1"/>
        <v>0.80816418611767382</v>
      </c>
      <c r="AH2945" s="2" t="str">
        <f ca="1"/>
        <v>Bad</v>
      </c>
    </row>
    <row r="2946" spans="2:34" x14ac:dyDescent="0.2">
      <c r="B2946" s="2">
        <f ca="1"/>
        <v>0.23793334832163104</v>
      </c>
      <c r="O2946" s="2">
        <f ca="1"/>
        <v>0.14307837084710734</v>
      </c>
      <c r="X2946" s="2">
        <f ca="1"/>
        <v>37.869244302479423</v>
      </c>
      <c r="AG2946" s="2">
        <f ca="1"/>
        <v>0.84127866011486985</v>
      </c>
      <c r="AH2946" s="2" t="str">
        <f ca="1"/>
        <v>Bad</v>
      </c>
    </row>
    <row r="2947" spans="2:34" x14ac:dyDescent="0.2">
      <c r="B2947" s="2">
        <f ca="1"/>
        <v>0.77423201899290173</v>
      </c>
      <c r="O2947" s="2">
        <f ca="1"/>
        <v>0.72183541271845852</v>
      </c>
      <c r="X2947" s="2">
        <f ca="1"/>
        <v>50.024044974800319</v>
      </c>
      <c r="AG2947" s="2">
        <f ca="1"/>
        <v>0.13175962335295344</v>
      </c>
      <c r="AH2947" s="2" t="str">
        <f ca="1"/>
        <v>OK</v>
      </c>
    </row>
    <row r="2948" spans="2:34" x14ac:dyDescent="0.2">
      <c r="B2948" s="2">
        <f ca="1"/>
        <v>0.27170454965553748</v>
      </c>
      <c r="O2948" s="2">
        <f ca="1"/>
        <v>0.87788486068658933</v>
      </c>
      <c r="X2948" s="2">
        <f ca="1"/>
        <v>61.507943489339581</v>
      </c>
      <c r="AG2948" s="2">
        <f ca="1"/>
        <v>0.59157962280631393</v>
      </c>
      <c r="AH2948" s="2" t="str">
        <f ca="1"/>
        <v>Bad</v>
      </c>
    </row>
    <row r="2949" spans="2:34" x14ac:dyDescent="0.2">
      <c r="B2949" s="2">
        <f ca="1"/>
        <v>0.74955877323237186</v>
      </c>
      <c r="O2949" s="2">
        <f ca="1"/>
        <v>-1.0181778844027742</v>
      </c>
      <c r="X2949" s="2">
        <f ca="1"/>
        <v>69.086943646259371</v>
      </c>
      <c r="AG2949" s="2">
        <f ca="1"/>
        <v>0.85813506712256338</v>
      </c>
      <c r="AH2949" s="2" t="str">
        <f ca="1"/>
        <v>Bad</v>
      </c>
    </row>
    <row r="2950" spans="2:34" x14ac:dyDescent="0.2">
      <c r="B2950" s="2">
        <f ca="1"/>
        <v>0.89456860772521374</v>
      </c>
      <c r="O2950" s="2">
        <f ca="1"/>
        <v>-1.0849820079179939</v>
      </c>
      <c r="X2950" s="2">
        <f ca="1"/>
        <v>57.721374337781882</v>
      </c>
      <c r="AG2950" s="2">
        <f ca="1"/>
        <v>0.93321947400537408</v>
      </c>
      <c r="AH2950" s="2" t="str">
        <f ca="1"/>
        <v>Bad</v>
      </c>
    </row>
    <row r="2951" spans="2:34" x14ac:dyDescent="0.2">
      <c r="B2951" s="2">
        <f ca="1"/>
        <v>0.7330478109885521</v>
      </c>
      <c r="O2951" s="2">
        <f ca="1"/>
        <v>1.5910865683183657</v>
      </c>
      <c r="X2951" s="2">
        <f ca="1"/>
        <v>60.734981238783121</v>
      </c>
      <c r="AG2951" s="2">
        <f ca="1"/>
        <v>7.9723180489841727E-2</v>
      </c>
      <c r="AH2951" s="2" t="str">
        <f ca="1"/>
        <v>OK</v>
      </c>
    </row>
    <row r="2952" spans="2:34" x14ac:dyDescent="0.2">
      <c r="B2952" s="2">
        <f ca="1"/>
        <v>0.46769477160145723</v>
      </c>
      <c r="O2952" s="2">
        <f ca="1"/>
        <v>1.468901721394962</v>
      </c>
      <c r="X2952" s="2">
        <f ca="1"/>
        <v>54.514295060365285</v>
      </c>
      <c r="AG2952" s="2">
        <f ca="1"/>
        <v>0.50843086094812162</v>
      </c>
      <c r="AH2952" s="2" t="str">
        <f ca="1"/>
        <v>Bad</v>
      </c>
    </row>
    <row r="2953" spans="2:34" x14ac:dyDescent="0.2">
      <c r="B2953" s="2">
        <f ca="1"/>
        <v>0.40496919731926861</v>
      </c>
      <c r="O2953" s="2">
        <f ca="1"/>
        <v>0.48196927860965183</v>
      </c>
      <c r="X2953" s="2">
        <f ca="1"/>
        <v>26.504350748805653</v>
      </c>
      <c r="AG2953" s="2">
        <f ca="1"/>
        <v>0.2181112494842683</v>
      </c>
      <c r="AH2953" s="2" t="str">
        <f ca="1"/>
        <v>OK</v>
      </c>
    </row>
    <row r="2954" spans="2:34" x14ac:dyDescent="0.2">
      <c r="B2954" s="2">
        <f ca="1"/>
        <v>0.23001200347661177</v>
      </c>
      <c r="O2954" s="2">
        <f ca="1"/>
        <v>-0.53298800674390934</v>
      </c>
      <c r="X2954" s="2">
        <f ca="1"/>
        <v>73.872028008751911</v>
      </c>
      <c r="AG2954" s="2">
        <f ca="1"/>
        <v>9.3002681967250256E-2</v>
      </c>
      <c r="AH2954" s="2" t="str">
        <f ca="1"/>
        <v>OK</v>
      </c>
    </row>
    <row r="2955" spans="2:34" x14ac:dyDescent="0.2">
      <c r="B2955" s="2">
        <f ca="1"/>
        <v>0.95953123199056933</v>
      </c>
      <c r="O2955" s="2">
        <f ca="1"/>
        <v>-1.3753844251398906</v>
      </c>
      <c r="X2955" s="2">
        <f ca="1"/>
        <v>42.702115882035741</v>
      </c>
      <c r="AG2955" s="2">
        <f ca="1"/>
        <v>0.11109712991636611</v>
      </c>
      <c r="AH2955" s="2" t="str">
        <f ca="1"/>
        <v>OK</v>
      </c>
    </row>
    <row r="2956" spans="2:34" x14ac:dyDescent="0.2">
      <c r="B2956" s="2">
        <f ca="1"/>
        <v>0.94856978014603799</v>
      </c>
      <c r="O2956" s="2">
        <f ca="1"/>
        <v>0.17918402755536139</v>
      </c>
      <c r="X2956" s="2">
        <f ca="1"/>
        <v>60.409845113409624</v>
      </c>
      <c r="AG2956" s="2">
        <f ca="1"/>
        <v>0.53735571671598925</v>
      </c>
      <c r="AH2956" s="2" t="str">
        <f ca="1"/>
        <v>Bad</v>
      </c>
    </row>
    <row r="2957" spans="2:34" x14ac:dyDescent="0.2">
      <c r="B2957" s="2">
        <f ca="1"/>
        <v>0.73173561161306844</v>
      </c>
      <c r="O2957" s="2">
        <f ca="1"/>
        <v>-0.26395822133267816</v>
      </c>
      <c r="X2957" s="2">
        <f ca="1"/>
        <v>56.561120422847026</v>
      </c>
      <c r="AG2957" s="2">
        <f ca="1"/>
        <v>0.12340406669420467</v>
      </c>
      <c r="AH2957" s="2" t="str">
        <f ca="1"/>
        <v>OK</v>
      </c>
    </row>
    <row r="2958" spans="2:34" x14ac:dyDescent="0.2">
      <c r="B2958" s="2">
        <f ca="1"/>
        <v>0.96705540504371368</v>
      </c>
      <c r="O2958" s="2">
        <f ca="1"/>
        <v>0.4168878403433719</v>
      </c>
      <c r="X2958" s="2">
        <f ca="1"/>
        <v>79.030501542295454</v>
      </c>
      <c r="AG2958" s="2">
        <f ca="1"/>
        <v>4.401672163554271E-2</v>
      </c>
      <c r="AH2958" s="2" t="str">
        <f ca="1"/>
        <v>Good</v>
      </c>
    </row>
    <row r="2959" spans="2:34" x14ac:dyDescent="0.2">
      <c r="B2959" s="2">
        <f ca="1"/>
        <v>0.80011463271413219</v>
      </c>
      <c r="O2959" s="2">
        <f ca="1"/>
        <v>1.0171117680947794</v>
      </c>
      <c r="X2959" s="2">
        <f ca="1"/>
        <v>51.674154965257017</v>
      </c>
      <c r="AG2959" s="2">
        <f ca="1"/>
        <v>0.43856312391051877</v>
      </c>
      <c r="AH2959" s="2" t="str">
        <f ca="1"/>
        <v>Bad</v>
      </c>
    </row>
    <row r="2960" spans="2:34" x14ac:dyDescent="0.2">
      <c r="B2960" s="2">
        <f ca="1"/>
        <v>6.9132625450090135E-2</v>
      </c>
      <c r="O2960" s="2">
        <f ca="1"/>
        <v>1.3381617447374521</v>
      </c>
      <c r="X2960" s="2">
        <f ca="1"/>
        <v>39.503622110750783</v>
      </c>
      <c r="AG2960" s="2">
        <f ca="1"/>
        <v>0.91668731165251249</v>
      </c>
      <c r="AH2960" s="2" t="str">
        <f ca="1"/>
        <v>Bad</v>
      </c>
    </row>
    <row r="2961" spans="2:34" x14ac:dyDescent="0.2">
      <c r="B2961" s="2">
        <f ca="1"/>
        <v>0.24297840783410596</v>
      </c>
      <c r="O2961" s="2">
        <f ca="1"/>
        <v>-2.4106221406459825</v>
      </c>
      <c r="X2961" s="2">
        <f ca="1"/>
        <v>53.255137916631547</v>
      </c>
      <c r="AG2961" s="2">
        <f ca="1"/>
        <v>0.67896280288081567</v>
      </c>
      <c r="AH2961" s="2" t="str">
        <f ca="1"/>
        <v>Bad</v>
      </c>
    </row>
    <row r="2962" spans="2:34" x14ac:dyDescent="0.2">
      <c r="B2962" s="2">
        <f ca="1"/>
        <v>0.49145810321162164</v>
      </c>
      <c r="O2962" s="2">
        <f ca="1"/>
        <v>0.67599380546710419</v>
      </c>
      <c r="X2962" s="2">
        <f ca="1"/>
        <v>36.293687959109832</v>
      </c>
      <c r="AG2962" s="2">
        <f ca="1"/>
        <v>0.65477523541598415</v>
      </c>
      <c r="AH2962" s="2" t="str">
        <f ca="1"/>
        <v>Bad</v>
      </c>
    </row>
    <row r="2963" spans="2:34" x14ac:dyDescent="0.2">
      <c r="B2963" s="2">
        <f ca="1"/>
        <v>0.23534826471861359</v>
      </c>
      <c r="O2963" s="2">
        <f ca="1"/>
        <v>0.11512145272136347</v>
      </c>
      <c r="X2963" s="2">
        <f ca="1"/>
        <v>33.385811188292607</v>
      </c>
      <c r="AG2963" s="2">
        <f ca="1"/>
        <v>0.6604373794340106</v>
      </c>
      <c r="AH2963" s="2" t="str">
        <f ca="1"/>
        <v>Bad</v>
      </c>
    </row>
    <row r="2964" spans="2:34" x14ac:dyDescent="0.2">
      <c r="B2964" s="2">
        <f ca="1"/>
        <v>0.98492503197127856</v>
      </c>
      <c r="O2964" s="2">
        <f ca="1"/>
        <v>-1.0114166912519285</v>
      </c>
      <c r="X2964" s="2">
        <f ca="1"/>
        <v>33.792395008580506</v>
      </c>
      <c r="AG2964" s="2">
        <f ca="1"/>
        <v>0.96951171159091953</v>
      </c>
      <c r="AH2964" s="2" t="str">
        <f ca="1"/>
        <v>Bad</v>
      </c>
    </row>
    <row r="2965" spans="2:34" x14ac:dyDescent="0.2">
      <c r="B2965" s="2">
        <f ca="1"/>
        <v>0.90956197034726682</v>
      </c>
      <c r="O2965" s="2">
        <f ca="1"/>
        <v>0.29236732873154719</v>
      </c>
      <c r="X2965" s="2">
        <f ca="1"/>
        <v>77.552669859812724</v>
      </c>
      <c r="AG2965" s="2">
        <f ca="1"/>
        <v>1.1192259597367471E-2</v>
      </c>
      <c r="AH2965" s="2" t="str">
        <f ca="1"/>
        <v>Good</v>
      </c>
    </row>
    <row r="2966" spans="2:34" x14ac:dyDescent="0.2">
      <c r="B2966" s="2">
        <f ca="1"/>
        <v>0.38534959542590097</v>
      </c>
      <c r="O2966" s="2">
        <f ca="1"/>
        <v>0.12952815351789343</v>
      </c>
      <c r="X2966" s="2">
        <f ca="1"/>
        <v>74.450213252169334</v>
      </c>
      <c r="AG2966" s="2">
        <f ca="1"/>
        <v>0.95353420628518304</v>
      </c>
      <c r="AH2966" s="2" t="str">
        <f ca="1"/>
        <v>Bad</v>
      </c>
    </row>
    <row r="2967" spans="2:34" x14ac:dyDescent="0.2">
      <c r="B2967" s="2">
        <f ca="1"/>
        <v>0.4735312612082736</v>
      </c>
      <c r="O2967" s="2">
        <f ca="1"/>
        <v>-0.93193182762457327</v>
      </c>
      <c r="X2967" s="2">
        <f ca="1"/>
        <v>47.719306869390003</v>
      </c>
      <c r="AG2967" s="2">
        <f ca="1"/>
        <v>0.57658705674687272</v>
      </c>
      <c r="AH2967" s="2" t="str">
        <f ca="1"/>
        <v>Bad</v>
      </c>
    </row>
    <row r="2968" spans="2:34" x14ac:dyDescent="0.2">
      <c r="B2968" s="2">
        <f ca="1"/>
        <v>0.76587213592973802</v>
      </c>
      <c r="O2968" s="2">
        <f ca="1"/>
        <v>-1.0914332178234225</v>
      </c>
      <c r="X2968" s="2">
        <f ca="1"/>
        <v>73.938299984766161</v>
      </c>
      <c r="AG2968" s="2">
        <f ca="1"/>
        <v>0.11168469701252959</v>
      </c>
      <c r="AH2968" s="2" t="str">
        <f ca="1"/>
        <v>OK</v>
      </c>
    </row>
    <row r="2969" spans="2:34" x14ac:dyDescent="0.2">
      <c r="B2969" s="2">
        <f ca="1"/>
        <v>0.4040615396971996</v>
      </c>
      <c r="O2969" s="2">
        <f ca="1"/>
        <v>8.33015490328846E-2</v>
      </c>
      <c r="X2969" s="2">
        <f ca="1"/>
        <v>76.612850468015694</v>
      </c>
      <c r="AG2969" s="2">
        <f ca="1"/>
        <v>0.17041997507213957</v>
      </c>
      <c r="AH2969" s="2" t="str">
        <f ca="1"/>
        <v>OK</v>
      </c>
    </row>
    <row r="2970" spans="2:34" x14ac:dyDescent="0.2">
      <c r="B2970" s="2">
        <f ca="1"/>
        <v>0.75444046522288044</v>
      </c>
      <c r="O2970" s="2">
        <f ca="1"/>
        <v>0.32709109224237387</v>
      </c>
      <c r="X2970" s="2">
        <f ca="1"/>
        <v>20.957424888091882</v>
      </c>
      <c r="AG2970" s="2">
        <f ca="1"/>
        <v>0.1204689461715549</v>
      </c>
      <c r="AH2970" s="2" t="str">
        <f ca="1"/>
        <v>OK</v>
      </c>
    </row>
    <row r="2971" spans="2:34" x14ac:dyDescent="0.2">
      <c r="B2971" s="2">
        <f ca="1"/>
        <v>0.47263211407964012</v>
      </c>
      <c r="O2971" s="2">
        <f ca="1"/>
        <v>0.11988504556560914</v>
      </c>
      <c r="X2971" s="2">
        <f ca="1"/>
        <v>44.955222321858763</v>
      </c>
      <c r="AG2971" s="2">
        <f ca="1"/>
        <v>0.93188968137628181</v>
      </c>
      <c r="AH2971" s="2" t="str">
        <f ca="1"/>
        <v>Bad</v>
      </c>
    </row>
    <row r="2972" spans="2:34" x14ac:dyDescent="0.2">
      <c r="B2972" s="2">
        <f ca="1"/>
        <v>0.63030626917681021</v>
      </c>
      <c r="O2972" s="2">
        <f ca="1"/>
        <v>0.67487920033442572</v>
      </c>
      <c r="X2972" s="2">
        <f ca="1"/>
        <v>43.188804905185243</v>
      </c>
      <c r="AG2972" s="2">
        <f ca="1"/>
        <v>0.72906433213013133</v>
      </c>
      <c r="AH2972" s="2" t="str">
        <f ca="1"/>
        <v>Bad</v>
      </c>
    </row>
    <row r="2973" spans="2:34" x14ac:dyDescent="0.2">
      <c r="B2973" s="2">
        <f ca="1"/>
        <v>0.96221535756365095</v>
      </c>
      <c r="O2973" s="2">
        <f ca="1"/>
        <v>0.64001331019055674</v>
      </c>
      <c r="X2973" s="2">
        <f ca="1"/>
        <v>59.366221053654122</v>
      </c>
      <c r="AG2973" s="2">
        <f ca="1"/>
        <v>3.2466504997679335E-2</v>
      </c>
      <c r="AH2973" s="2" t="str">
        <f ca="1"/>
        <v>Good</v>
      </c>
    </row>
    <row r="2974" spans="2:34" x14ac:dyDescent="0.2">
      <c r="B2974" s="2">
        <f ca="1"/>
        <v>0.19143047807968805</v>
      </c>
      <c r="O2974" s="2">
        <f ca="1"/>
        <v>-0.41354850438506102</v>
      </c>
      <c r="X2974" s="2">
        <f ca="1"/>
        <v>95.165696775588231</v>
      </c>
      <c r="AG2974" s="2">
        <f ca="1"/>
        <v>0.9237374285214921</v>
      </c>
      <c r="AH2974" s="2" t="str">
        <f ca="1"/>
        <v>Bad</v>
      </c>
    </row>
    <row r="2975" spans="2:34" x14ac:dyDescent="0.2">
      <c r="B2975" s="2">
        <f ca="1"/>
        <v>7.8651066581710838E-2</v>
      </c>
      <c r="O2975" s="2">
        <f ca="1"/>
        <v>0.91707528569170471</v>
      </c>
      <c r="X2975" s="2">
        <f ca="1"/>
        <v>26.989215677322264</v>
      </c>
      <c r="AG2975" s="2">
        <f ca="1"/>
        <v>0.19508490933537059</v>
      </c>
      <c r="AH2975" s="2" t="str">
        <f ca="1"/>
        <v>OK</v>
      </c>
    </row>
    <row r="2976" spans="2:34" x14ac:dyDescent="0.2">
      <c r="B2976" s="2">
        <f ca="1"/>
        <v>0.5430641804986982</v>
      </c>
      <c r="O2976" s="2">
        <f ca="1"/>
        <v>-1.4087982026259178</v>
      </c>
      <c r="X2976" s="2">
        <f ca="1"/>
        <v>81.618926886187609</v>
      </c>
      <c r="AG2976" s="2">
        <f ca="1"/>
        <v>0.39982733620151456</v>
      </c>
      <c r="AH2976" s="2" t="str">
        <f ca="1"/>
        <v>OK</v>
      </c>
    </row>
    <row r="2977" spans="2:34" x14ac:dyDescent="0.2">
      <c r="B2977" s="2">
        <f ca="1"/>
        <v>0.3143549100214531</v>
      </c>
      <c r="O2977" s="2">
        <f ca="1"/>
        <v>-0.81608289406046941</v>
      </c>
      <c r="X2977" s="2">
        <f ca="1"/>
        <v>10.442833949584639</v>
      </c>
      <c r="AG2977" s="2">
        <f ca="1"/>
        <v>0.53491120491619526</v>
      </c>
      <c r="AH2977" s="2" t="str">
        <f ca="1"/>
        <v>Bad</v>
      </c>
    </row>
    <row r="2978" spans="2:34" x14ac:dyDescent="0.2">
      <c r="B2978" s="2">
        <f ca="1"/>
        <v>0.14599427403710696</v>
      </c>
      <c r="O2978" s="2">
        <f ca="1"/>
        <v>-4.9520704451578051E-2</v>
      </c>
      <c r="X2978" s="2">
        <f ca="1"/>
        <v>33.404011907546781</v>
      </c>
      <c r="AG2978" s="2">
        <f ca="1"/>
        <v>0.79684600674559602</v>
      </c>
      <c r="AH2978" s="2" t="str">
        <f ca="1"/>
        <v>Bad</v>
      </c>
    </row>
    <row r="2979" spans="2:34" x14ac:dyDescent="0.2">
      <c r="B2979" s="2">
        <f ca="1"/>
        <v>0.11595111160038996</v>
      </c>
      <c r="O2979" s="2">
        <f ca="1"/>
        <v>0.85526143496350526</v>
      </c>
      <c r="X2979" s="2">
        <f ca="1"/>
        <v>34.630983932946222</v>
      </c>
      <c r="AG2979" s="2">
        <f ca="1"/>
        <v>0.89101214841573317</v>
      </c>
      <c r="AH2979" s="2" t="str">
        <f ca="1"/>
        <v>Bad</v>
      </c>
    </row>
    <row r="2980" spans="2:34" x14ac:dyDescent="0.2">
      <c r="B2980" s="2">
        <f ca="1"/>
        <v>0.90376954188457348</v>
      </c>
      <c r="O2980" s="2">
        <f ca="1"/>
        <v>-1.0431550345181497</v>
      </c>
      <c r="X2980" s="2">
        <f ca="1"/>
        <v>36.311595908514924</v>
      </c>
      <c r="AG2980" s="2">
        <f ca="1"/>
        <v>0.29339352560006127</v>
      </c>
      <c r="AH2980" s="2" t="str">
        <f ca="1"/>
        <v>OK</v>
      </c>
    </row>
    <row r="2981" spans="2:34" x14ac:dyDescent="0.2">
      <c r="B2981" s="2">
        <f ca="1"/>
        <v>0.68000830480126795</v>
      </c>
      <c r="O2981" s="2">
        <f ca="1"/>
        <v>-0.57466382344594324</v>
      </c>
      <c r="X2981" s="2">
        <f ca="1"/>
        <v>60.552453252168377</v>
      </c>
      <c r="AG2981" s="2">
        <f ca="1"/>
        <v>0.10823408406838064</v>
      </c>
      <c r="AH2981" s="2" t="str">
        <f ca="1"/>
        <v>OK</v>
      </c>
    </row>
    <row r="2982" spans="2:34" x14ac:dyDescent="0.2">
      <c r="B2982" s="2">
        <f ca="1"/>
        <v>0.77319832281853684</v>
      </c>
      <c r="O2982" s="2">
        <f ca="1"/>
        <v>8.8192248910480969E-3</v>
      </c>
      <c r="X2982" s="2">
        <f ca="1"/>
        <v>30.340477787460934</v>
      </c>
      <c r="AG2982" s="2">
        <f ca="1"/>
        <v>0.77490340297346849</v>
      </c>
      <c r="AH2982" s="2" t="str">
        <f ca="1"/>
        <v>Bad</v>
      </c>
    </row>
    <row r="2983" spans="2:34" x14ac:dyDescent="0.2">
      <c r="B2983" s="2">
        <f ca="1"/>
        <v>0.15494863642461065</v>
      </c>
      <c r="O2983" s="2">
        <f ca="1"/>
        <v>-0.51642326635169733</v>
      </c>
      <c r="X2983" s="2">
        <f ca="1"/>
        <v>37.583344691012648</v>
      </c>
      <c r="AG2983" s="2">
        <f ca="1"/>
        <v>0.39174405792199796</v>
      </c>
      <c r="AH2983" s="2" t="str">
        <f ca="1"/>
        <v>OK</v>
      </c>
    </row>
    <row r="2984" spans="2:34" x14ac:dyDescent="0.2">
      <c r="B2984" s="2">
        <f ca="1"/>
        <v>0.74626208701402996</v>
      </c>
      <c r="O2984" s="2">
        <f ca="1"/>
        <v>-0.24184468102171633</v>
      </c>
      <c r="X2984" s="2">
        <f ca="1"/>
        <v>62.121995245285802</v>
      </c>
      <c r="AG2984" s="2">
        <f ca="1"/>
        <v>0.3514977908291439</v>
      </c>
      <c r="AH2984" s="2" t="str">
        <f ca="1"/>
        <v>OK</v>
      </c>
    </row>
    <row r="2985" spans="2:34" x14ac:dyDescent="0.2">
      <c r="B2985" s="2">
        <f ca="1"/>
        <v>0.86458722802572141</v>
      </c>
      <c r="O2985" s="2">
        <f ca="1"/>
        <v>0.65206815023896725</v>
      </c>
      <c r="X2985" s="2">
        <f ca="1"/>
        <v>38.282379482442053</v>
      </c>
      <c r="AG2985" s="2">
        <f ca="1"/>
        <v>0.31117302969477034</v>
      </c>
      <c r="AH2985" s="2" t="str">
        <f ca="1"/>
        <v>OK</v>
      </c>
    </row>
    <row r="2986" spans="2:34" x14ac:dyDescent="0.2">
      <c r="B2986" s="2">
        <f ca="1"/>
        <v>0.58547300239404576</v>
      </c>
      <c r="O2986" s="2">
        <f ca="1"/>
        <v>0.33256718687959447</v>
      </c>
      <c r="X2986" s="2">
        <f ca="1"/>
        <v>46.357263350904603</v>
      </c>
      <c r="AG2986" s="2">
        <f ca="1"/>
        <v>0.81324814279219826</v>
      </c>
      <c r="AH2986" s="2" t="str">
        <f ca="1"/>
        <v>Bad</v>
      </c>
    </row>
    <row r="2987" spans="2:34" x14ac:dyDescent="0.2">
      <c r="B2987" s="2">
        <f ca="1"/>
        <v>0.81352156897861994</v>
      </c>
      <c r="O2987" s="2">
        <f ca="1"/>
        <v>-0.89279012524710788</v>
      </c>
      <c r="X2987" s="2">
        <f ca="1"/>
        <v>34.315390564598587</v>
      </c>
      <c r="AG2987" s="2">
        <f ca="1"/>
        <v>0.64966926791026647</v>
      </c>
      <c r="AH2987" s="2" t="str">
        <f ca="1"/>
        <v>Bad</v>
      </c>
    </row>
    <row r="2988" spans="2:34" x14ac:dyDescent="0.2">
      <c r="B2988" s="2">
        <f ca="1"/>
        <v>0.22382603900387377</v>
      </c>
      <c r="O2988" s="2">
        <f ca="1"/>
        <v>0.12675581874501513</v>
      </c>
      <c r="X2988" s="2">
        <f ca="1"/>
        <v>64.74374983836546</v>
      </c>
      <c r="AG2988" s="2">
        <f ca="1"/>
        <v>0.9551195204780587</v>
      </c>
      <c r="AH2988" s="2" t="str">
        <f ca="1"/>
        <v>Bad</v>
      </c>
    </row>
    <row r="2989" spans="2:34" x14ac:dyDescent="0.2">
      <c r="B2989" s="2">
        <f ca="1"/>
        <v>0.28718846845219015</v>
      </c>
      <c r="O2989" s="2">
        <f ca="1"/>
        <v>0.42083659932164502</v>
      </c>
      <c r="X2989" s="2">
        <f ca="1"/>
        <v>55.299517548277734</v>
      </c>
      <c r="AG2989" s="2">
        <f ca="1"/>
        <v>9.1297867650219633E-2</v>
      </c>
      <c r="AH2989" s="2" t="str">
        <f ca="1"/>
        <v>OK</v>
      </c>
    </row>
    <row r="2990" spans="2:34" x14ac:dyDescent="0.2">
      <c r="B2990" s="2">
        <f ca="1"/>
        <v>0.48528015552617831</v>
      </c>
      <c r="O2990" s="2">
        <f ca="1"/>
        <v>0.12052372056344127</v>
      </c>
      <c r="X2990" s="2">
        <f ca="1"/>
        <v>66.551698929457842</v>
      </c>
      <c r="AG2990" s="2">
        <f ca="1"/>
        <v>0.87234339425463636</v>
      </c>
      <c r="AH2990" s="2" t="str">
        <f ca="1"/>
        <v>Bad</v>
      </c>
    </row>
    <row r="2991" spans="2:34" x14ac:dyDescent="0.2">
      <c r="B2991" s="2">
        <f ca="1"/>
        <v>9.9746485803872353E-2</v>
      </c>
      <c r="O2991" s="2">
        <f ca="1"/>
        <v>0.12692451800784832</v>
      </c>
      <c r="X2991" s="2">
        <f ca="1"/>
        <v>36.464707148748367</v>
      </c>
      <c r="AG2991" s="2">
        <f ca="1"/>
        <v>0.47553590616547714</v>
      </c>
      <c r="AH2991" s="2" t="str">
        <f ca="1"/>
        <v>Bad</v>
      </c>
    </row>
    <row r="2992" spans="2:34" x14ac:dyDescent="0.2">
      <c r="B2992" s="2">
        <f ca="1"/>
        <v>0.80370669050892429</v>
      </c>
      <c r="O2992" s="2">
        <f ca="1"/>
        <v>-0.20031943501039434</v>
      </c>
      <c r="X2992" s="2">
        <f ca="1"/>
        <v>47.522588406397432</v>
      </c>
      <c r="AG2992" s="2">
        <f ca="1"/>
        <v>0.60294104585090524</v>
      </c>
      <c r="AH2992" s="2" t="str">
        <f ca="1"/>
        <v>Bad</v>
      </c>
    </row>
    <row r="2993" spans="2:34" x14ac:dyDescent="0.2">
      <c r="B2993" s="2">
        <f ca="1"/>
        <v>0.61081827429772839</v>
      </c>
      <c r="O2993" s="2">
        <f ca="1"/>
        <v>0.87881483973837005</v>
      </c>
      <c r="X2993" s="2">
        <f ca="1"/>
        <v>51.753226996097183</v>
      </c>
      <c r="AG2993" s="2">
        <f ca="1"/>
        <v>0.92006941568924594</v>
      </c>
      <c r="AH2993" s="2" t="str">
        <f ca="1"/>
        <v>Bad</v>
      </c>
    </row>
    <row r="2994" spans="2:34" x14ac:dyDescent="0.2">
      <c r="B2994" s="2">
        <f ca="1"/>
        <v>0.29148760096447623</v>
      </c>
      <c r="O2994" s="2">
        <f ca="1"/>
        <v>0.15504252429481058</v>
      </c>
      <c r="X2994" s="2">
        <f ca="1"/>
        <v>63.013187130389376</v>
      </c>
      <c r="AG2994" s="2">
        <f ca="1"/>
        <v>0.86531388998552039</v>
      </c>
      <c r="AH2994" s="2" t="str">
        <f ca="1"/>
        <v>Bad</v>
      </c>
    </row>
    <row r="2995" spans="2:34" x14ac:dyDescent="0.2">
      <c r="B2995" s="2">
        <f ca="1"/>
        <v>0.28509533896544403</v>
      </c>
      <c r="O2995" s="2">
        <f ca="1"/>
        <v>-0.3762962554780952</v>
      </c>
      <c r="X2995" s="2">
        <f ca="1"/>
        <v>63.658138321123715</v>
      </c>
      <c r="AG2995" s="2">
        <f ca="1"/>
        <v>0.86662807578415157</v>
      </c>
      <c r="AH2995" s="2" t="str">
        <f ca="1"/>
        <v>Bad</v>
      </c>
    </row>
    <row r="2996" spans="2:34" x14ac:dyDescent="0.2">
      <c r="B2996" s="2">
        <f ca="1"/>
        <v>0.47674231835516867</v>
      </c>
      <c r="O2996" s="2">
        <f ca="1"/>
        <v>1.3005674333383972</v>
      </c>
      <c r="X2996" s="2">
        <f ca="1"/>
        <v>64.693460373364871</v>
      </c>
      <c r="AG2996" s="2">
        <f ca="1"/>
        <v>9.3494357552476481E-2</v>
      </c>
      <c r="AH2996" s="2" t="str">
        <f ca="1"/>
        <v>OK</v>
      </c>
    </row>
    <row r="2997" spans="2:34" x14ac:dyDescent="0.2">
      <c r="B2997" s="2">
        <f ca="1"/>
        <v>7.0267372937841577E-2</v>
      </c>
      <c r="O2997" s="2">
        <f ca="1"/>
        <v>0.86462666507103347</v>
      </c>
      <c r="X2997" s="2">
        <f ca="1"/>
        <v>48.899223066093249</v>
      </c>
      <c r="AG2997" s="2">
        <f ca="1"/>
        <v>0.90608334821180669</v>
      </c>
      <c r="AH2997" s="2" t="str">
        <f ca="1"/>
        <v>Bad</v>
      </c>
    </row>
    <row r="2998" spans="2:34" x14ac:dyDescent="0.2">
      <c r="B2998" s="2">
        <f ca="1"/>
        <v>0.59142621755692715</v>
      </c>
      <c r="O2998" s="2">
        <f ca="1"/>
        <v>1.8622580248478162</v>
      </c>
      <c r="X2998" s="2">
        <f ca="1"/>
        <v>48.082806201504184</v>
      </c>
      <c r="AG2998" s="2">
        <f ca="1"/>
        <v>0.5675233316941346</v>
      </c>
      <c r="AH2998" s="2" t="str">
        <f ca="1"/>
        <v>Bad</v>
      </c>
    </row>
    <row r="2999" spans="2:34" x14ac:dyDescent="0.2">
      <c r="B2999" s="2">
        <f ca="1"/>
        <v>0.25193257025425075</v>
      </c>
      <c r="O2999" s="2">
        <f ca="1"/>
        <v>0.66663269493791466</v>
      </c>
      <c r="X2999" s="2">
        <f ca="1"/>
        <v>58.031706064962449</v>
      </c>
      <c r="AG2999" s="2">
        <f ca="1"/>
        <v>0.87081835917233796</v>
      </c>
      <c r="AH2999" s="2" t="str">
        <f ca="1"/>
        <v>Bad</v>
      </c>
    </row>
    <row r="3000" spans="2:34" x14ac:dyDescent="0.2">
      <c r="B3000" s="2">
        <f ca="1"/>
        <v>0.50040116171075244</v>
      </c>
      <c r="O3000" s="2">
        <f ca="1"/>
        <v>-1.0943719519628756</v>
      </c>
      <c r="X3000" s="2">
        <f ca="1"/>
        <v>62.247644880410576</v>
      </c>
      <c r="AG3000" s="2">
        <f ca="1"/>
        <v>0.93927515977554821</v>
      </c>
      <c r="AH3000" s="2" t="str">
        <f ca="1"/>
        <v>Bad</v>
      </c>
    </row>
    <row r="3001" spans="2:34" x14ac:dyDescent="0.2">
      <c r="B3001" s="2">
        <f ca="1"/>
        <v>0.65214310780080842</v>
      </c>
      <c r="O3001" s="2">
        <f ca="1"/>
        <v>2.2031363607718557</v>
      </c>
      <c r="X3001" s="2">
        <f ca="1"/>
        <v>71.197490254713841</v>
      </c>
      <c r="AG3001" s="2">
        <f ca="1"/>
        <v>0.66461352709915844</v>
      </c>
      <c r="AH3001" s="2" t="str">
        <f ca="1"/>
        <v>Bad</v>
      </c>
    </row>
    <row r="3002" spans="2:34" x14ac:dyDescent="0.2">
      <c r="B3002" s="2">
        <f ca="1"/>
        <v>0.54091827058292008</v>
      </c>
      <c r="O3002" s="2">
        <f ca="1"/>
        <v>-1.7520576705530815</v>
      </c>
      <c r="X3002" s="2">
        <f ca="1"/>
        <v>30.414418001051086</v>
      </c>
      <c r="AG3002" s="2">
        <f ca="1"/>
        <v>0.98419120181463837</v>
      </c>
      <c r="AH3002" s="2" t="str">
        <f ca="1"/>
        <v>Bad</v>
      </c>
    </row>
    <row r="3003" spans="2:34" x14ac:dyDescent="0.2">
      <c r="B3003" s="2">
        <f ca="1"/>
        <v>4.3550354520298651E-2</v>
      </c>
      <c r="O3003" s="2">
        <f ca="1"/>
        <v>1.4540891088872046</v>
      </c>
      <c r="X3003" s="2">
        <f ca="1"/>
        <v>64.249274820719407</v>
      </c>
      <c r="AG3003" s="2">
        <f ca="1"/>
        <v>0.5045159672343893</v>
      </c>
      <c r="AH3003" s="2" t="str">
        <f ca="1"/>
        <v>Bad</v>
      </c>
    </row>
    <row r="3004" spans="2:34" x14ac:dyDescent="0.2">
      <c r="B3004" s="2">
        <f ca="1"/>
        <v>0.6825081991705102</v>
      </c>
      <c r="O3004" s="2">
        <f ca="1"/>
        <v>-0.4738489399029322</v>
      </c>
      <c r="X3004" s="2">
        <f ca="1"/>
        <v>37.440628576682485</v>
      </c>
      <c r="AG3004" s="2">
        <f ca="1"/>
        <v>0.75880424550912928</v>
      </c>
      <c r="AH3004" s="2" t="str">
        <f ca="1"/>
        <v>Bad</v>
      </c>
    </row>
    <row r="3005" spans="2:34" x14ac:dyDescent="0.2">
      <c r="B3005" s="2">
        <f ca="1"/>
        <v>0.578450313245225</v>
      </c>
      <c r="O3005" s="2">
        <f ca="1"/>
        <v>9.3668364455668632E-2</v>
      </c>
      <c r="X3005" s="2">
        <f ca="1"/>
        <v>38.850774706152919</v>
      </c>
      <c r="AG3005" s="2">
        <f ca="1"/>
        <v>0.14872715302278894</v>
      </c>
      <c r="AH3005" s="2" t="str">
        <f ca="1"/>
        <v>OK</v>
      </c>
    </row>
    <row r="3006" spans="2:34" x14ac:dyDescent="0.2">
      <c r="B3006" s="2">
        <f ca="1"/>
        <v>0.62880983028221826</v>
      </c>
      <c r="O3006" s="2">
        <f ca="1"/>
        <v>-3.0265990995414591</v>
      </c>
      <c r="X3006" s="2">
        <f ca="1"/>
        <v>51.097038876077264</v>
      </c>
      <c r="AG3006" s="2">
        <f ca="1"/>
        <v>0.91043202892939035</v>
      </c>
      <c r="AH3006" s="2" t="str">
        <f ca="1"/>
        <v>Bad</v>
      </c>
    </row>
    <row r="3007" spans="2:34" x14ac:dyDescent="0.2">
      <c r="B3007" s="2">
        <f ca="1"/>
        <v>0.42924485773607435</v>
      </c>
      <c r="O3007" s="2">
        <f ca="1"/>
        <v>4.4584253063565758E-3</v>
      </c>
      <c r="X3007" s="2">
        <f ca="1"/>
        <v>71.604364554294492</v>
      </c>
      <c r="AG3007" s="2">
        <f ca="1"/>
        <v>0.11586632410102782</v>
      </c>
      <c r="AH3007" s="2" t="str">
        <f ca="1"/>
        <v>OK</v>
      </c>
    </row>
    <row r="3008" spans="2:34" x14ac:dyDescent="0.2">
      <c r="B3008" s="2">
        <f ca="1"/>
        <v>0.16444705021598649</v>
      </c>
      <c r="O3008" s="2">
        <f ca="1"/>
        <v>-0.85094996260372469</v>
      </c>
      <c r="X3008" s="2">
        <f ca="1"/>
        <v>62.118221755173259</v>
      </c>
      <c r="AG3008" s="2">
        <f ca="1"/>
        <v>0.25513578365805745</v>
      </c>
      <c r="AH3008" s="2" t="str">
        <f ca="1"/>
        <v>OK</v>
      </c>
    </row>
    <row r="3009" spans="2:34" x14ac:dyDescent="0.2">
      <c r="B3009" s="2">
        <f ca="1"/>
        <v>0.64484165813239525</v>
      </c>
      <c r="O3009" s="2">
        <f ca="1"/>
        <v>0.84101675981528157</v>
      </c>
      <c r="X3009" s="2">
        <f ca="1"/>
        <v>35.769116679041673</v>
      </c>
      <c r="AG3009" s="2">
        <f ca="1"/>
        <v>0.10017838885970676</v>
      </c>
      <c r="AH3009" s="2" t="str">
        <f ca="1"/>
        <v>OK</v>
      </c>
    </row>
    <row r="3010" spans="2:34" x14ac:dyDescent="0.2">
      <c r="B3010" s="2">
        <f ca="1"/>
        <v>0.30760432012166161</v>
      </c>
      <c r="O3010" s="2">
        <f ca="1"/>
        <v>-0.11774511961610945</v>
      </c>
      <c r="X3010" s="2">
        <f ca="1"/>
        <v>16.170957111665228</v>
      </c>
      <c r="AG3010" s="2">
        <f ca="1"/>
        <v>0.24767895735165091</v>
      </c>
      <c r="AH3010" s="2" t="str">
        <f ca="1"/>
        <v>OK</v>
      </c>
    </row>
    <row r="3011" spans="2:34" x14ac:dyDescent="0.2">
      <c r="B3011" s="2">
        <f ca="1"/>
        <v>0.68543164120379418</v>
      </c>
      <c r="O3011" s="2">
        <f ca="1"/>
        <v>0.15765837394932805</v>
      </c>
      <c r="X3011" s="2">
        <f ca="1"/>
        <v>44.145347739573815</v>
      </c>
      <c r="AG3011" s="2">
        <f ca="1"/>
        <v>0.11445807051368928</v>
      </c>
      <c r="AH3011" s="2" t="str">
        <f ca="1"/>
        <v>OK</v>
      </c>
    </row>
    <row r="3012" spans="2:34" x14ac:dyDescent="0.2">
      <c r="B3012" s="2">
        <f ca="1"/>
        <v>0.43636912323177945</v>
      </c>
      <c r="O3012" s="2">
        <f ca="1"/>
        <v>1.2092682629456901</v>
      </c>
      <c r="X3012" s="2">
        <f ca="1"/>
        <v>60.74848137093457</v>
      </c>
      <c r="AG3012" s="2">
        <f ca="1"/>
        <v>0.63609993051624758</v>
      </c>
      <c r="AH3012" s="2" t="str">
        <f ca="1"/>
        <v>Bad</v>
      </c>
    </row>
    <row r="3013" spans="2:34" x14ac:dyDescent="0.2">
      <c r="B3013" s="2">
        <f ca="1"/>
        <v>0.26149992451251314</v>
      </c>
      <c r="O3013" s="2">
        <f ca="1"/>
        <v>-0.52856870538092637</v>
      </c>
      <c r="X3013" s="2">
        <f ca="1"/>
        <v>53.727086104899684</v>
      </c>
      <c r="AG3013" s="2">
        <f ca="1"/>
        <v>0.88565428120790113</v>
      </c>
      <c r="AH3013" s="2" t="str">
        <f ca="1"/>
        <v>Bad</v>
      </c>
    </row>
    <row r="3014" spans="2:34" x14ac:dyDescent="0.2">
      <c r="B3014" s="2">
        <f ca="1"/>
        <v>0.2178421533639181</v>
      </c>
      <c r="O3014" s="2">
        <f ca="1"/>
        <v>1.8743939263668454</v>
      </c>
      <c r="X3014" s="2">
        <f ca="1"/>
        <v>43.226321127518723</v>
      </c>
      <c r="AG3014" s="2">
        <f ca="1"/>
        <v>0.13604664514621412</v>
      </c>
      <c r="AH3014" s="2" t="str">
        <f ca="1"/>
        <v>OK</v>
      </c>
    </row>
    <row r="3015" spans="2:34" x14ac:dyDescent="0.2">
      <c r="B3015" s="2">
        <f ca="1"/>
        <v>0.19378184326907411</v>
      </c>
      <c r="O3015" s="2">
        <f ca="1"/>
        <v>1.3941214038988439</v>
      </c>
      <c r="X3015" s="2">
        <f ca="1"/>
        <v>73.621776622751739</v>
      </c>
      <c r="AG3015" s="2">
        <f ca="1"/>
        <v>0.16974089107439028</v>
      </c>
      <c r="AH3015" s="2" t="str">
        <f ca="1"/>
        <v>OK</v>
      </c>
    </row>
    <row r="3016" spans="2:34" x14ac:dyDescent="0.2">
      <c r="B3016" s="2">
        <f ca="1"/>
        <v>0.55085195264212183</v>
      </c>
      <c r="O3016" s="2">
        <f ca="1"/>
        <v>0.50524413067292728</v>
      </c>
      <c r="X3016" s="2">
        <f ca="1"/>
        <v>32.153004745222098</v>
      </c>
      <c r="AG3016" s="2">
        <f ca="1"/>
        <v>0.47506710732569291</v>
      </c>
      <c r="AH3016" s="2" t="str">
        <f ca="1"/>
        <v>Bad</v>
      </c>
    </row>
    <row r="3017" spans="2:34" x14ac:dyDescent="0.2">
      <c r="B3017" s="2">
        <f ca="1"/>
        <v>0.31667275784594628</v>
      </c>
      <c r="O3017" s="2">
        <f ca="1"/>
        <v>0.45036866714818624</v>
      </c>
      <c r="X3017" s="2">
        <f ca="1"/>
        <v>72.574936831335634</v>
      </c>
      <c r="AG3017" s="2">
        <f ca="1"/>
        <v>7.5294417182995232E-2</v>
      </c>
      <c r="AH3017" s="2" t="str">
        <f ca="1"/>
        <v>OK</v>
      </c>
    </row>
    <row r="3018" spans="2:34" x14ac:dyDescent="0.2">
      <c r="B3018" s="2">
        <f ca="1"/>
        <v>0.78732716131837144</v>
      </c>
      <c r="O3018" s="2">
        <f ca="1"/>
        <v>-0.88877190016210461</v>
      </c>
      <c r="X3018" s="2">
        <f ca="1"/>
        <v>57.42831444046768</v>
      </c>
      <c r="AG3018" s="2">
        <f ca="1"/>
        <v>0.44987602377826685</v>
      </c>
      <c r="AH3018" s="2" t="str">
        <f ca="1"/>
        <v>Bad</v>
      </c>
    </row>
    <row r="3019" spans="2:34" x14ac:dyDescent="0.2">
      <c r="B3019" s="2">
        <f ca="1"/>
        <v>0.86738093934557514</v>
      </c>
      <c r="O3019" s="2">
        <f ca="1"/>
        <v>0.78260606712138991</v>
      </c>
      <c r="X3019" s="2">
        <f ca="1"/>
        <v>64.169228833485633</v>
      </c>
      <c r="AG3019" s="2">
        <f ca="1"/>
        <v>0.21197436895558264</v>
      </c>
      <c r="AH3019" s="2" t="str">
        <f ca="1"/>
        <v>OK</v>
      </c>
    </row>
    <row r="3020" spans="2:34" x14ac:dyDescent="0.2">
      <c r="B3020" s="2">
        <f ca="1"/>
        <v>0.17563424616548784</v>
      </c>
      <c r="O3020" s="2">
        <f ca="1"/>
        <v>1.204109810390384</v>
      </c>
      <c r="X3020" s="2">
        <f ca="1"/>
        <v>62.470349546293072</v>
      </c>
      <c r="AG3020" s="2">
        <f ca="1"/>
        <v>1.5045118378175903E-2</v>
      </c>
      <c r="AH3020" s="2" t="str">
        <f ca="1"/>
        <v>Good</v>
      </c>
    </row>
    <row r="3021" spans="2:34" x14ac:dyDescent="0.2">
      <c r="B3021" s="2">
        <f ca="1"/>
        <v>0.60375833807346169</v>
      </c>
      <c r="O3021" s="2">
        <f ca="1"/>
        <v>1.0089226270729525</v>
      </c>
      <c r="X3021" s="2">
        <f ca="1"/>
        <v>53.160194408418988</v>
      </c>
      <c r="AG3021" s="2">
        <f ca="1"/>
        <v>0.66596913831199234</v>
      </c>
      <c r="AH3021" s="2" t="str">
        <f ca="1"/>
        <v>Bad</v>
      </c>
    </row>
    <row r="3022" spans="2:34" x14ac:dyDescent="0.2">
      <c r="B3022" s="2">
        <f ca="1"/>
        <v>0.95853982361826295</v>
      </c>
      <c r="O3022" s="2">
        <f ca="1"/>
        <v>-1.3727890765918382</v>
      </c>
      <c r="X3022" s="2">
        <f ca="1"/>
        <v>63.387218370536885</v>
      </c>
      <c r="AG3022" s="2">
        <f ca="1"/>
        <v>0.32573886386932704</v>
      </c>
      <c r="AH3022" s="2" t="str">
        <f ca="1"/>
        <v>OK</v>
      </c>
    </row>
    <row r="3023" spans="2:34" x14ac:dyDescent="0.2">
      <c r="B3023" s="2">
        <f ca="1"/>
        <v>0.64889836204453832</v>
      </c>
      <c r="O3023" s="2">
        <f ca="1"/>
        <v>-8.2556729718654978E-2</v>
      </c>
      <c r="X3023" s="2">
        <f ca="1"/>
        <v>27.871484158514001</v>
      </c>
      <c r="AG3023" s="2">
        <f ca="1"/>
        <v>0.36229663941705414</v>
      </c>
      <c r="AH3023" s="2" t="str">
        <f ca="1"/>
        <v>OK</v>
      </c>
    </row>
    <row r="3024" spans="2:34" x14ac:dyDescent="0.2">
      <c r="B3024" s="2">
        <f ca="1"/>
        <v>0.307761830733007</v>
      </c>
      <c r="O3024" s="2">
        <f ca="1"/>
        <v>0.10119877194526633</v>
      </c>
      <c r="X3024" s="2">
        <f ca="1"/>
        <v>43.027754266538373</v>
      </c>
      <c r="AG3024" s="2">
        <f ca="1"/>
        <v>0.71354948880431923</v>
      </c>
      <c r="AH3024" s="2" t="str">
        <f ca="1"/>
        <v>Bad</v>
      </c>
    </row>
    <row r="3025" spans="2:34" x14ac:dyDescent="0.2">
      <c r="B3025" s="2">
        <f ca="1"/>
        <v>0.10876388125687897</v>
      </c>
      <c r="O3025" s="2">
        <f ca="1"/>
        <v>0.16887871989513664</v>
      </c>
      <c r="X3025" s="2">
        <f ca="1"/>
        <v>50.949822137456017</v>
      </c>
      <c r="AG3025" s="2">
        <f ca="1"/>
        <v>0.87914928454326047</v>
      </c>
      <c r="AH3025" s="2" t="str">
        <f ca="1"/>
        <v>Bad</v>
      </c>
    </row>
    <row r="3026" spans="2:34" x14ac:dyDescent="0.2">
      <c r="B3026" s="2">
        <f ca="1"/>
        <v>0.36408039511125989</v>
      </c>
      <c r="O3026" s="2">
        <f ca="1"/>
        <v>0.88065369896341905</v>
      </c>
      <c r="X3026" s="2">
        <f ca="1"/>
        <v>42.900921601163915</v>
      </c>
      <c r="AG3026" s="2">
        <f ca="1"/>
        <v>4.8551590229571451E-2</v>
      </c>
      <c r="AH3026" s="2" t="str">
        <f ca="1"/>
        <v>Good</v>
      </c>
    </row>
    <row r="3027" spans="2:34" x14ac:dyDescent="0.2">
      <c r="B3027" s="2">
        <f ca="1"/>
        <v>0.47841072117601602</v>
      </c>
      <c r="O3027" s="2">
        <f ca="1"/>
        <v>-0.99784210504819904</v>
      </c>
      <c r="X3027" s="2">
        <f ca="1"/>
        <v>65.496249644254902</v>
      </c>
      <c r="AG3027" s="2">
        <f ca="1"/>
        <v>0.59266759654330925</v>
      </c>
      <c r="AH3027" s="2" t="str">
        <f ca="1"/>
        <v>Bad</v>
      </c>
    </row>
    <row r="3028" spans="2:34" x14ac:dyDescent="0.2">
      <c r="B3028" s="2">
        <f ca="1"/>
        <v>0.96735252101839797</v>
      </c>
      <c r="O3028" s="2">
        <f ca="1"/>
        <v>0.62221498335790271</v>
      </c>
      <c r="X3028" s="2">
        <f ca="1"/>
        <v>88.810018253781777</v>
      </c>
      <c r="AG3028" s="2">
        <f ca="1"/>
        <v>5.2988373884141238E-2</v>
      </c>
      <c r="AH3028" s="2" t="str">
        <f ca="1"/>
        <v>OK</v>
      </c>
    </row>
    <row r="3029" spans="2:34" x14ac:dyDescent="0.2">
      <c r="B3029" s="2">
        <f ca="1"/>
        <v>0.93926458312179895</v>
      </c>
      <c r="O3029" s="2">
        <f ca="1"/>
        <v>-1.7916811030937496</v>
      </c>
      <c r="X3029" s="2">
        <f ca="1"/>
        <v>102.99404576242117</v>
      </c>
      <c r="AG3029" s="2">
        <f ca="1"/>
        <v>0.76970360844122321</v>
      </c>
      <c r="AH3029" s="2" t="str">
        <f ca="1"/>
        <v>Bad</v>
      </c>
    </row>
    <row r="3030" spans="2:34" x14ac:dyDescent="0.2">
      <c r="B3030" s="2">
        <f ca="1"/>
        <v>3.03496504635965E-2</v>
      </c>
      <c r="O3030" s="2">
        <f ca="1"/>
        <v>-1.1830379529077131</v>
      </c>
      <c r="X3030" s="2">
        <f ca="1"/>
        <v>92.356125679313251</v>
      </c>
      <c r="AG3030" s="2">
        <f ca="1"/>
        <v>0.80292498788862288</v>
      </c>
      <c r="AH3030" s="2" t="str">
        <f ca="1"/>
        <v>Bad</v>
      </c>
    </row>
    <row r="3031" spans="2:34" x14ac:dyDescent="0.2">
      <c r="B3031" s="2">
        <f ca="1"/>
        <v>0.26129989654214159</v>
      </c>
      <c r="O3031" s="2">
        <f ca="1"/>
        <v>-0.93462699281164385</v>
      </c>
      <c r="X3031" s="2">
        <f ca="1"/>
        <v>67.777749201282944</v>
      </c>
      <c r="AG3031" s="2">
        <f ca="1"/>
        <v>0.14305034229124902</v>
      </c>
      <c r="AH3031" s="2" t="str">
        <f ca="1"/>
        <v>OK</v>
      </c>
    </row>
    <row r="3032" spans="2:34" x14ac:dyDescent="0.2">
      <c r="B3032" s="2">
        <f ca="1"/>
        <v>0.8158170454468785</v>
      </c>
      <c r="O3032" s="2">
        <f ca="1"/>
        <v>-7.0056878652569654E-2</v>
      </c>
      <c r="X3032" s="2">
        <f ca="1"/>
        <v>69.566631575014355</v>
      </c>
      <c r="AG3032" s="2">
        <f ca="1"/>
        <v>0.50754964628826738</v>
      </c>
      <c r="AH3032" s="2" t="str">
        <f ca="1"/>
        <v>Bad</v>
      </c>
    </row>
    <row r="3033" spans="2:34" x14ac:dyDescent="0.2">
      <c r="B3033" s="2">
        <f ca="1"/>
        <v>0.37421447064163127</v>
      </c>
      <c r="O3033" s="2">
        <f ca="1"/>
        <v>-0.19999376073247194</v>
      </c>
      <c r="X3033" s="2">
        <f ca="1"/>
        <v>50.86801059357655</v>
      </c>
      <c r="AG3033" s="2">
        <f ca="1"/>
        <v>0.28381011972132053</v>
      </c>
      <c r="AH3033" s="2" t="str">
        <f ca="1"/>
        <v>OK</v>
      </c>
    </row>
    <row r="3034" spans="2:34" x14ac:dyDescent="0.2">
      <c r="B3034" s="2">
        <f ca="1"/>
        <v>4.6836435360603001E-2</v>
      </c>
      <c r="O3034" s="2">
        <f ca="1"/>
        <v>-0.45565071135364499</v>
      </c>
      <c r="X3034" s="2">
        <f ca="1"/>
        <v>72.241522012117599</v>
      </c>
      <c r="AG3034" s="2">
        <f ca="1"/>
        <v>0.1957651898440953</v>
      </c>
      <c r="AH3034" s="2" t="str">
        <f ca="1"/>
        <v>OK</v>
      </c>
    </row>
    <row r="3035" spans="2:34" x14ac:dyDescent="0.2">
      <c r="B3035" s="2">
        <f ca="1"/>
        <v>4.883192439955053E-2</v>
      </c>
      <c r="O3035" s="2">
        <f ca="1"/>
        <v>0.59377301070903377</v>
      </c>
      <c r="X3035" s="2">
        <f ca="1"/>
        <v>31.60872713488078</v>
      </c>
      <c r="AG3035" s="2">
        <f ca="1"/>
        <v>0.78756819930569799</v>
      </c>
      <c r="AH3035" s="2" t="str">
        <f ca="1"/>
        <v>Bad</v>
      </c>
    </row>
    <row r="3036" spans="2:34" x14ac:dyDescent="0.2">
      <c r="B3036" s="2">
        <f ca="1"/>
        <v>0.96886336915419258</v>
      </c>
      <c r="O3036" s="2">
        <f ca="1"/>
        <v>-0.20265020992325661</v>
      </c>
      <c r="X3036" s="2">
        <f ca="1"/>
        <v>52.639846529204213</v>
      </c>
      <c r="AG3036" s="2">
        <f ca="1"/>
        <v>0.46219502636188126</v>
      </c>
      <c r="AH3036" s="2" t="str">
        <f ca="1"/>
        <v>Bad</v>
      </c>
    </row>
    <row r="3037" spans="2:34" x14ac:dyDescent="0.2">
      <c r="B3037" s="2">
        <f ca="1"/>
        <v>0.58810374802199572</v>
      </c>
      <c r="O3037" s="2">
        <f ca="1"/>
        <v>-2.0220514600881505</v>
      </c>
      <c r="X3037" s="2">
        <f ca="1"/>
        <v>56.843780309217593</v>
      </c>
      <c r="AG3037" s="2">
        <f ca="1"/>
        <v>0.25159629229765534</v>
      </c>
      <c r="AH3037" s="2" t="str">
        <f ca="1"/>
        <v>OK</v>
      </c>
    </row>
    <row r="3038" spans="2:34" x14ac:dyDescent="0.2">
      <c r="B3038" s="2">
        <f ca="1"/>
        <v>0.99065494914315777</v>
      </c>
      <c r="O3038" s="2">
        <f ca="1"/>
        <v>0.91117575781660576</v>
      </c>
      <c r="X3038" s="2">
        <f ca="1"/>
        <v>49.198465697063398</v>
      </c>
      <c r="AG3038" s="2">
        <f ca="1"/>
        <v>0.59035823291839007</v>
      </c>
      <c r="AH3038" s="2" t="str">
        <f ca="1"/>
        <v>Bad</v>
      </c>
    </row>
    <row r="3039" spans="2:34" x14ac:dyDescent="0.2">
      <c r="B3039" s="2">
        <f ca="1"/>
        <v>0.7705514790589183</v>
      </c>
      <c r="O3039" s="2">
        <f ca="1"/>
        <v>-5.2792515150405006E-2</v>
      </c>
      <c r="X3039" s="2">
        <f ca="1"/>
        <v>65.115089526803146</v>
      </c>
      <c r="AG3039" s="2">
        <f ca="1"/>
        <v>0.64255106223535652</v>
      </c>
      <c r="AH3039" s="2" t="str">
        <f ca="1"/>
        <v>Bad</v>
      </c>
    </row>
    <row r="3040" spans="2:34" x14ac:dyDescent="0.2">
      <c r="B3040" s="2">
        <f ca="1"/>
        <v>0.3316994652016183</v>
      </c>
      <c r="O3040" s="2">
        <f ca="1"/>
        <v>9.216535883650058E-2</v>
      </c>
      <c r="X3040" s="2">
        <f ca="1"/>
        <v>39.388231131888297</v>
      </c>
      <c r="AG3040" s="2">
        <f ca="1"/>
        <v>0.59704947442560741</v>
      </c>
      <c r="AH3040" s="2" t="str">
        <f ca="1"/>
        <v>Bad</v>
      </c>
    </row>
    <row r="3041" spans="2:34" x14ac:dyDescent="0.2">
      <c r="B3041" s="2">
        <f ca="1"/>
        <v>0.67962036213403554</v>
      </c>
      <c r="O3041" s="2">
        <f ca="1"/>
        <v>-0.91066706207073034</v>
      </c>
      <c r="X3041" s="2">
        <f ca="1"/>
        <v>48.221196735648249</v>
      </c>
      <c r="AG3041" s="2">
        <f ca="1"/>
        <v>0.604981246965967</v>
      </c>
      <c r="AH3041" s="2" t="str">
        <f ca="1"/>
        <v>Bad</v>
      </c>
    </row>
    <row r="3042" spans="2:34" x14ac:dyDescent="0.2">
      <c r="B3042" s="2">
        <f ca="1"/>
        <v>0.59607973409589166</v>
      </c>
      <c r="O3042" s="2">
        <f ca="1"/>
        <v>-0.59324455269930432</v>
      </c>
      <c r="X3042" s="2">
        <f ca="1"/>
        <v>48.244800734407242</v>
      </c>
      <c r="AG3042" s="2">
        <f ca="1"/>
        <v>0.72968054311440111</v>
      </c>
      <c r="AH3042" s="2" t="str">
        <f ca="1"/>
        <v>Bad</v>
      </c>
    </row>
    <row r="3043" spans="2:34" x14ac:dyDescent="0.2">
      <c r="B3043" s="2">
        <f ca="1"/>
        <v>0.45534417877232802</v>
      </c>
      <c r="O3043" s="2">
        <f ca="1"/>
        <v>-0.10870677212184764</v>
      </c>
      <c r="X3043" s="2">
        <f ca="1"/>
        <v>36.710659189474036</v>
      </c>
      <c r="AG3043" s="2">
        <f ca="1"/>
        <v>0.23979260529707491</v>
      </c>
      <c r="AH3043" s="2" t="str">
        <f ca="1"/>
        <v>OK</v>
      </c>
    </row>
    <row r="3044" spans="2:34" x14ac:dyDescent="0.2">
      <c r="B3044" s="2">
        <f ca="1"/>
        <v>0.84001862605587463</v>
      </c>
      <c r="O3044" s="2">
        <f ca="1"/>
        <v>-0.42199533348921309</v>
      </c>
      <c r="X3044" s="2">
        <f ca="1"/>
        <v>41.348761563593193</v>
      </c>
      <c r="AG3044" s="2">
        <f ca="1"/>
        <v>0.17375775347404154</v>
      </c>
      <c r="AH3044" s="2" t="str">
        <f ca="1"/>
        <v>OK</v>
      </c>
    </row>
    <row r="3045" spans="2:34" x14ac:dyDescent="0.2">
      <c r="B3045" s="2">
        <f ca="1"/>
        <v>0.61996240828964155</v>
      </c>
      <c r="O3045" s="2">
        <f ca="1"/>
        <v>2.133832539919768</v>
      </c>
      <c r="X3045" s="2">
        <f ca="1"/>
        <v>34.716269050139523</v>
      </c>
      <c r="AG3045" s="2">
        <f ca="1"/>
        <v>0.57889233344701796</v>
      </c>
      <c r="AH3045" s="2" t="str">
        <f ca="1"/>
        <v>Bad</v>
      </c>
    </row>
    <row r="3046" spans="2:34" x14ac:dyDescent="0.2">
      <c r="B3046" s="2">
        <f ca="1"/>
        <v>0.29283824488156762</v>
      </c>
      <c r="O3046" s="2">
        <f ca="1"/>
        <v>-0.11972554168170077</v>
      </c>
      <c r="X3046" s="2">
        <f ca="1"/>
        <v>32.566385787924872</v>
      </c>
      <c r="AG3046" s="2">
        <f ca="1"/>
        <v>0.61819055494419284</v>
      </c>
      <c r="AH3046" s="2" t="str">
        <f ca="1"/>
        <v>Bad</v>
      </c>
    </row>
    <row r="3047" spans="2:34" x14ac:dyDescent="0.2">
      <c r="B3047" s="2">
        <f ca="1"/>
        <v>0.84074428496325648</v>
      </c>
      <c r="O3047" s="2">
        <f ca="1"/>
        <v>-1.6731615055127127</v>
      </c>
      <c r="X3047" s="2">
        <f ca="1"/>
        <v>56.042094117728794</v>
      </c>
      <c r="AG3047" s="2">
        <f ca="1"/>
        <v>0.16389126622761507</v>
      </c>
      <c r="AH3047" s="2" t="str">
        <f ca="1"/>
        <v>OK</v>
      </c>
    </row>
    <row r="3048" spans="2:34" x14ac:dyDescent="0.2">
      <c r="B3048" s="2">
        <f ca="1"/>
        <v>0.23961496396266302</v>
      </c>
      <c r="O3048" s="2">
        <f ca="1"/>
        <v>-0.66515740597399176</v>
      </c>
      <c r="X3048" s="2">
        <f ca="1"/>
        <v>42.605634761610879</v>
      </c>
      <c r="AG3048" s="2">
        <f ca="1"/>
        <v>0.65300893456134679</v>
      </c>
      <c r="AH3048" s="2" t="str">
        <f ca="1"/>
        <v>Bad</v>
      </c>
    </row>
    <row r="3049" spans="2:34" x14ac:dyDescent="0.2">
      <c r="B3049" s="2">
        <f ca="1"/>
        <v>0.87320129091961629</v>
      </c>
      <c r="O3049" s="2">
        <f ca="1"/>
        <v>1.1716205169608693</v>
      </c>
      <c r="X3049" s="2">
        <f ca="1"/>
        <v>59.656760168089853</v>
      </c>
      <c r="AG3049" s="2">
        <f ca="1"/>
        <v>0.55280104952752951</v>
      </c>
      <c r="AH3049" s="2" t="str">
        <f ca="1"/>
        <v>Bad</v>
      </c>
    </row>
    <row r="3050" spans="2:34" x14ac:dyDescent="0.2">
      <c r="B3050" s="2">
        <f ca="1"/>
        <v>0.59624004920209894</v>
      </c>
      <c r="O3050" s="2">
        <f ca="1"/>
        <v>-1.1707059221959191</v>
      </c>
      <c r="X3050" s="2">
        <f ca="1"/>
        <v>62.436024571345541</v>
      </c>
      <c r="AG3050" s="2">
        <f ca="1"/>
        <v>0.53579142816479663</v>
      </c>
      <c r="AH3050" s="2" t="str">
        <f ca="1"/>
        <v>Bad</v>
      </c>
    </row>
    <row r="3051" spans="2:34" x14ac:dyDescent="0.2">
      <c r="B3051" s="2">
        <f ca="1"/>
        <v>0.8871920703563787</v>
      </c>
      <c r="O3051" s="2">
        <f ca="1"/>
        <v>-7.1327028195374051E-2</v>
      </c>
      <c r="X3051" s="2">
        <f ca="1"/>
        <v>48.115195266451067</v>
      </c>
      <c r="AG3051" s="2">
        <f ca="1"/>
        <v>0.37138410326954574</v>
      </c>
      <c r="AH3051" s="2" t="str">
        <f ca="1"/>
        <v>OK</v>
      </c>
    </row>
    <row r="3052" spans="2:34" x14ac:dyDescent="0.2">
      <c r="B3052" s="2">
        <f ca="1"/>
        <v>0.74979382392228833</v>
      </c>
      <c r="O3052" s="2">
        <f ca="1"/>
        <v>-0.40856104936381193</v>
      </c>
      <c r="X3052" s="2">
        <f ca="1"/>
        <v>67.108007419953168</v>
      </c>
      <c r="AG3052" s="2">
        <f ca="1"/>
        <v>0.68029182616334016</v>
      </c>
      <c r="AH3052" s="2" t="str">
        <f ca="1"/>
        <v>Bad</v>
      </c>
    </row>
    <row r="3053" spans="2:34" x14ac:dyDescent="0.2">
      <c r="B3053" s="2">
        <f ca="1"/>
        <v>0.33604956799571273</v>
      </c>
      <c r="O3053" s="2">
        <f ca="1"/>
        <v>0.17938740314804982</v>
      </c>
      <c r="X3053" s="2">
        <f ca="1"/>
        <v>33.398704558296998</v>
      </c>
      <c r="AG3053" s="2">
        <f ca="1"/>
        <v>0.36500488127214625</v>
      </c>
      <c r="AH3053" s="2" t="str">
        <f ca="1"/>
        <v>OK</v>
      </c>
    </row>
    <row r="3054" spans="2:34" x14ac:dyDescent="0.2">
      <c r="B3054" s="2">
        <f ca="1"/>
        <v>3.358965348589904E-2</v>
      </c>
      <c r="O3054" s="2">
        <f ca="1"/>
        <v>-0.45208461338828937</v>
      </c>
      <c r="X3054" s="2">
        <f ca="1"/>
        <v>57.525776597672632</v>
      </c>
      <c r="AG3054" s="2">
        <f ca="1"/>
        <v>0.76928618261635662</v>
      </c>
      <c r="AH3054" s="2" t="str">
        <f ca="1"/>
        <v>Bad</v>
      </c>
    </row>
    <row r="3055" spans="2:34" x14ac:dyDescent="0.2">
      <c r="B3055" s="2">
        <f ca="1"/>
        <v>0.47208789687728325</v>
      </c>
      <c r="O3055" s="2">
        <f ca="1"/>
        <v>0.30844408209454921</v>
      </c>
      <c r="X3055" s="2">
        <f ca="1"/>
        <v>51.249686110052124</v>
      </c>
      <c r="AG3055" s="2">
        <f ca="1"/>
        <v>0.26530417514483351</v>
      </c>
      <c r="AH3055" s="2" t="str">
        <f ca="1"/>
        <v>OK</v>
      </c>
    </row>
    <row r="3056" spans="2:34" x14ac:dyDescent="0.2">
      <c r="B3056" s="2">
        <f ca="1"/>
        <v>0.7861304945252523</v>
      </c>
      <c r="O3056" s="2">
        <f ca="1"/>
        <v>-0.98211599935664906</v>
      </c>
      <c r="X3056" s="2">
        <f ca="1"/>
        <v>49.095885517548567</v>
      </c>
      <c r="AG3056" s="2">
        <f ca="1"/>
        <v>0.16656039539978096</v>
      </c>
      <c r="AH3056" s="2" t="str">
        <f ca="1"/>
        <v>OK</v>
      </c>
    </row>
    <row r="3057" spans="2:34" x14ac:dyDescent="0.2">
      <c r="B3057" s="2">
        <f ca="1"/>
        <v>0.37372130887840682</v>
      </c>
      <c r="O3057" s="2">
        <f ca="1"/>
        <v>-1.0560405573540299</v>
      </c>
      <c r="X3057" s="2">
        <f ca="1"/>
        <v>41.304957624100453</v>
      </c>
      <c r="AG3057" s="2">
        <f ca="1"/>
        <v>0.59742296156787122</v>
      </c>
      <c r="AH3057" s="2" t="str">
        <f ca="1"/>
        <v>Bad</v>
      </c>
    </row>
    <row r="3058" spans="2:34" x14ac:dyDescent="0.2">
      <c r="B3058" s="2">
        <f ca="1"/>
        <v>0.69427292787486117</v>
      </c>
      <c r="O3058" s="2">
        <f ca="1"/>
        <v>-1.0395587032566136</v>
      </c>
      <c r="X3058" s="2">
        <f ca="1"/>
        <v>82.995726588579558</v>
      </c>
      <c r="AG3058" s="2">
        <f ca="1"/>
        <v>0.61254503846863684</v>
      </c>
      <c r="AH3058" s="2" t="str">
        <f ca="1"/>
        <v>Bad</v>
      </c>
    </row>
    <row r="3059" spans="2:34" x14ac:dyDescent="0.2">
      <c r="B3059" s="2">
        <f ca="1"/>
        <v>0.2624207694078049</v>
      </c>
      <c r="O3059" s="2">
        <f ca="1"/>
        <v>0.91469510354188377</v>
      </c>
      <c r="X3059" s="2">
        <f ca="1"/>
        <v>73.444408501478563</v>
      </c>
      <c r="AG3059" s="2">
        <f ca="1"/>
        <v>0.37651627154431955</v>
      </c>
      <c r="AH3059" s="2" t="str">
        <f ca="1"/>
        <v>OK</v>
      </c>
    </row>
    <row r="3060" spans="2:34" x14ac:dyDescent="0.2">
      <c r="B3060" s="2">
        <f ca="1"/>
        <v>0.47493516046215611</v>
      </c>
      <c r="O3060" s="2">
        <f ca="1"/>
        <v>1.1792642165781999</v>
      </c>
      <c r="X3060" s="2">
        <f ca="1"/>
        <v>52.548033876850546</v>
      </c>
      <c r="AG3060" s="2">
        <f ca="1"/>
        <v>0.60449810344250721</v>
      </c>
      <c r="AH3060" s="2" t="str">
        <f ca="1"/>
        <v>Bad</v>
      </c>
    </row>
    <row r="3061" spans="2:34" x14ac:dyDescent="0.2">
      <c r="B3061" s="2">
        <f ca="1"/>
        <v>0.51919613522805674</v>
      </c>
      <c r="O3061" s="2">
        <f ca="1"/>
        <v>1.9079938017327784</v>
      </c>
      <c r="X3061" s="2">
        <f ca="1"/>
        <v>60.704746573610997</v>
      </c>
      <c r="AG3061" s="2">
        <f ca="1"/>
        <v>0.45679484964769279</v>
      </c>
      <c r="AH3061" s="2" t="str">
        <f ca="1"/>
        <v>Bad</v>
      </c>
    </row>
    <row r="3062" spans="2:34" x14ac:dyDescent="0.2">
      <c r="B3062" s="2">
        <f ca="1"/>
        <v>0.1381593637307168</v>
      </c>
      <c r="O3062" s="2">
        <f ca="1"/>
        <v>0.36621568036639751</v>
      </c>
      <c r="X3062" s="2">
        <f ca="1"/>
        <v>43.678723218240222</v>
      </c>
      <c r="AG3062" s="2">
        <f ca="1"/>
        <v>0.48588372062534169</v>
      </c>
      <c r="AH3062" s="2" t="str">
        <f ca="1"/>
        <v>Bad</v>
      </c>
    </row>
    <row r="3063" spans="2:34" x14ac:dyDescent="0.2">
      <c r="B3063" s="2">
        <f ca="1"/>
        <v>0.5921519647768978</v>
      </c>
      <c r="O3063" s="2">
        <f ca="1"/>
        <v>-0.84408155055185863</v>
      </c>
      <c r="X3063" s="2">
        <f ca="1"/>
        <v>76.587066215383942</v>
      </c>
      <c r="AG3063" s="2">
        <f ca="1"/>
        <v>9.1762125720364462E-2</v>
      </c>
      <c r="AH3063" s="2" t="str">
        <f ca="1"/>
        <v>OK</v>
      </c>
    </row>
    <row r="3064" spans="2:34" x14ac:dyDescent="0.2">
      <c r="B3064" s="2">
        <f ca="1"/>
        <v>0.45728837275404444</v>
      </c>
      <c r="O3064" s="2">
        <f ca="1"/>
        <v>-1.2132575287791003</v>
      </c>
      <c r="X3064" s="2">
        <f ca="1"/>
        <v>70.333537982058402</v>
      </c>
      <c r="AG3064" s="2">
        <f ca="1"/>
        <v>0.64330751290252919</v>
      </c>
      <c r="AH3064" s="2" t="str">
        <f ca="1"/>
        <v>Bad</v>
      </c>
    </row>
    <row r="3065" spans="2:34" x14ac:dyDescent="0.2">
      <c r="B3065" s="2">
        <f ca="1"/>
        <v>0.88676678134528886</v>
      </c>
      <c r="O3065" s="2">
        <f ca="1"/>
        <v>0.80895551691876821</v>
      </c>
      <c r="X3065" s="2">
        <f ca="1"/>
        <v>40.570411640119772</v>
      </c>
      <c r="AG3065" s="2">
        <f ca="1"/>
        <v>0.54596290826050842</v>
      </c>
      <c r="AH3065" s="2" t="str">
        <f ca="1"/>
        <v>Bad</v>
      </c>
    </row>
    <row r="3066" spans="2:34" x14ac:dyDescent="0.2">
      <c r="B3066" s="2">
        <f ca="1"/>
        <v>0.39732110867659154</v>
      </c>
      <c r="O3066" s="2">
        <f ca="1"/>
        <v>-1.1867804498377008</v>
      </c>
      <c r="X3066" s="2">
        <f ca="1"/>
        <v>60.033845322311443</v>
      </c>
      <c r="AG3066" s="2">
        <f ca="1"/>
        <v>0.15094606819928025</v>
      </c>
      <c r="AH3066" s="2" t="str">
        <f ca="1"/>
        <v>OK</v>
      </c>
    </row>
    <row r="3067" spans="2:34" x14ac:dyDescent="0.2">
      <c r="B3067" s="2">
        <f ca="1"/>
        <v>0.73371850785824311</v>
      </c>
      <c r="O3067" s="2">
        <f ca="1"/>
        <v>0.50401155184387914</v>
      </c>
      <c r="X3067" s="2">
        <f ca="1"/>
        <v>50.117258237179662</v>
      </c>
      <c r="AG3067" s="2">
        <f ca="1"/>
        <v>0.88854469700083905</v>
      </c>
      <c r="AH3067" s="2" t="str">
        <f ca="1"/>
        <v>Bad</v>
      </c>
    </row>
    <row r="3068" spans="2:34" x14ac:dyDescent="0.2">
      <c r="B3068" s="2">
        <f ca="1"/>
        <v>0.51165041714143378</v>
      </c>
      <c r="O3068" s="2">
        <f ca="1"/>
        <v>-1.3704672053157838</v>
      </c>
      <c r="X3068" s="2">
        <f ca="1"/>
        <v>47.827481241550259</v>
      </c>
      <c r="AG3068" s="2">
        <f ca="1"/>
        <v>9.4006979837642834E-2</v>
      </c>
      <c r="AH3068" s="2" t="str">
        <f ca="1"/>
        <v>OK</v>
      </c>
    </row>
    <row r="3069" spans="2:34" x14ac:dyDescent="0.2">
      <c r="B3069" s="2">
        <f ca="1"/>
        <v>0.60742081383444457</v>
      </c>
      <c r="O3069" s="2">
        <f ca="1"/>
        <v>-0.67766658403786928</v>
      </c>
      <c r="X3069" s="2">
        <f ca="1"/>
        <v>39.002458810588443</v>
      </c>
      <c r="AG3069" s="2">
        <f ca="1"/>
        <v>0.89930274020775225</v>
      </c>
      <c r="AH3069" s="2" t="str">
        <f ca="1"/>
        <v>Bad</v>
      </c>
    </row>
    <row r="3070" spans="2:34" x14ac:dyDescent="0.2">
      <c r="B3070" s="2">
        <f ca="1"/>
        <v>0.46506178337226567</v>
      </c>
      <c r="O3070" s="2">
        <f ca="1"/>
        <v>1.2176583405440122</v>
      </c>
      <c r="X3070" s="2">
        <f ca="1"/>
        <v>67.025281515175962</v>
      </c>
      <c r="AG3070" s="2">
        <f ca="1"/>
        <v>0.94602193611592145</v>
      </c>
      <c r="AH3070" s="2" t="str">
        <f ca="1"/>
        <v>Bad</v>
      </c>
    </row>
    <row r="3071" spans="2:34" x14ac:dyDescent="0.2">
      <c r="B3071" s="2">
        <f ca="1"/>
        <v>0.5193955697501289</v>
      </c>
      <c r="O3071" s="2">
        <f ca="1"/>
        <v>2.0684569882066586E-2</v>
      </c>
      <c r="X3071" s="2">
        <f ca="1"/>
        <v>41.899832678496765</v>
      </c>
      <c r="AG3071" s="2">
        <f ca="1"/>
        <v>9.4692758549095091E-2</v>
      </c>
      <c r="AH3071" s="2" t="str">
        <f ca="1"/>
        <v>OK</v>
      </c>
    </row>
    <row r="3072" spans="2:34" x14ac:dyDescent="0.2">
      <c r="B3072" s="2">
        <f ca="1"/>
        <v>0.52746569800092202</v>
      </c>
      <c r="O3072" s="2">
        <f ca="1"/>
        <v>-1.2294967151788427</v>
      </c>
      <c r="X3072" s="2">
        <f ca="1"/>
        <v>32.482570211102313</v>
      </c>
      <c r="AG3072" s="2">
        <f ca="1"/>
        <v>0.21612458647119936</v>
      </c>
      <c r="AH3072" s="2" t="str">
        <f ca="1"/>
        <v>OK</v>
      </c>
    </row>
    <row r="3073" spans="2:34" x14ac:dyDescent="0.2">
      <c r="B3073" s="2">
        <f ca="1"/>
        <v>0.17253989027007188</v>
      </c>
      <c r="O3073" s="2">
        <f ca="1"/>
        <v>0.59549800568230571</v>
      </c>
      <c r="X3073" s="2">
        <f ca="1"/>
        <v>32.548034508949442</v>
      </c>
      <c r="AG3073" s="2">
        <f ca="1"/>
        <v>0.53408350131223026</v>
      </c>
      <c r="AH3073" s="2" t="str">
        <f ca="1"/>
        <v>Bad</v>
      </c>
    </row>
    <row r="3074" spans="2:34" x14ac:dyDescent="0.2">
      <c r="B3074" s="2">
        <f ca="1"/>
        <v>0.33350285271950253</v>
      </c>
      <c r="O3074" s="2">
        <f ca="1"/>
        <v>-0.21874590173954617</v>
      </c>
      <c r="X3074" s="2">
        <f ca="1"/>
        <v>50.31561210387477</v>
      </c>
      <c r="AG3074" s="2">
        <f ca="1"/>
        <v>0.53697142342532977</v>
      </c>
      <c r="AH3074" s="2" t="str">
        <f ca="1"/>
        <v>Bad</v>
      </c>
    </row>
    <row r="3075" spans="2:34" x14ac:dyDescent="0.2">
      <c r="B3075" s="2">
        <f ca="1"/>
        <v>0.14361770826456288</v>
      </c>
      <c r="O3075" s="2">
        <f ca="1"/>
        <v>3.2952115664052499</v>
      </c>
      <c r="X3075" s="2">
        <f ca="1"/>
        <v>32.017131600969194</v>
      </c>
      <c r="AG3075" s="2">
        <f ca="1"/>
        <v>0.85600786464277401</v>
      </c>
      <c r="AH3075" s="2" t="str">
        <f ca="1"/>
        <v>Bad</v>
      </c>
    </row>
    <row r="3076" spans="2:34" x14ac:dyDescent="0.2">
      <c r="B3076" s="2">
        <f ca="1"/>
        <v>0.60886034124242361</v>
      </c>
      <c r="O3076" s="2">
        <f ca="1"/>
        <v>-4.3858941224367579E-2</v>
      </c>
      <c r="X3076" s="2">
        <f ca="1"/>
        <v>56.65763554989816</v>
      </c>
      <c r="AG3076" s="2">
        <f ca="1"/>
        <v>7.7318465769919076E-2</v>
      </c>
      <c r="AH3076" s="2" t="str">
        <f ca="1"/>
        <v>OK</v>
      </c>
    </row>
    <row r="3077" spans="2:34" x14ac:dyDescent="0.2">
      <c r="B3077" s="2">
        <f ca="1"/>
        <v>0.93490484699001342</v>
      </c>
      <c r="O3077" s="2">
        <f ca="1"/>
        <v>6.2183478744425751E-2</v>
      </c>
      <c r="X3077" s="2">
        <f ca="1"/>
        <v>45.897819879023125</v>
      </c>
      <c r="AG3077" s="2">
        <f ca="1"/>
        <v>7.4559934875952916E-2</v>
      </c>
      <c r="AH3077" s="2" t="str">
        <f ca="1"/>
        <v>OK</v>
      </c>
    </row>
    <row r="3078" spans="2:34" x14ac:dyDescent="0.2">
      <c r="B3078" s="2">
        <f ca="1"/>
        <v>0.33077988453187324</v>
      </c>
      <c r="O3078" s="2">
        <f ca="1"/>
        <v>-6.3570382690559396E-3</v>
      </c>
      <c r="X3078" s="2">
        <f ca="1"/>
        <v>30.028483652523022</v>
      </c>
      <c r="AG3078" s="2">
        <f ca="1"/>
        <v>0.88529097483914598</v>
      </c>
      <c r="AH3078" s="2" t="str">
        <f ca="1"/>
        <v>Bad</v>
      </c>
    </row>
    <row r="3079" spans="2:34" x14ac:dyDescent="0.2">
      <c r="B3079" s="2">
        <f ca="1"/>
        <v>0.34173157710006596</v>
      </c>
      <c r="O3079" s="2">
        <f ca="1"/>
        <v>0.71596759056743386</v>
      </c>
      <c r="X3079" s="2">
        <f ca="1"/>
        <v>33.337601288478773</v>
      </c>
      <c r="AG3079" s="2">
        <f ca="1"/>
        <v>0.79379432336014388</v>
      </c>
      <c r="AH3079" s="2" t="str">
        <f ca="1"/>
        <v>Bad</v>
      </c>
    </row>
    <row r="3080" spans="2:34" x14ac:dyDescent="0.2">
      <c r="B3080" s="2">
        <f ca="1"/>
        <v>1.6000741824346854E-2</v>
      </c>
      <c r="O3080" s="2">
        <f ca="1"/>
        <v>1.7219743310033973</v>
      </c>
      <c r="X3080" s="2">
        <f ca="1"/>
        <v>31.170339294887054</v>
      </c>
      <c r="AG3080" s="2">
        <f ca="1"/>
        <v>0.57379202386560912</v>
      </c>
      <c r="AH3080" s="2" t="str">
        <f ca="1"/>
        <v>Bad</v>
      </c>
    </row>
    <row r="3081" spans="2:34" x14ac:dyDescent="0.2">
      <c r="B3081" s="2">
        <f ca="1"/>
        <v>0.64744440247195456</v>
      </c>
      <c r="O3081" s="2">
        <f ca="1"/>
        <v>-1.9051233102653069</v>
      </c>
      <c r="X3081" s="2">
        <f ca="1"/>
        <v>45.174673343134558</v>
      </c>
      <c r="AG3081" s="2">
        <f ca="1"/>
        <v>0.12416841822440849</v>
      </c>
      <c r="AH3081" s="2" t="str">
        <f ca="1"/>
        <v>OK</v>
      </c>
    </row>
    <row r="3082" spans="2:34" x14ac:dyDescent="0.2">
      <c r="B3082" s="2">
        <f ca="1"/>
        <v>0.67022042905200063</v>
      </c>
      <c r="O3082" s="2">
        <f ca="1"/>
        <v>-0.62322695994782884</v>
      </c>
      <c r="X3082" s="2">
        <f ca="1"/>
        <v>42.23430130066528</v>
      </c>
      <c r="AG3082" s="2">
        <f ca="1"/>
        <v>6.2938826345555476E-2</v>
      </c>
      <c r="AH3082" s="2" t="str">
        <f ca="1"/>
        <v>OK</v>
      </c>
    </row>
    <row r="3083" spans="2:34" x14ac:dyDescent="0.2">
      <c r="B3083" s="2">
        <f ca="1"/>
        <v>2.0950058665301086E-2</v>
      </c>
      <c r="O3083" s="2">
        <f ca="1"/>
        <v>-0.38114462698017254</v>
      </c>
      <c r="X3083" s="2">
        <f ca="1"/>
        <v>44.880452714243475</v>
      </c>
      <c r="AG3083" s="2">
        <f ca="1"/>
        <v>0.5975070729591605</v>
      </c>
      <c r="AH3083" s="2" t="str">
        <f ca="1"/>
        <v>Bad</v>
      </c>
    </row>
    <row r="3084" spans="2:34" x14ac:dyDescent="0.2">
      <c r="B3084" s="2">
        <f ca="1"/>
        <v>8.229621088103678E-2</v>
      </c>
      <c r="O3084" s="2">
        <f ca="1"/>
        <v>-0.22657387114007099</v>
      </c>
      <c r="X3084" s="2">
        <f ca="1"/>
        <v>46.391717656434245</v>
      </c>
      <c r="AG3084" s="2">
        <f ca="1"/>
        <v>0.67810263157050521</v>
      </c>
      <c r="AH3084" s="2" t="str">
        <f ca="1"/>
        <v>Bad</v>
      </c>
    </row>
    <row r="3085" spans="2:34" x14ac:dyDescent="0.2">
      <c r="B3085" s="2">
        <f ca="1"/>
        <v>0.95560132753562699</v>
      </c>
      <c r="O3085" s="2">
        <f ca="1"/>
        <v>-1.7366751558108453</v>
      </c>
      <c r="X3085" s="2">
        <f ca="1"/>
        <v>55.248658006925602</v>
      </c>
      <c r="AG3085" s="2">
        <f ca="1"/>
        <v>0.49502072724775492</v>
      </c>
      <c r="AH3085" s="2" t="str">
        <f ca="1"/>
        <v>Bad</v>
      </c>
    </row>
    <row r="3086" spans="2:34" x14ac:dyDescent="0.2">
      <c r="B3086" s="2">
        <f ca="1"/>
        <v>0.7263121642512822</v>
      </c>
      <c r="O3086" s="2">
        <f ca="1"/>
        <v>0.32665390358377494</v>
      </c>
      <c r="X3086" s="2">
        <f ca="1"/>
        <v>53.414593462495304</v>
      </c>
      <c r="AG3086" s="2">
        <f ca="1"/>
        <v>0.3825944954470184</v>
      </c>
      <c r="AH3086" s="2" t="str">
        <f ca="1"/>
        <v>OK</v>
      </c>
    </row>
    <row r="3087" spans="2:34" x14ac:dyDescent="0.2">
      <c r="B3087" s="2">
        <f ca="1"/>
        <v>0.60413064734603306</v>
      </c>
      <c r="O3087" s="2">
        <f ca="1"/>
        <v>-0.75726231169730973</v>
      </c>
      <c r="X3087" s="2">
        <f ca="1"/>
        <v>18.872845236197971</v>
      </c>
      <c r="AG3087" s="2">
        <f ca="1"/>
        <v>0.4208500430337152</v>
      </c>
      <c r="AH3087" s="2" t="str">
        <f ca="1"/>
        <v>Bad</v>
      </c>
    </row>
    <row r="3088" spans="2:34" x14ac:dyDescent="0.2">
      <c r="B3088" s="2">
        <f ca="1"/>
        <v>0.8701222092319234</v>
      </c>
      <c r="O3088" s="2">
        <f ca="1"/>
        <v>1.3740625707613687</v>
      </c>
      <c r="X3088" s="2">
        <f ca="1"/>
        <v>39.531704736622324</v>
      </c>
      <c r="AG3088" s="2">
        <f ca="1"/>
        <v>0.93884251610126501</v>
      </c>
      <c r="AH3088" s="2" t="str">
        <f ca="1"/>
        <v>Bad</v>
      </c>
    </row>
    <row r="3089" spans="2:34" x14ac:dyDescent="0.2">
      <c r="B3089" s="2">
        <f ca="1"/>
        <v>0.96397022204743288</v>
      </c>
      <c r="O3089" s="2">
        <f ca="1"/>
        <v>0.46798482360146404</v>
      </c>
      <c r="X3089" s="2">
        <f ca="1"/>
        <v>25.163720730346743</v>
      </c>
      <c r="AG3089" s="2">
        <f ca="1"/>
        <v>0.3908754630189184</v>
      </c>
      <c r="AH3089" s="2" t="str">
        <f ca="1"/>
        <v>OK</v>
      </c>
    </row>
    <row r="3090" spans="2:34" x14ac:dyDescent="0.2">
      <c r="B3090" s="2">
        <f ca="1"/>
        <v>0.24462657462911519</v>
      </c>
      <c r="O3090" s="2">
        <f ca="1"/>
        <v>1.5678229283527174</v>
      </c>
      <c r="X3090" s="2">
        <f ca="1"/>
        <v>75.540092019341273</v>
      </c>
      <c r="AG3090" s="2">
        <f ca="1"/>
        <v>4.707584405906462E-2</v>
      </c>
      <c r="AH3090" s="2" t="str">
        <f ca="1"/>
        <v>Good</v>
      </c>
    </row>
    <row r="3091" spans="2:34" x14ac:dyDescent="0.2">
      <c r="B3091" s="2">
        <f ca="1"/>
        <v>0.45422951330706507</v>
      </c>
      <c r="O3091" s="2">
        <f ca="1"/>
        <v>0.33139780507762573</v>
      </c>
      <c r="X3091" s="2">
        <f ca="1"/>
        <v>41.385835612797138</v>
      </c>
      <c r="AG3091" s="2">
        <f ca="1"/>
        <v>0.13134312907267076</v>
      </c>
      <c r="AH3091" s="2" t="str">
        <f ca="1"/>
        <v>OK</v>
      </c>
    </row>
    <row r="3092" spans="2:34" x14ac:dyDescent="0.2">
      <c r="B3092" s="2">
        <f ca="1"/>
        <v>0.82526753909647454</v>
      </c>
      <c r="O3092" s="2">
        <f ca="1"/>
        <v>0.73477660162744696</v>
      </c>
      <c r="X3092" s="2">
        <f ca="1"/>
        <v>42.666560126539494</v>
      </c>
      <c r="AG3092" s="2">
        <f ca="1"/>
        <v>0.60855428712755955</v>
      </c>
      <c r="AH3092" s="2" t="str">
        <f ca="1"/>
        <v>Bad</v>
      </c>
    </row>
    <row r="3093" spans="2:34" x14ac:dyDescent="0.2">
      <c r="B3093" s="2">
        <f ca="1"/>
        <v>0.69573459680397298</v>
      </c>
      <c r="O3093" s="2">
        <f ca="1"/>
        <v>-1.5424920204572881</v>
      </c>
      <c r="X3093" s="2">
        <f ca="1"/>
        <v>61.903570707582205</v>
      </c>
      <c r="AG3093" s="2">
        <f ca="1"/>
        <v>0.42625929388661876</v>
      </c>
      <c r="AH3093" s="2" t="str">
        <f ca="1"/>
        <v>Bad</v>
      </c>
    </row>
    <row r="3094" spans="2:34" x14ac:dyDescent="0.2">
      <c r="B3094" s="2">
        <f ca="1"/>
        <v>5.5457474401216844E-2</v>
      </c>
      <c r="O3094" s="2">
        <f ca="1"/>
        <v>-1.1912705174532181</v>
      </c>
      <c r="X3094" s="2">
        <f ca="1"/>
        <v>72.803685504775189</v>
      </c>
      <c r="AG3094" s="2">
        <f ca="1"/>
        <v>0.96651361662892543</v>
      </c>
      <c r="AH3094" s="2" t="str">
        <f ca="1"/>
        <v>Bad</v>
      </c>
    </row>
    <row r="3095" spans="2:34" x14ac:dyDescent="0.2">
      <c r="B3095" s="2">
        <f ca="1"/>
        <v>0.93146091931618025</v>
      </c>
      <c r="O3095" s="2">
        <f ca="1"/>
        <v>-0.15479486581045318</v>
      </c>
      <c r="X3095" s="2">
        <f ca="1"/>
        <v>56.601570299068541</v>
      </c>
      <c r="AG3095" s="2">
        <f ca="1"/>
        <v>0.97068806119192619</v>
      </c>
      <c r="AH3095" s="2" t="str">
        <f ca="1"/>
        <v>Bad</v>
      </c>
    </row>
    <row r="3096" spans="2:34" x14ac:dyDescent="0.2">
      <c r="B3096" s="2">
        <f ca="1"/>
        <v>0.9109690820778491</v>
      </c>
      <c r="O3096" s="2">
        <f ca="1"/>
        <v>-0.35516438102838332</v>
      </c>
      <c r="X3096" s="2">
        <f ca="1"/>
        <v>44.957530577274092</v>
      </c>
      <c r="AG3096" s="2">
        <f ca="1"/>
        <v>0.99254702192680866</v>
      </c>
      <c r="AH3096" s="2" t="str">
        <f ca="1"/>
        <v>Bad</v>
      </c>
    </row>
    <row r="3097" spans="2:34" x14ac:dyDescent="0.2">
      <c r="B3097" s="2">
        <f ca="1"/>
        <v>0.33670475262490518</v>
      </c>
      <c r="O3097" s="2">
        <f ca="1"/>
        <v>0.37797122098769248</v>
      </c>
      <c r="X3097" s="2">
        <f ca="1"/>
        <v>48.433776492741913</v>
      </c>
      <c r="AG3097" s="2">
        <f ca="1"/>
        <v>6.7430371519637822E-2</v>
      </c>
      <c r="AH3097" s="2" t="str">
        <f ca="1"/>
        <v>OK</v>
      </c>
    </row>
    <row r="3098" spans="2:34" x14ac:dyDescent="0.2">
      <c r="B3098" s="2">
        <f ca="1"/>
        <v>0.92427576447788895</v>
      </c>
      <c r="O3098" s="2">
        <f ca="1"/>
        <v>0.22679293614910989</v>
      </c>
      <c r="X3098" s="2">
        <f ca="1"/>
        <v>32.717866982357592</v>
      </c>
      <c r="AG3098" s="2">
        <f ca="1"/>
        <v>4.0453573019511468E-2</v>
      </c>
      <c r="AH3098" s="2" t="str">
        <f ca="1"/>
        <v>Good</v>
      </c>
    </row>
    <row r="3099" spans="2:34" x14ac:dyDescent="0.2">
      <c r="B3099" s="2">
        <f ca="1"/>
        <v>5.8541943566439603E-2</v>
      </c>
      <c r="O3099" s="2">
        <f ca="1"/>
        <v>-1.0928248767236226</v>
      </c>
      <c r="X3099" s="2">
        <f ca="1"/>
        <v>38.030511109890924</v>
      </c>
      <c r="AG3099" s="2">
        <f ca="1"/>
        <v>0.69225670883443868</v>
      </c>
      <c r="AH3099" s="2" t="str">
        <f ca="1"/>
        <v>Bad</v>
      </c>
    </row>
    <row r="3100" spans="2:34" x14ac:dyDescent="0.2">
      <c r="B3100" s="2">
        <f ca="1"/>
        <v>0.76619299839948685</v>
      </c>
      <c r="O3100" s="2">
        <f ca="1"/>
        <v>-0.17475854323106044</v>
      </c>
      <c r="X3100" s="2">
        <f ca="1"/>
        <v>34.095476585898695</v>
      </c>
      <c r="AG3100" s="2">
        <f ca="1"/>
        <v>0.17179532383753671</v>
      </c>
      <c r="AH3100" s="2" t="str">
        <f ca="1"/>
        <v>OK</v>
      </c>
    </row>
    <row r="3101" spans="2:34" x14ac:dyDescent="0.2">
      <c r="B3101" s="2">
        <f ca="1"/>
        <v>0.28943547748504761</v>
      </c>
      <c r="O3101" s="2">
        <f ca="1"/>
        <v>0.55857425799587535</v>
      </c>
      <c r="X3101" s="2">
        <f ca="1"/>
        <v>71.937522098863411</v>
      </c>
      <c r="AG3101" s="2">
        <f ca="1"/>
        <v>0.78348109652361719</v>
      </c>
      <c r="AH3101" s="2" t="str">
        <f ca="1"/>
        <v>Bad</v>
      </c>
    </row>
    <row r="3102" spans="2:34" x14ac:dyDescent="0.2">
      <c r="B3102" s="2">
        <f ca="1"/>
        <v>0.21398087107893349</v>
      </c>
      <c r="O3102" s="2">
        <f ca="1"/>
        <v>0.19861330615914238</v>
      </c>
      <c r="X3102" s="2">
        <f ca="1"/>
        <v>29.888466471319219</v>
      </c>
      <c r="AG3102" s="2">
        <f ca="1"/>
        <v>0.63728998121186953</v>
      </c>
      <c r="AH3102" s="2" t="str">
        <f ca="1"/>
        <v>Bad</v>
      </c>
    </row>
    <row r="3103" spans="2:34" x14ac:dyDescent="0.2">
      <c r="B3103" s="2">
        <f ca="1"/>
        <v>0.96659811593462597</v>
      </c>
      <c r="O3103" s="2">
        <f ca="1"/>
        <v>0.84553491498815447</v>
      </c>
      <c r="X3103" s="2">
        <f ca="1"/>
        <v>57.931340072296152</v>
      </c>
      <c r="AG3103" s="2">
        <f ca="1"/>
        <v>0.75936635239993677</v>
      </c>
      <c r="AH3103" s="2" t="str">
        <f ca="1"/>
        <v>Bad</v>
      </c>
    </row>
    <row r="3104" spans="2:34" x14ac:dyDescent="0.2">
      <c r="B3104" s="2">
        <f ca="1"/>
        <v>0.11404845024373067</v>
      </c>
      <c r="O3104" s="2">
        <f ca="1"/>
        <v>-0.30663038990171543</v>
      </c>
      <c r="X3104" s="2">
        <f ca="1"/>
        <v>55.847026831489714</v>
      </c>
      <c r="AG3104" s="2">
        <f ca="1"/>
        <v>0.82936718860447689</v>
      </c>
      <c r="AH3104" s="2" t="str">
        <f ca="1"/>
        <v>Bad</v>
      </c>
    </row>
    <row r="3105" spans="2:34" x14ac:dyDescent="0.2">
      <c r="B3105" s="2">
        <f ca="1"/>
        <v>0.42756028885618247</v>
      </c>
      <c r="O3105" s="2">
        <f ca="1"/>
        <v>1.2913621829769395</v>
      </c>
      <c r="X3105" s="2">
        <f ca="1"/>
        <v>46.169443923235065</v>
      </c>
      <c r="AG3105" s="2">
        <f ca="1"/>
        <v>0.76647789956070866</v>
      </c>
      <c r="AH3105" s="2" t="str">
        <f ca="1"/>
        <v>Bad</v>
      </c>
    </row>
    <row r="3106" spans="2:34" x14ac:dyDescent="0.2">
      <c r="B3106" s="2">
        <f ca="1"/>
        <v>0.69259581703283968</v>
      </c>
      <c r="O3106" s="2">
        <f ca="1"/>
        <v>-0.25106004090739975</v>
      </c>
      <c r="X3106" s="2">
        <f ca="1"/>
        <v>34.229339114593216</v>
      </c>
      <c r="AG3106" s="2">
        <f ca="1"/>
        <v>0.66499339441417193</v>
      </c>
      <c r="AH3106" s="2" t="str">
        <f ca="1"/>
        <v>Bad</v>
      </c>
    </row>
    <row r="3107" spans="2:34" x14ac:dyDescent="0.2">
      <c r="B3107" s="2">
        <f ca="1"/>
        <v>0.88928417434999685</v>
      </c>
      <c r="O3107" s="2">
        <f ca="1"/>
        <v>0.5746452486916106</v>
      </c>
      <c r="X3107" s="2">
        <f ca="1"/>
        <v>45.207079344840224</v>
      </c>
      <c r="AG3107" s="2">
        <f ca="1"/>
        <v>5.3373032945510213E-2</v>
      </c>
      <c r="AH3107" s="2" t="str">
        <f ca="1"/>
        <v>OK</v>
      </c>
    </row>
    <row r="3108" spans="2:34" x14ac:dyDescent="0.2">
      <c r="B3108" s="2">
        <f ca="1"/>
        <v>0.44793461033135396</v>
      </c>
      <c r="O3108" s="2">
        <f ca="1"/>
        <v>0.90447387628611786</v>
      </c>
      <c r="X3108" s="2">
        <f ca="1"/>
        <v>30.309619831692558</v>
      </c>
      <c r="AG3108" s="2">
        <f ca="1"/>
        <v>0.61494870670237267</v>
      </c>
      <c r="AH3108" s="2" t="str">
        <f ca="1"/>
        <v>Bad</v>
      </c>
    </row>
    <row r="3109" spans="2:34" x14ac:dyDescent="0.2">
      <c r="B3109" s="2">
        <f ca="1"/>
        <v>0.69065653280690964</v>
      </c>
      <c r="O3109" s="2">
        <f ca="1"/>
        <v>-0.22398314632385391</v>
      </c>
      <c r="X3109" s="2">
        <f ca="1"/>
        <v>44.856749313956151</v>
      </c>
      <c r="AG3109" s="2">
        <f ca="1"/>
        <v>0.13091359212232612</v>
      </c>
      <c r="AH3109" s="2" t="str">
        <f ca="1"/>
        <v>OK</v>
      </c>
    </row>
    <row r="3110" spans="2:34" x14ac:dyDescent="0.2">
      <c r="B3110" s="2">
        <f ca="1"/>
        <v>0.48560929914073503</v>
      </c>
      <c r="O3110" s="2">
        <f ca="1"/>
        <v>1.0402943479676512</v>
      </c>
      <c r="X3110" s="2">
        <f ca="1"/>
        <v>43.696143047812875</v>
      </c>
      <c r="AG3110" s="2">
        <f ca="1"/>
        <v>2.7886083560937802E-2</v>
      </c>
      <c r="AH3110" s="2" t="str">
        <f ca="1"/>
        <v>Good</v>
      </c>
    </row>
    <row r="3111" spans="2:34" x14ac:dyDescent="0.2">
      <c r="B3111" s="2">
        <f ca="1"/>
        <v>6.6962913912302024E-2</v>
      </c>
      <c r="O3111" s="2">
        <f ca="1"/>
        <v>0.40432405122100096</v>
      </c>
      <c r="X3111" s="2">
        <f ca="1"/>
        <v>44.664273020895706</v>
      </c>
      <c r="AG3111" s="2">
        <f ca="1"/>
        <v>0.59684364771182818</v>
      </c>
      <c r="AH3111" s="2" t="str">
        <f ca="1"/>
        <v>Bad</v>
      </c>
    </row>
    <row r="3112" spans="2:34" x14ac:dyDescent="0.2">
      <c r="B3112" s="2">
        <f ca="1"/>
        <v>0.81101282425700738</v>
      </c>
      <c r="O3112" s="2">
        <f ca="1"/>
        <v>0.38083294867717821</v>
      </c>
      <c r="X3112" s="2">
        <f ca="1"/>
        <v>80.088111667252917</v>
      </c>
      <c r="AG3112" s="2">
        <f ca="1"/>
        <v>0.6192281557373458</v>
      </c>
      <c r="AH3112" s="2" t="str">
        <f ca="1"/>
        <v>Bad</v>
      </c>
    </row>
    <row r="3113" spans="2:34" x14ac:dyDescent="0.2">
      <c r="B3113" s="2">
        <f ca="1"/>
        <v>0.88616339196137894</v>
      </c>
      <c r="O3113" s="2">
        <f ca="1"/>
        <v>0.70272043445301324</v>
      </c>
      <c r="X3113" s="2">
        <f ca="1"/>
        <v>38.827769430577717</v>
      </c>
      <c r="AG3113" s="2">
        <f ca="1"/>
        <v>0.33440380831340866</v>
      </c>
      <c r="AH3113" s="2" t="str">
        <f ca="1"/>
        <v>OK</v>
      </c>
    </row>
    <row r="3114" spans="2:34" x14ac:dyDescent="0.2">
      <c r="B3114" s="2">
        <f ca="1"/>
        <v>0.59336877062674853</v>
      </c>
      <c r="O3114" s="2">
        <f ca="1"/>
        <v>1.1015236848791961</v>
      </c>
      <c r="X3114" s="2">
        <f ca="1"/>
        <v>41.488127076059307</v>
      </c>
      <c r="AG3114" s="2">
        <f ca="1"/>
        <v>0.86314653830257448</v>
      </c>
      <c r="AH3114" s="2" t="str">
        <f ca="1"/>
        <v>Bad</v>
      </c>
    </row>
    <row r="3115" spans="2:34" x14ac:dyDescent="0.2">
      <c r="B3115" s="2">
        <f ca="1"/>
        <v>0.46584979918697789</v>
      </c>
      <c r="O3115" s="2">
        <f ca="1"/>
        <v>-7.3981297807611798E-2</v>
      </c>
      <c r="X3115" s="2">
        <f ca="1"/>
        <v>30.790487495437194</v>
      </c>
      <c r="AG3115" s="2">
        <f ca="1"/>
        <v>9.9519825745906898E-2</v>
      </c>
      <c r="AH3115" s="2" t="str">
        <f ca="1"/>
        <v>OK</v>
      </c>
    </row>
    <row r="3116" spans="2:34" x14ac:dyDescent="0.2">
      <c r="B3116" s="2">
        <f ca="1"/>
        <v>0.84431951854099863</v>
      </c>
      <c r="O3116" s="2">
        <f ca="1"/>
        <v>1.2256125811606575</v>
      </c>
      <c r="X3116" s="2">
        <f ca="1"/>
        <v>56.623390512740116</v>
      </c>
      <c r="AG3116" s="2">
        <f ca="1"/>
        <v>0.44543240419208407</v>
      </c>
      <c r="AH3116" s="2" t="str">
        <f ca="1"/>
        <v>Bad</v>
      </c>
    </row>
    <row r="3117" spans="2:34" x14ac:dyDescent="0.2">
      <c r="B3117" s="2">
        <f ca="1"/>
        <v>7.0539185656401271E-2</v>
      </c>
      <c r="O3117" s="2">
        <f ca="1"/>
        <v>0.90282187153769777</v>
      </c>
      <c r="X3117" s="2">
        <f ca="1"/>
        <v>41.716911971827074</v>
      </c>
      <c r="AG3117" s="2">
        <f ca="1"/>
        <v>0.49481071215074968</v>
      </c>
      <c r="AH3117" s="2" t="str">
        <f ca="1"/>
        <v>Bad</v>
      </c>
    </row>
    <row r="3118" spans="2:34" x14ac:dyDescent="0.2">
      <c r="B3118" s="2">
        <f ca="1"/>
        <v>0.46389122394844495</v>
      </c>
      <c r="O3118" s="2">
        <f ca="1"/>
        <v>-0.21234443229685404</v>
      </c>
      <c r="X3118" s="2">
        <f ca="1"/>
        <v>47.77629118659685</v>
      </c>
      <c r="AG3118" s="2">
        <f ca="1"/>
        <v>0.38275547837160051</v>
      </c>
      <c r="AH3118" s="2" t="str">
        <f ca="1"/>
        <v>OK</v>
      </c>
    </row>
    <row r="3119" spans="2:34" x14ac:dyDescent="0.2">
      <c r="B3119" s="2">
        <f ca="1"/>
        <v>7.2895666648683521E-2</v>
      </c>
      <c r="O3119" s="2">
        <f ca="1"/>
        <v>2.7237515748387651</v>
      </c>
      <c r="X3119" s="2">
        <f ca="1"/>
        <v>43.72116724434165</v>
      </c>
      <c r="AG3119" s="2">
        <f ca="1"/>
        <v>0.89675216951890646</v>
      </c>
      <c r="AH3119" s="2" t="str">
        <f ca="1"/>
        <v>Bad</v>
      </c>
    </row>
    <row r="3120" spans="2:34" x14ac:dyDescent="0.2">
      <c r="B3120" s="2">
        <f ca="1"/>
        <v>0.62072948796920624</v>
      </c>
      <c r="O3120" s="2">
        <f ca="1"/>
        <v>-1.4024209218024841</v>
      </c>
      <c r="X3120" s="2">
        <f ca="1"/>
        <v>48.229015162871214</v>
      </c>
      <c r="AG3120" s="2">
        <f ca="1"/>
        <v>0.64493316133948442</v>
      </c>
      <c r="AH3120" s="2" t="str">
        <f ca="1"/>
        <v>Bad</v>
      </c>
    </row>
    <row r="3121" spans="2:34" x14ac:dyDescent="0.2">
      <c r="B3121" s="2">
        <f ca="1"/>
        <v>0.14239053305405625</v>
      </c>
      <c r="O3121" s="2">
        <f ca="1"/>
        <v>-0.97873077181836654</v>
      </c>
      <c r="X3121" s="2">
        <f ca="1"/>
        <v>27.528651211293798</v>
      </c>
      <c r="AG3121" s="2">
        <f ca="1"/>
        <v>0.98273112246484184</v>
      </c>
      <c r="AH3121" s="2" t="str">
        <f ca="1"/>
        <v>Bad</v>
      </c>
    </row>
    <row r="3122" spans="2:34" x14ac:dyDescent="0.2">
      <c r="B3122" s="2">
        <f ca="1"/>
        <v>0.17430376318580332</v>
      </c>
      <c r="O3122" s="2">
        <f ca="1"/>
        <v>-1.2987278789974501</v>
      </c>
      <c r="X3122" s="2">
        <f ca="1"/>
        <v>59.379608137904128</v>
      </c>
      <c r="AG3122" s="2">
        <f ca="1"/>
        <v>0.41468968157328123</v>
      </c>
      <c r="AH3122" s="2" t="str">
        <f ca="1"/>
        <v>Bad</v>
      </c>
    </row>
    <row r="3123" spans="2:34" x14ac:dyDescent="0.2">
      <c r="B3123" s="2">
        <f ca="1"/>
        <v>0.62183126746121231</v>
      </c>
      <c r="O3123" s="2">
        <f ca="1"/>
        <v>-0.1827728200320145</v>
      </c>
      <c r="X3123" s="2">
        <f ca="1"/>
        <v>45.010981717519975</v>
      </c>
      <c r="AG3123" s="2">
        <f ca="1"/>
        <v>0.87616167496939612</v>
      </c>
      <c r="AH3123" s="2" t="str">
        <f ca="1"/>
        <v>Bad</v>
      </c>
    </row>
    <row r="3124" spans="2:34" x14ac:dyDescent="0.2">
      <c r="B3124" s="2">
        <f ca="1"/>
        <v>0.7670380752760706</v>
      </c>
      <c r="O3124" s="2">
        <f ca="1"/>
        <v>-0.13616582496824289</v>
      </c>
      <c r="X3124" s="2">
        <f ca="1"/>
        <v>86.267350191493222</v>
      </c>
      <c r="AG3124" s="2">
        <f ca="1"/>
        <v>3.0473106620928503E-2</v>
      </c>
      <c r="AH3124" s="2" t="str">
        <f ca="1"/>
        <v>Good</v>
      </c>
    </row>
    <row r="3125" spans="2:34" x14ac:dyDescent="0.2">
      <c r="B3125" s="2">
        <f ca="1"/>
        <v>4.4624606685266466E-2</v>
      </c>
      <c r="O3125" s="2">
        <f ca="1"/>
        <v>1.6561295739167554</v>
      </c>
      <c r="X3125" s="2">
        <f ca="1"/>
        <v>52.803531199754083</v>
      </c>
      <c r="AG3125" s="2">
        <f ca="1"/>
        <v>0.70943928397618272</v>
      </c>
      <c r="AH3125" s="2" t="str">
        <f ca="1"/>
        <v>Bad</v>
      </c>
    </row>
    <row r="3126" spans="2:34" x14ac:dyDescent="0.2">
      <c r="B3126" s="2">
        <f ca="1"/>
        <v>0.9934522903088796</v>
      </c>
      <c r="O3126" s="2">
        <f ca="1"/>
        <v>0.45031931801863667</v>
      </c>
      <c r="X3126" s="2">
        <f ca="1"/>
        <v>48.782892308343406</v>
      </c>
      <c r="AG3126" s="2">
        <f ca="1"/>
        <v>0.25912721964366536</v>
      </c>
      <c r="AH3126" s="2" t="str">
        <f ca="1"/>
        <v>OK</v>
      </c>
    </row>
    <row r="3127" spans="2:34" x14ac:dyDescent="0.2">
      <c r="B3127" s="2">
        <f ca="1"/>
        <v>0.46287735441591771</v>
      </c>
      <c r="O3127" s="2">
        <f ca="1"/>
        <v>-1.261399851330046</v>
      </c>
      <c r="X3127" s="2">
        <f ca="1"/>
        <v>31.310373761514093</v>
      </c>
      <c r="AG3127" s="2">
        <f ca="1"/>
        <v>0.81152723565953799</v>
      </c>
      <c r="AH3127" s="2" t="str">
        <f ca="1"/>
        <v>Bad</v>
      </c>
    </row>
    <row r="3128" spans="2:34" x14ac:dyDescent="0.2">
      <c r="B3128" s="2">
        <f ca="1"/>
        <v>0.12161158287201679</v>
      </c>
      <c r="O3128" s="2">
        <f ca="1"/>
        <v>0.46803647699392475</v>
      </c>
      <c r="X3128" s="2">
        <f ca="1"/>
        <v>44.537077230116282</v>
      </c>
      <c r="AG3128" s="2">
        <f ca="1"/>
        <v>0.38182543738360764</v>
      </c>
      <c r="AH3128" s="2" t="str">
        <f ca="1"/>
        <v>OK</v>
      </c>
    </row>
    <row r="3129" spans="2:34" x14ac:dyDescent="0.2">
      <c r="B3129" s="2">
        <f ca="1"/>
        <v>0.92027324606944605</v>
      </c>
      <c r="O3129" s="2">
        <f ca="1"/>
        <v>0.63761823611588275</v>
      </c>
      <c r="X3129" s="2">
        <f ca="1"/>
        <v>77.656885482340783</v>
      </c>
      <c r="AG3129" s="2">
        <f ca="1"/>
        <v>0.89674017374454307</v>
      </c>
      <c r="AH3129" s="2" t="str">
        <f ca="1"/>
        <v>Bad</v>
      </c>
    </row>
    <row r="3130" spans="2:34" x14ac:dyDescent="0.2">
      <c r="B3130" s="2">
        <f ca="1"/>
        <v>0.71795296942035214</v>
      </c>
      <c r="O3130" s="2">
        <f ca="1"/>
        <v>-0.83435289180303784</v>
      </c>
      <c r="X3130" s="2">
        <f ca="1"/>
        <v>40.20538201908974</v>
      </c>
      <c r="AG3130" s="2">
        <f ca="1"/>
        <v>0.88221150760177514</v>
      </c>
      <c r="AH3130" s="2" t="str">
        <f ca="1"/>
        <v>Bad</v>
      </c>
    </row>
    <row r="3131" spans="2:34" x14ac:dyDescent="0.2">
      <c r="B3131" s="2">
        <f ca="1"/>
        <v>3.4069430430354597E-3</v>
      </c>
      <c r="O3131" s="2">
        <f ca="1"/>
        <v>0.79463224317067926</v>
      </c>
      <c r="X3131" s="2">
        <f ca="1"/>
        <v>35.363497773838517</v>
      </c>
      <c r="AG3131" s="2">
        <f ca="1"/>
        <v>0.39442885517146653</v>
      </c>
      <c r="AH3131" s="2" t="str">
        <f ca="1"/>
        <v>OK</v>
      </c>
    </row>
    <row r="3132" spans="2:34" x14ac:dyDescent="0.2">
      <c r="B3132" s="2">
        <f ca="1"/>
        <v>0.82814697246021884</v>
      </c>
      <c r="O3132" s="2">
        <f ca="1"/>
        <v>1.1122024314918004</v>
      </c>
      <c r="X3132" s="2">
        <f ca="1"/>
        <v>45.602158671899495</v>
      </c>
      <c r="AG3132" s="2">
        <f ca="1"/>
        <v>0.68022008704084413</v>
      </c>
      <c r="AH3132" s="2" t="str">
        <f ca="1"/>
        <v>Bad</v>
      </c>
    </row>
    <row r="3133" spans="2:34" x14ac:dyDescent="0.2">
      <c r="B3133" s="2">
        <f ca="1"/>
        <v>0.80186875276871183</v>
      </c>
      <c r="O3133" s="2">
        <f ca="1"/>
        <v>-1.1709920385370685</v>
      </c>
      <c r="X3133" s="2">
        <f ca="1"/>
        <v>25.84415910056817</v>
      </c>
      <c r="AG3133" s="2">
        <f ca="1"/>
        <v>1.2126982341751802E-2</v>
      </c>
      <c r="AH3133" s="2" t="str">
        <f ca="1"/>
        <v>Good</v>
      </c>
    </row>
    <row r="3134" spans="2:34" x14ac:dyDescent="0.2">
      <c r="B3134" s="2">
        <f ca="1"/>
        <v>0.24981332180453508</v>
      </c>
      <c r="O3134" s="2">
        <f ca="1"/>
        <v>-1.405767419766657</v>
      </c>
      <c r="X3134" s="2">
        <f ca="1"/>
        <v>40.165960557553646</v>
      </c>
      <c r="AG3134" s="2">
        <f ca="1"/>
        <v>0.4119412216503715</v>
      </c>
      <c r="AH3134" s="2" t="str">
        <f ca="1"/>
        <v>Bad</v>
      </c>
    </row>
    <row r="3135" spans="2:34" x14ac:dyDescent="0.2">
      <c r="B3135" s="2">
        <f ca="1"/>
        <v>0.87408490805604311</v>
      </c>
      <c r="O3135" s="2">
        <f ca="1"/>
        <v>-1.6967886164806725</v>
      </c>
      <c r="X3135" s="2">
        <f ca="1"/>
        <v>38.003191167733469</v>
      </c>
      <c r="AG3135" s="2">
        <f ca="1"/>
        <v>0.68760647671132746</v>
      </c>
      <c r="AH3135" s="2" t="str">
        <f ca="1"/>
        <v>Bad</v>
      </c>
    </row>
    <row r="3136" spans="2:34" x14ac:dyDescent="0.2">
      <c r="B3136" s="2">
        <f ca="1"/>
        <v>0.20527056285737433</v>
      </c>
      <c r="O3136" s="2">
        <f ca="1"/>
        <v>1.2154083207172188</v>
      </c>
      <c r="X3136" s="2">
        <f ca="1"/>
        <v>26.441243066474417</v>
      </c>
      <c r="AG3136" s="2">
        <f ca="1"/>
        <v>0.89454658137253706</v>
      </c>
      <c r="AH3136" s="2" t="str">
        <f ca="1"/>
        <v>Bad</v>
      </c>
    </row>
    <row r="3137" spans="2:34" x14ac:dyDescent="0.2">
      <c r="B3137" s="2">
        <f ca="1"/>
        <v>0.91971300253282551</v>
      </c>
      <c r="O3137" s="2">
        <f ca="1"/>
        <v>1.0242592011651783</v>
      </c>
      <c r="X3137" s="2">
        <f ca="1"/>
        <v>36.826631777145494</v>
      </c>
      <c r="AG3137" s="2">
        <f ca="1"/>
        <v>0.13350550648758941</v>
      </c>
      <c r="AH3137" s="2" t="str">
        <f ca="1"/>
        <v>OK</v>
      </c>
    </row>
    <row r="3138" spans="2:34" x14ac:dyDescent="0.2">
      <c r="B3138" s="2">
        <f ca="1"/>
        <v>0.58306482991303699</v>
      </c>
      <c r="O3138" s="2">
        <f ca="1"/>
        <v>-0.18452067244418377</v>
      </c>
      <c r="X3138" s="2">
        <f ca="1"/>
        <v>34.976602878776973</v>
      </c>
      <c r="AG3138" s="2">
        <f ca="1"/>
        <v>0.47771095762015525</v>
      </c>
      <c r="AH3138" s="2" t="str">
        <f ca="1"/>
        <v>Bad</v>
      </c>
    </row>
    <row r="3139" spans="2:34" x14ac:dyDescent="0.2">
      <c r="B3139" s="2">
        <f ca="1"/>
        <v>0.1255443374401084</v>
      </c>
      <c r="O3139" s="2">
        <f ca="1"/>
        <v>0.89131837726767804</v>
      </c>
      <c r="X3139" s="2">
        <f ca="1"/>
        <v>67.852602444092824</v>
      </c>
      <c r="AG3139" s="2">
        <f ca="1"/>
        <v>0.74357972527869753</v>
      </c>
      <c r="AH3139" s="2" t="str">
        <f ca="1"/>
        <v>Bad</v>
      </c>
    </row>
    <row r="3140" spans="2:34" x14ac:dyDescent="0.2">
      <c r="B3140" s="2">
        <f ca="1"/>
        <v>0.84328037374690923</v>
      </c>
      <c r="O3140" s="2">
        <f ca="1"/>
        <v>0.27006258543366124</v>
      </c>
      <c r="X3140" s="2">
        <f ca="1"/>
        <v>62.171828095448305</v>
      </c>
      <c r="AG3140" s="2">
        <f ca="1"/>
        <v>5.6014530773450311E-2</v>
      </c>
      <c r="AH3140" s="2" t="str">
        <f ca="1"/>
        <v>OK</v>
      </c>
    </row>
    <row r="3141" spans="2:34" x14ac:dyDescent="0.2">
      <c r="B3141" s="2">
        <f ca="1"/>
        <v>0.3464375039113099</v>
      </c>
      <c r="O3141" s="2">
        <f ca="1"/>
        <v>0.78310594161855018</v>
      </c>
      <c r="X3141" s="2">
        <f ca="1"/>
        <v>66.24849103974546</v>
      </c>
      <c r="AG3141" s="2">
        <f ca="1"/>
        <v>0.32896025184568911</v>
      </c>
      <c r="AH3141" s="2" t="str">
        <f ca="1"/>
        <v>OK</v>
      </c>
    </row>
    <row r="3142" spans="2:34" x14ac:dyDescent="0.2">
      <c r="B3142" s="2">
        <f ca="1"/>
        <v>0.58163198943831129</v>
      </c>
      <c r="O3142" s="2">
        <f ca="1"/>
        <v>0.14964435962087563</v>
      </c>
      <c r="X3142" s="2">
        <f ca="1"/>
        <v>40.350709132523619</v>
      </c>
      <c r="AG3142" s="2">
        <f ca="1"/>
        <v>0.74877876005963495</v>
      </c>
      <c r="AH3142" s="2" t="str">
        <f ca="1"/>
        <v>Bad</v>
      </c>
    </row>
    <row r="3143" spans="2:34" x14ac:dyDescent="0.2">
      <c r="B3143" s="2">
        <f ca="1"/>
        <v>0.64548307000928373</v>
      </c>
      <c r="O3143" s="2">
        <f ca="1"/>
        <v>-0.25348579418823791</v>
      </c>
      <c r="X3143" s="2">
        <f ca="1"/>
        <v>48.933583723372386</v>
      </c>
      <c r="AG3143" s="2">
        <f ca="1"/>
        <v>0.24026851965765839</v>
      </c>
      <c r="AH3143" s="2" t="str">
        <f ca="1"/>
        <v>OK</v>
      </c>
    </row>
    <row r="3144" spans="2:34" x14ac:dyDescent="0.2">
      <c r="B3144" s="2">
        <f ca="1"/>
        <v>0.58455115442711536</v>
      </c>
      <c r="O3144" s="2">
        <f ca="1"/>
        <v>-0.12262569208730037</v>
      </c>
      <c r="X3144" s="2">
        <f ca="1"/>
        <v>51.480817623788383</v>
      </c>
      <c r="AG3144" s="2">
        <f ca="1"/>
        <v>0.37787266621099747</v>
      </c>
      <c r="AH3144" s="2" t="str">
        <f ca="1"/>
        <v>OK</v>
      </c>
    </row>
    <row r="3145" spans="2:34" x14ac:dyDescent="0.2">
      <c r="B3145" s="2">
        <f ca="1"/>
        <v>0.67758237319060322</v>
      </c>
      <c r="O3145" s="2">
        <f ca="1"/>
        <v>-0.22863838873569978</v>
      </c>
      <c r="X3145" s="2">
        <f ca="1"/>
        <v>40.635618894111474</v>
      </c>
      <c r="AG3145" s="2">
        <f ca="1"/>
        <v>0.63515507579567432</v>
      </c>
      <c r="AH3145" s="2" t="str">
        <f ca="1"/>
        <v>Bad</v>
      </c>
    </row>
    <row r="3146" spans="2:34" x14ac:dyDescent="0.2">
      <c r="B3146" s="2">
        <f ca="1"/>
        <v>0.33610635724459859</v>
      </c>
      <c r="O3146" s="2">
        <f ca="1"/>
        <v>0.87945115470932056</v>
      </c>
      <c r="X3146" s="2">
        <f ca="1"/>
        <v>37.646658585455938</v>
      </c>
      <c r="AG3146" s="2">
        <f ca="1"/>
        <v>0.98247274551761676</v>
      </c>
      <c r="AH3146" s="2" t="str">
        <f ca="1"/>
        <v>Bad</v>
      </c>
    </row>
    <row r="3147" spans="2:34" x14ac:dyDescent="0.2">
      <c r="B3147" s="2">
        <f ca="1"/>
        <v>0.14914995358616245</v>
      </c>
      <c r="O3147" s="2">
        <f ca="1"/>
        <v>-1.14887443795219</v>
      </c>
      <c r="X3147" s="2">
        <f ca="1"/>
        <v>74.030273137038265</v>
      </c>
      <c r="AG3147" s="2">
        <f ca="1"/>
        <v>0.89913809806053013</v>
      </c>
      <c r="AH3147" s="2" t="str">
        <f ca="1"/>
        <v>Bad</v>
      </c>
    </row>
    <row r="3148" spans="2:34" x14ac:dyDescent="0.2">
      <c r="B3148" s="2">
        <f ca="1"/>
        <v>0.3210933348853855</v>
      </c>
      <c r="O3148" s="2">
        <f ca="1"/>
        <v>-0.89955161011944496</v>
      </c>
      <c r="X3148" s="2">
        <f ca="1"/>
        <v>59.246333700660195</v>
      </c>
      <c r="AG3148" s="2">
        <f ca="1"/>
        <v>0.22598879891351786</v>
      </c>
      <c r="AH3148" s="2" t="str">
        <f ca="1"/>
        <v>OK</v>
      </c>
    </row>
    <row r="3149" spans="2:34" x14ac:dyDescent="0.2">
      <c r="B3149" s="2">
        <f ca="1"/>
        <v>1.9716260938646091E-2</v>
      </c>
      <c r="O3149" s="2">
        <f ca="1"/>
        <v>0.14313332121162439</v>
      </c>
      <c r="X3149" s="2">
        <f ca="1"/>
        <v>56.497067777414777</v>
      </c>
      <c r="AG3149" s="2">
        <f ca="1"/>
        <v>0.70964992600030619</v>
      </c>
      <c r="AH3149" s="2" t="str">
        <f ca="1"/>
        <v>Bad</v>
      </c>
    </row>
    <row r="3150" spans="2:34" x14ac:dyDescent="0.2">
      <c r="B3150" s="2">
        <f ca="1"/>
        <v>0.66485278567535255</v>
      </c>
      <c r="O3150" s="2">
        <f ca="1"/>
        <v>-0.91061165238336883</v>
      </c>
      <c r="X3150" s="2">
        <f ca="1"/>
        <v>67.522802159597376</v>
      </c>
      <c r="AG3150" s="2">
        <f ca="1"/>
        <v>0.27165985784224156</v>
      </c>
      <c r="AH3150" s="2" t="str">
        <f ca="1"/>
        <v>OK</v>
      </c>
    </row>
    <row r="3151" spans="2:34" x14ac:dyDescent="0.2">
      <c r="B3151" s="2">
        <f ca="1"/>
        <v>0.72267312563658703</v>
      </c>
      <c r="O3151" s="2">
        <f ca="1"/>
        <v>-1.2200730037935692</v>
      </c>
      <c r="X3151" s="2">
        <f ca="1"/>
        <v>39.814770319100582</v>
      </c>
      <c r="AG3151" s="2">
        <f ca="1"/>
        <v>0.18098349554526649</v>
      </c>
      <c r="AH3151" s="2" t="str">
        <f ca="1"/>
        <v>OK</v>
      </c>
    </row>
    <row r="3152" spans="2:34" x14ac:dyDescent="0.2">
      <c r="B3152" s="2">
        <f ca="1"/>
        <v>0.59432204879585382</v>
      </c>
      <c r="O3152" s="2">
        <f ca="1"/>
        <v>-1.4749561633056636</v>
      </c>
      <c r="X3152" s="2">
        <f ca="1"/>
        <v>43.823131577703393</v>
      </c>
      <c r="AG3152" s="2">
        <f ca="1"/>
        <v>0.5679009773406285</v>
      </c>
      <c r="AH3152" s="2" t="str">
        <f ca="1"/>
        <v>Bad</v>
      </c>
    </row>
    <row r="3153" spans="2:34" x14ac:dyDescent="0.2">
      <c r="B3153" s="2">
        <f ca="1"/>
        <v>0.56760459572163913</v>
      </c>
      <c r="O3153" s="2">
        <f ca="1"/>
        <v>-0.8511370625964394</v>
      </c>
      <c r="X3153" s="2">
        <f ca="1"/>
        <v>57.885801137978589</v>
      </c>
      <c r="AG3153" s="2">
        <f ca="1"/>
        <v>0.85790463535177297</v>
      </c>
      <c r="AH3153" s="2" t="str">
        <f ca="1"/>
        <v>Bad</v>
      </c>
    </row>
    <row r="3154" spans="2:34" x14ac:dyDescent="0.2">
      <c r="B3154" s="2">
        <f ca="1"/>
        <v>0.912453434638965</v>
      </c>
      <c r="O3154" s="2">
        <f ca="1"/>
        <v>-0.27997687162814355</v>
      </c>
      <c r="X3154" s="2">
        <f ca="1"/>
        <v>47.196825096251033</v>
      </c>
      <c r="AG3154" s="2">
        <f ca="1"/>
        <v>0.36364107760225495</v>
      </c>
      <c r="AH3154" s="2" t="str">
        <f ca="1"/>
        <v>OK</v>
      </c>
    </row>
    <row r="3155" spans="2:34" x14ac:dyDescent="0.2">
      <c r="B3155" s="2">
        <f ca="1"/>
        <v>0.11678481477045421</v>
      </c>
      <c r="O3155" s="2">
        <f ca="1"/>
        <v>-0.38450563067438936</v>
      </c>
      <c r="X3155" s="2">
        <f ca="1"/>
        <v>49.536807822759499</v>
      </c>
      <c r="AG3155" s="2">
        <f ca="1"/>
        <v>0.42592864222631688</v>
      </c>
      <c r="AH3155" s="2" t="str">
        <f ca="1"/>
        <v>Bad</v>
      </c>
    </row>
    <row r="3156" spans="2:34" x14ac:dyDescent="0.2">
      <c r="B3156" s="2">
        <f ca="1"/>
        <v>0.68342398829373652</v>
      </c>
      <c r="O3156" s="2">
        <f ca="1"/>
        <v>-1.2163613542724319</v>
      </c>
      <c r="X3156" s="2">
        <f ca="1"/>
        <v>58.980916405170746</v>
      </c>
      <c r="AG3156" s="2">
        <f ca="1"/>
        <v>0.7807150360211137</v>
      </c>
      <c r="AH3156" s="2" t="str">
        <f ca="1"/>
        <v>Bad</v>
      </c>
    </row>
    <row r="3157" spans="2:34" x14ac:dyDescent="0.2">
      <c r="B3157" s="2">
        <f ca="1"/>
        <v>0.47833301169424325</v>
      </c>
      <c r="O3157" s="2">
        <f ca="1"/>
        <v>-0.12345238502899739</v>
      </c>
      <c r="X3157" s="2">
        <f ca="1"/>
        <v>68.35212434049906</v>
      </c>
      <c r="AG3157" s="2">
        <f ca="1"/>
        <v>0.75535637313096893</v>
      </c>
      <c r="AH3157" s="2" t="str">
        <f ca="1"/>
        <v>Bad</v>
      </c>
    </row>
    <row r="3158" spans="2:34" x14ac:dyDescent="0.2">
      <c r="B3158" s="2">
        <f ca="1"/>
        <v>0.23805227107968729</v>
      </c>
      <c r="O3158" s="2">
        <f ca="1"/>
        <v>-0.17457301109647055</v>
      </c>
      <c r="X3158" s="2">
        <f ca="1"/>
        <v>33.775805190483908</v>
      </c>
      <c r="AG3158" s="2">
        <f ca="1"/>
        <v>0.18503517670299074</v>
      </c>
      <c r="AH3158" s="2" t="str">
        <f ca="1"/>
        <v>OK</v>
      </c>
    </row>
    <row r="3159" spans="2:34" x14ac:dyDescent="0.2">
      <c r="B3159" s="2">
        <f ca="1"/>
        <v>2.8476640875833237E-2</v>
      </c>
      <c r="O3159" s="2">
        <f ca="1"/>
        <v>-0.81624049265978782</v>
      </c>
      <c r="X3159" s="2">
        <f ca="1"/>
        <v>69.087619422216321</v>
      </c>
      <c r="AG3159" s="2">
        <f ca="1"/>
        <v>0.64150900773076192</v>
      </c>
      <c r="AH3159" s="2" t="str">
        <f ca="1"/>
        <v>Bad</v>
      </c>
    </row>
    <row r="3160" spans="2:34" x14ac:dyDescent="0.2">
      <c r="B3160" s="2">
        <f ca="1"/>
        <v>0.75935151630191711</v>
      </c>
      <c r="O3160" s="2">
        <f ca="1"/>
        <v>1.0572373586262298</v>
      </c>
      <c r="X3160" s="2">
        <f ca="1"/>
        <v>51.310413214724477</v>
      </c>
      <c r="AG3160" s="2">
        <f ca="1"/>
        <v>0.23972255108069551</v>
      </c>
      <c r="AH3160" s="2" t="str">
        <f ca="1"/>
        <v>OK</v>
      </c>
    </row>
    <row r="3161" spans="2:34" x14ac:dyDescent="0.2">
      <c r="B3161" s="2">
        <f ca="1"/>
        <v>0.85865658875052242</v>
      </c>
      <c r="O3161" s="2">
        <f ca="1"/>
        <v>9.3177150880830797E-2</v>
      </c>
      <c r="X3161" s="2">
        <f ca="1"/>
        <v>37.037669580543437</v>
      </c>
      <c r="AG3161" s="2">
        <f ca="1"/>
        <v>0.56342314462903409</v>
      </c>
      <c r="AH3161" s="2" t="str">
        <f ca="1"/>
        <v>Bad</v>
      </c>
    </row>
    <row r="3162" spans="2:34" x14ac:dyDescent="0.2">
      <c r="B3162" s="2">
        <f ca="1"/>
        <v>0.26542492522452221</v>
      </c>
      <c r="O3162" s="2">
        <f ca="1"/>
        <v>1.7805300995008915</v>
      </c>
      <c r="X3162" s="2">
        <f ca="1"/>
        <v>39.135696018797233</v>
      </c>
      <c r="AG3162" s="2">
        <f ca="1"/>
        <v>0.9725262314609473</v>
      </c>
      <c r="AH3162" s="2" t="str">
        <f ca="1"/>
        <v>Bad</v>
      </c>
    </row>
    <row r="3163" spans="2:34" x14ac:dyDescent="0.2">
      <c r="B3163" s="2">
        <f ca="1"/>
        <v>0.40436924168900279</v>
      </c>
      <c r="O3163" s="2">
        <f ca="1"/>
        <v>-1.3301937701222291</v>
      </c>
      <c r="X3163" s="2">
        <f ca="1"/>
        <v>56.107757578446815</v>
      </c>
      <c r="AG3163" s="2">
        <f ca="1"/>
        <v>0.41213534533030027</v>
      </c>
      <c r="AH3163" s="2" t="str">
        <f ca="1"/>
        <v>Bad</v>
      </c>
    </row>
    <row r="3164" spans="2:34" x14ac:dyDescent="0.2">
      <c r="B3164" s="2">
        <f ca="1"/>
        <v>0.64292602950268662</v>
      </c>
      <c r="O3164" s="2">
        <f ca="1"/>
        <v>1.6690085708067837</v>
      </c>
      <c r="X3164" s="2">
        <f ca="1"/>
        <v>36.064112303271507</v>
      </c>
      <c r="AG3164" s="2">
        <f ca="1"/>
        <v>0.11739233784364966</v>
      </c>
      <c r="AH3164" s="2" t="str">
        <f ca="1"/>
        <v>OK</v>
      </c>
    </row>
    <row r="3165" spans="2:34" x14ac:dyDescent="0.2">
      <c r="B3165" s="2">
        <f ca="1"/>
        <v>2.4776529526079782E-2</v>
      </c>
      <c r="O3165" s="2">
        <f ca="1"/>
        <v>2.1983662644339454E-2</v>
      </c>
      <c r="X3165" s="2">
        <f ca="1"/>
        <v>48.86927250803204</v>
      </c>
      <c r="AG3165" s="2">
        <f ca="1"/>
        <v>0.67672081888426572</v>
      </c>
      <c r="AH3165" s="2" t="str">
        <f ca="1"/>
        <v>Bad</v>
      </c>
    </row>
    <row r="3166" spans="2:34" x14ac:dyDescent="0.2">
      <c r="B3166" s="2">
        <f ca="1"/>
        <v>0.24504995955149078</v>
      </c>
      <c r="O3166" s="2">
        <f ca="1"/>
        <v>-0.68791233515795158</v>
      </c>
      <c r="X3166" s="2">
        <f ca="1"/>
        <v>51.556658549997309</v>
      </c>
      <c r="AG3166" s="2">
        <f ca="1"/>
        <v>0.33431488115142982</v>
      </c>
      <c r="AH3166" s="2" t="str">
        <f ca="1"/>
        <v>OK</v>
      </c>
    </row>
    <row r="3167" spans="2:34" x14ac:dyDescent="0.2">
      <c r="B3167" s="2">
        <f ca="1"/>
        <v>0.30929419792561563</v>
      </c>
      <c r="O3167" s="2">
        <f ca="1"/>
        <v>6.7073721664887342E-2</v>
      </c>
      <c r="X3167" s="2">
        <f ca="1"/>
        <v>47.338204530253371</v>
      </c>
      <c r="AG3167" s="2">
        <f ca="1"/>
        <v>0.11696755816438631</v>
      </c>
      <c r="AH3167" s="2" t="str">
        <f ca="1"/>
        <v>OK</v>
      </c>
    </row>
    <row r="3168" spans="2:34" x14ac:dyDescent="0.2">
      <c r="B3168" s="2">
        <f ca="1"/>
        <v>0.30205935589889199</v>
      </c>
      <c r="O3168" s="2">
        <f ca="1"/>
        <v>0.50416041837459036</v>
      </c>
      <c r="X3168" s="2">
        <f ca="1"/>
        <v>87.811056082412705</v>
      </c>
      <c r="AG3168" s="2">
        <f ca="1"/>
        <v>0.76211128948084261</v>
      </c>
      <c r="AH3168" s="2" t="str">
        <f ca="1"/>
        <v>Bad</v>
      </c>
    </row>
    <row r="3169" spans="2:34" x14ac:dyDescent="0.2">
      <c r="B3169" s="2">
        <f ca="1"/>
        <v>0.11901790694662795</v>
      </c>
      <c r="O3169" s="2">
        <f ca="1"/>
        <v>-2.522166434297779E-2</v>
      </c>
      <c r="X3169" s="2">
        <f ca="1"/>
        <v>32.352567923043296</v>
      </c>
      <c r="AG3169" s="2">
        <f ca="1"/>
        <v>0.72638499204073192</v>
      </c>
      <c r="AH3169" s="2" t="str">
        <f ca="1"/>
        <v>Bad</v>
      </c>
    </row>
    <row r="3170" spans="2:34" x14ac:dyDescent="0.2">
      <c r="B3170" s="2">
        <f ca="1"/>
        <v>0.18492217793777144</v>
      </c>
      <c r="O3170" s="2">
        <f ca="1"/>
        <v>0.35794646020120613</v>
      </c>
      <c r="X3170" s="2">
        <f ca="1"/>
        <v>51.096427885460933</v>
      </c>
      <c r="AG3170" s="2">
        <f ca="1"/>
        <v>0.28530628864589636</v>
      </c>
      <c r="AH3170" s="2" t="str">
        <f ca="1"/>
        <v>OK</v>
      </c>
    </row>
    <row r="3171" spans="2:34" x14ac:dyDescent="0.2">
      <c r="B3171" s="2">
        <f ca="1"/>
        <v>0.78535356278545398</v>
      </c>
      <c r="O3171" s="2">
        <f ca="1"/>
        <v>0.38580773831546639</v>
      </c>
      <c r="X3171" s="2">
        <f ca="1"/>
        <v>85.999024755975597</v>
      </c>
      <c r="AG3171" s="2">
        <f ca="1"/>
        <v>0.82556964032434754</v>
      </c>
      <c r="AH3171" s="2" t="str">
        <f ca="1"/>
        <v>Bad</v>
      </c>
    </row>
    <row r="3172" spans="2:34" x14ac:dyDescent="0.2">
      <c r="B3172" s="2">
        <f ca="1"/>
        <v>1.6856649566720394E-2</v>
      </c>
      <c r="O3172" s="2">
        <f ca="1"/>
        <v>1.1563052417652067</v>
      </c>
      <c r="X3172" s="2">
        <f ca="1"/>
        <v>33.721222061344356</v>
      </c>
      <c r="AG3172" s="2">
        <f ca="1"/>
        <v>0.5248741967593511</v>
      </c>
      <c r="AH3172" s="2" t="str">
        <f ca="1"/>
        <v>Bad</v>
      </c>
    </row>
    <row r="3173" spans="2:34" x14ac:dyDescent="0.2">
      <c r="B3173" s="2">
        <f ca="1"/>
        <v>0.19770576671896056</v>
      </c>
      <c r="O3173" s="2">
        <f ca="1"/>
        <v>-0.53459827493028422</v>
      </c>
      <c r="X3173" s="2">
        <f ca="1"/>
        <v>53.988750793488087</v>
      </c>
      <c r="AG3173" s="2">
        <f ca="1"/>
        <v>0.40073484624244737</v>
      </c>
      <c r="AH3173" s="2" t="str">
        <f ca="1"/>
        <v>Bad</v>
      </c>
    </row>
    <row r="3174" spans="2:34" x14ac:dyDescent="0.2">
      <c r="B3174" s="2">
        <f ca="1"/>
        <v>0.42190129222835848</v>
      </c>
      <c r="O3174" s="2">
        <f ca="1"/>
        <v>-0.40072987870600213</v>
      </c>
      <c r="X3174" s="2">
        <f ca="1"/>
        <v>29.484594854831489</v>
      </c>
      <c r="AG3174" s="2">
        <f ca="1"/>
        <v>0.42532427132369643</v>
      </c>
      <c r="AH3174" s="2" t="str">
        <f ca="1"/>
        <v>Bad</v>
      </c>
    </row>
    <row r="3175" spans="2:34" x14ac:dyDescent="0.2">
      <c r="B3175" s="2">
        <f ca="1"/>
        <v>0.73730440620832982</v>
      </c>
      <c r="O3175" s="2">
        <f ca="1"/>
        <v>-0.61656947193536682</v>
      </c>
      <c r="X3175" s="2">
        <f ca="1"/>
        <v>70.875101822141019</v>
      </c>
      <c r="AG3175" s="2">
        <f ca="1"/>
        <v>0.25816703688565079</v>
      </c>
      <c r="AH3175" s="2" t="str">
        <f ca="1"/>
        <v>OK</v>
      </c>
    </row>
    <row r="3176" spans="2:34" x14ac:dyDescent="0.2">
      <c r="B3176" s="2">
        <f ca="1"/>
        <v>0.70140108623490338</v>
      </c>
      <c r="O3176" s="2">
        <f ca="1"/>
        <v>2.7691201188469192E-3</v>
      </c>
      <c r="X3176" s="2">
        <f ca="1"/>
        <v>51.485731051952584</v>
      </c>
      <c r="AG3176" s="2">
        <f ca="1"/>
        <v>0.47941450856466661</v>
      </c>
      <c r="AH3176" s="2" t="str">
        <f ca="1"/>
        <v>Bad</v>
      </c>
    </row>
    <row r="3177" spans="2:34" x14ac:dyDescent="0.2">
      <c r="B3177" s="2">
        <f ca="1"/>
        <v>0.15443524679238951</v>
      </c>
      <c r="O3177" s="2">
        <f ca="1"/>
        <v>-0.39289799692359917</v>
      </c>
      <c r="X3177" s="2">
        <f ca="1"/>
        <v>41.013809443293979</v>
      </c>
      <c r="AG3177" s="2">
        <f ca="1"/>
        <v>0.84625920660930531</v>
      </c>
      <c r="AH3177" s="2" t="str">
        <f ca="1"/>
        <v>Bad</v>
      </c>
    </row>
    <row r="3178" spans="2:34" x14ac:dyDescent="0.2">
      <c r="B3178" s="2">
        <f ca="1"/>
        <v>0.70444080354952754</v>
      </c>
      <c r="O3178" s="2">
        <f ca="1"/>
        <v>0.38264650264398642</v>
      </c>
      <c r="X3178" s="2">
        <f ca="1"/>
        <v>46.359537939298946</v>
      </c>
      <c r="AG3178" s="2">
        <f ca="1"/>
        <v>0.58221875765693909</v>
      </c>
      <c r="AH3178" s="2" t="str">
        <f ca="1"/>
        <v>Bad</v>
      </c>
    </row>
    <row r="3179" spans="2:34" x14ac:dyDescent="0.2">
      <c r="B3179" s="2">
        <f ca="1"/>
        <v>0.3983712825264798</v>
      </c>
      <c r="O3179" s="2">
        <f ca="1"/>
        <v>-0.43206143188776247</v>
      </c>
      <c r="X3179" s="2">
        <f ca="1"/>
        <v>50.041466299758326</v>
      </c>
      <c r="AG3179" s="2">
        <f ca="1"/>
        <v>0.64761263830719851</v>
      </c>
      <c r="AH3179" s="2" t="str">
        <f ca="1"/>
        <v>Bad</v>
      </c>
    </row>
    <row r="3180" spans="2:34" x14ac:dyDescent="0.2">
      <c r="B3180" s="2">
        <f ca="1"/>
        <v>0.26914184750499159</v>
      </c>
      <c r="O3180" s="2">
        <f ca="1"/>
        <v>0.36715747914202779</v>
      </c>
      <c r="X3180" s="2">
        <f ca="1"/>
        <v>35.877460545493825</v>
      </c>
      <c r="AG3180" s="2">
        <f ca="1"/>
        <v>0.62097923336581795</v>
      </c>
      <c r="AH3180" s="2" t="str">
        <f ca="1"/>
        <v>Bad</v>
      </c>
    </row>
    <row r="3181" spans="2:34" x14ac:dyDescent="0.2">
      <c r="B3181" s="2">
        <f ca="1"/>
        <v>0.65895852493920137</v>
      </c>
      <c r="O3181" s="2">
        <f ca="1"/>
        <v>-0.39053040553565915</v>
      </c>
      <c r="X3181" s="2">
        <f ca="1"/>
        <v>66.432131097299973</v>
      </c>
      <c r="AG3181" s="2">
        <f ca="1"/>
        <v>0.67803445605109558</v>
      </c>
      <c r="AH3181" s="2" t="str">
        <f ca="1"/>
        <v>Bad</v>
      </c>
    </row>
    <row r="3182" spans="2:34" x14ac:dyDescent="0.2">
      <c r="B3182" s="2">
        <f ca="1"/>
        <v>0.57505791221962332</v>
      </c>
      <c r="O3182" s="2">
        <f ca="1"/>
        <v>0.96040740625520471</v>
      </c>
      <c r="X3182" s="2">
        <f ca="1"/>
        <v>71.159884709501014</v>
      </c>
      <c r="AG3182" s="2">
        <f ca="1"/>
        <v>0.73474660971155803</v>
      </c>
      <c r="AH3182" s="2" t="str">
        <f ca="1"/>
        <v>Bad</v>
      </c>
    </row>
    <row r="3183" spans="2:34" x14ac:dyDescent="0.2">
      <c r="B3183" s="2">
        <f ca="1"/>
        <v>0.32469469021170427</v>
      </c>
      <c r="O3183" s="2">
        <f ca="1"/>
        <v>1.1926269123929987</v>
      </c>
      <c r="X3183" s="2">
        <f ca="1"/>
        <v>62.746863259893715</v>
      </c>
      <c r="AG3183" s="2">
        <f ca="1"/>
        <v>0.48054992652095097</v>
      </c>
      <c r="AH3183" s="2" t="str">
        <f ca="1"/>
        <v>Bad</v>
      </c>
    </row>
    <row r="3184" spans="2:34" x14ac:dyDescent="0.2">
      <c r="B3184" s="2">
        <f ca="1"/>
        <v>0.24787596313613403</v>
      </c>
      <c r="O3184" s="2">
        <f ca="1"/>
        <v>-0.29791007053742558</v>
      </c>
      <c r="X3184" s="2">
        <f ca="1"/>
        <v>46.381390750055537</v>
      </c>
      <c r="AG3184" s="2">
        <f ca="1"/>
        <v>0.80801779575871469</v>
      </c>
      <c r="AH3184" s="2" t="str">
        <f ca="1"/>
        <v>Bad</v>
      </c>
    </row>
    <row r="3185" spans="2:34" x14ac:dyDescent="0.2">
      <c r="B3185" s="2">
        <f ca="1"/>
        <v>0.98007060246587785</v>
      </c>
      <c r="O3185" s="2">
        <f ca="1"/>
        <v>-0.69652919434610261</v>
      </c>
      <c r="X3185" s="2">
        <f ca="1"/>
        <v>74.072829267215354</v>
      </c>
      <c r="AG3185" s="2">
        <f ca="1"/>
        <v>0.99754844837382683</v>
      </c>
      <c r="AH3185" s="2" t="str">
        <f ca="1"/>
        <v>Bad</v>
      </c>
    </row>
    <row r="3186" spans="2:34" x14ac:dyDescent="0.2">
      <c r="B3186" s="2">
        <f ca="1"/>
        <v>0.29439144314945898</v>
      </c>
      <c r="O3186" s="2">
        <f ca="1"/>
        <v>1.6124999953964767</v>
      </c>
      <c r="X3186" s="2">
        <f ca="1"/>
        <v>64.836238557550772</v>
      </c>
      <c r="AG3186" s="2">
        <f ca="1"/>
        <v>0.9117727846749144</v>
      </c>
      <c r="AH3186" s="2" t="str">
        <f ca="1"/>
        <v>Bad</v>
      </c>
    </row>
    <row r="3187" spans="2:34" x14ac:dyDescent="0.2">
      <c r="B3187" s="2">
        <f ca="1"/>
        <v>0.65977559037909694</v>
      </c>
      <c r="O3187" s="2">
        <f ca="1"/>
        <v>0.91206472645314629</v>
      </c>
      <c r="X3187" s="2">
        <f ca="1"/>
        <v>43.08112491614515</v>
      </c>
      <c r="AG3187" s="2">
        <f ca="1"/>
        <v>4.7930346872293583E-4</v>
      </c>
      <c r="AH3187" s="2" t="str">
        <f ca="1"/>
        <v>Good</v>
      </c>
    </row>
    <row r="3188" spans="2:34" x14ac:dyDescent="0.2">
      <c r="B3188" s="2">
        <f ca="1"/>
        <v>0.81345830026753396</v>
      </c>
      <c r="O3188" s="2">
        <f ca="1"/>
        <v>-0.51444603497065311</v>
      </c>
      <c r="X3188" s="2">
        <f ca="1"/>
        <v>53.499790628095681</v>
      </c>
      <c r="AG3188" s="2">
        <f ca="1"/>
        <v>0.28124021709499547</v>
      </c>
      <c r="AH3188" s="2" t="str">
        <f ca="1"/>
        <v>OK</v>
      </c>
    </row>
    <row r="3189" spans="2:34" x14ac:dyDescent="0.2">
      <c r="B3189" s="2">
        <f ca="1"/>
        <v>0.19417688159102942</v>
      </c>
      <c r="O3189" s="2">
        <f ca="1"/>
        <v>-1.166081784923414</v>
      </c>
      <c r="X3189" s="2">
        <f ca="1"/>
        <v>65.252778480340055</v>
      </c>
      <c r="AG3189" s="2">
        <f ca="1"/>
        <v>0.12295720661566389</v>
      </c>
      <c r="AH3189" s="2" t="str">
        <f ca="1"/>
        <v>OK</v>
      </c>
    </row>
    <row r="3190" spans="2:34" x14ac:dyDescent="0.2">
      <c r="B3190" s="2">
        <f ca="1"/>
        <v>0.14721106176160248</v>
      </c>
      <c r="O3190" s="2">
        <f ca="1"/>
        <v>0.66162897589678704</v>
      </c>
      <c r="X3190" s="2">
        <f ca="1"/>
        <v>57.645220163331572</v>
      </c>
      <c r="AG3190" s="2">
        <f ca="1"/>
        <v>0.63538474126310573</v>
      </c>
      <c r="AH3190" s="2" t="str">
        <f ca="1"/>
        <v>Bad</v>
      </c>
    </row>
    <row r="3191" spans="2:34" x14ac:dyDescent="0.2">
      <c r="B3191" s="2">
        <f ca="1"/>
        <v>0.45286811893833412</v>
      </c>
      <c r="O3191" s="2">
        <f ca="1"/>
        <v>0.19180756935863999</v>
      </c>
      <c r="X3191" s="2">
        <f ca="1"/>
        <v>52.049917547305178</v>
      </c>
      <c r="AG3191" s="2">
        <f ca="1"/>
        <v>0.91059063557679032</v>
      </c>
      <c r="AH3191" s="2" t="str">
        <f ca="1"/>
        <v>Bad</v>
      </c>
    </row>
    <row r="3192" spans="2:34" x14ac:dyDescent="0.2">
      <c r="B3192" s="2">
        <f ca="1"/>
        <v>0.66665593961527292</v>
      </c>
      <c r="O3192" s="2">
        <f ca="1"/>
        <v>-0.69014928189479718</v>
      </c>
      <c r="X3192" s="2">
        <f ca="1"/>
        <v>42.296469701346588</v>
      </c>
      <c r="AG3192" s="2">
        <f ca="1"/>
        <v>0.39555073461367751</v>
      </c>
      <c r="AH3192" s="2" t="str">
        <f ca="1"/>
        <v>OK</v>
      </c>
    </row>
    <row r="3193" spans="2:34" x14ac:dyDescent="0.2">
      <c r="B3193" s="2">
        <f ca="1"/>
        <v>0.39009165645600374</v>
      </c>
      <c r="O3193" s="2">
        <f ca="1"/>
        <v>-0.1278792429653284</v>
      </c>
      <c r="X3193" s="2">
        <f ca="1"/>
        <v>49.098577035671234</v>
      </c>
      <c r="AG3193" s="2">
        <f ca="1"/>
        <v>0.87255125160924552</v>
      </c>
      <c r="AH3193" s="2" t="str">
        <f ca="1"/>
        <v>Bad</v>
      </c>
    </row>
    <row r="3194" spans="2:34" x14ac:dyDescent="0.2">
      <c r="B3194" s="2">
        <f ca="1"/>
        <v>0.60562004448216644</v>
      </c>
      <c r="O3194" s="2">
        <f ca="1"/>
        <v>-1.9410478858964342</v>
      </c>
      <c r="X3194" s="2">
        <f ca="1"/>
        <v>60.16288298219046</v>
      </c>
      <c r="AG3194" s="2">
        <f ca="1"/>
        <v>0.23126906469529818</v>
      </c>
      <c r="AH3194" s="2" t="str">
        <f ca="1"/>
        <v>OK</v>
      </c>
    </row>
    <row r="3195" spans="2:34" x14ac:dyDescent="0.2">
      <c r="B3195" s="2">
        <f ca="1"/>
        <v>5.6442716200548748E-2</v>
      </c>
      <c r="O3195" s="2">
        <f ca="1"/>
        <v>-0.13682417119286838</v>
      </c>
      <c r="X3195" s="2">
        <f ca="1"/>
        <v>37.117880326905748</v>
      </c>
      <c r="AG3195" s="2">
        <f ca="1"/>
        <v>0.94936833187216285</v>
      </c>
      <c r="AH3195" s="2" t="str">
        <f ca="1"/>
        <v>Bad</v>
      </c>
    </row>
    <row r="3196" spans="2:34" x14ac:dyDescent="0.2">
      <c r="B3196" s="2">
        <f ca="1"/>
        <v>0.53967055356026061</v>
      </c>
      <c r="O3196" s="2">
        <f ca="1"/>
        <v>0.88699940765707408</v>
      </c>
      <c r="X3196" s="2">
        <f ca="1"/>
        <v>62.952537318788544</v>
      </c>
      <c r="AG3196" s="2">
        <f ca="1"/>
        <v>0.58415308048194814</v>
      </c>
      <c r="AH3196" s="2" t="str">
        <f ca="1"/>
        <v>Bad</v>
      </c>
    </row>
    <row r="3197" spans="2:34" x14ac:dyDescent="0.2">
      <c r="B3197" s="2">
        <f ca="1"/>
        <v>0.15232708487096747</v>
      </c>
      <c r="O3197" s="2">
        <f ca="1"/>
        <v>1.1762619826924396</v>
      </c>
      <c r="X3197" s="2">
        <f ca="1"/>
        <v>53.514869218624767</v>
      </c>
      <c r="AG3197" s="2">
        <f ca="1"/>
        <v>1.2022971676168615E-2</v>
      </c>
      <c r="AH3197" s="2" t="str">
        <f ca="1"/>
        <v>Good</v>
      </c>
    </row>
    <row r="3198" spans="2:34" x14ac:dyDescent="0.2">
      <c r="B3198" s="2">
        <f ca="1"/>
        <v>0.55608393966801439</v>
      </c>
      <c r="O3198" s="2">
        <f ca="1"/>
        <v>0.23460219875925253</v>
      </c>
      <c r="X3198" s="2">
        <f ca="1"/>
        <v>33.277148706772913</v>
      </c>
      <c r="AG3198" s="2">
        <f ca="1"/>
        <v>0.71211705427713978</v>
      </c>
      <c r="AH3198" s="2" t="str">
        <f ca="1"/>
        <v>Bad</v>
      </c>
    </row>
    <row r="3199" spans="2:34" x14ac:dyDescent="0.2">
      <c r="B3199" s="2">
        <f ca="1"/>
        <v>0.39337090996509128</v>
      </c>
      <c r="O3199" s="2">
        <f ca="1"/>
        <v>1.044940044491643</v>
      </c>
      <c r="X3199" s="2">
        <f ca="1"/>
        <v>52.009855635288353</v>
      </c>
      <c r="AG3199" s="2">
        <f ca="1"/>
        <v>0.13418898209501662</v>
      </c>
      <c r="AH3199" s="2" t="str">
        <f ca="1"/>
        <v>OK</v>
      </c>
    </row>
    <row r="3200" spans="2:34" x14ac:dyDescent="0.2">
      <c r="B3200" s="2">
        <f ca="1"/>
        <v>0.90917335162642487</v>
      </c>
      <c r="O3200" s="2">
        <f ca="1"/>
        <v>1.7297195519234529</v>
      </c>
      <c r="X3200" s="2">
        <f ca="1"/>
        <v>49.721013925347123</v>
      </c>
      <c r="AG3200" s="2">
        <f ca="1"/>
        <v>0.47409905520441553</v>
      </c>
      <c r="AH3200" s="2" t="str">
        <f ca="1"/>
        <v>Bad</v>
      </c>
    </row>
    <row r="3201" spans="2:34" x14ac:dyDescent="0.2">
      <c r="B3201" s="2">
        <f ca="1"/>
        <v>0.19920514740933393</v>
      </c>
      <c r="O3201" s="2">
        <f ca="1"/>
        <v>-0.57161845970459457</v>
      </c>
      <c r="X3201" s="2">
        <f ca="1"/>
        <v>35.569594039315447</v>
      </c>
      <c r="AG3201" s="2">
        <f ca="1"/>
        <v>0.25937879109002981</v>
      </c>
      <c r="AH3201" s="2" t="str">
        <f ca="1"/>
        <v>OK</v>
      </c>
    </row>
    <row r="3202" spans="2:34" x14ac:dyDescent="0.2">
      <c r="B3202" s="2">
        <f ca="1"/>
        <v>5.5656044326214626E-2</v>
      </c>
      <c r="O3202" s="2">
        <f ca="1"/>
        <v>2.1895745707626189</v>
      </c>
      <c r="X3202" s="2">
        <f ca="1"/>
        <v>32.052974125008127</v>
      </c>
      <c r="AG3202" s="2">
        <f ca="1"/>
        <v>0.67036697038341364</v>
      </c>
      <c r="AH3202" s="2" t="str">
        <f ca="1"/>
        <v>Bad</v>
      </c>
    </row>
    <row r="3203" spans="2:34" x14ac:dyDescent="0.2">
      <c r="B3203" s="2">
        <f ca="1"/>
        <v>0.20663034479657294</v>
      </c>
      <c r="O3203" s="2">
        <f ca="1"/>
        <v>0.3659199941333614</v>
      </c>
      <c r="X3203" s="2">
        <f ca="1"/>
        <v>32.502781434738473</v>
      </c>
      <c r="AG3203" s="2">
        <f ca="1"/>
        <v>0.82930860449183097</v>
      </c>
      <c r="AH3203" s="2" t="str">
        <f ca="1"/>
        <v>Bad</v>
      </c>
    </row>
    <row r="3204" spans="2:34" x14ac:dyDescent="0.2">
      <c r="B3204" s="2">
        <f ca="1"/>
        <v>0.11240109798547948</v>
      </c>
      <c r="O3204" s="2">
        <f ca="1"/>
        <v>-1.0887801280341458</v>
      </c>
      <c r="X3204" s="2">
        <f ca="1"/>
        <v>24.820391736152565</v>
      </c>
      <c r="AG3204" s="2">
        <f ca="1"/>
        <v>0.13341614614482977</v>
      </c>
      <c r="AH3204" s="2" t="str">
        <f ca="1"/>
        <v>OK</v>
      </c>
    </row>
    <row r="3205" spans="2:34" x14ac:dyDescent="0.2">
      <c r="B3205" s="2">
        <f ca="1"/>
        <v>0.63518755871942978</v>
      </c>
      <c r="O3205" s="2">
        <f ca="1"/>
        <v>-0.94397644460046259</v>
      </c>
      <c r="X3205" s="2">
        <f ca="1"/>
        <v>60.272534761958156</v>
      </c>
      <c r="AG3205" s="2">
        <f ca="1"/>
        <v>0.656701431222662</v>
      </c>
      <c r="AH3205" s="2" t="str">
        <f ca="1"/>
        <v>Bad</v>
      </c>
    </row>
    <row r="3206" spans="2:34" x14ac:dyDescent="0.2">
      <c r="B3206" s="2">
        <f ca="1"/>
        <v>0.4082664954482258</v>
      </c>
      <c r="O3206" s="2">
        <f ca="1"/>
        <v>0.67197591900037346</v>
      </c>
      <c r="X3206" s="2">
        <f ca="1"/>
        <v>27.264790207913414</v>
      </c>
      <c r="AG3206" s="2">
        <f ca="1"/>
        <v>0.68342290339459488</v>
      </c>
      <c r="AH3206" s="2" t="str">
        <f ca="1"/>
        <v>Bad</v>
      </c>
    </row>
    <row r="3207" spans="2:34" x14ac:dyDescent="0.2">
      <c r="B3207" s="2">
        <f ca="1"/>
        <v>8.9990300387149835E-2</v>
      </c>
      <c r="O3207" s="2">
        <f ca="1"/>
        <v>1.368073477823806</v>
      </c>
      <c r="X3207" s="2">
        <f ca="1"/>
        <v>60.133437159344147</v>
      </c>
      <c r="AG3207" s="2">
        <f ca="1"/>
        <v>0.75193239158097791</v>
      </c>
      <c r="AH3207" s="2" t="str">
        <f ca="1"/>
        <v>Bad</v>
      </c>
    </row>
    <row r="3208" spans="2:34" x14ac:dyDescent="0.2">
      <c r="B3208" s="2">
        <f ca="1"/>
        <v>0.19626142557092718</v>
      </c>
      <c r="O3208" s="2">
        <f ca="1"/>
        <v>-0.14137848899837518</v>
      </c>
      <c r="X3208" s="2">
        <f ca="1"/>
        <v>69.28771184724603</v>
      </c>
      <c r="AG3208" s="2">
        <f ca="1"/>
        <v>0.63562497778414406</v>
      </c>
      <c r="AH3208" s="2" t="str">
        <f ca="1"/>
        <v>Bad</v>
      </c>
    </row>
    <row r="3209" spans="2:34" x14ac:dyDescent="0.2">
      <c r="B3209" s="2">
        <f ca="1"/>
        <v>0.76255622278570034</v>
      </c>
      <c r="O3209" s="2">
        <f ca="1"/>
        <v>-0.28945027410464574</v>
      </c>
      <c r="X3209" s="2">
        <f ca="1"/>
        <v>56.435799655299441</v>
      </c>
      <c r="AG3209" s="2">
        <f ca="1"/>
        <v>0.19672681251011381</v>
      </c>
      <c r="AH3209" s="2" t="str">
        <f ca="1"/>
        <v>OK</v>
      </c>
    </row>
    <row r="3210" spans="2:34" x14ac:dyDescent="0.2">
      <c r="B3210" s="2">
        <f ca="1"/>
        <v>0.7970651665437829</v>
      </c>
      <c r="O3210" s="2">
        <f ca="1"/>
        <v>-8.6954785792918279E-2</v>
      </c>
      <c r="X3210" s="2">
        <f ca="1"/>
        <v>33.546032257767436</v>
      </c>
      <c r="AG3210" s="2">
        <f ca="1"/>
        <v>0.44963731330764434</v>
      </c>
      <c r="AH3210" s="2" t="str">
        <f ca="1"/>
        <v>Bad</v>
      </c>
    </row>
    <row r="3211" spans="2:34" x14ac:dyDescent="0.2">
      <c r="B3211" s="2">
        <f ca="1"/>
        <v>0.4250220895857062</v>
      </c>
      <c r="O3211" s="2">
        <f ca="1"/>
        <v>0.10314927415367631</v>
      </c>
      <c r="X3211" s="2">
        <f ca="1"/>
        <v>102.46026777053865</v>
      </c>
      <c r="AG3211" s="2">
        <f ca="1"/>
        <v>0.83397263975021896</v>
      </c>
      <c r="AH3211" s="2" t="str">
        <f ca="1"/>
        <v>Bad</v>
      </c>
    </row>
    <row r="3212" spans="2:34" x14ac:dyDescent="0.2">
      <c r="B3212" s="2">
        <f ca="1"/>
        <v>0.70490701788291377</v>
      </c>
      <c r="O3212" s="2">
        <f ca="1"/>
        <v>1.0750670628186161</v>
      </c>
      <c r="X3212" s="2">
        <f ca="1"/>
        <v>72.526376966660848</v>
      </c>
      <c r="AG3212" s="2">
        <f ca="1"/>
        <v>0.52392294930210026</v>
      </c>
      <c r="AH3212" s="2" t="str">
        <f ca="1"/>
        <v>Bad</v>
      </c>
    </row>
    <row r="3213" spans="2:34" x14ac:dyDescent="0.2">
      <c r="B3213" s="2">
        <f ca="1"/>
        <v>0.87015317656742486</v>
      </c>
      <c r="O3213" s="2">
        <f ca="1"/>
        <v>-2.150003137116407</v>
      </c>
      <c r="X3213" s="2">
        <f ca="1"/>
        <v>60.703845859563074</v>
      </c>
      <c r="AG3213" s="2">
        <f ca="1"/>
        <v>0.90103668601361409</v>
      </c>
      <c r="AH3213" s="2" t="str">
        <f ca="1"/>
        <v>Bad</v>
      </c>
    </row>
    <row r="3214" spans="2:34" x14ac:dyDescent="0.2">
      <c r="B3214" s="2">
        <f ca="1"/>
        <v>0.63800033376912135</v>
      </c>
      <c r="O3214" s="2">
        <f ca="1"/>
        <v>1.2052374571924094</v>
      </c>
      <c r="X3214" s="2">
        <f ca="1"/>
        <v>54.73307289997868</v>
      </c>
      <c r="AG3214" s="2">
        <f ca="1"/>
        <v>0.56975839028312492</v>
      </c>
      <c r="AH3214" s="2" t="str">
        <f ca="1"/>
        <v>Bad</v>
      </c>
    </row>
    <row r="3215" spans="2:34" x14ac:dyDescent="0.2">
      <c r="B3215" s="2">
        <f ca="1"/>
        <v>0.65231101745137288</v>
      </c>
      <c r="O3215" s="2">
        <f ca="1"/>
        <v>0.72798236804766547</v>
      </c>
      <c r="X3215" s="2">
        <f ca="1"/>
        <v>45.232525486874678</v>
      </c>
      <c r="AG3215" s="2">
        <f ca="1"/>
        <v>0.5270081754624365</v>
      </c>
      <c r="AH3215" s="2" t="str">
        <f ca="1"/>
        <v>Bad</v>
      </c>
    </row>
    <row r="3216" spans="2:34" x14ac:dyDescent="0.2">
      <c r="B3216" s="2">
        <f ca="1"/>
        <v>0.59078450757077206</v>
      </c>
      <c r="O3216" s="2">
        <f ca="1"/>
        <v>1.8792425109751947</v>
      </c>
      <c r="X3216" s="2">
        <f ca="1"/>
        <v>59.135963473864031</v>
      </c>
      <c r="AG3216" s="2">
        <f ca="1"/>
        <v>0.75758318709466921</v>
      </c>
      <c r="AH3216" s="2" t="str">
        <f ca="1"/>
        <v>Bad</v>
      </c>
    </row>
    <row r="3217" spans="2:34" x14ac:dyDescent="0.2">
      <c r="B3217" s="2">
        <f ca="1"/>
        <v>8.1051445884527951E-3</v>
      </c>
      <c r="O3217" s="2">
        <f ca="1"/>
        <v>-0.62650209951602531</v>
      </c>
      <c r="X3217" s="2">
        <f ca="1"/>
        <v>35.208994446884439</v>
      </c>
      <c r="AG3217" s="2">
        <f ca="1"/>
        <v>0.18291617979669761</v>
      </c>
      <c r="AH3217" s="2" t="str">
        <f ca="1"/>
        <v>OK</v>
      </c>
    </row>
    <row r="3218" spans="2:34" x14ac:dyDescent="0.2">
      <c r="B3218" s="2">
        <f ca="1"/>
        <v>0.48707052930241446</v>
      </c>
      <c r="O3218" s="2">
        <f ca="1"/>
        <v>1.264986662251909</v>
      </c>
      <c r="X3218" s="2">
        <f ca="1"/>
        <v>53.956652528484298</v>
      </c>
      <c r="AG3218" s="2">
        <f ca="1"/>
        <v>0.84099123410198118</v>
      </c>
      <c r="AH3218" s="2" t="str">
        <f ca="1"/>
        <v>Bad</v>
      </c>
    </row>
    <row r="3219" spans="2:34" x14ac:dyDescent="0.2">
      <c r="B3219" s="2">
        <f ca="1"/>
        <v>0.59806124651614656</v>
      </c>
      <c r="O3219" s="2">
        <f ca="1"/>
        <v>-1.8198899253822314</v>
      </c>
      <c r="X3219" s="2">
        <f ca="1"/>
        <v>40.955430019260092</v>
      </c>
      <c r="AG3219" s="2">
        <f ca="1"/>
        <v>3.639210566780382E-2</v>
      </c>
      <c r="AH3219" s="2" t="str">
        <f ca="1"/>
        <v>Good</v>
      </c>
    </row>
    <row r="3220" spans="2:34" x14ac:dyDescent="0.2">
      <c r="B3220" s="2">
        <f ca="1"/>
        <v>0.88042814644432044</v>
      </c>
      <c r="O3220" s="2">
        <f ca="1"/>
        <v>0.10710617045199566</v>
      </c>
      <c r="X3220" s="2">
        <f ca="1"/>
        <v>47.474008678425903</v>
      </c>
      <c r="AG3220" s="2">
        <f ca="1"/>
        <v>0.57710435912643754</v>
      </c>
      <c r="AH3220" s="2" t="str">
        <f ca="1"/>
        <v>Bad</v>
      </c>
    </row>
    <row r="3221" spans="2:34" x14ac:dyDescent="0.2">
      <c r="B3221" s="2">
        <f ca="1"/>
        <v>0.17149606020587038</v>
      </c>
      <c r="O3221" s="2">
        <f ca="1"/>
        <v>0.50292622542741583</v>
      </c>
      <c r="X3221" s="2">
        <f ca="1"/>
        <v>49.41378553774868</v>
      </c>
      <c r="AG3221" s="2">
        <f ca="1"/>
        <v>3.1313222060214141E-3</v>
      </c>
      <c r="AH3221" s="2" t="str">
        <f ca="1"/>
        <v>Good</v>
      </c>
    </row>
    <row r="3222" spans="2:34" x14ac:dyDescent="0.2">
      <c r="B3222" s="2">
        <f ca="1"/>
        <v>0.2935683824924753</v>
      </c>
      <c r="O3222" s="2">
        <f ca="1"/>
        <v>-0.61591785292679246</v>
      </c>
      <c r="X3222" s="2">
        <f ca="1"/>
        <v>39.833195216012612</v>
      </c>
      <c r="AG3222" s="2">
        <f ca="1"/>
        <v>0.98681705248970109</v>
      </c>
      <c r="AH3222" s="2" t="str">
        <f ca="1"/>
        <v>Bad</v>
      </c>
    </row>
    <row r="3223" spans="2:34" x14ac:dyDescent="0.2">
      <c r="B3223" s="2">
        <f ca="1"/>
        <v>0.19924671487177181</v>
      </c>
      <c r="O3223" s="2">
        <f ca="1"/>
        <v>0.42917726101667997</v>
      </c>
      <c r="X3223" s="2">
        <f ca="1"/>
        <v>31.659723344399282</v>
      </c>
      <c r="AG3223" s="2">
        <f ca="1"/>
        <v>0.8713036992264438</v>
      </c>
      <c r="AH3223" s="2" t="str">
        <f ca="1"/>
        <v>Bad</v>
      </c>
    </row>
    <row r="3224" spans="2:34" x14ac:dyDescent="0.2">
      <c r="B3224" s="2">
        <f ca="1"/>
        <v>0.90772462369820306</v>
      </c>
      <c r="O3224" s="2">
        <f ca="1"/>
        <v>-0.62201826544938299</v>
      </c>
      <c r="X3224" s="2">
        <f ca="1"/>
        <v>60.545407138302608</v>
      </c>
      <c r="AG3224" s="2">
        <f ca="1"/>
        <v>0.4326426964778407</v>
      </c>
      <c r="AH3224" s="2" t="str">
        <f ca="1"/>
        <v>Bad</v>
      </c>
    </row>
    <row r="3225" spans="2:34" x14ac:dyDescent="0.2">
      <c r="B3225" s="2">
        <f ca="1"/>
        <v>0.82618071958481765</v>
      </c>
      <c r="O3225" s="2">
        <f ca="1"/>
        <v>-0.20404086878292918</v>
      </c>
      <c r="X3225" s="2">
        <f ca="1"/>
        <v>40.248943368546207</v>
      </c>
      <c r="AG3225" s="2">
        <f ca="1"/>
        <v>0.92857789832621873</v>
      </c>
      <c r="AH3225" s="2" t="str">
        <f ca="1"/>
        <v>Bad</v>
      </c>
    </row>
    <row r="3226" spans="2:34" x14ac:dyDescent="0.2">
      <c r="B3226" s="2">
        <f ca="1"/>
        <v>0.67111925719358068</v>
      </c>
      <c r="O3226" s="2">
        <f ca="1"/>
        <v>-4.6178843270238863E-2</v>
      </c>
      <c r="X3226" s="2">
        <f ca="1"/>
        <v>34.781261120259906</v>
      </c>
      <c r="AG3226" s="2">
        <f ca="1"/>
        <v>5.1791941121311913E-2</v>
      </c>
      <c r="AH3226" s="2" t="str">
        <f ca="1"/>
        <v>OK</v>
      </c>
    </row>
    <row r="3227" spans="2:34" x14ac:dyDescent="0.2">
      <c r="B3227" s="2">
        <f ca="1"/>
        <v>0.47653886771609266</v>
      </c>
      <c r="O3227" s="2">
        <f ca="1"/>
        <v>-1.849046778794265</v>
      </c>
      <c r="X3227" s="2">
        <f ca="1"/>
        <v>88.577696543899748</v>
      </c>
      <c r="AG3227" s="2">
        <f ca="1"/>
        <v>0.36108125122850265</v>
      </c>
      <c r="AH3227" s="2" t="str">
        <f ca="1"/>
        <v>OK</v>
      </c>
    </row>
    <row r="3228" spans="2:34" x14ac:dyDescent="0.2">
      <c r="B3228" s="2">
        <f ca="1"/>
        <v>0.39610971906419046</v>
      </c>
      <c r="O3228" s="2">
        <f ca="1"/>
        <v>-0.6360583884370713</v>
      </c>
      <c r="X3228" s="2">
        <f ca="1"/>
        <v>40.908448830808332</v>
      </c>
      <c r="AG3228" s="2">
        <f ca="1"/>
        <v>0.63942681953647584</v>
      </c>
      <c r="AH3228" s="2" t="str">
        <f ca="1"/>
        <v>Bad</v>
      </c>
    </row>
    <row r="3229" spans="2:34" x14ac:dyDescent="0.2">
      <c r="B3229" s="2">
        <f ca="1"/>
        <v>0.45889059846416003</v>
      </c>
      <c r="O3229" s="2">
        <f ca="1"/>
        <v>1.3046610300773749</v>
      </c>
      <c r="X3229" s="2">
        <f ca="1"/>
        <v>53.413003488981936</v>
      </c>
      <c r="AG3229" s="2">
        <f ca="1"/>
        <v>0.60617701809011226</v>
      </c>
      <c r="AH3229" s="2" t="str">
        <f ca="1"/>
        <v>Bad</v>
      </c>
    </row>
    <row r="3230" spans="2:34" x14ac:dyDescent="0.2">
      <c r="B3230" s="2">
        <f ca="1"/>
        <v>0.29204002395741124</v>
      </c>
      <c r="O3230" s="2">
        <f ca="1"/>
        <v>-0.44623886583091393</v>
      </c>
      <c r="X3230" s="2">
        <f ca="1"/>
        <v>69.769193767103758</v>
      </c>
      <c r="AG3230" s="2">
        <f ca="1"/>
        <v>0.18504149909794076</v>
      </c>
      <c r="AH3230" s="2" t="str">
        <f ca="1"/>
        <v>OK</v>
      </c>
    </row>
    <row r="3231" spans="2:34" x14ac:dyDescent="0.2">
      <c r="B3231" s="2">
        <f ca="1"/>
        <v>0.45037239124920214</v>
      </c>
      <c r="O3231" s="2">
        <f ca="1"/>
        <v>-0.92302752459801374</v>
      </c>
      <c r="X3231" s="2">
        <f ca="1"/>
        <v>68.572767090193011</v>
      </c>
      <c r="AG3231" s="2">
        <f ca="1"/>
        <v>0.44257096215858227</v>
      </c>
      <c r="AH3231" s="2" t="str">
        <f ca="1"/>
        <v>Bad</v>
      </c>
    </row>
    <row r="3232" spans="2:34" x14ac:dyDescent="0.2">
      <c r="B3232" s="2">
        <f ca="1"/>
        <v>0.58183609190723873</v>
      </c>
      <c r="O3232" s="2">
        <f ca="1"/>
        <v>-0.96163879520320028</v>
      </c>
      <c r="X3232" s="2">
        <f ca="1"/>
        <v>46.045150293074869</v>
      </c>
      <c r="AG3232" s="2">
        <f ca="1"/>
        <v>0.52362704398084414</v>
      </c>
      <c r="AH3232" s="2" t="str">
        <f ca="1"/>
        <v>Bad</v>
      </c>
    </row>
    <row r="3233" spans="2:34" x14ac:dyDescent="0.2">
      <c r="B3233" s="2">
        <f ca="1"/>
        <v>0.8426973306078831</v>
      </c>
      <c r="O3233" s="2">
        <f ca="1"/>
        <v>-5.4365459900144422E-2</v>
      </c>
      <c r="X3233" s="2">
        <f ca="1"/>
        <v>27.216384721852226</v>
      </c>
      <c r="AG3233" s="2">
        <f ca="1"/>
        <v>0.23773997467609509</v>
      </c>
      <c r="AH3233" s="2" t="str">
        <f ca="1"/>
        <v>OK</v>
      </c>
    </row>
    <row r="3234" spans="2:34" x14ac:dyDescent="0.2">
      <c r="B3234" s="2">
        <f ca="1"/>
        <v>0.22066113818983379</v>
      </c>
      <c r="O3234" s="2">
        <f ca="1"/>
        <v>-0.20398007260505488</v>
      </c>
      <c r="X3234" s="2">
        <f ca="1"/>
        <v>41.300918144069065</v>
      </c>
      <c r="AG3234" s="2">
        <f ca="1"/>
        <v>0.41490093448523524</v>
      </c>
      <c r="AH3234" s="2" t="str">
        <f ca="1"/>
        <v>Bad</v>
      </c>
    </row>
    <row r="3235" spans="2:34" x14ac:dyDescent="0.2">
      <c r="B3235" s="2">
        <f ca="1"/>
        <v>0.61736080712774011</v>
      </c>
      <c r="O3235" s="2">
        <f ca="1"/>
        <v>-0.15529136647607505</v>
      </c>
      <c r="X3235" s="2">
        <f ca="1"/>
        <v>40.188156745455274</v>
      </c>
      <c r="AG3235" s="2">
        <f ca="1"/>
        <v>3.0195442716049126E-2</v>
      </c>
      <c r="AH3235" s="2" t="str">
        <f ca="1"/>
        <v>Good</v>
      </c>
    </row>
    <row r="3236" spans="2:34" x14ac:dyDescent="0.2">
      <c r="B3236" s="2">
        <f ca="1"/>
        <v>0.94978412263631062</v>
      </c>
      <c r="O3236" s="2">
        <f ca="1"/>
        <v>0.32826034695363915</v>
      </c>
      <c r="X3236" s="2">
        <f ca="1"/>
        <v>34.570790457950594</v>
      </c>
      <c r="AG3236" s="2">
        <f ca="1"/>
        <v>0.63994750680497736</v>
      </c>
      <c r="AH3236" s="2" t="str">
        <f ca="1"/>
        <v>Bad</v>
      </c>
    </row>
    <row r="3237" spans="2:34" x14ac:dyDescent="0.2">
      <c r="B3237" s="2">
        <f ca="1"/>
        <v>0.10887960131454144</v>
      </c>
      <c r="O3237" s="2">
        <f ca="1"/>
        <v>-1.2500530910739969</v>
      </c>
      <c r="X3237" s="2">
        <f ca="1"/>
        <v>66.258856743862083</v>
      </c>
      <c r="AG3237" s="2">
        <f ca="1"/>
        <v>0.81669574918411358</v>
      </c>
      <c r="AH3237" s="2" t="str">
        <f ca="1"/>
        <v>Bad</v>
      </c>
    </row>
    <row r="3238" spans="2:34" x14ac:dyDescent="0.2">
      <c r="B3238" s="2">
        <f ca="1"/>
        <v>0.18967477490795126</v>
      </c>
      <c r="O3238" s="2">
        <f ca="1"/>
        <v>-0.22178403803660346</v>
      </c>
      <c r="X3238" s="2">
        <f ca="1"/>
        <v>42.974423932599954</v>
      </c>
      <c r="AG3238" s="2">
        <f ca="1"/>
        <v>0.73805745164148262</v>
      </c>
      <c r="AH3238" s="2" t="str">
        <f ca="1"/>
        <v>Bad</v>
      </c>
    </row>
    <row r="3239" spans="2:34" x14ac:dyDescent="0.2">
      <c r="B3239" s="2">
        <f ca="1"/>
        <v>0.68752163415398559</v>
      </c>
      <c r="O3239" s="2">
        <f ca="1"/>
        <v>-0.41507139271220955</v>
      </c>
      <c r="X3239" s="2">
        <f ca="1"/>
        <v>48.108740423438363</v>
      </c>
      <c r="AG3239" s="2">
        <f ca="1"/>
        <v>0.20887861443433975</v>
      </c>
      <c r="AH3239" s="2" t="str">
        <f ca="1"/>
        <v>OK</v>
      </c>
    </row>
    <row r="3240" spans="2:34" x14ac:dyDescent="0.2">
      <c r="B3240" s="2">
        <f ca="1"/>
        <v>5.2477468067607225E-2</v>
      </c>
      <c r="O3240" s="2">
        <f ca="1"/>
        <v>1.2488860340674939</v>
      </c>
      <c r="X3240" s="2">
        <f ca="1"/>
        <v>35.292203175603596</v>
      </c>
      <c r="AG3240" s="2">
        <f ca="1"/>
        <v>0.89144277320456911</v>
      </c>
      <c r="AH3240" s="2" t="str">
        <f ca="1"/>
        <v>Bad</v>
      </c>
    </row>
    <row r="3241" spans="2:34" x14ac:dyDescent="0.2">
      <c r="B3241" s="2">
        <f ca="1"/>
        <v>0.72135853366233293</v>
      </c>
      <c r="O3241" s="2">
        <f ca="1"/>
        <v>0.22986296612014878</v>
      </c>
      <c r="X3241" s="2">
        <f ca="1"/>
        <v>56.949503902219398</v>
      </c>
      <c r="AG3241" s="2">
        <f ca="1"/>
        <v>0.81824375513353909</v>
      </c>
      <c r="AH3241" s="2" t="str">
        <f ca="1"/>
        <v>Bad</v>
      </c>
    </row>
    <row r="3242" spans="2:34" x14ac:dyDescent="0.2">
      <c r="B3242" s="2">
        <f ca="1"/>
        <v>0.44776352128043118</v>
      </c>
      <c r="O3242" s="2">
        <f ca="1"/>
        <v>-1.3830185194560747</v>
      </c>
      <c r="X3242" s="2">
        <f ca="1"/>
        <v>71.057868186534407</v>
      </c>
      <c r="AG3242" s="2">
        <f ca="1"/>
        <v>0.23153768487296533</v>
      </c>
      <c r="AH3242" s="2" t="str">
        <f ca="1"/>
        <v>OK</v>
      </c>
    </row>
    <row r="3243" spans="2:34" x14ac:dyDescent="0.2">
      <c r="B3243" s="2">
        <f ca="1"/>
        <v>0.65153669183853125</v>
      </c>
      <c r="O3243" s="2">
        <f ca="1"/>
        <v>0.57496808126356336</v>
      </c>
      <c r="X3243" s="2">
        <f ca="1"/>
        <v>52.924524960326082</v>
      </c>
      <c r="AG3243" s="2">
        <f ca="1"/>
        <v>0.33086281472541601</v>
      </c>
      <c r="AH3243" s="2" t="str">
        <f ca="1"/>
        <v>OK</v>
      </c>
    </row>
    <row r="3244" spans="2:34" x14ac:dyDescent="0.2">
      <c r="B3244" s="2">
        <f ca="1"/>
        <v>0.62450554191225804</v>
      </c>
      <c r="O3244" s="2">
        <f ca="1"/>
        <v>-1.5989328147601707</v>
      </c>
      <c r="X3244" s="2">
        <f ca="1"/>
        <v>45.119405074254111</v>
      </c>
      <c r="AG3244" s="2">
        <f ca="1"/>
        <v>0.66123036446163641</v>
      </c>
      <c r="AH3244" s="2" t="str">
        <f ca="1"/>
        <v>Bad</v>
      </c>
    </row>
    <row r="3245" spans="2:34" x14ac:dyDescent="0.2">
      <c r="B3245" s="2">
        <f ca="1"/>
        <v>0.12588951117881519</v>
      </c>
      <c r="O3245" s="2">
        <f ca="1"/>
        <v>0.96228241593394703</v>
      </c>
      <c r="X3245" s="2">
        <f ca="1"/>
        <v>35.854276929302117</v>
      </c>
      <c r="AG3245" s="2">
        <f ca="1"/>
        <v>0.50744898301947039</v>
      </c>
      <c r="AH3245" s="2" t="str">
        <f ca="1"/>
        <v>Bad</v>
      </c>
    </row>
    <row r="3246" spans="2:34" x14ac:dyDescent="0.2">
      <c r="B3246" s="2">
        <f ca="1"/>
        <v>0.58119617970919402</v>
      </c>
      <c r="O3246" s="2">
        <f ca="1"/>
        <v>-0.8192119933880454</v>
      </c>
      <c r="X3246" s="2">
        <f ca="1"/>
        <v>56.635601381668437</v>
      </c>
      <c r="AG3246" s="2">
        <f ca="1"/>
        <v>0.69037193070387359</v>
      </c>
      <c r="AH3246" s="2" t="str">
        <f ca="1"/>
        <v>Bad</v>
      </c>
    </row>
    <row r="3247" spans="2:34" x14ac:dyDescent="0.2">
      <c r="B3247" s="2">
        <f ca="1"/>
        <v>0.34509280029433587</v>
      </c>
      <c r="O3247" s="2">
        <f ca="1"/>
        <v>0.90840381497803036</v>
      </c>
      <c r="X3247" s="2">
        <f ca="1"/>
        <v>50.981825528335484</v>
      </c>
      <c r="AG3247" s="2">
        <f ca="1"/>
        <v>0.62872472449955996</v>
      </c>
      <c r="AH3247" s="2" t="str">
        <f ca="1"/>
        <v>Bad</v>
      </c>
    </row>
    <row r="3248" spans="2:34" x14ac:dyDescent="0.2">
      <c r="B3248" s="2">
        <f ca="1"/>
        <v>0.77150795256386928</v>
      </c>
      <c r="O3248" s="2">
        <f ca="1"/>
        <v>0.9328500347301264</v>
      </c>
      <c r="X3248" s="2">
        <f ca="1"/>
        <v>45.603654152506664</v>
      </c>
      <c r="AG3248" s="2">
        <f ca="1"/>
        <v>0.32957600673922749</v>
      </c>
      <c r="AH3248" s="2" t="str">
        <f ca="1"/>
        <v>OK</v>
      </c>
    </row>
    <row r="3249" spans="2:34" x14ac:dyDescent="0.2">
      <c r="B3249" s="2">
        <f ca="1"/>
        <v>0.61735788395727997</v>
      </c>
      <c r="O3249" s="2">
        <f ca="1"/>
        <v>-0.7453746056253383</v>
      </c>
      <c r="X3249" s="2">
        <f ca="1"/>
        <v>27.849364018100626</v>
      </c>
      <c r="AG3249" s="2">
        <f ca="1"/>
        <v>0.66732084208252807</v>
      </c>
      <c r="AH3249" s="2" t="str">
        <f ca="1"/>
        <v>Bad</v>
      </c>
    </row>
    <row r="3250" spans="2:34" x14ac:dyDescent="0.2">
      <c r="B3250" s="2">
        <f ca="1"/>
        <v>0.26652529115346058</v>
      </c>
      <c r="O3250" s="2">
        <f ca="1"/>
        <v>-1.3375559806257575</v>
      </c>
      <c r="X3250" s="2">
        <f ca="1"/>
        <v>51.070651183264843</v>
      </c>
      <c r="AG3250" s="2">
        <f ca="1"/>
        <v>0.10108139360926183</v>
      </c>
      <c r="AH3250" s="2" t="str">
        <f ca="1"/>
        <v>OK</v>
      </c>
    </row>
    <row r="3251" spans="2:34" x14ac:dyDescent="0.2">
      <c r="B3251" s="2">
        <f ca="1"/>
        <v>0.90689707912722084</v>
      </c>
      <c r="O3251" s="2">
        <f ca="1"/>
        <v>-1.365671460081858</v>
      </c>
      <c r="X3251" s="2">
        <f ca="1"/>
        <v>63.315811424251592</v>
      </c>
      <c r="AG3251" s="2">
        <f ca="1"/>
        <v>0.11354118745848818</v>
      </c>
      <c r="AH3251" s="2" t="str">
        <f ca="1"/>
        <v>OK</v>
      </c>
    </row>
    <row r="3252" spans="2:34" x14ac:dyDescent="0.2">
      <c r="B3252" s="2">
        <f ca="1"/>
        <v>0.29462903192504064</v>
      </c>
      <c r="O3252" s="2">
        <f ca="1"/>
        <v>4.7555738750035714E-2</v>
      </c>
      <c r="X3252" s="2">
        <f ca="1"/>
        <v>52.596104331901628</v>
      </c>
      <c r="AG3252" s="2">
        <f ca="1"/>
        <v>0.24785231237225958</v>
      </c>
      <c r="AH3252" s="2" t="str">
        <f ca="1"/>
        <v>OK</v>
      </c>
    </row>
    <row r="3253" spans="2:34" x14ac:dyDescent="0.2">
      <c r="B3253" s="2">
        <f ca="1"/>
        <v>8.8646037712881709E-2</v>
      </c>
      <c r="O3253" s="2">
        <f ca="1"/>
        <v>1.2891966499609633</v>
      </c>
      <c r="X3253" s="2">
        <f ca="1"/>
        <v>65.282058321815015</v>
      </c>
      <c r="AG3253" s="2">
        <f ca="1"/>
        <v>4.7860621386288216E-2</v>
      </c>
      <c r="AH3253" s="2" t="str">
        <f ca="1"/>
        <v>Good</v>
      </c>
    </row>
    <row r="3254" spans="2:34" x14ac:dyDescent="0.2">
      <c r="B3254" s="2">
        <f ca="1"/>
        <v>0.83181672769717085</v>
      </c>
      <c r="O3254" s="2">
        <f ca="1"/>
        <v>1.2691588481046745</v>
      </c>
      <c r="X3254" s="2">
        <f ca="1"/>
        <v>68.664706745457536</v>
      </c>
      <c r="AG3254" s="2">
        <f ca="1"/>
        <v>0.77405998642200258</v>
      </c>
      <c r="AH3254" s="2" t="str">
        <f ca="1"/>
        <v>Bad</v>
      </c>
    </row>
    <row r="3255" spans="2:34" x14ac:dyDescent="0.2">
      <c r="B3255" s="2">
        <f ca="1"/>
        <v>0.99239327397003052</v>
      </c>
      <c r="O3255" s="2">
        <f ca="1"/>
        <v>0.75813265806115959</v>
      </c>
      <c r="X3255" s="2">
        <f ca="1"/>
        <v>28.334781163974228</v>
      </c>
      <c r="AG3255" s="2">
        <f ca="1"/>
        <v>0.72096453171146835</v>
      </c>
      <c r="AH3255" s="2" t="str">
        <f ca="1"/>
        <v>Bad</v>
      </c>
    </row>
    <row r="3256" spans="2:34" x14ac:dyDescent="0.2">
      <c r="B3256" s="2">
        <f ca="1"/>
        <v>0.97809209287224252</v>
      </c>
      <c r="O3256" s="2">
        <f ca="1"/>
        <v>0.67440322121095608</v>
      </c>
      <c r="X3256" s="2">
        <f ca="1"/>
        <v>40.017710034845322</v>
      </c>
      <c r="AG3256" s="2">
        <f ca="1"/>
        <v>0.83234674921988083</v>
      </c>
      <c r="AH3256" s="2" t="str">
        <f ca="1"/>
        <v>Bad</v>
      </c>
    </row>
    <row r="3257" spans="2:34" x14ac:dyDescent="0.2">
      <c r="B3257" s="2">
        <f ca="1"/>
        <v>0.48637468554908447</v>
      </c>
      <c r="O3257" s="2">
        <f ca="1"/>
        <v>-8.4347033174239749E-2</v>
      </c>
      <c r="X3257" s="2">
        <f ca="1"/>
        <v>44.492022554534202</v>
      </c>
      <c r="AG3257" s="2">
        <f ca="1"/>
        <v>0.23885953684685335</v>
      </c>
      <c r="AH3257" s="2" t="str">
        <f ca="1"/>
        <v>OK</v>
      </c>
    </row>
    <row r="3258" spans="2:34" x14ac:dyDescent="0.2">
      <c r="B3258" s="2">
        <f ca="1"/>
        <v>0.42508642041918754</v>
      </c>
      <c r="O3258" s="2">
        <f ca="1"/>
        <v>7.6764879212307596E-2</v>
      </c>
      <c r="X3258" s="2">
        <f ca="1"/>
        <v>36.708204704888395</v>
      </c>
      <c r="AG3258" s="2">
        <f ca="1"/>
        <v>0.28987694025960442</v>
      </c>
      <c r="AH3258" s="2" t="str">
        <f ca="1"/>
        <v>OK</v>
      </c>
    </row>
    <row r="3259" spans="2:34" x14ac:dyDescent="0.2">
      <c r="B3259" s="2">
        <f ca="1"/>
        <v>0.78784106528721543</v>
      </c>
      <c r="O3259" s="2">
        <f ca="1"/>
        <v>-1.102051261291227</v>
      </c>
      <c r="X3259" s="2">
        <f ca="1"/>
        <v>47.734004574385537</v>
      </c>
      <c r="AG3259" s="2">
        <f ca="1"/>
        <v>0.81773605314351827</v>
      </c>
      <c r="AH3259" s="2" t="str">
        <f ca="1"/>
        <v>Bad</v>
      </c>
    </row>
    <row r="3260" spans="2:34" x14ac:dyDescent="0.2">
      <c r="B3260" s="2">
        <f ca="1"/>
        <v>0.47266357123394354</v>
      </c>
      <c r="O3260" s="2">
        <f ca="1"/>
        <v>-0.93193140770791216</v>
      </c>
      <c r="X3260" s="2">
        <f ca="1"/>
        <v>38.099134202659961</v>
      </c>
      <c r="AG3260" s="2">
        <f ca="1"/>
        <v>0.10348594408746292</v>
      </c>
      <c r="AH3260" s="2" t="str">
        <f ca="1"/>
        <v>OK</v>
      </c>
    </row>
    <row r="3261" spans="2:34" x14ac:dyDescent="0.2">
      <c r="B3261" s="2">
        <f ca="1"/>
        <v>0.54130770150946894</v>
      </c>
      <c r="O3261" s="2">
        <f ca="1"/>
        <v>-1.5454508798027602</v>
      </c>
      <c r="X3261" s="2">
        <f ca="1"/>
        <v>73.923286869106548</v>
      </c>
      <c r="AG3261" s="2">
        <f ca="1"/>
        <v>0.49976378342568561</v>
      </c>
      <c r="AH3261" s="2" t="str">
        <f ca="1"/>
        <v>Bad</v>
      </c>
    </row>
    <row r="3262" spans="2:34" x14ac:dyDescent="0.2">
      <c r="B3262" s="2">
        <f ca="1"/>
        <v>0.22866187589609543</v>
      </c>
      <c r="O3262" s="2">
        <f ca="1"/>
        <v>1.6375211582038827</v>
      </c>
      <c r="X3262" s="2">
        <f ca="1"/>
        <v>51.458393652274744</v>
      </c>
      <c r="AG3262" s="2">
        <f ca="1"/>
        <v>0.58866011767015869</v>
      </c>
      <c r="AH3262" s="2" t="str">
        <f ca="1"/>
        <v>Bad</v>
      </c>
    </row>
    <row r="3263" spans="2:34" x14ac:dyDescent="0.2">
      <c r="B3263" s="2">
        <f ca="1"/>
        <v>0.68440058417968141</v>
      </c>
      <c r="O3263" s="2">
        <f ca="1"/>
        <v>-0.86414755550968247</v>
      </c>
      <c r="X3263" s="2">
        <f ca="1"/>
        <v>48.217454210894459</v>
      </c>
      <c r="AG3263" s="2">
        <f ca="1"/>
        <v>0.72986987409253223</v>
      </c>
      <c r="AH3263" s="2" t="str">
        <f ca="1"/>
        <v>Bad</v>
      </c>
    </row>
    <row r="3264" spans="2:34" x14ac:dyDescent="0.2">
      <c r="B3264" s="2">
        <f ca="1"/>
        <v>0.11052781702950987</v>
      </c>
      <c r="O3264" s="2">
        <f ca="1"/>
        <v>-0.7136798443566853</v>
      </c>
      <c r="X3264" s="2">
        <f ca="1"/>
        <v>40.154652414495686</v>
      </c>
      <c r="AG3264" s="2">
        <f ca="1"/>
        <v>0.15281948666965284</v>
      </c>
      <c r="AH3264" s="2" t="str">
        <f ca="1"/>
        <v>OK</v>
      </c>
    </row>
    <row r="3265" spans="2:34" x14ac:dyDescent="0.2">
      <c r="B3265" s="2">
        <f ca="1"/>
        <v>0.78599577853700686</v>
      </c>
      <c r="O3265" s="2">
        <f ca="1"/>
        <v>0.54504314902596163</v>
      </c>
      <c r="X3265" s="2">
        <f ca="1"/>
        <v>45.919212140368771</v>
      </c>
      <c r="AG3265" s="2">
        <f ca="1"/>
        <v>0.6749386189054587</v>
      </c>
      <c r="AH3265" s="2" t="str">
        <f ca="1"/>
        <v>Bad</v>
      </c>
    </row>
    <row r="3266" spans="2:34" x14ac:dyDescent="0.2">
      <c r="B3266" s="2">
        <f ca="1"/>
        <v>0.90005704970560285</v>
      </c>
      <c r="O3266" s="2">
        <f ca="1"/>
        <v>0.26066105223065622</v>
      </c>
      <c r="X3266" s="2">
        <f ca="1"/>
        <v>41.940796990349526</v>
      </c>
      <c r="AG3266" s="2">
        <f ca="1"/>
        <v>0.62986199276545118</v>
      </c>
      <c r="AH3266" s="2" t="str">
        <f ca="1"/>
        <v>Bad</v>
      </c>
    </row>
    <row r="3267" spans="2:34" x14ac:dyDescent="0.2">
      <c r="B3267" s="2">
        <f ca="1"/>
        <v>0.40736429200241986</v>
      </c>
      <c r="O3267" s="2">
        <f ca="1"/>
        <v>-0.59356453650860952</v>
      </c>
      <c r="X3267" s="2">
        <f ca="1"/>
        <v>69.735149244312339</v>
      </c>
      <c r="AG3267" s="2">
        <f ca="1"/>
        <v>0.74614439448766245</v>
      </c>
      <c r="AH3267" s="2" t="str">
        <f ca="1"/>
        <v>Bad</v>
      </c>
    </row>
    <row r="3268" spans="2:34" x14ac:dyDescent="0.2">
      <c r="B3268" s="2">
        <f ca="1"/>
        <v>0.19068239015683086</v>
      </c>
      <c r="O3268" s="2">
        <f ca="1"/>
        <v>-0.30765341355890347</v>
      </c>
      <c r="X3268" s="2">
        <f ca="1"/>
        <v>21.98173213116457</v>
      </c>
      <c r="AG3268" s="2">
        <f ca="1"/>
        <v>0.38683390465839929</v>
      </c>
      <c r="AH3268" s="2" t="str">
        <f ca="1"/>
        <v>OK</v>
      </c>
    </row>
    <row r="3269" spans="2:34" x14ac:dyDescent="0.2">
      <c r="B3269" s="2">
        <f ca="1"/>
        <v>0.87212296905321351</v>
      </c>
      <c r="O3269" s="2">
        <f ca="1"/>
        <v>-1.5312635655365265</v>
      </c>
      <c r="X3269" s="2">
        <f ca="1"/>
        <v>52.798887044925699</v>
      </c>
      <c r="AG3269" s="2">
        <f ca="1"/>
        <v>0.99513711748248945</v>
      </c>
      <c r="AH3269" s="2" t="str">
        <f ca="1"/>
        <v>Bad</v>
      </c>
    </row>
    <row r="3270" spans="2:34" x14ac:dyDescent="0.2">
      <c r="B3270" s="2">
        <f ca="1"/>
        <v>0.64434710316948696</v>
      </c>
      <c r="O3270" s="2">
        <f ca="1"/>
        <v>-0.7456219859437504</v>
      </c>
      <c r="X3270" s="2">
        <f ca="1"/>
        <v>13.754535213109254</v>
      </c>
      <c r="AG3270" s="2">
        <f ca="1"/>
        <v>0.55168169918718868</v>
      </c>
      <c r="AH3270" s="2" t="str">
        <f ca="1"/>
        <v>Bad</v>
      </c>
    </row>
    <row r="3271" spans="2:34" x14ac:dyDescent="0.2">
      <c r="B3271" s="2">
        <f ca="1"/>
        <v>0.88271413461755044</v>
      </c>
      <c r="O3271" s="2">
        <f ca="1"/>
        <v>0.41115839607147625</v>
      </c>
      <c r="X3271" s="2">
        <f ca="1"/>
        <v>40.577540757999493</v>
      </c>
      <c r="AG3271" s="2">
        <f ca="1"/>
        <v>0.85928513590226996</v>
      </c>
      <c r="AH3271" s="2" t="str">
        <f ca="1"/>
        <v>Bad</v>
      </c>
    </row>
    <row r="3272" spans="2:34" x14ac:dyDescent="0.2">
      <c r="B3272" s="2">
        <f ca="1"/>
        <v>0.8677422893263449</v>
      </c>
      <c r="O3272" s="2">
        <f ca="1"/>
        <v>0.92559925901676365</v>
      </c>
      <c r="X3272" s="2">
        <f ca="1"/>
        <v>61.287769771253508</v>
      </c>
      <c r="AG3272" s="2">
        <f ca="1"/>
        <v>0.39267831517788787</v>
      </c>
      <c r="AH3272" s="2" t="str">
        <f ca="1"/>
        <v>OK</v>
      </c>
    </row>
    <row r="3273" spans="2:34" x14ac:dyDescent="0.2">
      <c r="B3273" s="2">
        <f ca="1"/>
        <v>8.609247811346199E-2</v>
      </c>
      <c r="O3273" s="2">
        <f ca="1"/>
        <v>-0.36575261145084503</v>
      </c>
      <c r="X3273" s="2">
        <f ca="1"/>
        <v>45.168014908742165</v>
      </c>
      <c r="AG3273" s="2">
        <f ca="1"/>
        <v>0.85740026511094181</v>
      </c>
      <c r="AH3273" s="2" t="str">
        <f ca="1"/>
        <v>Bad</v>
      </c>
    </row>
    <row r="3274" spans="2:34" x14ac:dyDescent="0.2">
      <c r="B3274" s="2">
        <f ca="1"/>
        <v>0.75839696296889447</v>
      </c>
      <c r="O3274" s="2">
        <f ca="1"/>
        <v>-0.45154557129446315</v>
      </c>
      <c r="X3274" s="2">
        <f ca="1"/>
        <v>71.721955993400101</v>
      </c>
      <c r="AG3274" s="2">
        <f ca="1"/>
        <v>0.47096793265294035</v>
      </c>
      <c r="AH3274" s="2" t="str">
        <f ca="1"/>
        <v>Bad</v>
      </c>
    </row>
    <row r="3275" spans="2:34" x14ac:dyDescent="0.2">
      <c r="B3275" s="2">
        <f ca="1"/>
        <v>0.45291256125253887</v>
      </c>
      <c r="O3275" s="2">
        <f ca="1"/>
        <v>2.1286207075103034</v>
      </c>
      <c r="X3275" s="2">
        <f ca="1"/>
        <v>60.506503699283058</v>
      </c>
      <c r="AG3275" s="2">
        <f ca="1"/>
        <v>0.98897966832867867</v>
      </c>
      <c r="AH3275" s="2" t="str">
        <f ca="1"/>
        <v>Bad</v>
      </c>
    </row>
    <row r="3276" spans="2:34" x14ac:dyDescent="0.2">
      <c r="B3276" s="2">
        <f ca="1"/>
        <v>0.53942986739298737</v>
      </c>
      <c r="O3276" s="2">
        <f ca="1"/>
        <v>-0.744016222834888</v>
      </c>
      <c r="X3276" s="2">
        <f ca="1"/>
        <v>45.436332778520381</v>
      </c>
      <c r="AG3276" s="2">
        <f ca="1"/>
        <v>0.65595622318682567</v>
      </c>
      <c r="AH3276" s="2" t="str">
        <f ca="1"/>
        <v>Bad</v>
      </c>
    </row>
    <row r="3277" spans="2:34" x14ac:dyDescent="0.2">
      <c r="B3277" s="2">
        <f ca="1"/>
        <v>0.95267150590301597</v>
      </c>
      <c r="O3277" s="2">
        <f ca="1"/>
        <v>-0.51889231229959287</v>
      </c>
      <c r="X3277" s="2">
        <f ca="1"/>
        <v>74.594504659019293</v>
      </c>
      <c r="AG3277" s="2">
        <f ca="1"/>
        <v>0.73121262849616842</v>
      </c>
      <c r="AH3277" s="2" t="str">
        <f ca="1"/>
        <v>Bad</v>
      </c>
    </row>
    <row r="3278" spans="2:34" x14ac:dyDescent="0.2">
      <c r="B3278" s="2">
        <f ca="1"/>
        <v>0.93810530863220154</v>
      </c>
      <c r="O3278" s="2">
        <f ca="1"/>
        <v>1.7216373373806053</v>
      </c>
      <c r="X3278" s="2">
        <f ca="1"/>
        <v>63.026942828224826</v>
      </c>
      <c r="AG3278" s="2">
        <f ca="1"/>
        <v>0.60264284456644446</v>
      </c>
      <c r="AH3278" s="2" t="str">
        <f ca="1"/>
        <v>Bad</v>
      </c>
    </row>
    <row r="3279" spans="2:34" x14ac:dyDescent="0.2">
      <c r="B3279" s="2">
        <f ca="1"/>
        <v>0.99375273193193348</v>
      </c>
      <c r="O3279" s="2">
        <f ca="1"/>
        <v>1.2723248152534647</v>
      </c>
      <c r="X3279" s="2">
        <f ca="1"/>
        <v>102.30883673238097</v>
      </c>
      <c r="AG3279" s="2">
        <f ca="1"/>
        <v>3.3552709769469002E-2</v>
      </c>
      <c r="AH3279" s="2" t="str">
        <f ca="1"/>
        <v>Good</v>
      </c>
    </row>
    <row r="3280" spans="2:34" x14ac:dyDescent="0.2">
      <c r="B3280" s="2">
        <f ca="1"/>
        <v>0.7256533104223557</v>
      </c>
      <c r="O3280" s="2">
        <f ca="1"/>
        <v>-0.79809497341543789</v>
      </c>
      <c r="X3280" s="2">
        <f ca="1"/>
        <v>39.858632775084942</v>
      </c>
      <c r="AG3280" s="2">
        <f ca="1"/>
        <v>0.40819619494906578</v>
      </c>
      <c r="AH3280" s="2" t="str">
        <f ca="1"/>
        <v>Bad</v>
      </c>
    </row>
    <row r="3281" spans="2:34" x14ac:dyDescent="0.2">
      <c r="B3281" s="2">
        <f ca="1"/>
        <v>0.94452245746716934</v>
      </c>
      <c r="O3281" s="2">
        <f ca="1"/>
        <v>-0.13222089527254513</v>
      </c>
      <c r="X3281" s="2">
        <f ca="1"/>
        <v>51.012416494552411</v>
      </c>
      <c r="AG3281" s="2">
        <f ca="1"/>
        <v>0.54329137330896904</v>
      </c>
      <c r="AH3281" s="2" t="str">
        <f ca="1"/>
        <v>Bad</v>
      </c>
    </row>
    <row r="3282" spans="2:34" x14ac:dyDescent="0.2">
      <c r="B3282" s="2">
        <f ca="1"/>
        <v>0.97260937178941642</v>
      </c>
      <c r="O3282" s="2">
        <f ca="1"/>
        <v>0.33845321803279954</v>
      </c>
      <c r="X3282" s="2">
        <f ca="1"/>
        <v>42.715128820447596</v>
      </c>
      <c r="AG3282" s="2">
        <f ca="1"/>
        <v>0.36056540364844381</v>
      </c>
      <c r="AH3282" s="2" t="str">
        <f ca="1"/>
        <v>OK</v>
      </c>
    </row>
    <row r="3283" spans="2:34" x14ac:dyDescent="0.2">
      <c r="B3283" s="2">
        <f ca="1"/>
        <v>0.26524650409635742</v>
      </c>
      <c r="O3283" s="2">
        <f ca="1"/>
        <v>-0.65961406541966017</v>
      </c>
      <c r="X3283" s="2">
        <f ca="1"/>
        <v>60.653681079195707</v>
      </c>
      <c r="AG3283" s="2">
        <f ca="1"/>
        <v>0.53240043053573571</v>
      </c>
      <c r="AH3283" s="2" t="str">
        <f ca="1"/>
        <v>Bad</v>
      </c>
    </row>
    <row r="3284" spans="2:34" x14ac:dyDescent="0.2">
      <c r="B3284" s="2">
        <f ca="1"/>
        <v>3.5118315361298835E-2</v>
      </c>
      <c r="O3284" s="2">
        <f ca="1"/>
        <v>0.28639809567646102</v>
      </c>
      <c r="X3284" s="2">
        <f ca="1"/>
        <v>58.373903011213415</v>
      </c>
      <c r="AG3284" s="2">
        <f ca="1"/>
        <v>0.24475432587188117</v>
      </c>
      <c r="AH3284" s="2" t="str">
        <f ca="1"/>
        <v>OK</v>
      </c>
    </row>
    <row r="3285" spans="2:34" x14ac:dyDescent="0.2">
      <c r="B3285" s="2">
        <f ca="1"/>
        <v>0.55332538650813978</v>
      </c>
      <c r="O3285" s="2">
        <f ca="1"/>
        <v>-1.2171276607284143E-2</v>
      </c>
      <c r="X3285" s="2">
        <f ca="1"/>
        <v>56.217848651302106</v>
      </c>
      <c r="AG3285" s="2">
        <f ca="1"/>
        <v>0.2861611469648595</v>
      </c>
      <c r="AH3285" s="2" t="str">
        <f ca="1"/>
        <v>OK</v>
      </c>
    </row>
    <row r="3286" spans="2:34" x14ac:dyDescent="0.2">
      <c r="B3286" s="2">
        <f ca="1"/>
        <v>0.90514119360605205</v>
      </c>
      <c r="O3286" s="2">
        <f ca="1"/>
        <v>-3.9338123496881372E-2</v>
      </c>
      <c r="X3286" s="2">
        <f ca="1"/>
        <v>43.497462047510012</v>
      </c>
      <c r="AG3286" s="2">
        <f ca="1"/>
        <v>0.65505552643365084</v>
      </c>
      <c r="AH3286" s="2" t="str">
        <f ca="1"/>
        <v>Bad</v>
      </c>
    </row>
    <row r="3287" spans="2:34" x14ac:dyDescent="0.2">
      <c r="B3287" s="2">
        <f ca="1"/>
        <v>0.28293547302659383</v>
      </c>
      <c r="O3287" s="2">
        <f ca="1"/>
        <v>1.3643989263561263</v>
      </c>
      <c r="X3287" s="2">
        <f ca="1"/>
        <v>34.792292263091717</v>
      </c>
      <c r="AG3287" s="2">
        <f ca="1"/>
        <v>0.25747020352462813</v>
      </c>
      <c r="AH3287" s="2" t="str">
        <f ca="1"/>
        <v>OK</v>
      </c>
    </row>
    <row r="3288" spans="2:34" x14ac:dyDescent="0.2">
      <c r="B3288" s="2">
        <f ca="1"/>
        <v>0.65795019977556946</v>
      </c>
      <c r="O3288" s="2">
        <f ca="1"/>
        <v>-0.14522994198380615</v>
      </c>
      <c r="X3288" s="2">
        <f ca="1"/>
        <v>52.419976860889719</v>
      </c>
      <c r="AG3288" s="2">
        <f ca="1"/>
        <v>0.7982902500550999</v>
      </c>
      <c r="AH3288" s="2" t="str">
        <f ca="1"/>
        <v>Bad</v>
      </c>
    </row>
    <row r="3289" spans="2:34" x14ac:dyDescent="0.2">
      <c r="B3289" s="2">
        <f ca="1"/>
        <v>1.686241119698817E-2</v>
      </c>
      <c r="O3289" s="2">
        <f ca="1"/>
        <v>5.7368423189546554E-2</v>
      </c>
      <c r="X3289" s="2">
        <f ca="1"/>
        <v>22.349988588547276</v>
      </c>
      <c r="AG3289" s="2">
        <f ca="1"/>
        <v>0.52848908540137529</v>
      </c>
      <c r="AH3289" s="2" t="str">
        <f ca="1"/>
        <v>Bad</v>
      </c>
    </row>
    <row r="3290" spans="2:34" x14ac:dyDescent="0.2">
      <c r="B3290" s="2">
        <f ca="1"/>
        <v>0.10089782969739303</v>
      </c>
      <c r="O3290" s="2">
        <f ca="1"/>
        <v>2.2715842042361212E-2</v>
      </c>
      <c r="X3290" s="2">
        <f ca="1"/>
        <v>52.469870051699047</v>
      </c>
      <c r="AG3290" s="2">
        <f ca="1"/>
        <v>0.6200582778439041</v>
      </c>
      <c r="AH3290" s="2" t="str">
        <f ca="1"/>
        <v>Bad</v>
      </c>
    </row>
    <row r="3291" spans="2:34" x14ac:dyDescent="0.2">
      <c r="B3291" s="2">
        <f ca="1"/>
        <v>0.75753888091275412</v>
      </c>
      <c r="O3291" s="2">
        <f ca="1"/>
        <v>-1.6950870610191611</v>
      </c>
      <c r="X3291" s="2">
        <f ca="1"/>
        <v>41.669383568236512</v>
      </c>
      <c r="AG3291" s="2">
        <f ca="1"/>
        <v>0.93663121816014261</v>
      </c>
      <c r="AH3291" s="2" t="str">
        <f ca="1"/>
        <v>Bad</v>
      </c>
    </row>
    <row r="3292" spans="2:34" x14ac:dyDescent="0.2">
      <c r="B3292" s="2">
        <f ca="1"/>
        <v>0.83211426873224115</v>
      </c>
      <c r="O3292" s="2">
        <f ca="1"/>
        <v>-1.3461207919928015</v>
      </c>
      <c r="X3292" s="2">
        <f ca="1"/>
        <v>64.315051927888547</v>
      </c>
      <c r="AG3292" s="2">
        <f ca="1"/>
        <v>0.65139612596589536</v>
      </c>
      <c r="AH3292" s="2" t="str">
        <f ca="1"/>
        <v>Bad</v>
      </c>
    </row>
    <row r="3293" spans="2:34" x14ac:dyDescent="0.2">
      <c r="B3293" s="2">
        <f ca="1"/>
        <v>0.59161839641520753</v>
      </c>
      <c r="O3293" s="2">
        <f ca="1"/>
        <v>-0.11810100886969473</v>
      </c>
      <c r="X3293" s="2">
        <f ca="1"/>
        <v>52.149601080064414</v>
      </c>
      <c r="AG3293" s="2">
        <f ca="1"/>
        <v>0.68514775174088727</v>
      </c>
      <c r="AH3293" s="2" t="str">
        <f ca="1"/>
        <v>Bad</v>
      </c>
    </row>
    <row r="3294" spans="2:34" x14ac:dyDescent="0.2">
      <c r="B3294" s="2">
        <f ca="1"/>
        <v>0.96313504490720381</v>
      </c>
      <c r="O3294" s="2">
        <f ca="1"/>
        <v>-0.92178079909426014</v>
      </c>
      <c r="X3294" s="2">
        <f ca="1"/>
        <v>52.167507944216936</v>
      </c>
      <c r="AG3294" s="2">
        <f ca="1"/>
        <v>0.76706736947729537</v>
      </c>
      <c r="AH3294" s="2" t="str">
        <f ca="1"/>
        <v>Bad</v>
      </c>
    </row>
    <row r="3295" spans="2:34" x14ac:dyDescent="0.2">
      <c r="B3295" s="2">
        <f ca="1"/>
        <v>0.10911659556302999</v>
      </c>
      <c r="O3295" s="2">
        <f ca="1"/>
        <v>-0.58502265407575904</v>
      </c>
      <c r="X3295" s="2">
        <f ca="1"/>
        <v>43.975312567596944</v>
      </c>
      <c r="AG3295" s="2">
        <f ca="1"/>
        <v>0.88703121105579741</v>
      </c>
      <c r="AH3295" s="2" t="str">
        <f ca="1"/>
        <v>Bad</v>
      </c>
    </row>
    <row r="3296" spans="2:34" x14ac:dyDescent="0.2">
      <c r="B3296" s="2">
        <f ca="1"/>
        <v>0.56624146249463259</v>
      </c>
      <c r="O3296" s="2">
        <f ca="1"/>
        <v>0.63787936773643006</v>
      </c>
      <c r="X3296" s="2">
        <f ca="1"/>
        <v>54.834010773345625</v>
      </c>
      <c r="AG3296" s="2">
        <f ca="1"/>
        <v>8.9299410105160071E-2</v>
      </c>
      <c r="AH3296" s="2" t="str">
        <f ca="1"/>
        <v>OK</v>
      </c>
    </row>
    <row r="3297" spans="2:34" x14ac:dyDescent="0.2">
      <c r="B3297" s="2">
        <f ca="1"/>
        <v>0.49911643075926593</v>
      </c>
      <c r="O3297" s="2">
        <f ca="1"/>
        <v>0.26621939545287793</v>
      </c>
      <c r="X3297" s="2">
        <f ca="1"/>
        <v>32.552170198620821</v>
      </c>
      <c r="AG3297" s="2">
        <f ca="1"/>
        <v>8.7843803933498332E-3</v>
      </c>
      <c r="AH3297" s="2" t="str">
        <f ca="1"/>
        <v>Good</v>
      </c>
    </row>
    <row r="3298" spans="2:34" x14ac:dyDescent="0.2">
      <c r="B3298" s="2">
        <f ca="1"/>
        <v>0.45765373639192375</v>
      </c>
      <c r="O3298" s="2">
        <f ca="1"/>
        <v>-1.457893982032838</v>
      </c>
      <c r="X3298" s="2">
        <f ca="1"/>
        <v>37.100694133642548</v>
      </c>
      <c r="AG3298" s="2">
        <f ca="1"/>
        <v>0.25561666231393843</v>
      </c>
      <c r="AH3298" s="2" t="str">
        <f ca="1"/>
        <v>OK</v>
      </c>
    </row>
    <row r="3299" spans="2:34" x14ac:dyDescent="0.2">
      <c r="B3299" s="2">
        <f ca="1"/>
        <v>0.58202570630499184</v>
      </c>
      <c r="O3299" s="2">
        <f ca="1"/>
        <v>-0.31048017332534389</v>
      </c>
      <c r="X3299" s="2">
        <f ca="1"/>
        <v>48.616419433502436</v>
      </c>
      <c r="AG3299" s="2">
        <f ca="1"/>
        <v>0.28507471792174144</v>
      </c>
      <c r="AH3299" s="2" t="str">
        <f ca="1"/>
        <v>OK</v>
      </c>
    </row>
    <row r="3300" spans="2:34" x14ac:dyDescent="0.2">
      <c r="B3300" s="2">
        <f ca="1"/>
        <v>0.21871292555514565</v>
      </c>
      <c r="O3300" s="2">
        <f ca="1"/>
        <v>-6.3205777769952703E-2</v>
      </c>
      <c r="X3300" s="2">
        <f ca="1"/>
        <v>40.576253736379222</v>
      </c>
      <c r="AG3300" s="2">
        <f ca="1"/>
        <v>0.429465434629694</v>
      </c>
      <c r="AH3300" s="2" t="str">
        <f ca="1"/>
        <v>Bad</v>
      </c>
    </row>
    <row r="3301" spans="2:34" x14ac:dyDescent="0.2">
      <c r="B3301" s="2">
        <f ca="1"/>
        <v>0.55381272756398081</v>
      </c>
      <c r="O3301" s="2">
        <f ca="1"/>
        <v>-0.4159053695947903</v>
      </c>
      <c r="X3301" s="2">
        <f ca="1"/>
        <v>44.116164821673927</v>
      </c>
      <c r="AG3301" s="2">
        <f ca="1"/>
        <v>0.22643789271007586</v>
      </c>
      <c r="AH3301" s="2" t="str">
        <f ca="1"/>
        <v>OK</v>
      </c>
    </row>
    <row r="3302" spans="2:34" x14ac:dyDescent="0.2">
      <c r="B3302" s="2">
        <f ca="1"/>
        <v>0.44164166259407733</v>
      </c>
      <c r="O3302" s="2">
        <f ca="1"/>
        <v>-0.37886105468274545</v>
      </c>
      <c r="X3302" s="2">
        <f ca="1"/>
        <v>27.684180118533341</v>
      </c>
      <c r="AG3302" s="2">
        <f ca="1"/>
        <v>0.84952851983070299</v>
      </c>
      <c r="AH3302" s="2" t="str">
        <f ca="1"/>
        <v>Bad</v>
      </c>
    </row>
    <row r="3303" spans="2:34" x14ac:dyDescent="0.2">
      <c r="B3303" s="2">
        <f ca="1"/>
        <v>0.60924703181242545</v>
      </c>
      <c r="O3303" s="2">
        <f ca="1"/>
        <v>0.42619372216005541</v>
      </c>
      <c r="X3303" s="2">
        <f ca="1"/>
        <v>32.071133296571887</v>
      </c>
      <c r="AG3303" s="2">
        <f ca="1"/>
        <v>0.36405718527406306</v>
      </c>
      <c r="AH3303" s="2" t="str">
        <f ca="1"/>
        <v>OK</v>
      </c>
    </row>
    <row r="3304" spans="2:34" x14ac:dyDescent="0.2">
      <c r="B3304" s="2">
        <f ca="1"/>
        <v>0.2771087466550326</v>
      </c>
      <c r="O3304" s="2">
        <f ca="1"/>
        <v>-1.7151965056246403</v>
      </c>
      <c r="X3304" s="2">
        <f ca="1"/>
        <v>59.066335100595822</v>
      </c>
      <c r="AG3304" s="2">
        <f ca="1"/>
        <v>9.6306511024679686E-2</v>
      </c>
      <c r="AH3304" s="2" t="str">
        <f ca="1"/>
        <v>OK</v>
      </c>
    </row>
    <row r="3305" spans="2:34" x14ac:dyDescent="0.2">
      <c r="B3305" s="2">
        <f ca="1"/>
        <v>0.99512149721933651</v>
      </c>
      <c r="O3305" s="2">
        <f ca="1"/>
        <v>0.79884889521562807</v>
      </c>
      <c r="X3305" s="2">
        <f ca="1"/>
        <v>62.219876932244269</v>
      </c>
      <c r="AG3305" s="2">
        <f ca="1"/>
        <v>0.17403214085908436</v>
      </c>
      <c r="AH3305" s="2" t="str">
        <f ca="1"/>
        <v>OK</v>
      </c>
    </row>
    <row r="3306" spans="2:34" x14ac:dyDescent="0.2">
      <c r="B3306" s="2">
        <f ca="1"/>
        <v>1.1909739801814201E-2</v>
      </c>
      <c r="O3306" s="2">
        <f ca="1"/>
        <v>0.34223256505681021</v>
      </c>
      <c r="X3306" s="2">
        <f ca="1"/>
        <v>63.298542334469801</v>
      </c>
      <c r="AG3306" s="2">
        <f ca="1"/>
        <v>0.95431290424361581</v>
      </c>
      <c r="AH3306" s="2" t="str">
        <f ca="1"/>
        <v>Bad</v>
      </c>
    </row>
    <row r="3307" spans="2:34" x14ac:dyDescent="0.2">
      <c r="B3307" s="2">
        <f ca="1"/>
        <v>0.10112360992117386</v>
      </c>
      <c r="O3307" s="2">
        <f ca="1"/>
        <v>1.1822195502103234</v>
      </c>
      <c r="X3307" s="2">
        <f ca="1"/>
        <v>54.268994868915158</v>
      </c>
      <c r="AG3307" s="2">
        <f ca="1"/>
        <v>8.1639359302595915E-2</v>
      </c>
      <c r="AH3307" s="2" t="str">
        <f ca="1"/>
        <v>OK</v>
      </c>
    </row>
    <row r="3308" spans="2:34" x14ac:dyDescent="0.2">
      <c r="B3308" s="2">
        <f ca="1"/>
        <v>0.73030430163116078</v>
      </c>
      <c r="O3308" s="2">
        <f ca="1"/>
        <v>1.3117197419506512</v>
      </c>
      <c r="X3308" s="2">
        <f ca="1"/>
        <v>76.676897092362736</v>
      </c>
      <c r="AG3308" s="2">
        <f ca="1"/>
        <v>0.77804655566991965</v>
      </c>
      <c r="AH3308" s="2" t="str">
        <f ca="1"/>
        <v>Bad</v>
      </c>
    </row>
    <row r="3309" spans="2:34" x14ac:dyDescent="0.2">
      <c r="B3309" s="2">
        <f ca="1"/>
        <v>0.99183920841535467</v>
      </c>
      <c r="O3309" s="2">
        <f ca="1"/>
        <v>-4.2222602053944118E-3</v>
      </c>
      <c r="X3309" s="2">
        <f ca="1"/>
        <v>62.797130642231764</v>
      </c>
      <c r="AG3309" s="2">
        <f ca="1"/>
        <v>0.30302731785904324</v>
      </c>
      <c r="AH3309" s="2" t="str">
        <f ca="1"/>
        <v>OK</v>
      </c>
    </row>
    <row r="3310" spans="2:34" x14ac:dyDescent="0.2">
      <c r="B3310" s="2">
        <f ca="1"/>
        <v>0.35479714691109687</v>
      </c>
      <c r="O3310" s="2">
        <f ca="1"/>
        <v>-0.89727763748757683</v>
      </c>
      <c r="X3310" s="2">
        <f ca="1"/>
        <v>55.376264283829556</v>
      </c>
      <c r="AG3310" s="2">
        <f ca="1"/>
        <v>0.51609364521338752</v>
      </c>
      <c r="AH3310" s="2" t="str">
        <f ca="1"/>
        <v>Bad</v>
      </c>
    </row>
    <row r="3311" spans="2:34" x14ac:dyDescent="0.2">
      <c r="B3311" s="2">
        <f ca="1"/>
        <v>0.31826669232822313</v>
      </c>
      <c r="O3311" s="2">
        <f ca="1"/>
        <v>1.3653535181440222</v>
      </c>
      <c r="X3311" s="2">
        <f ca="1"/>
        <v>31.711112518421054</v>
      </c>
      <c r="AG3311" s="2">
        <f ca="1"/>
        <v>6.7733928778597852E-2</v>
      </c>
      <c r="AH3311" s="2" t="str">
        <f ca="1"/>
        <v>OK</v>
      </c>
    </row>
    <row r="3312" spans="2:34" x14ac:dyDescent="0.2">
      <c r="B3312" s="2">
        <f ca="1"/>
        <v>0.14964757498287629</v>
      </c>
      <c r="O3312" s="2">
        <f ca="1"/>
        <v>-0.27443599773929239</v>
      </c>
      <c r="X3312" s="2">
        <f ca="1"/>
        <v>46.059246560765537</v>
      </c>
      <c r="AG3312" s="2">
        <f ca="1"/>
        <v>0.93853892636023928</v>
      </c>
      <c r="AH3312" s="2" t="str">
        <f ca="1"/>
        <v>Bad</v>
      </c>
    </row>
    <row r="3313" spans="2:34" x14ac:dyDescent="0.2">
      <c r="B3313" s="2">
        <f ca="1"/>
        <v>0.27606191838498728</v>
      </c>
      <c r="O3313" s="2">
        <f ca="1"/>
        <v>1.817589027750768</v>
      </c>
      <c r="X3313" s="2">
        <f ca="1"/>
        <v>61.545535049501545</v>
      </c>
      <c r="AG3313" s="2">
        <f ca="1"/>
        <v>0.59999695074657122</v>
      </c>
      <c r="AH3313" s="2" t="str">
        <f ca="1"/>
        <v>Bad</v>
      </c>
    </row>
    <row r="3314" spans="2:34" x14ac:dyDescent="0.2">
      <c r="B3314" s="2">
        <f ca="1"/>
        <v>0.83587693889008197</v>
      </c>
      <c r="O3314" s="2">
        <f ca="1"/>
        <v>-0.55258207503557233</v>
      </c>
      <c r="X3314" s="2">
        <f ca="1"/>
        <v>50.97498449293893</v>
      </c>
      <c r="AG3314" s="2">
        <f ca="1"/>
        <v>0.83156964577150583</v>
      </c>
      <c r="AH3314" s="2" t="str">
        <f ca="1"/>
        <v>Bad</v>
      </c>
    </row>
    <row r="3315" spans="2:34" x14ac:dyDescent="0.2">
      <c r="B3315" s="2">
        <f ca="1"/>
        <v>0.96795541906688509</v>
      </c>
      <c r="O3315" s="2">
        <f ca="1"/>
        <v>0.35843363189751759</v>
      </c>
      <c r="X3315" s="2">
        <f ca="1"/>
        <v>74.749677778763171</v>
      </c>
      <c r="AG3315" s="2">
        <f ca="1"/>
        <v>0.27725170620578576</v>
      </c>
      <c r="AH3315" s="2" t="str">
        <f ca="1"/>
        <v>OK</v>
      </c>
    </row>
    <row r="3316" spans="2:34" x14ac:dyDescent="0.2">
      <c r="B3316" s="2">
        <f ca="1"/>
        <v>0.46914246926190484</v>
      </c>
      <c r="O3316" s="2">
        <f ca="1"/>
        <v>1.5387537291972038</v>
      </c>
      <c r="X3316" s="2">
        <f ca="1"/>
        <v>14.296004581596877</v>
      </c>
      <c r="AG3316" s="2">
        <f ca="1"/>
        <v>0.95019569147288996</v>
      </c>
      <c r="AH3316" s="2" t="str">
        <f ca="1"/>
        <v>Bad</v>
      </c>
    </row>
    <row r="3317" spans="2:34" x14ac:dyDescent="0.2">
      <c r="B3317" s="2">
        <f ca="1"/>
        <v>0.56326254477751547</v>
      </c>
      <c r="O3317" s="2">
        <f ca="1"/>
        <v>0.41036409680771402</v>
      </c>
      <c r="X3317" s="2">
        <f ca="1"/>
        <v>27.812802939882584</v>
      </c>
      <c r="AG3317" s="2">
        <f ca="1"/>
        <v>0.78951272885427337</v>
      </c>
      <c r="AH3317" s="2" t="str">
        <f ca="1"/>
        <v>Bad</v>
      </c>
    </row>
    <row r="3318" spans="2:34" x14ac:dyDescent="0.2">
      <c r="B3318" s="2">
        <f ca="1"/>
        <v>0.84864293873724339</v>
      </c>
      <c r="O3318" s="2">
        <f ca="1"/>
        <v>0.58162327656110102</v>
      </c>
      <c r="X3318" s="2">
        <f ca="1"/>
        <v>47.979294566536588</v>
      </c>
      <c r="AG3318" s="2">
        <f ca="1"/>
        <v>0.96067752571131826</v>
      </c>
      <c r="AH3318" s="2" t="str">
        <f ca="1"/>
        <v>Bad</v>
      </c>
    </row>
    <row r="3319" spans="2:34" x14ac:dyDescent="0.2">
      <c r="B3319" s="2">
        <f ca="1"/>
        <v>0.6016619840205486</v>
      </c>
      <c r="O3319" s="2">
        <f ca="1"/>
        <v>-5.2603506897934887E-2</v>
      </c>
      <c r="X3319" s="2">
        <f ca="1"/>
        <v>71.587733726664354</v>
      </c>
      <c r="AG3319" s="2">
        <f ca="1"/>
        <v>0.60326267105196774</v>
      </c>
      <c r="AH3319" s="2" t="str">
        <f ca="1"/>
        <v>Bad</v>
      </c>
    </row>
    <row r="3320" spans="2:34" x14ac:dyDescent="0.2">
      <c r="B3320" s="2">
        <f ca="1"/>
        <v>0.4173936967056997</v>
      </c>
      <c r="O3320" s="2">
        <f ca="1"/>
        <v>-1.4459573431780885</v>
      </c>
      <c r="X3320" s="2">
        <f ca="1"/>
        <v>70.863001297064557</v>
      </c>
      <c r="AG3320" s="2">
        <f ca="1"/>
        <v>0.62439029883906949</v>
      </c>
      <c r="AH3320" s="2" t="str">
        <f ca="1"/>
        <v>Bad</v>
      </c>
    </row>
    <row r="3321" spans="2:34" x14ac:dyDescent="0.2">
      <c r="B3321" s="2">
        <f ca="1"/>
        <v>0.91527359845029221</v>
      </c>
      <c r="O3321" s="2">
        <f ca="1"/>
        <v>0.15989544090470514</v>
      </c>
      <c r="X3321" s="2">
        <f ca="1"/>
        <v>50.352410984416132</v>
      </c>
      <c r="AG3321" s="2">
        <f ca="1"/>
        <v>0.66674360749260764</v>
      </c>
      <c r="AH3321" s="2" t="str">
        <f ca="1"/>
        <v>Bad</v>
      </c>
    </row>
    <row r="3322" spans="2:34" x14ac:dyDescent="0.2">
      <c r="B3322" s="2">
        <f ca="1"/>
        <v>0.83676340079868083</v>
      </c>
      <c r="O3322" s="2">
        <f ca="1"/>
        <v>0.61326536112698515</v>
      </c>
      <c r="X3322" s="2">
        <f ca="1"/>
        <v>88.22161067836484</v>
      </c>
      <c r="AG3322" s="2">
        <f ca="1"/>
        <v>0.28167357662028003</v>
      </c>
      <c r="AH3322" s="2" t="str">
        <f ca="1"/>
        <v>OK</v>
      </c>
    </row>
    <row r="3323" spans="2:34" x14ac:dyDescent="0.2">
      <c r="B3323" s="2">
        <f ca="1"/>
        <v>0.84951333494316339</v>
      </c>
      <c r="O3323" s="2">
        <f ca="1"/>
        <v>4.9095682951143679E-2</v>
      </c>
      <c r="X3323" s="2">
        <f ca="1"/>
        <v>56.445365989905135</v>
      </c>
      <c r="AG3323" s="2">
        <f ca="1"/>
        <v>0.19916925266572738</v>
      </c>
      <c r="AH3323" s="2" t="str">
        <f ca="1"/>
        <v>OK</v>
      </c>
    </row>
    <row r="3324" spans="2:34" x14ac:dyDescent="0.2">
      <c r="B3324" s="2">
        <f ca="1"/>
        <v>0.50896620823087724</v>
      </c>
      <c r="O3324" s="2">
        <f ca="1"/>
        <v>0.70416743387318448</v>
      </c>
      <c r="X3324" s="2">
        <f ca="1"/>
        <v>30.167108903444305</v>
      </c>
      <c r="AG3324" s="2">
        <f ca="1"/>
        <v>0.2972469825012376</v>
      </c>
      <c r="AH3324" s="2" t="str">
        <f ca="1"/>
        <v>OK</v>
      </c>
    </row>
    <row r="3325" spans="2:34" x14ac:dyDescent="0.2">
      <c r="B3325" s="2">
        <f ca="1"/>
        <v>0.43999220035701558</v>
      </c>
      <c r="O3325" s="2">
        <f ca="1"/>
        <v>0.3512417805423465</v>
      </c>
      <c r="X3325" s="2">
        <f ca="1"/>
        <v>49.982909308198742</v>
      </c>
      <c r="AG3325" s="2">
        <f ca="1"/>
        <v>0.72701801253947784</v>
      </c>
      <c r="AH3325" s="2" t="str">
        <f ca="1"/>
        <v>Bad</v>
      </c>
    </row>
    <row r="3326" spans="2:34" x14ac:dyDescent="0.2">
      <c r="B3326" s="2">
        <f ca="1"/>
        <v>0.38442644480794597</v>
      </c>
      <c r="O3326" s="2">
        <f ca="1"/>
        <v>1.3521165675272333</v>
      </c>
      <c r="X3326" s="2">
        <f ca="1"/>
        <v>34.022213786496309</v>
      </c>
      <c r="AG3326" s="2">
        <f ca="1"/>
        <v>0.38767087858858496</v>
      </c>
      <c r="AH3326" s="2" t="str">
        <f ca="1"/>
        <v>OK</v>
      </c>
    </row>
    <row r="3327" spans="2:34" x14ac:dyDescent="0.2">
      <c r="B3327" s="2">
        <f ca="1"/>
        <v>9.3475399029083084E-2</v>
      </c>
      <c r="O3327" s="2">
        <f ca="1"/>
        <v>1.1305449901236664</v>
      </c>
      <c r="X3327" s="2">
        <f ca="1"/>
        <v>35.246011633625969</v>
      </c>
      <c r="AG3327" s="2">
        <f ca="1"/>
        <v>0.85490467311871399</v>
      </c>
      <c r="AH3327" s="2" t="str">
        <f ca="1"/>
        <v>Bad</v>
      </c>
    </row>
    <row r="3328" spans="2:34" x14ac:dyDescent="0.2">
      <c r="B3328" s="2">
        <f ca="1"/>
        <v>0.92522367739854627</v>
      </c>
      <c r="O3328" s="2">
        <f ca="1"/>
        <v>-1.9189968167955176</v>
      </c>
      <c r="X3328" s="2">
        <f ca="1"/>
        <v>38.664782220400795</v>
      </c>
      <c r="AG3328" s="2">
        <f ca="1"/>
        <v>0.2022862467728006</v>
      </c>
      <c r="AH3328" s="2" t="str">
        <f ca="1"/>
        <v>OK</v>
      </c>
    </row>
    <row r="3329" spans="2:34" x14ac:dyDescent="0.2">
      <c r="B3329" s="2">
        <f ca="1"/>
        <v>0.35199633496864124</v>
      </c>
      <c r="O3329" s="2">
        <f ca="1"/>
        <v>-1.0483827018653529</v>
      </c>
      <c r="X3329" s="2">
        <f ca="1"/>
        <v>53.074702345201374</v>
      </c>
      <c r="AG3329" s="2">
        <f ca="1"/>
        <v>0.78397644994788696</v>
      </c>
      <c r="AH3329" s="2" t="str">
        <f ca="1"/>
        <v>Bad</v>
      </c>
    </row>
    <row r="3330" spans="2:34" x14ac:dyDescent="0.2">
      <c r="B3330" s="2">
        <f ca="1"/>
        <v>0.78222887227012317</v>
      </c>
      <c r="O3330" s="2">
        <f ca="1"/>
        <v>0.30884082564709536</v>
      </c>
      <c r="X3330" s="2">
        <f ca="1"/>
        <v>71.1390062987319</v>
      </c>
      <c r="AG3330" s="2">
        <f ca="1"/>
        <v>9.8700223001961351E-2</v>
      </c>
      <c r="AH3330" s="2" t="str">
        <f ca="1"/>
        <v>OK</v>
      </c>
    </row>
    <row r="3331" spans="2:34" x14ac:dyDescent="0.2">
      <c r="B3331" s="2">
        <f ca="1"/>
        <v>2.1337452185206995E-2</v>
      </c>
      <c r="O3331" s="2">
        <f ca="1"/>
        <v>-4.9417174501085313E-2</v>
      </c>
      <c r="X3331" s="2">
        <f ca="1"/>
        <v>31.090779006234172</v>
      </c>
      <c r="AG3331" s="2">
        <f ca="1"/>
        <v>0.78242834668389927</v>
      </c>
      <c r="AH3331" s="2" t="str">
        <f ca="1"/>
        <v>Bad</v>
      </c>
    </row>
    <row r="3332" spans="2:34" x14ac:dyDescent="0.2">
      <c r="B3332" s="2">
        <f ca="1"/>
        <v>0.8388033210918775</v>
      </c>
      <c r="O3332" s="2">
        <f ca="1"/>
        <v>-0.41273415189375634</v>
      </c>
      <c r="X3332" s="2">
        <f ca="1"/>
        <v>50.37522755728908</v>
      </c>
      <c r="AG3332" s="2">
        <f ca="1"/>
        <v>0.51136287835373806</v>
      </c>
      <c r="AH3332" s="2" t="str">
        <f ca="1"/>
        <v>Bad</v>
      </c>
    </row>
    <row r="3333" spans="2:34" x14ac:dyDescent="0.2">
      <c r="B3333" s="2">
        <f ca="1"/>
        <v>0.583858236659345</v>
      </c>
      <c r="O3333" s="2">
        <f ca="1"/>
        <v>-0.78970393110248982</v>
      </c>
      <c r="X3333" s="2">
        <f ca="1"/>
        <v>62.436575103890384</v>
      </c>
      <c r="AG3333" s="2">
        <f ca="1"/>
        <v>0.75233178207961715</v>
      </c>
      <c r="AH3333" s="2" t="str">
        <f ca="1"/>
        <v>Bad</v>
      </c>
    </row>
    <row r="3334" spans="2:34" x14ac:dyDescent="0.2">
      <c r="B3334" s="2">
        <f ca="1"/>
        <v>4.4251611455058626E-2</v>
      </c>
      <c r="O3334" s="2">
        <f ca="1"/>
        <v>-0.52158661616946589</v>
      </c>
      <c r="X3334" s="2">
        <f ca="1"/>
        <v>24.951163155097426</v>
      </c>
      <c r="AG3334" s="2">
        <f ca="1"/>
        <v>0.15885526193631772</v>
      </c>
      <c r="AH3334" s="2" t="str">
        <f ca="1"/>
        <v>OK</v>
      </c>
    </row>
    <row r="3335" spans="2:34" x14ac:dyDescent="0.2">
      <c r="B3335" s="2">
        <f ca="1"/>
        <v>0.13736622239720475</v>
      </c>
      <c r="O3335" s="2">
        <f ca="1"/>
        <v>-1.0568320309575923</v>
      </c>
      <c r="X3335" s="2">
        <f ca="1"/>
        <v>46.178071512163108</v>
      </c>
      <c r="AG3335" s="2">
        <f ca="1"/>
        <v>0.14148787684620423</v>
      </c>
      <c r="AH3335" s="2" t="str">
        <f ca="1"/>
        <v>OK</v>
      </c>
    </row>
    <row r="3336" spans="2:34" x14ac:dyDescent="0.2">
      <c r="B3336" s="2">
        <f ca="1"/>
        <v>0.29998015674985434</v>
      </c>
      <c r="O3336" s="2">
        <f ca="1"/>
        <v>3.4847799062311724E-2</v>
      </c>
      <c r="X3336" s="2">
        <f ca="1"/>
        <v>60.032020772337802</v>
      </c>
      <c r="AG3336" s="2">
        <f ca="1"/>
        <v>0.67685964555677125</v>
      </c>
      <c r="AH3336" s="2" t="str">
        <f ca="1"/>
        <v>Bad</v>
      </c>
    </row>
    <row r="3337" spans="2:34" x14ac:dyDescent="0.2">
      <c r="B3337" s="2">
        <f ca="1"/>
        <v>0.56068061130458746</v>
      </c>
      <c r="O3337" s="2">
        <f ca="1"/>
        <v>0.32894650257801189</v>
      </c>
      <c r="X3337" s="2">
        <f ca="1"/>
        <v>30.279741288891785</v>
      </c>
      <c r="AG3337" s="2">
        <f ca="1"/>
        <v>0.8097603007390799</v>
      </c>
      <c r="AH3337" s="2" t="str">
        <f ca="1"/>
        <v>Bad</v>
      </c>
    </row>
    <row r="3338" spans="2:34" x14ac:dyDescent="0.2">
      <c r="B3338" s="2">
        <f ca="1"/>
        <v>0.57852067677302554</v>
      </c>
      <c r="O3338" s="2">
        <f ca="1"/>
        <v>-1.0273521400633847</v>
      </c>
      <c r="X3338" s="2">
        <f ca="1"/>
        <v>72.708453426688394</v>
      </c>
      <c r="AG3338" s="2">
        <f ca="1"/>
        <v>0.29248264709107863</v>
      </c>
      <c r="AH3338" s="2" t="str">
        <f ca="1"/>
        <v>OK</v>
      </c>
    </row>
    <row r="3339" spans="2:34" x14ac:dyDescent="0.2">
      <c r="B3339" s="2">
        <f ca="1"/>
        <v>0.50865599633156644</v>
      </c>
      <c r="O3339" s="2">
        <f ca="1"/>
        <v>-0.28099407105134094</v>
      </c>
      <c r="X3339" s="2">
        <f ca="1"/>
        <v>45.618521291556753</v>
      </c>
      <c r="AG3339" s="2">
        <f ca="1"/>
        <v>0.85518788718719274</v>
      </c>
      <c r="AH3339" s="2" t="str">
        <f ca="1"/>
        <v>Bad</v>
      </c>
    </row>
    <row r="3340" spans="2:34" x14ac:dyDescent="0.2">
      <c r="B3340" s="2">
        <f ca="1"/>
        <v>0.71275402052759285</v>
      </c>
      <c r="O3340" s="2">
        <f ca="1"/>
        <v>0.83048343535463798</v>
      </c>
      <c r="X3340" s="2">
        <f ca="1"/>
        <v>37.189466088737277</v>
      </c>
      <c r="AG3340" s="2">
        <f ca="1"/>
        <v>0.64782503294288163</v>
      </c>
      <c r="AH3340" s="2" t="str">
        <f ca="1"/>
        <v>Bad</v>
      </c>
    </row>
    <row r="3341" spans="2:34" x14ac:dyDescent="0.2">
      <c r="B3341" s="2">
        <f ca="1"/>
        <v>0.47375848403854492</v>
      </c>
      <c r="O3341" s="2">
        <f ca="1"/>
        <v>0.22791311382252638</v>
      </c>
      <c r="X3341" s="2">
        <f ca="1"/>
        <v>50.331405008552572</v>
      </c>
      <c r="AG3341" s="2">
        <f ca="1"/>
        <v>0.5233723104846868</v>
      </c>
      <c r="AH3341" s="2" t="str">
        <f ca="1"/>
        <v>Bad</v>
      </c>
    </row>
    <row r="3342" spans="2:34" x14ac:dyDescent="0.2">
      <c r="B3342" s="2">
        <f ca="1"/>
        <v>0.20019326174872565</v>
      </c>
      <c r="O3342" s="2">
        <f ca="1"/>
        <v>0.86345843083565688</v>
      </c>
      <c r="X3342" s="2">
        <f ca="1"/>
        <v>41.732091409999953</v>
      </c>
      <c r="AG3342" s="2">
        <f ca="1"/>
        <v>0.44595201409371032</v>
      </c>
      <c r="AH3342" s="2" t="str">
        <f ca="1"/>
        <v>Bad</v>
      </c>
    </row>
    <row r="3343" spans="2:34" x14ac:dyDescent="0.2">
      <c r="B3343" s="2">
        <f ca="1"/>
        <v>0.12518357047118323</v>
      </c>
      <c r="O3343" s="2">
        <f ca="1"/>
        <v>1.8907102410622103</v>
      </c>
      <c r="X3343" s="2">
        <f ca="1"/>
        <v>45.345855821310153</v>
      </c>
      <c r="AG3343" s="2">
        <f ca="1"/>
        <v>0.71472130761188502</v>
      </c>
      <c r="AH3343" s="2" t="str">
        <f ca="1"/>
        <v>Bad</v>
      </c>
    </row>
    <row r="3344" spans="2:34" x14ac:dyDescent="0.2">
      <c r="B3344" s="2">
        <f ca="1"/>
        <v>0.92543243094918348</v>
      </c>
      <c r="O3344" s="2">
        <f ca="1"/>
        <v>1.3463090515706257</v>
      </c>
      <c r="X3344" s="2">
        <f ca="1"/>
        <v>56.763952779609987</v>
      </c>
      <c r="AG3344" s="2">
        <f ca="1"/>
        <v>0.27926110706347163</v>
      </c>
      <c r="AH3344" s="2" t="str">
        <f ca="1"/>
        <v>OK</v>
      </c>
    </row>
    <row r="3345" spans="2:34" x14ac:dyDescent="0.2">
      <c r="B3345" s="2">
        <f ca="1"/>
        <v>0.97378480394859568</v>
      </c>
      <c r="O3345" s="2">
        <f ca="1"/>
        <v>-0.19381586025445646</v>
      </c>
      <c r="X3345" s="2">
        <f ca="1"/>
        <v>53.718237631348103</v>
      </c>
      <c r="AG3345" s="2">
        <f ca="1"/>
        <v>0.21551408126433547</v>
      </c>
      <c r="AH3345" s="2" t="str">
        <f ca="1"/>
        <v>OK</v>
      </c>
    </row>
    <row r="3346" spans="2:34" x14ac:dyDescent="0.2">
      <c r="B3346" s="2">
        <f ca="1"/>
        <v>0.51503959684791556</v>
      </c>
      <c r="O3346" s="2">
        <f ca="1"/>
        <v>-5.7729278603451388E-2</v>
      </c>
      <c r="X3346" s="2">
        <f ca="1"/>
        <v>50.746282600104998</v>
      </c>
      <c r="AG3346" s="2">
        <f ca="1"/>
        <v>5.0753349273938486E-2</v>
      </c>
      <c r="AH3346" s="2" t="str">
        <f ca="1"/>
        <v>OK</v>
      </c>
    </row>
    <row r="3347" spans="2:34" x14ac:dyDescent="0.2">
      <c r="B3347" s="2">
        <f ca="1"/>
        <v>0.5677021538316207</v>
      </c>
      <c r="O3347" s="2">
        <f ca="1"/>
        <v>0.54248353879255773</v>
      </c>
      <c r="X3347" s="2">
        <f ca="1"/>
        <v>75.923726251308636</v>
      </c>
      <c r="AG3347" s="2">
        <f ca="1"/>
        <v>0.74316157608511002</v>
      </c>
      <c r="AH3347" s="2" t="str">
        <f ca="1"/>
        <v>Bad</v>
      </c>
    </row>
    <row r="3348" spans="2:34" x14ac:dyDescent="0.2">
      <c r="B3348" s="2">
        <f ca="1"/>
        <v>0.66046267090845001</v>
      </c>
      <c r="O3348" s="2">
        <f ca="1"/>
        <v>1.102581235853155</v>
      </c>
      <c r="X3348" s="2">
        <f ca="1"/>
        <v>66.710183721756053</v>
      </c>
      <c r="AG3348" s="2">
        <f ca="1"/>
        <v>0.80903595693092067</v>
      </c>
      <c r="AH3348" s="2" t="str">
        <f ca="1"/>
        <v>Bad</v>
      </c>
    </row>
    <row r="3349" spans="2:34" x14ac:dyDescent="0.2">
      <c r="B3349" s="2">
        <f ca="1"/>
        <v>0.87648517875403487</v>
      </c>
      <c r="O3349" s="2">
        <f ca="1"/>
        <v>2.0828044538747741</v>
      </c>
      <c r="X3349" s="2">
        <f ca="1"/>
        <v>41.835495157013447</v>
      </c>
      <c r="AG3349" s="2">
        <f ca="1"/>
        <v>0.39928916643445822</v>
      </c>
      <c r="AH3349" s="2" t="str">
        <f ca="1"/>
        <v>OK</v>
      </c>
    </row>
    <row r="3350" spans="2:34" x14ac:dyDescent="0.2">
      <c r="B3350" s="2">
        <f ca="1"/>
        <v>0.39610514753518689</v>
      </c>
      <c r="O3350" s="2">
        <f ca="1"/>
        <v>0.96783123747365796</v>
      </c>
      <c r="X3350" s="2">
        <f ca="1"/>
        <v>74.149759058193396</v>
      </c>
      <c r="AG3350" s="2">
        <f ca="1"/>
        <v>0.6805474432350187</v>
      </c>
      <c r="AH3350" s="2" t="str">
        <f ca="1"/>
        <v>Bad</v>
      </c>
    </row>
    <row r="3351" spans="2:34" x14ac:dyDescent="0.2">
      <c r="B3351" s="2">
        <f ca="1"/>
        <v>0.35576091479781802</v>
      </c>
      <c r="O3351" s="2">
        <f ca="1"/>
        <v>-0.4990355529171922</v>
      </c>
      <c r="X3351" s="2">
        <f ca="1"/>
        <v>76.542432758859121</v>
      </c>
      <c r="AG3351" s="2">
        <f ca="1"/>
        <v>0.83758147868281374</v>
      </c>
      <c r="AH3351" s="2" t="str">
        <f ca="1"/>
        <v>Bad</v>
      </c>
    </row>
    <row r="3352" spans="2:34" x14ac:dyDescent="0.2">
      <c r="B3352" s="2">
        <f ca="1"/>
        <v>0.21466213693015068</v>
      </c>
      <c r="O3352" s="2">
        <f ca="1"/>
        <v>-0.6913821291274912</v>
      </c>
      <c r="X3352" s="2">
        <f ca="1"/>
        <v>68.236392379827535</v>
      </c>
      <c r="AG3352" s="2">
        <f ca="1"/>
        <v>0.75166259517804446</v>
      </c>
      <c r="AH3352" s="2" t="str">
        <f ca="1"/>
        <v>Bad</v>
      </c>
    </row>
    <row r="3353" spans="2:34" x14ac:dyDescent="0.2">
      <c r="B3353" s="2">
        <f ca="1"/>
        <v>0.33384568522045699</v>
      </c>
      <c r="O3353" s="2">
        <f ca="1"/>
        <v>-1.7387808153486148</v>
      </c>
      <c r="X3353" s="2">
        <f ca="1"/>
        <v>41.040984653823713</v>
      </c>
      <c r="AG3353" s="2">
        <f ca="1"/>
        <v>0.53197245995617459</v>
      </c>
      <c r="AH3353" s="2" t="str">
        <f ca="1"/>
        <v>Bad</v>
      </c>
    </row>
    <row r="3354" spans="2:34" x14ac:dyDescent="0.2">
      <c r="B3354" s="2">
        <f ca="1"/>
        <v>0.14716941724264121</v>
      </c>
      <c r="O3354" s="2">
        <f ca="1"/>
        <v>-0.20114162510672873</v>
      </c>
      <c r="X3354" s="2">
        <f ca="1"/>
        <v>61.000730776241653</v>
      </c>
      <c r="AG3354" s="2">
        <f ca="1"/>
        <v>0.945266338679426</v>
      </c>
      <c r="AH3354" s="2" t="str">
        <f ca="1"/>
        <v>Bad</v>
      </c>
    </row>
    <row r="3355" spans="2:34" x14ac:dyDescent="0.2">
      <c r="B3355" s="2">
        <f ca="1"/>
        <v>0.11121090631900743</v>
      </c>
      <c r="O3355" s="2">
        <f ca="1"/>
        <v>0.49181614074389712</v>
      </c>
      <c r="X3355" s="2">
        <f ca="1"/>
        <v>49.41281002830565</v>
      </c>
      <c r="AG3355" s="2">
        <f ca="1"/>
        <v>0.94925883951081103</v>
      </c>
      <c r="AH3355" s="2" t="str">
        <f ca="1"/>
        <v>Bad</v>
      </c>
    </row>
    <row r="3356" spans="2:34" x14ac:dyDescent="0.2">
      <c r="B3356" s="2">
        <f ca="1"/>
        <v>5.2717078201704126E-2</v>
      </c>
      <c r="O3356" s="2">
        <f ca="1"/>
        <v>0.84132815543853956</v>
      </c>
      <c r="X3356" s="2">
        <f ca="1"/>
        <v>21.861650327380211</v>
      </c>
      <c r="AG3356" s="2">
        <f ca="1"/>
        <v>0.19268237338940497</v>
      </c>
      <c r="AH3356" s="2" t="str">
        <f ca="1"/>
        <v>OK</v>
      </c>
    </row>
    <row r="3357" spans="2:34" x14ac:dyDescent="0.2">
      <c r="B3357" s="2">
        <f ca="1"/>
        <v>0.35529097905998452</v>
      </c>
      <c r="O3357" s="2">
        <f ca="1"/>
        <v>-0.32158377394245641</v>
      </c>
      <c r="X3357" s="2">
        <f ca="1"/>
        <v>63.45250503170459</v>
      </c>
      <c r="AG3357" s="2">
        <f ca="1"/>
        <v>0.90903857649686803</v>
      </c>
      <c r="AH3357" s="2" t="str">
        <f ca="1"/>
        <v>Bad</v>
      </c>
    </row>
    <row r="3358" spans="2:34" x14ac:dyDescent="0.2">
      <c r="B3358" s="2">
        <f ca="1"/>
        <v>0.73744357312469599</v>
      </c>
      <c r="O3358" s="2">
        <f ca="1"/>
        <v>0.47953744764619582</v>
      </c>
      <c r="X3358" s="2">
        <f ca="1"/>
        <v>57.100777851089326</v>
      </c>
      <c r="AG3358" s="2">
        <f ca="1"/>
        <v>0.9723757735948837</v>
      </c>
      <c r="AH3358" s="2" t="str">
        <f ca="1"/>
        <v>Bad</v>
      </c>
    </row>
    <row r="3359" spans="2:34" x14ac:dyDescent="0.2">
      <c r="B3359" s="2">
        <f ca="1"/>
        <v>0.42916666117658453</v>
      </c>
      <c r="O3359" s="2">
        <f ca="1"/>
        <v>1.4300162669573065E-2</v>
      </c>
      <c r="X3359" s="2">
        <f ca="1"/>
        <v>57.76320505383125</v>
      </c>
      <c r="AG3359" s="2">
        <f ca="1"/>
        <v>0.77211875020085352</v>
      </c>
      <c r="AH3359" s="2" t="str">
        <f ca="1"/>
        <v>Bad</v>
      </c>
    </row>
    <row r="3360" spans="2:34" x14ac:dyDescent="0.2">
      <c r="B3360" s="2">
        <f ca="1"/>
        <v>0.26741593103590922</v>
      </c>
      <c r="O3360" s="2">
        <f ca="1"/>
        <v>-0.49278229538659829</v>
      </c>
      <c r="X3360" s="2">
        <f ca="1"/>
        <v>38.900168895630706</v>
      </c>
      <c r="AG3360" s="2">
        <f ca="1"/>
        <v>0.75053456703590182</v>
      </c>
      <c r="AH3360" s="2" t="str">
        <f ca="1"/>
        <v>Bad</v>
      </c>
    </row>
    <row r="3361" spans="2:34" x14ac:dyDescent="0.2">
      <c r="B3361" s="2">
        <f ca="1"/>
        <v>0.35444507679657589</v>
      </c>
      <c r="O3361" s="2">
        <f ca="1"/>
        <v>-1.3021839418194443</v>
      </c>
      <c r="X3361" s="2">
        <f ca="1"/>
        <v>39.392937490664856</v>
      </c>
      <c r="AG3361" s="2">
        <f ca="1"/>
        <v>9.558225406649079E-2</v>
      </c>
      <c r="AH3361" s="2" t="str">
        <f ca="1"/>
        <v>OK</v>
      </c>
    </row>
    <row r="3362" spans="2:34" x14ac:dyDescent="0.2">
      <c r="B3362" s="2">
        <f ca="1"/>
        <v>0.40319988586235578</v>
      </c>
      <c r="O3362" s="2">
        <f ca="1"/>
        <v>-1.4810001711743519</v>
      </c>
      <c r="X3362" s="2">
        <f ca="1"/>
        <v>49.120626058395999</v>
      </c>
      <c r="AG3362" s="2">
        <f ca="1"/>
        <v>0.67597801157488213</v>
      </c>
      <c r="AH3362" s="2" t="str">
        <f ca="1"/>
        <v>Bad</v>
      </c>
    </row>
    <row r="3363" spans="2:34" x14ac:dyDescent="0.2">
      <c r="B3363" s="2">
        <f ca="1"/>
        <v>0.81584620763223548</v>
      </c>
      <c r="O3363" s="2">
        <f ca="1"/>
        <v>0.13404322805836574</v>
      </c>
      <c r="X3363" s="2">
        <f ca="1"/>
        <v>70.386542672378397</v>
      </c>
      <c r="AG3363" s="2">
        <f ca="1"/>
        <v>0.49472615450423696</v>
      </c>
      <c r="AH3363" s="2" t="str">
        <f ca="1"/>
        <v>Bad</v>
      </c>
    </row>
    <row r="3364" spans="2:34" x14ac:dyDescent="0.2">
      <c r="B3364" s="2">
        <f ca="1"/>
        <v>8.3207172955018782E-2</v>
      </c>
      <c r="O3364" s="2">
        <f ca="1"/>
        <v>-3.7545112593400327E-2</v>
      </c>
      <c r="X3364" s="2">
        <f ca="1"/>
        <v>48.508013405927244</v>
      </c>
      <c r="AG3364" s="2">
        <f ca="1"/>
        <v>0.42451467669880194</v>
      </c>
      <c r="AH3364" s="2" t="str">
        <f ca="1"/>
        <v>Bad</v>
      </c>
    </row>
    <row r="3365" spans="2:34" x14ac:dyDescent="0.2">
      <c r="B3365" s="2">
        <f ca="1"/>
        <v>0.81031441179595243</v>
      </c>
      <c r="O3365" s="2">
        <f ca="1"/>
        <v>-0.18107439376298848</v>
      </c>
      <c r="X3365" s="2">
        <f ca="1"/>
        <v>31.733396316198434</v>
      </c>
      <c r="AG3365" s="2">
        <f ca="1"/>
        <v>0.32327565216643195</v>
      </c>
      <c r="AH3365" s="2" t="str">
        <f ca="1"/>
        <v>OK</v>
      </c>
    </row>
    <row r="3366" spans="2:34" x14ac:dyDescent="0.2">
      <c r="B3366" s="2">
        <f ca="1"/>
        <v>0.14541377542522893</v>
      </c>
      <c r="O3366" s="2">
        <f ca="1"/>
        <v>-0.82919860976981774</v>
      </c>
      <c r="X3366" s="2">
        <f ca="1"/>
        <v>31.415882645908759</v>
      </c>
      <c r="AG3366" s="2">
        <f ca="1"/>
        <v>0.52028842534279218</v>
      </c>
      <c r="AH3366" s="2" t="str">
        <f ca="1"/>
        <v>Bad</v>
      </c>
    </row>
    <row r="3367" spans="2:34" x14ac:dyDescent="0.2">
      <c r="B3367" s="2">
        <f ca="1"/>
        <v>0.10820907225308751</v>
      </c>
      <c r="O3367" s="2">
        <f ca="1"/>
        <v>0.32098307770207724</v>
      </c>
      <c r="X3367" s="2">
        <f ca="1"/>
        <v>79.819502586257897</v>
      </c>
      <c r="AG3367" s="2">
        <f ca="1"/>
        <v>0.14374534193485355</v>
      </c>
      <c r="AH3367" s="2" t="str">
        <f ca="1"/>
        <v>OK</v>
      </c>
    </row>
    <row r="3368" spans="2:34" x14ac:dyDescent="0.2">
      <c r="B3368" s="2">
        <f ca="1"/>
        <v>0.31013743913750846</v>
      </c>
      <c r="O3368" s="2">
        <f ca="1"/>
        <v>-0.54618761150345141</v>
      </c>
      <c r="X3368" s="2">
        <f ca="1"/>
        <v>58.06796285195334</v>
      </c>
      <c r="AG3368" s="2">
        <f ca="1"/>
        <v>0.35494569976731594</v>
      </c>
      <c r="AH3368" s="2" t="str">
        <f ca="1"/>
        <v>OK</v>
      </c>
    </row>
    <row r="3369" spans="2:34" x14ac:dyDescent="0.2">
      <c r="B3369" s="2">
        <f ca="1"/>
        <v>0.30096849830061467</v>
      </c>
      <c r="O3369" s="2">
        <f ca="1"/>
        <v>-0.281989288170851</v>
      </c>
      <c r="X3369" s="2">
        <f ca="1"/>
        <v>49.537051400567208</v>
      </c>
      <c r="AG3369" s="2">
        <f ca="1"/>
        <v>0.53825664598394818</v>
      </c>
      <c r="AH3369" s="2" t="str">
        <f ca="1"/>
        <v>Bad</v>
      </c>
    </row>
    <row r="3370" spans="2:34" x14ac:dyDescent="0.2">
      <c r="B3370" s="2">
        <f ca="1"/>
        <v>9.0350813475710501E-2</v>
      </c>
      <c r="O3370" s="2">
        <f ca="1"/>
        <v>-0.16823525568560899</v>
      </c>
      <c r="X3370" s="2">
        <f ca="1"/>
        <v>33.883193227596763</v>
      </c>
      <c r="AG3370" s="2">
        <f ca="1"/>
        <v>0.68490914076255183</v>
      </c>
      <c r="AH3370" s="2" t="str">
        <f ca="1"/>
        <v>Bad</v>
      </c>
    </row>
    <row r="3371" spans="2:34" x14ac:dyDescent="0.2">
      <c r="B3371" s="2">
        <f ca="1"/>
        <v>0.99654679415103153</v>
      </c>
      <c r="O3371" s="2">
        <f ca="1"/>
        <v>-1.798041901552361</v>
      </c>
      <c r="X3371" s="2">
        <f ca="1"/>
        <v>50.489268129471753</v>
      </c>
      <c r="AG3371" s="2">
        <f ca="1"/>
        <v>0.45674913523341742</v>
      </c>
      <c r="AH3371" s="2" t="str">
        <f ca="1"/>
        <v>Bad</v>
      </c>
    </row>
    <row r="3372" spans="2:34" x14ac:dyDescent="0.2">
      <c r="B3372" s="2">
        <f ca="1"/>
        <v>0.13100560781633175</v>
      </c>
      <c r="O3372" s="2">
        <f ca="1"/>
        <v>1.438132942449039</v>
      </c>
      <c r="X3372" s="2">
        <f ca="1"/>
        <v>60.200247871148349</v>
      </c>
      <c r="AG3372" s="2">
        <f ca="1"/>
        <v>0.83062059336943772</v>
      </c>
      <c r="AH3372" s="2" t="str">
        <f ca="1"/>
        <v>Bad</v>
      </c>
    </row>
    <row r="3373" spans="2:34" x14ac:dyDescent="0.2">
      <c r="B3373" s="2">
        <f ca="1"/>
        <v>0.82126052894458712</v>
      </c>
      <c r="O3373" s="2">
        <f ca="1"/>
        <v>-1.3256663033366434</v>
      </c>
      <c r="X3373" s="2">
        <f ca="1"/>
        <v>50.476326430767706</v>
      </c>
      <c r="AG3373" s="2">
        <f ca="1"/>
        <v>0.44668875413566234</v>
      </c>
      <c r="AH3373" s="2" t="str">
        <f ca="1"/>
        <v>Bad</v>
      </c>
    </row>
    <row r="3374" spans="2:34" x14ac:dyDescent="0.2">
      <c r="B3374" s="2">
        <f ca="1"/>
        <v>0.8445956370299319</v>
      </c>
      <c r="O3374" s="2">
        <f ca="1"/>
        <v>0.43704213317397772</v>
      </c>
      <c r="X3374" s="2">
        <f ca="1"/>
        <v>62.342603478497097</v>
      </c>
      <c r="AG3374" s="2">
        <f ca="1"/>
        <v>0.49254199089144657</v>
      </c>
      <c r="AH3374" s="2" t="str">
        <f ca="1"/>
        <v>Bad</v>
      </c>
    </row>
    <row r="3375" spans="2:34" x14ac:dyDescent="0.2">
      <c r="B3375" s="2">
        <f ca="1"/>
        <v>0.89122263296760318</v>
      </c>
      <c r="O3375" s="2">
        <f ca="1"/>
        <v>0.8395929162635436</v>
      </c>
      <c r="X3375" s="2">
        <f ca="1"/>
        <v>58.436760988609528</v>
      </c>
      <c r="AG3375" s="2">
        <f ca="1"/>
        <v>0.83314506488212237</v>
      </c>
      <c r="AH3375" s="2" t="str">
        <f ca="1"/>
        <v>Bad</v>
      </c>
    </row>
    <row r="3376" spans="2:34" x14ac:dyDescent="0.2">
      <c r="B3376" s="2">
        <f ca="1"/>
        <v>0.507403166631611</v>
      </c>
      <c r="O3376" s="2">
        <f ca="1"/>
        <v>0.50560062505955494</v>
      </c>
      <c r="X3376" s="2">
        <f ca="1"/>
        <v>41.170004849576578</v>
      </c>
      <c r="AG3376" s="2">
        <f ca="1"/>
        <v>0.23578153865171791</v>
      </c>
      <c r="AH3376" s="2" t="str">
        <f ca="1"/>
        <v>OK</v>
      </c>
    </row>
    <row r="3377" spans="2:34" x14ac:dyDescent="0.2">
      <c r="B3377" s="2">
        <f ca="1"/>
        <v>0.61146099618410821</v>
      </c>
      <c r="O3377" s="2">
        <f ca="1"/>
        <v>-0.21396629380898871</v>
      </c>
      <c r="X3377" s="2">
        <f ca="1"/>
        <v>58.495701110608863</v>
      </c>
      <c r="AG3377" s="2">
        <f ca="1"/>
        <v>0.34589253768363215</v>
      </c>
      <c r="AH3377" s="2" t="str">
        <f ca="1"/>
        <v>OK</v>
      </c>
    </row>
    <row r="3378" spans="2:34" x14ac:dyDescent="0.2">
      <c r="B3378" s="2">
        <f ca="1"/>
        <v>0.79966314660712112</v>
      </c>
      <c r="O3378" s="2">
        <f ca="1"/>
        <v>-1.8139476098196556</v>
      </c>
      <c r="X3378" s="2">
        <f ca="1"/>
        <v>63.056054207024992</v>
      </c>
      <c r="AG3378" s="2">
        <f ca="1"/>
        <v>0.28420305979774074</v>
      </c>
      <c r="AH3378" s="2" t="str">
        <f ca="1"/>
        <v>OK</v>
      </c>
    </row>
    <row r="3379" spans="2:34" x14ac:dyDescent="0.2">
      <c r="B3379" s="2">
        <f ca="1"/>
        <v>0.25892867622389848</v>
      </c>
      <c r="O3379" s="2">
        <f ca="1"/>
        <v>0.39862446147131675</v>
      </c>
      <c r="X3379" s="2">
        <f ca="1"/>
        <v>54.330109170928424</v>
      </c>
      <c r="AG3379" s="2">
        <f ca="1"/>
        <v>0.98195957136841971</v>
      </c>
      <c r="AH3379" s="2" t="str">
        <f ca="1"/>
        <v>Bad</v>
      </c>
    </row>
    <row r="3380" spans="2:34" x14ac:dyDescent="0.2">
      <c r="B3380" s="2">
        <f ca="1"/>
        <v>0.52853300868457831</v>
      </c>
      <c r="O3380" s="2">
        <f ca="1"/>
        <v>-0.15044123034477316</v>
      </c>
      <c r="X3380" s="2">
        <f ca="1"/>
        <v>48.861200497522802</v>
      </c>
      <c r="AG3380" s="2">
        <f ca="1"/>
        <v>0.15116941652806637</v>
      </c>
      <c r="AH3380" s="2" t="str">
        <f ca="1"/>
        <v>OK</v>
      </c>
    </row>
    <row r="3381" spans="2:34" x14ac:dyDescent="0.2">
      <c r="B3381" s="2">
        <f ca="1"/>
        <v>0.53333801824000648</v>
      </c>
      <c r="O3381" s="2">
        <f ca="1"/>
        <v>-0.27897713451468148</v>
      </c>
      <c r="X3381" s="2">
        <f ca="1"/>
        <v>51.658246202012506</v>
      </c>
      <c r="AG3381" s="2">
        <f ca="1"/>
        <v>0.28469951163503038</v>
      </c>
      <c r="AH3381" s="2" t="str">
        <f ca="1"/>
        <v>OK</v>
      </c>
    </row>
    <row r="3382" spans="2:34" x14ac:dyDescent="0.2">
      <c r="B3382" s="2">
        <f ca="1"/>
        <v>0.267259987601417</v>
      </c>
      <c r="O3382" s="2">
        <f ca="1"/>
        <v>-0.86033578444174974</v>
      </c>
      <c r="X3382" s="2">
        <f ca="1"/>
        <v>17.904060092832413</v>
      </c>
      <c r="AG3382" s="2">
        <f ca="1"/>
        <v>0.42142684189777913</v>
      </c>
      <c r="AH3382" s="2" t="str">
        <f ca="1"/>
        <v>Bad</v>
      </c>
    </row>
    <row r="3383" spans="2:34" x14ac:dyDescent="0.2">
      <c r="B3383" s="2">
        <f ca="1"/>
        <v>0.42618055993310855</v>
      </c>
      <c r="O3383" s="2">
        <f ca="1"/>
        <v>-0.58784101579256576</v>
      </c>
      <c r="X3383" s="2">
        <f ca="1"/>
        <v>35.568027012003384</v>
      </c>
      <c r="AG3383" s="2">
        <f ca="1"/>
        <v>0.32051005207154404</v>
      </c>
      <c r="AH3383" s="2" t="str">
        <f ca="1"/>
        <v>OK</v>
      </c>
    </row>
    <row r="3384" spans="2:34" x14ac:dyDescent="0.2">
      <c r="B3384" s="2">
        <f ca="1"/>
        <v>0.11328902149122722</v>
      </c>
      <c r="O3384" s="2">
        <f ca="1"/>
        <v>0.88191200583106721</v>
      </c>
      <c r="X3384" s="2">
        <f ca="1"/>
        <v>44.970540329319739</v>
      </c>
      <c r="AG3384" s="2">
        <f ca="1"/>
        <v>0.56700873779822469</v>
      </c>
      <c r="AH3384" s="2" t="str">
        <f ca="1"/>
        <v>Bad</v>
      </c>
    </row>
    <row r="3385" spans="2:34" x14ac:dyDescent="0.2">
      <c r="B3385" s="2">
        <f ca="1"/>
        <v>0.8560856789232183</v>
      </c>
      <c r="O3385" s="2">
        <f ca="1"/>
        <v>1.555585155449247</v>
      </c>
      <c r="X3385" s="2">
        <f ca="1"/>
        <v>52.662958321374802</v>
      </c>
      <c r="AG3385" s="2">
        <f ca="1"/>
        <v>0.18605963211884813</v>
      </c>
      <c r="AH3385" s="2" t="str">
        <f ca="1"/>
        <v>OK</v>
      </c>
    </row>
    <row r="3386" spans="2:34" x14ac:dyDescent="0.2">
      <c r="B3386" s="2">
        <f ca="1"/>
        <v>0.30837429238838432</v>
      </c>
      <c r="O3386" s="2">
        <f ca="1"/>
        <v>-0.88207400681053749</v>
      </c>
      <c r="X3386" s="2">
        <f ca="1"/>
        <v>29.519969447208901</v>
      </c>
      <c r="AG3386" s="2">
        <f ca="1"/>
        <v>0.2994967988113677</v>
      </c>
      <c r="AH3386" s="2" t="str">
        <f ca="1"/>
        <v>OK</v>
      </c>
    </row>
    <row r="3387" spans="2:34" x14ac:dyDescent="0.2">
      <c r="B3387" s="2">
        <f ca="1"/>
        <v>0.93597060722869307</v>
      </c>
      <c r="O3387" s="2">
        <f ca="1"/>
        <v>-0.84810734348279559</v>
      </c>
      <c r="X3387" s="2">
        <f ca="1"/>
        <v>47.826691221161617</v>
      </c>
      <c r="AG3387" s="2">
        <f ca="1"/>
        <v>0.18238946533091527</v>
      </c>
      <c r="AH3387" s="2" t="str">
        <f ca="1"/>
        <v>OK</v>
      </c>
    </row>
    <row r="3388" spans="2:34" x14ac:dyDescent="0.2">
      <c r="B3388" s="2">
        <f ca="1"/>
        <v>0.91630444202735561</v>
      </c>
      <c r="O3388" s="2">
        <f ca="1"/>
        <v>1.0335583924311691</v>
      </c>
      <c r="X3388" s="2">
        <f ca="1"/>
        <v>68.330390616620036</v>
      </c>
      <c r="AG3388" s="2">
        <f ca="1"/>
        <v>0.59258943677321341</v>
      </c>
      <c r="AH3388" s="2" t="str">
        <f ca="1"/>
        <v>Bad</v>
      </c>
    </row>
    <row r="3389" spans="2:34" x14ac:dyDescent="0.2">
      <c r="B3389" s="2">
        <f ca="1"/>
        <v>0.64184962242827992</v>
      </c>
      <c r="O3389" s="2">
        <f ca="1"/>
        <v>-0.50400131662966519</v>
      </c>
      <c r="X3389" s="2">
        <f ca="1"/>
        <v>46.47375242911238</v>
      </c>
      <c r="AG3389" s="2">
        <f ca="1"/>
        <v>0.35357860710100808</v>
      </c>
      <c r="AH3389" s="2" t="str">
        <f ca="1"/>
        <v>OK</v>
      </c>
    </row>
    <row r="3390" spans="2:34" x14ac:dyDescent="0.2">
      <c r="B3390" s="2">
        <f ca="1"/>
        <v>0.23814312645268654</v>
      </c>
      <c r="O3390" s="2">
        <f ca="1"/>
        <v>-0.54428021904469981</v>
      </c>
      <c r="X3390" s="2">
        <f ca="1"/>
        <v>33.871400010060697</v>
      </c>
      <c r="AG3390" s="2">
        <f ca="1"/>
        <v>0.57197921303877952</v>
      </c>
      <c r="AH3390" s="2" t="str">
        <f ca="1"/>
        <v>Bad</v>
      </c>
    </row>
    <row r="3391" spans="2:34" x14ac:dyDescent="0.2">
      <c r="B3391" s="2">
        <f ca="1"/>
        <v>0.85841868838468471</v>
      </c>
      <c r="O3391" s="2">
        <f ca="1"/>
        <v>-6.8438348823153097E-2</v>
      </c>
      <c r="X3391" s="2">
        <f ca="1"/>
        <v>30.697458814669574</v>
      </c>
      <c r="AG3391" s="2">
        <f ca="1"/>
        <v>0.10582715129952991</v>
      </c>
      <c r="AH3391" s="2" t="str">
        <f ca="1"/>
        <v>OK</v>
      </c>
    </row>
    <row r="3392" spans="2:34" x14ac:dyDescent="0.2">
      <c r="B3392" s="2">
        <f ca="1"/>
        <v>0.68115897372381595</v>
      </c>
      <c r="O3392" s="2">
        <f ca="1"/>
        <v>-1.0795073353198026</v>
      </c>
      <c r="X3392" s="2">
        <f ca="1"/>
        <v>36.590698471957978</v>
      </c>
      <c r="AG3392" s="2">
        <f ca="1"/>
        <v>0.12720454360284261</v>
      </c>
      <c r="AH3392" s="2" t="str">
        <f ca="1"/>
        <v>OK</v>
      </c>
    </row>
    <row r="3393" spans="2:34" x14ac:dyDescent="0.2">
      <c r="B3393" s="2">
        <f ca="1"/>
        <v>0.10661498366970945</v>
      </c>
      <c r="O3393" s="2">
        <f ca="1"/>
        <v>-0.7965346028916902</v>
      </c>
      <c r="X3393" s="2">
        <f ca="1"/>
        <v>59.396767790026161</v>
      </c>
      <c r="AG3393" s="2">
        <f ca="1"/>
        <v>0.89679341832457737</v>
      </c>
      <c r="AH3393" s="2" t="str">
        <f ca="1"/>
        <v>Bad</v>
      </c>
    </row>
    <row r="3394" spans="2:34" x14ac:dyDescent="0.2">
      <c r="B3394" s="2">
        <f ca="1"/>
        <v>0.40662253041861485</v>
      </c>
      <c r="O3394" s="2">
        <f ca="1"/>
        <v>8.7358443411482967E-2</v>
      </c>
      <c r="X3394" s="2">
        <f ca="1"/>
        <v>56.680183495406062</v>
      </c>
      <c r="AG3394" s="2">
        <f ca="1"/>
        <v>0.17182230608977189</v>
      </c>
      <c r="AH3394" s="2" t="str">
        <f ca="1"/>
        <v>OK</v>
      </c>
    </row>
    <row r="3395" spans="2:34" x14ac:dyDescent="0.2">
      <c r="B3395" s="2">
        <f ca="1"/>
        <v>0.33727655021486758</v>
      </c>
      <c r="O3395" s="2">
        <f ca="1"/>
        <v>-0.17557521622260547</v>
      </c>
      <c r="X3395" s="2">
        <f ca="1"/>
        <v>39.219908068944342</v>
      </c>
      <c r="AG3395" s="2">
        <f ca="1"/>
        <v>0.99912879738116112</v>
      </c>
      <c r="AH3395" s="2" t="str">
        <f ca="1"/>
        <v>Bad</v>
      </c>
    </row>
    <row r="3396" spans="2:34" x14ac:dyDescent="0.2">
      <c r="B3396" s="2">
        <f ca="1"/>
        <v>0.21865889904503599</v>
      </c>
      <c r="O3396" s="2">
        <f ca="1"/>
        <v>-1.2115578627410812</v>
      </c>
      <c r="X3396" s="2">
        <f ca="1"/>
        <v>40.13228854725191</v>
      </c>
      <c r="AG3396" s="2">
        <f ca="1"/>
        <v>0.48018477190053988</v>
      </c>
      <c r="AH3396" s="2" t="str">
        <f ca="1"/>
        <v>Bad</v>
      </c>
    </row>
    <row r="3397" spans="2:34" x14ac:dyDescent="0.2">
      <c r="B3397" s="2">
        <f ca="1"/>
        <v>0.69754466791310499</v>
      </c>
      <c r="O3397" s="2">
        <f ca="1"/>
        <v>0.31725980463163289</v>
      </c>
      <c r="X3397" s="2">
        <f ca="1"/>
        <v>90.834742454841574</v>
      </c>
      <c r="AG3397" s="2">
        <f ca="1"/>
        <v>0.57989306059355816</v>
      </c>
      <c r="AH3397" s="2" t="str">
        <f ca="1"/>
        <v>Bad</v>
      </c>
    </row>
    <row r="3398" spans="2:34" x14ac:dyDescent="0.2">
      <c r="B3398" s="2">
        <f ca="1"/>
        <v>0.99742886984029844</v>
      </c>
      <c r="O3398" s="2">
        <f ca="1"/>
        <v>1.1432196481922687</v>
      </c>
      <c r="X3398" s="2">
        <f ca="1"/>
        <v>52.699285281761583</v>
      </c>
      <c r="AG3398" s="2">
        <f ca="1"/>
        <v>0.25343191019146305</v>
      </c>
      <c r="AH3398" s="2" t="str">
        <f ca="1"/>
        <v>OK</v>
      </c>
    </row>
    <row r="3399" spans="2:34" x14ac:dyDescent="0.2">
      <c r="B3399" s="2">
        <f ca="1"/>
        <v>0.61271904345466166</v>
      </c>
      <c r="O3399" s="2">
        <f ca="1"/>
        <v>1.02121204020635</v>
      </c>
      <c r="X3399" s="2">
        <f ca="1"/>
        <v>45.224485886541501</v>
      </c>
      <c r="AG3399" s="2">
        <f ca="1"/>
        <v>0.82430869880771906</v>
      </c>
      <c r="AH3399" s="2" t="str">
        <f ca="1"/>
        <v>Bad</v>
      </c>
    </row>
    <row r="3400" spans="2:34" x14ac:dyDescent="0.2">
      <c r="B3400" s="2">
        <f ca="1"/>
        <v>0.4308238132068003</v>
      </c>
      <c r="O3400" s="2">
        <f ca="1"/>
        <v>1.69360270100065</v>
      </c>
      <c r="X3400" s="2">
        <f ca="1"/>
        <v>43.309026816436436</v>
      </c>
      <c r="AG3400" s="2">
        <f ca="1"/>
        <v>0.47230927682341073</v>
      </c>
      <c r="AH3400" s="2" t="str">
        <f ca="1"/>
        <v>Bad</v>
      </c>
    </row>
    <row r="3401" spans="2:34" x14ac:dyDescent="0.2">
      <c r="B3401" s="2">
        <f ca="1"/>
        <v>0.91039894591609594</v>
      </c>
      <c r="O3401" s="2">
        <f ca="1"/>
        <v>-0.10921266462145882</v>
      </c>
      <c r="X3401" s="2">
        <f ca="1"/>
        <v>42.070602316856451</v>
      </c>
      <c r="AG3401" s="2">
        <f ca="1"/>
        <v>0.64811340895094949</v>
      </c>
      <c r="AH3401" s="2" t="str">
        <f ca="1"/>
        <v>Bad</v>
      </c>
    </row>
    <row r="3402" spans="2:34" x14ac:dyDescent="0.2">
      <c r="B3402" s="2">
        <f ca="1"/>
        <v>0.86271662289271278</v>
      </c>
      <c r="O3402" s="2">
        <f ca="1"/>
        <v>-0.29157675307179404</v>
      </c>
      <c r="X3402" s="2">
        <f ca="1"/>
        <v>53.788164387872961</v>
      </c>
      <c r="AG3402" s="2">
        <f ca="1"/>
        <v>0.6833660895974627</v>
      </c>
      <c r="AH3402" s="2" t="str">
        <f ca="1"/>
        <v>Bad</v>
      </c>
    </row>
    <row r="3403" spans="2:34" x14ac:dyDescent="0.2">
      <c r="B3403" s="2">
        <f ca="1"/>
        <v>0.29166435132431734</v>
      </c>
      <c r="O3403" s="2">
        <f ca="1"/>
        <v>2.420849532565144</v>
      </c>
      <c r="X3403" s="2">
        <f ca="1"/>
        <v>42.25602754913227</v>
      </c>
      <c r="AG3403" s="2">
        <f ca="1"/>
        <v>0.87247899644579752</v>
      </c>
      <c r="AH3403" s="2" t="str">
        <f ca="1"/>
        <v>Bad</v>
      </c>
    </row>
    <row r="3404" spans="2:34" x14ac:dyDescent="0.2">
      <c r="B3404" s="2">
        <f ca="1"/>
        <v>0.34562607719796223</v>
      </c>
      <c r="O3404" s="2">
        <f ca="1"/>
        <v>0.81283575858211432</v>
      </c>
      <c r="X3404" s="2">
        <f ca="1"/>
        <v>63.513182507993236</v>
      </c>
      <c r="AG3404" s="2">
        <f ca="1"/>
        <v>0.3957099941137292</v>
      </c>
      <c r="AH3404" s="2" t="str">
        <f ca="1"/>
        <v>OK</v>
      </c>
    </row>
    <row r="3405" spans="2:34" x14ac:dyDescent="0.2">
      <c r="B3405" s="2">
        <f ca="1"/>
        <v>0.23598198330913434</v>
      </c>
      <c r="O3405" s="2">
        <f ca="1"/>
        <v>1.1611119005848771</v>
      </c>
      <c r="X3405" s="2">
        <f ca="1"/>
        <v>54.046306128360804</v>
      </c>
      <c r="AG3405" s="2">
        <f ca="1"/>
        <v>0.38718931085125607</v>
      </c>
      <c r="AH3405" s="2" t="str">
        <f ca="1"/>
        <v>OK</v>
      </c>
    </row>
    <row r="3406" spans="2:34" x14ac:dyDescent="0.2">
      <c r="B3406" s="2">
        <f ca="1"/>
        <v>0.14068858818614527</v>
      </c>
      <c r="O3406" s="2">
        <f ca="1"/>
        <v>0.37672926940253543</v>
      </c>
      <c r="X3406" s="2">
        <f ca="1"/>
        <v>65.682071003900106</v>
      </c>
      <c r="AG3406" s="2">
        <f ca="1"/>
        <v>0.42838582817083082</v>
      </c>
      <c r="AH3406" s="2" t="str">
        <f ca="1"/>
        <v>Bad</v>
      </c>
    </row>
    <row r="3407" spans="2:34" x14ac:dyDescent="0.2">
      <c r="B3407" s="2">
        <f ca="1"/>
        <v>0.6085617854291363</v>
      </c>
      <c r="O3407" s="2">
        <f ca="1"/>
        <v>-1.5595118587960903</v>
      </c>
      <c r="X3407" s="2">
        <f ca="1"/>
        <v>38.123539583528427</v>
      </c>
      <c r="AG3407" s="2">
        <f ca="1"/>
        <v>0.12881796969202708</v>
      </c>
      <c r="AH3407" s="2" t="str">
        <f ca="1"/>
        <v>OK</v>
      </c>
    </row>
    <row r="3408" spans="2:34" x14ac:dyDescent="0.2">
      <c r="B3408" s="2">
        <f ca="1"/>
        <v>0.50645644534405676</v>
      </c>
      <c r="O3408" s="2">
        <f ca="1"/>
        <v>0.41235970175925968</v>
      </c>
      <c r="X3408" s="2">
        <f ca="1"/>
        <v>43.711975198824803</v>
      </c>
      <c r="AG3408" s="2">
        <f ca="1"/>
        <v>0.63787909333538151</v>
      </c>
      <c r="AH3408" s="2" t="str">
        <f ca="1"/>
        <v>Bad</v>
      </c>
    </row>
    <row r="3409" spans="2:34" x14ac:dyDescent="0.2">
      <c r="B3409" s="2">
        <f ca="1"/>
        <v>0.31449957211764845</v>
      </c>
      <c r="O3409" s="2">
        <f ca="1"/>
        <v>-0.21099118528145797</v>
      </c>
      <c r="X3409" s="2">
        <f ca="1"/>
        <v>73.239474230885563</v>
      </c>
      <c r="AG3409" s="2">
        <f ca="1"/>
        <v>0.26066866310970993</v>
      </c>
      <c r="AH3409" s="2" t="str">
        <f ca="1"/>
        <v>OK</v>
      </c>
    </row>
    <row r="3410" spans="2:34" x14ac:dyDescent="0.2">
      <c r="B3410" s="2">
        <f ca="1"/>
        <v>0.25722064802420164</v>
      </c>
      <c r="O3410" s="2">
        <f ca="1"/>
        <v>-1.7933507427502617</v>
      </c>
      <c r="X3410" s="2">
        <f ca="1"/>
        <v>29.190258193090301</v>
      </c>
      <c r="AG3410" s="2">
        <f ca="1"/>
        <v>0.54202952002227067</v>
      </c>
      <c r="AH3410" s="2" t="str">
        <f ca="1"/>
        <v>Bad</v>
      </c>
    </row>
    <row r="3411" spans="2:34" x14ac:dyDescent="0.2">
      <c r="B3411" s="2">
        <f ca="1"/>
        <v>0.22966776628044583</v>
      </c>
      <c r="O3411" s="2">
        <f ca="1"/>
        <v>-0.44382716621321155</v>
      </c>
      <c r="X3411" s="2">
        <f ca="1"/>
        <v>71.153714740257882</v>
      </c>
      <c r="AG3411" s="2">
        <f ca="1"/>
        <v>0.78906618523332717</v>
      </c>
      <c r="AH3411" s="2" t="str">
        <f ca="1"/>
        <v>Bad</v>
      </c>
    </row>
    <row r="3412" spans="2:34" x14ac:dyDescent="0.2">
      <c r="B3412" s="2">
        <f ca="1"/>
        <v>0.19689056477942568</v>
      </c>
      <c r="O3412" s="2">
        <f ca="1"/>
        <v>0.26648790089775648</v>
      </c>
      <c r="X3412" s="2">
        <f ca="1"/>
        <v>42.217006746934402</v>
      </c>
      <c r="AG3412" s="2">
        <f ca="1"/>
        <v>0.629540267666584</v>
      </c>
      <c r="AH3412" s="2" t="str">
        <f ca="1"/>
        <v>Bad</v>
      </c>
    </row>
    <row r="3413" spans="2:34" x14ac:dyDescent="0.2">
      <c r="B3413" s="2">
        <f ca="1"/>
        <v>0.77476565020924393</v>
      </c>
      <c r="O3413" s="2">
        <f ca="1"/>
        <v>0.62797849647406279</v>
      </c>
      <c r="X3413" s="2">
        <f ca="1"/>
        <v>40.320277409548801</v>
      </c>
      <c r="AG3413" s="2">
        <f ca="1"/>
        <v>0.40757997677220881</v>
      </c>
      <c r="AH3413" s="2" t="str">
        <f ca="1"/>
        <v>Bad</v>
      </c>
    </row>
    <row r="3414" spans="2:34" x14ac:dyDescent="0.2">
      <c r="B3414" s="2">
        <f ca="1"/>
        <v>5.2138422612896917E-2</v>
      </c>
      <c r="O3414" s="2">
        <f ca="1"/>
        <v>3.6702434975433781E-2</v>
      </c>
      <c r="X3414" s="2">
        <f ca="1"/>
        <v>63.056187276787469</v>
      </c>
      <c r="AG3414" s="2">
        <f ca="1"/>
        <v>0.57007632394741825</v>
      </c>
      <c r="AH3414" s="2" t="str">
        <f ca="1"/>
        <v>Bad</v>
      </c>
    </row>
    <row r="3415" spans="2:34" x14ac:dyDescent="0.2">
      <c r="B3415" s="2">
        <f ca="1"/>
        <v>0.19932087926394448</v>
      </c>
      <c r="O3415" s="2">
        <f ca="1"/>
        <v>-0.94551811586921108</v>
      </c>
      <c r="X3415" s="2">
        <f ca="1"/>
        <v>79.840618507479391</v>
      </c>
      <c r="AG3415" s="2">
        <f ca="1"/>
        <v>0.63311608103384787</v>
      </c>
      <c r="AH3415" s="2" t="str">
        <f ca="1"/>
        <v>Bad</v>
      </c>
    </row>
    <row r="3416" spans="2:34" x14ac:dyDescent="0.2">
      <c r="B3416" s="2">
        <f ca="1"/>
        <v>5.847127302305144E-2</v>
      </c>
      <c r="O3416" s="2">
        <f ca="1"/>
        <v>-0.78983762890452425</v>
      </c>
      <c r="X3416" s="2">
        <f ca="1"/>
        <v>50.748280334835357</v>
      </c>
      <c r="AG3416" s="2">
        <f ca="1"/>
        <v>0.5758522352064579</v>
      </c>
      <c r="AH3416" s="2" t="str">
        <f ca="1"/>
        <v>Bad</v>
      </c>
    </row>
    <row r="3417" spans="2:34" x14ac:dyDescent="0.2">
      <c r="B3417" s="2">
        <f ca="1"/>
        <v>0.44953083588267173</v>
      </c>
      <c r="O3417" s="2">
        <f ca="1"/>
        <v>-0.32188739624497459</v>
      </c>
      <c r="X3417" s="2">
        <f ca="1"/>
        <v>54.290688569835126</v>
      </c>
      <c r="AG3417" s="2">
        <f ca="1"/>
        <v>0.26719894560964197</v>
      </c>
      <c r="AH3417" s="2" t="str">
        <f ca="1"/>
        <v>OK</v>
      </c>
    </row>
    <row r="3418" spans="2:34" x14ac:dyDescent="0.2">
      <c r="B3418" s="2">
        <f ca="1"/>
        <v>0.24270308940403185</v>
      </c>
      <c r="O3418" s="2">
        <f ca="1"/>
        <v>-0.10489925046985306</v>
      </c>
      <c r="X3418" s="2">
        <f ca="1"/>
        <v>45.200564662417847</v>
      </c>
      <c r="AG3418" s="2">
        <f ca="1"/>
        <v>7.9910270833559061E-2</v>
      </c>
      <c r="AH3418" s="2" t="str">
        <f ca="1"/>
        <v>OK</v>
      </c>
    </row>
    <row r="3419" spans="2:34" x14ac:dyDescent="0.2">
      <c r="B3419" s="2">
        <f ca="1"/>
        <v>0.72210788679742932</v>
      </c>
      <c r="O3419" s="2">
        <f ca="1"/>
        <v>0.92425359972293541</v>
      </c>
      <c r="X3419" s="2">
        <f ca="1"/>
        <v>36.22043141941559</v>
      </c>
      <c r="AG3419" s="2">
        <f ca="1"/>
        <v>0.68629019856653084</v>
      </c>
      <c r="AH3419" s="2" t="str">
        <f ca="1"/>
        <v>Bad</v>
      </c>
    </row>
    <row r="3420" spans="2:34" x14ac:dyDescent="0.2">
      <c r="B3420" s="2">
        <f ca="1"/>
        <v>0.45998376280578834</v>
      </c>
      <c r="O3420" s="2">
        <f ca="1"/>
        <v>2.3497378983293191</v>
      </c>
      <c r="X3420" s="2">
        <f ca="1"/>
        <v>53.383212768611685</v>
      </c>
      <c r="AG3420" s="2">
        <f ca="1"/>
        <v>0.39832379203844193</v>
      </c>
      <c r="AH3420" s="2" t="str">
        <f ca="1"/>
        <v>OK</v>
      </c>
    </row>
    <row r="3421" spans="2:34" x14ac:dyDescent="0.2">
      <c r="B3421" s="2">
        <f ca="1"/>
        <v>0.20140778348509802</v>
      </c>
      <c r="O3421" s="2">
        <f ca="1"/>
        <v>-0.9592007312211478</v>
      </c>
      <c r="X3421" s="2">
        <f ca="1"/>
        <v>30.137927061061834</v>
      </c>
      <c r="AG3421" s="2">
        <f ca="1"/>
        <v>0.61930970284851661</v>
      </c>
      <c r="AH3421" s="2" t="str">
        <f ca="1"/>
        <v>Bad</v>
      </c>
    </row>
    <row r="3422" spans="2:34" x14ac:dyDescent="0.2">
      <c r="B3422" s="2">
        <f ca="1"/>
        <v>0.88975810608730121</v>
      </c>
      <c r="O3422" s="2">
        <f ca="1"/>
        <v>-1.4003318305585915</v>
      </c>
      <c r="X3422" s="2">
        <f ca="1"/>
        <v>51.544796120159944</v>
      </c>
      <c r="AG3422" s="2">
        <f ca="1"/>
        <v>0.27459260991250756</v>
      </c>
      <c r="AH3422" s="2" t="str">
        <f ca="1"/>
        <v>OK</v>
      </c>
    </row>
    <row r="3423" spans="2:34" x14ac:dyDescent="0.2">
      <c r="B3423" s="2">
        <f ca="1"/>
        <v>0.92893391381484847</v>
      </c>
      <c r="O3423" s="2">
        <f ca="1"/>
        <v>0.74747301208739081</v>
      </c>
      <c r="X3423" s="2">
        <f ca="1"/>
        <v>80.292281982582253</v>
      </c>
      <c r="AG3423" s="2">
        <f ca="1"/>
        <v>3.3731510752311955E-2</v>
      </c>
      <c r="AH3423" s="2" t="str">
        <f ca="1"/>
        <v>Good</v>
      </c>
    </row>
    <row r="3424" spans="2:34" x14ac:dyDescent="0.2">
      <c r="B3424" s="2">
        <f ca="1"/>
        <v>0.13411489495090412</v>
      </c>
      <c r="O3424" s="2">
        <f ca="1"/>
        <v>-0.38921689320207264</v>
      </c>
      <c r="X3424" s="2">
        <f ca="1"/>
        <v>46.388441423057373</v>
      </c>
      <c r="AG3424" s="2">
        <f ca="1"/>
        <v>0.33656329231413196</v>
      </c>
      <c r="AH3424" s="2" t="str">
        <f ca="1"/>
        <v>OK</v>
      </c>
    </row>
    <row r="3425" spans="2:34" x14ac:dyDescent="0.2">
      <c r="B3425" s="2">
        <f ca="1"/>
        <v>0.98274781011836043</v>
      </c>
      <c r="O3425" s="2">
        <f ca="1"/>
        <v>-0.81985029759830197</v>
      </c>
      <c r="X3425" s="2">
        <f ca="1"/>
        <v>72.196662631160194</v>
      </c>
      <c r="AG3425" s="2">
        <f ca="1"/>
        <v>0.62862136100398613</v>
      </c>
      <c r="AH3425" s="2" t="str">
        <f ca="1"/>
        <v>Bad</v>
      </c>
    </row>
    <row r="3426" spans="2:34" x14ac:dyDescent="0.2">
      <c r="B3426" s="2">
        <f ca="1"/>
        <v>0.39354846620378514</v>
      </c>
      <c r="O3426" s="2">
        <f ca="1"/>
        <v>0.44281198579157394</v>
      </c>
      <c r="X3426" s="2">
        <f ca="1"/>
        <v>61.762545443667264</v>
      </c>
      <c r="AG3426" s="2">
        <f ca="1"/>
        <v>4.9332664874476517E-2</v>
      </c>
      <c r="AH3426" s="2" t="str">
        <f ca="1"/>
        <v>Good</v>
      </c>
    </row>
    <row r="3427" spans="2:34" x14ac:dyDescent="0.2">
      <c r="B3427" s="2">
        <f ca="1"/>
        <v>0.82906199948330772</v>
      </c>
      <c r="O3427" s="2">
        <f ca="1"/>
        <v>0.11747331105164539</v>
      </c>
      <c r="X3427" s="2">
        <f ca="1"/>
        <v>84.291879861493214</v>
      </c>
      <c r="AG3427" s="2">
        <f ca="1"/>
        <v>0.91858892800402403</v>
      </c>
      <c r="AH3427" s="2" t="str">
        <f ca="1"/>
        <v>Bad</v>
      </c>
    </row>
    <row r="3428" spans="2:34" x14ac:dyDescent="0.2">
      <c r="B3428" s="2">
        <f ca="1"/>
        <v>0.76209765073394498</v>
      </c>
      <c r="O3428" s="2">
        <f ca="1"/>
        <v>1.9205256101574317</v>
      </c>
      <c r="X3428" s="2">
        <f ca="1"/>
        <v>70.265865647708594</v>
      </c>
      <c r="AG3428" s="2">
        <f ca="1"/>
        <v>0.95131491709155336</v>
      </c>
      <c r="AH3428" s="2" t="str">
        <f ca="1"/>
        <v>Bad</v>
      </c>
    </row>
    <row r="3429" spans="2:34" x14ac:dyDescent="0.2">
      <c r="B3429" s="2">
        <f ca="1"/>
        <v>6.3835695800363412E-2</v>
      </c>
      <c r="O3429" s="2">
        <f ca="1"/>
        <v>-0.30761916514758453</v>
      </c>
      <c r="X3429" s="2">
        <f ca="1"/>
        <v>65.422757916522599</v>
      </c>
      <c r="AG3429" s="2">
        <f ca="1"/>
        <v>0.41604031482166981</v>
      </c>
      <c r="AH3429" s="2" t="str">
        <f ca="1"/>
        <v>Bad</v>
      </c>
    </row>
    <row r="3430" spans="2:34" x14ac:dyDescent="0.2">
      <c r="B3430" s="2">
        <f ca="1"/>
        <v>0.92642588706286788</v>
      </c>
      <c r="O3430" s="2">
        <f ca="1"/>
        <v>1.6184316303932849</v>
      </c>
      <c r="X3430" s="2">
        <f ca="1"/>
        <v>40.53738203115384</v>
      </c>
      <c r="AG3430" s="2">
        <f ca="1"/>
        <v>2.5232918680744065E-2</v>
      </c>
      <c r="AH3430" s="2" t="str">
        <f ca="1"/>
        <v>Good</v>
      </c>
    </row>
    <row r="3431" spans="2:34" x14ac:dyDescent="0.2">
      <c r="B3431" s="2">
        <f ca="1"/>
        <v>0.82748011519739806</v>
      </c>
      <c r="O3431" s="2">
        <f ca="1"/>
        <v>1.4587566674360959</v>
      </c>
      <c r="X3431" s="2">
        <f ca="1"/>
        <v>60.081423975675222</v>
      </c>
      <c r="AG3431" s="2">
        <f ca="1"/>
        <v>0.7938636152925449</v>
      </c>
      <c r="AH3431" s="2" t="str">
        <f ca="1"/>
        <v>Bad</v>
      </c>
    </row>
    <row r="3432" spans="2:34" x14ac:dyDescent="0.2">
      <c r="B3432" s="2">
        <f ca="1"/>
        <v>0.91103652989911521</v>
      </c>
      <c r="O3432" s="2">
        <f ca="1"/>
        <v>-0.99868408863165337</v>
      </c>
      <c r="X3432" s="2">
        <f ca="1"/>
        <v>52.879582387953661</v>
      </c>
      <c r="AG3432" s="2">
        <f ca="1"/>
        <v>0.61999968428511476</v>
      </c>
      <c r="AH3432" s="2" t="str">
        <f ca="1"/>
        <v>Bad</v>
      </c>
    </row>
    <row r="3433" spans="2:34" x14ac:dyDescent="0.2">
      <c r="B3433" s="2">
        <f ca="1"/>
        <v>0.21213718635686285</v>
      </c>
      <c r="O3433" s="2">
        <f ca="1"/>
        <v>-0.39580141956024156</v>
      </c>
      <c r="X3433" s="2">
        <f ca="1"/>
        <v>48.235705362372286</v>
      </c>
      <c r="AG3433" s="2">
        <f ca="1"/>
        <v>0.62172740502156065</v>
      </c>
      <c r="AH3433" s="2" t="str">
        <f ca="1"/>
        <v>Bad</v>
      </c>
    </row>
    <row r="3434" spans="2:34" x14ac:dyDescent="0.2">
      <c r="B3434" s="2">
        <f ca="1"/>
        <v>3.9651077421616776E-2</v>
      </c>
      <c r="O3434" s="2">
        <f ca="1"/>
        <v>-0.77486334860354267</v>
      </c>
      <c r="X3434" s="2">
        <f ca="1"/>
        <v>25.699966420549526</v>
      </c>
      <c r="AG3434" s="2">
        <f ca="1"/>
        <v>0.623223147298265</v>
      </c>
      <c r="AH3434" s="2" t="str">
        <f ca="1"/>
        <v>Bad</v>
      </c>
    </row>
    <row r="3435" spans="2:34" x14ac:dyDescent="0.2">
      <c r="B3435" s="2">
        <f ca="1"/>
        <v>0.51239918850778965</v>
      </c>
      <c r="O3435" s="2">
        <f ca="1"/>
        <v>1.2219085800671907</v>
      </c>
      <c r="X3435" s="2">
        <f ca="1"/>
        <v>52.607085542605446</v>
      </c>
      <c r="AG3435" s="2">
        <f ca="1"/>
        <v>0.42465969195603015</v>
      </c>
      <c r="AH3435" s="2" t="str">
        <f ca="1"/>
        <v>Bad</v>
      </c>
    </row>
    <row r="3436" spans="2:34" x14ac:dyDescent="0.2">
      <c r="B3436" s="2">
        <f ca="1"/>
        <v>0.51049995938391879</v>
      </c>
      <c r="O3436" s="2">
        <f ca="1"/>
        <v>1.8262123226921982</v>
      </c>
      <c r="X3436" s="2">
        <f ca="1"/>
        <v>59.518268205122908</v>
      </c>
      <c r="AG3436" s="2">
        <f ca="1"/>
        <v>0.29489379933150994</v>
      </c>
      <c r="AH3436" s="2" t="str">
        <f ca="1"/>
        <v>OK</v>
      </c>
    </row>
    <row r="3437" spans="2:34" x14ac:dyDescent="0.2">
      <c r="B3437" s="2">
        <f ca="1"/>
        <v>0.7122616086536353</v>
      </c>
      <c r="O3437" s="2">
        <f ca="1"/>
        <v>0.44251830088758343</v>
      </c>
      <c r="X3437" s="2">
        <f ca="1"/>
        <v>59.018646686121315</v>
      </c>
      <c r="AG3437" s="2">
        <f ca="1"/>
        <v>0.23852180852825855</v>
      </c>
      <c r="AH3437" s="2" t="str">
        <f ca="1"/>
        <v>OK</v>
      </c>
    </row>
    <row r="3438" spans="2:34" x14ac:dyDescent="0.2">
      <c r="B3438" s="2">
        <f ca="1"/>
        <v>0.82739799737092001</v>
      </c>
      <c r="O3438" s="2">
        <f ca="1"/>
        <v>0.53497981772660186</v>
      </c>
      <c r="X3438" s="2">
        <f ca="1"/>
        <v>28.984278840824565</v>
      </c>
      <c r="AG3438" s="2">
        <f ca="1"/>
        <v>0.80880798779928442</v>
      </c>
      <c r="AH3438" s="2" t="str">
        <f ca="1"/>
        <v>Bad</v>
      </c>
    </row>
    <row r="3439" spans="2:34" x14ac:dyDescent="0.2">
      <c r="B3439" s="2">
        <f ca="1"/>
        <v>0.98580232541566226</v>
      </c>
      <c r="O3439" s="2">
        <f ca="1"/>
        <v>2.3109113082984079E-2</v>
      </c>
      <c r="X3439" s="2">
        <f ca="1"/>
        <v>63.552699013852454</v>
      </c>
      <c r="AG3439" s="2">
        <f ca="1"/>
        <v>0.96625030337029139</v>
      </c>
      <c r="AH3439" s="2" t="str">
        <f ca="1"/>
        <v>Bad</v>
      </c>
    </row>
    <row r="3440" spans="2:34" x14ac:dyDescent="0.2">
      <c r="B3440" s="2">
        <f ca="1"/>
        <v>0.18576773953581327</v>
      </c>
      <c r="O3440" s="2">
        <f ca="1"/>
        <v>-0.61417405805677938</v>
      </c>
      <c r="X3440" s="2">
        <f ca="1"/>
        <v>46.458269054218093</v>
      </c>
      <c r="AG3440" s="2">
        <f ca="1"/>
        <v>0.8944916176915898</v>
      </c>
      <c r="AH3440" s="2" t="str">
        <f ca="1"/>
        <v>Bad</v>
      </c>
    </row>
    <row r="3441" spans="2:34" x14ac:dyDescent="0.2">
      <c r="B3441" s="2">
        <f ca="1"/>
        <v>0.18057618590052638</v>
      </c>
      <c r="O3441" s="2">
        <f ca="1"/>
        <v>-0.23334015537333769</v>
      </c>
      <c r="X3441" s="2">
        <f ca="1"/>
        <v>33.003901353631122</v>
      </c>
      <c r="AG3441" s="2">
        <f ca="1"/>
        <v>0.43344662587209548</v>
      </c>
      <c r="AH3441" s="2" t="str">
        <f ca="1"/>
        <v>Bad</v>
      </c>
    </row>
    <row r="3442" spans="2:34" x14ac:dyDescent="0.2">
      <c r="B3442" s="2">
        <f ca="1"/>
        <v>0.31382941974198197</v>
      </c>
      <c r="O3442" s="2">
        <f ca="1"/>
        <v>-0.71811602901539018</v>
      </c>
      <c r="X3442" s="2">
        <f ca="1"/>
        <v>61.277322305755526</v>
      </c>
      <c r="AG3442" s="2">
        <f ca="1"/>
        <v>0.52870156818143332</v>
      </c>
      <c r="AH3442" s="2" t="str">
        <f ca="1"/>
        <v>Bad</v>
      </c>
    </row>
    <row r="3443" spans="2:34" x14ac:dyDescent="0.2">
      <c r="B3443" s="2">
        <f ca="1"/>
        <v>0.67201202857355469</v>
      </c>
      <c r="O3443" s="2">
        <f ca="1"/>
        <v>-1.0890915258687894</v>
      </c>
      <c r="X3443" s="2">
        <f ca="1"/>
        <v>89.113989916616006</v>
      </c>
      <c r="AG3443" s="2">
        <f ca="1"/>
        <v>0.12654393576692824</v>
      </c>
      <c r="AH3443" s="2" t="str">
        <f ca="1"/>
        <v>OK</v>
      </c>
    </row>
    <row r="3444" spans="2:34" x14ac:dyDescent="0.2">
      <c r="B3444" s="2">
        <f ca="1"/>
        <v>7.2296085133162657E-2</v>
      </c>
      <c r="O3444" s="2">
        <f ca="1"/>
        <v>-1.2520463891819145</v>
      </c>
      <c r="X3444" s="2">
        <f ca="1"/>
        <v>51.199519960049045</v>
      </c>
      <c r="AG3444" s="2">
        <f ca="1"/>
        <v>0.15463535275152629</v>
      </c>
      <c r="AH3444" s="2" t="str">
        <f ca="1"/>
        <v>OK</v>
      </c>
    </row>
    <row r="3445" spans="2:34" x14ac:dyDescent="0.2">
      <c r="B3445" s="2">
        <f ca="1"/>
        <v>9.2925881212032824E-2</v>
      </c>
      <c r="O3445" s="2">
        <f ca="1"/>
        <v>0.50578405203924315</v>
      </c>
      <c r="X3445" s="2">
        <f ca="1"/>
        <v>54.566232307533582</v>
      </c>
      <c r="AG3445" s="2">
        <f ca="1"/>
        <v>0.22860348063946612</v>
      </c>
      <c r="AH3445" s="2" t="str">
        <f ca="1"/>
        <v>OK</v>
      </c>
    </row>
    <row r="3446" spans="2:34" x14ac:dyDescent="0.2">
      <c r="B3446" s="2">
        <f ca="1"/>
        <v>0.47265415166641889</v>
      </c>
      <c r="O3446" s="2">
        <f ca="1"/>
        <v>0.67960056186832229</v>
      </c>
      <c r="X3446" s="2">
        <f ca="1"/>
        <v>27.829239248394909</v>
      </c>
      <c r="AG3446" s="2">
        <f ca="1"/>
        <v>0.21524982658912739</v>
      </c>
      <c r="AH3446" s="2" t="str">
        <f ca="1"/>
        <v>OK</v>
      </c>
    </row>
    <row r="3447" spans="2:34" x14ac:dyDescent="0.2">
      <c r="B3447" s="2">
        <f ca="1"/>
        <v>0.89222238267009946</v>
      </c>
      <c r="O3447" s="2">
        <f ca="1"/>
        <v>0.19785162498394721</v>
      </c>
      <c r="X3447" s="2">
        <f ca="1"/>
        <v>53.066654438994682</v>
      </c>
      <c r="AG3447" s="2">
        <f ca="1"/>
        <v>3.2750821668262597E-2</v>
      </c>
      <c r="AH3447" s="2" t="str">
        <f ca="1"/>
        <v>Good</v>
      </c>
    </row>
    <row r="3448" spans="2:34" x14ac:dyDescent="0.2">
      <c r="B3448" s="2">
        <f ca="1"/>
        <v>0.80584065951597483</v>
      </c>
      <c r="O3448" s="2">
        <f ca="1"/>
        <v>0.15040452567510185</v>
      </c>
      <c r="X3448" s="2">
        <f ca="1"/>
        <v>24.374545790361502</v>
      </c>
      <c r="AG3448" s="2">
        <f ca="1"/>
        <v>0.41648310457814097</v>
      </c>
      <c r="AH3448" s="2" t="str">
        <f ca="1"/>
        <v>Bad</v>
      </c>
    </row>
    <row r="3449" spans="2:34" x14ac:dyDescent="0.2">
      <c r="B3449" s="2">
        <f ca="1"/>
        <v>6.2967458804161103E-2</v>
      </c>
      <c r="O3449" s="2">
        <f ca="1"/>
        <v>1.7218001010486421</v>
      </c>
      <c r="X3449" s="2">
        <f ca="1"/>
        <v>25.629959389794582</v>
      </c>
      <c r="AG3449" s="2">
        <f ca="1"/>
        <v>0.44431947773249858</v>
      </c>
      <c r="AH3449" s="2" t="str">
        <f ca="1"/>
        <v>Bad</v>
      </c>
    </row>
    <row r="3450" spans="2:34" x14ac:dyDescent="0.2">
      <c r="B3450" s="2">
        <f ca="1"/>
        <v>0.52964903787500672</v>
      </c>
      <c r="O3450" s="2">
        <f ca="1"/>
        <v>-0.35789356576987619</v>
      </c>
      <c r="X3450" s="2">
        <f ca="1"/>
        <v>54.634315730793155</v>
      </c>
      <c r="AG3450" s="2">
        <f ca="1"/>
        <v>7.4027458706386273E-2</v>
      </c>
      <c r="AH3450" s="2" t="str">
        <f ca="1"/>
        <v>OK</v>
      </c>
    </row>
    <row r="3451" spans="2:34" x14ac:dyDescent="0.2">
      <c r="B3451" s="2">
        <f ca="1"/>
        <v>0.39705191871831524</v>
      </c>
      <c r="O3451" s="2">
        <f ca="1"/>
        <v>1.2834257300514877</v>
      </c>
      <c r="X3451" s="2">
        <f ca="1"/>
        <v>49.505597501680441</v>
      </c>
      <c r="AG3451" s="2">
        <f ca="1"/>
        <v>0.27490409916844993</v>
      </c>
      <c r="AH3451" s="2" t="str">
        <f ca="1"/>
        <v>OK</v>
      </c>
    </row>
    <row r="3452" spans="2:34" x14ac:dyDescent="0.2">
      <c r="B3452" s="2">
        <f ca="1"/>
        <v>0.39645713043446484</v>
      </c>
      <c r="O3452" s="2">
        <f ca="1"/>
        <v>-2.1478938660012994</v>
      </c>
      <c r="X3452" s="2">
        <f ca="1"/>
        <v>48.82870987496063</v>
      </c>
      <c r="AG3452" s="2">
        <f ca="1"/>
        <v>0.8048257771058196</v>
      </c>
      <c r="AH3452" s="2" t="str">
        <f ca="1"/>
        <v>Bad</v>
      </c>
    </row>
    <row r="3453" spans="2:34" x14ac:dyDescent="0.2">
      <c r="B3453" s="2">
        <f ca="1"/>
        <v>0.84514245359425644</v>
      </c>
      <c r="O3453" s="2">
        <f ca="1"/>
        <v>-3.8468312054277268E-2</v>
      </c>
      <c r="X3453" s="2">
        <f ca="1"/>
        <v>66.604336172387121</v>
      </c>
      <c r="AG3453" s="2">
        <f ca="1"/>
        <v>6.7863575429589762E-2</v>
      </c>
      <c r="AH3453" s="2" t="str">
        <f ca="1"/>
        <v>OK</v>
      </c>
    </row>
    <row r="3454" spans="2:34" x14ac:dyDescent="0.2">
      <c r="B3454" s="2">
        <f ca="1"/>
        <v>0.8530728465729116</v>
      </c>
      <c r="O3454" s="2">
        <f ca="1"/>
        <v>0.34093657830351987</v>
      </c>
      <c r="X3454" s="2">
        <f ca="1"/>
        <v>41.264331785420254</v>
      </c>
      <c r="AG3454" s="2">
        <f ca="1"/>
        <v>0.45244563809725324</v>
      </c>
      <c r="AH3454" s="2" t="str">
        <f ca="1"/>
        <v>Bad</v>
      </c>
    </row>
    <row r="3455" spans="2:34" x14ac:dyDescent="0.2">
      <c r="B3455" s="2">
        <f ca="1"/>
        <v>0.90117310036540421</v>
      </c>
      <c r="O3455" s="2">
        <f ca="1"/>
        <v>-0.95937819016809145</v>
      </c>
      <c r="X3455" s="2">
        <f ca="1"/>
        <v>74.975185723031558</v>
      </c>
      <c r="AG3455" s="2">
        <f ca="1"/>
        <v>0.96967835191011864</v>
      </c>
      <c r="AH3455" s="2" t="str">
        <f ca="1"/>
        <v>Bad</v>
      </c>
    </row>
    <row r="3456" spans="2:34" x14ac:dyDescent="0.2">
      <c r="B3456" s="2">
        <f ca="1"/>
        <v>0.30322505947732092</v>
      </c>
      <c r="O3456" s="2">
        <f ca="1"/>
        <v>-0.15838207783754749</v>
      </c>
      <c r="X3456" s="2">
        <f ca="1"/>
        <v>54.87304936116174</v>
      </c>
      <c r="AG3456" s="2">
        <f ca="1"/>
        <v>0.56973798650419827</v>
      </c>
      <c r="AH3456" s="2" t="str">
        <f ca="1"/>
        <v>Bad</v>
      </c>
    </row>
    <row r="3457" spans="2:34" x14ac:dyDescent="0.2">
      <c r="B3457" s="2">
        <f ca="1"/>
        <v>0.88143960453658421</v>
      </c>
      <c r="O3457" s="2">
        <f ca="1"/>
        <v>0.51893571247527936</v>
      </c>
      <c r="X3457" s="2">
        <f ca="1"/>
        <v>35.812897338777361</v>
      </c>
      <c r="AG3457" s="2">
        <f ca="1"/>
        <v>0.36666498809830284</v>
      </c>
      <c r="AH3457" s="2" t="str">
        <f ca="1"/>
        <v>OK</v>
      </c>
    </row>
    <row r="3458" spans="2:34" x14ac:dyDescent="0.2">
      <c r="B3458" s="2">
        <f ca="1"/>
        <v>0.63618543507761238</v>
      </c>
      <c r="O3458" s="2">
        <f ca="1"/>
        <v>-0.55689392256538295</v>
      </c>
      <c r="X3458" s="2">
        <f ca="1"/>
        <v>50.867586884269294</v>
      </c>
      <c r="AG3458" s="2">
        <f ca="1"/>
        <v>0.74294347423844909</v>
      </c>
      <c r="AH3458" s="2" t="str">
        <f ca="1"/>
        <v>Bad</v>
      </c>
    </row>
    <row r="3459" spans="2:34" x14ac:dyDescent="0.2">
      <c r="B3459" s="2">
        <f ca="1"/>
        <v>0.40075267390319147</v>
      </c>
      <c r="O3459" s="2">
        <f ca="1"/>
        <v>-5.7080011811893663E-2</v>
      </c>
      <c r="X3459" s="2">
        <f ca="1"/>
        <v>37.542707348337501</v>
      </c>
      <c r="AG3459" s="2">
        <f ca="1"/>
        <v>0.51271881799283059</v>
      </c>
      <c r="AH3459" s="2" t="str">
        <f ca="1"/>
        <v>Bad</v>
      </c>
    </row>
    <row r="3460" spans="2:34" x14ac:dyDescent="0.2">
      <c r="B3460" s="2">
        <f ca="1"/>
        <v>0.80836510861298083</v>
      </c>
      <c r="O3460" s="2">
        <f ca="1"/>
        <v>1.2596143159673969</v>
      </c>
      <c r="X3460" s="2">
        <f ca="1"/>
        <v>72.13366636120665</v>
      </c>
      <c r="AG3460" s="2">
        <f ca="1"/>
        <v>0.71025172417029925</v>
      </c>
      <c r="AH3460" s="2" t="str">
        <f ca="1"/>
        <v>Bad</v>
      </c>
    </row>
    <row r="3461" spans="2:34" x14ac:dyDescent="0.2">
      <c r="B3461" s="2">
        <f ca="1"/>
        <v>0.30805897488070966</v>
      </c>
      <c r="O3461" s="2">
        <f ca="1"/>
        <v>0.3728755813663891</v>
      </c>
      <c r="X3461" s="2">
        <f ca="1"/>
        <v>48.345792815353079</v>
      </c>
      <c r="AG3461" s="2">
        <f ca="1"/>
        <v>3.8361942314643294E-2</v>
      </c>
      <c r="AH3461" s="2" t="str">
        <f ca="1"/>
        <v>Good</v>
      </c>
    </row>
    <row r="3462" spans="2:34" x14ac:dyDescent="0.2">
      <c r="B3462" s="2">
        <f ca="1"/>
        <v>0.95189171819874252</v>
      </c>
      <c r="O3462" s="2">
        <f ca="1"/>
        <v>0.31201994217199325</v>
      </c>
      <c r="X3462" s="2">
        <f ca="1"/>
        <v>54.589332593737296</v>
      </c>
      <c r="AG3462" s="2">
        <f ca="1"/>
        <v>7.0036283716417014E-3</v>
      </c>
      <c r="AH3462" s="2" t="str">
        <f ca="1"/>
        <v>Good</v>
      </c>
    </row>
    <row r="3463" spans="2:34" x14ac:dyDescent="0.2">
      <c r="B3463" s="2">
        <f ca="1"/>
        <v>0.20263381859975649</v>
      </c>
      <c r="O3463" s="2">
        <f ca="1"/>
        <v>-0.5604810691162696</v>
      </c>
      <c r="X3463" s="2">
        <f ca="1"/>
        <v>77.648291667967626</v>
      </c>
      <c r="AG3463" s="2">
        <f ca="1"/>
        <v>0.26410675306233689</v>
      </c>
      <c r="AH3463" s="2" t="str">
        <f ca="1"/>
        <v>OK</v>
      </c>
    </row>
    <row r="3464" spans="2:34" x14ac:dyDescent="0.2">
      <c r="B3464" s="2">
        <f ca="1"/>
        <v>0.74939121603602143</v>
      </c>
      <c r="O3464" s="2">
        <f ca="1"/>
        <v>0.58465001586302945</v>
      </c>
      <c r="X3464" s="2">
        <f ca="1"/>
        <v>35.741338653142584</v>
      </c>
      <c r="AG3464" s="2">
        <f ca="1"/>
        <v>0.83202672780363685</v>
      </c>
      <c r="AH3464" s="2" t="str">
        <f ca="1"/>
        <v>Bad</v>
      </c>
    </row>
    <row r="3465" spans="2:34" x14ac:dyDescent="0.2">
      <c r="B3465" s="2">
        <f ca="1"/>
        <v>0.80647962467867851</v>
      </c>
      <c r="O3465" s="2">
        <f ca="1"/>
        <v>-0.75647166356997508</v>
      </c>
      <c r="X3465" s="2">
        <f ca="1"/>
        <v>57.649790480905182</v>
      </c>
      <c r="AG3465" s="2">
        <f ca="1"/>
        <v>0.98237060191116621</v>
      </c>
      <c r="AH3465" s="2" t="str">
        <f ca="1"/>
        <v>Bad</v>
      </c>
    </row>
    <row r="3466" spans="2:34" x14ac:dyDescent="0.2">
      <c r="B3466" s="2">
        <f ca="1"/>
        <v>0.84420558694582826</v>
      </c>
      <c r="O3466" s="2">
        <f ca="1"/>
        <v>-1.9572568894704017</v>
      </c>
      <c r="X3466" s="2">
        <f ca="1"/>
        <v>53.008967837872447</v>
      </c>
      <c r="AG3466" s="2">
        <f ca="1"/>
        <v>0.69391389966391093</v>
      </c>
      <c r="AH3466" s="2" t="str">
        <f ca="1"/>
        <v>Bad</v>
      </c>
    </row>
    <row r="3467" spans="2:34" x14ac:dyDescent="0.2">
      <c r="B3467" s="2">
        <f ca="1"/>
        <v>9.3920747340750621E-2</v>
      </c>
      <c r="O3467" s="2">
        <f ca="1"/>
        <v>-0.64028772614774609</v>
      </c>
      <c r="X3467" s="2">
        <f ca="1"/>
        <v>53.657948873683139</v>
      </c>
      <c r="AG3467" s="2">
        <f ca="1"/>
        <v>0.36766638193299217</v>
      </c>
      <c r="AH3467" s="2" t="str">
        <f ca="1"/>
        <v>OK</v>
      </c>
    </row>
    <row r="3468" spans="2:34" x14ac:dyDescent="0.2">
      <c r="B3468" s="2">
        <f ca="1"/>
        <v>9.7625440584589773E-2</v>
      </c>
      <c r="O3468" s="2">
        <f ca="1"/>
        <v>-1.4739423439258696</v>
      </c>
      <c r="X3468" s="2">
        <f ca="1"/>
        <v>56.454865175806376</v>
      </c>
      <c r="AG3468" s="2">
        <f ca="1"/>
        <v>0.48997918488291292</v>
      </c>
      <c r="AH3468" s="2" t="str">
        <f ca="1"/>
        <v>Bad</v>
      </c>
    </row>
    <row r="3469" spans="2:34" x14ac:dyDescent="0.2">
      <c r="B3469" s="2">
        <f ca="1"/>
        <v>0.95151249068890409</v>
      </c>
      <c r="O3469" s="2">
        <f ca="1"/>
        <v>-0.52338720871932864</v>
      </c>
      <c r="X3469" s="2">
        <f ca="1"/>
        <v>38.978932076031967</v>
      </c>
      <c r="AG3469" s="2">
        <f ca="1"/>
        <v>0.92529115990640864</v>
      </c>
      <c r="AH3469" s="2" t="str">
        <f ca="1"/>
        <v>Bad</v>
      </c>
    </row>
    <row r="3470" spans="2:34" x14ac:dyDescent="0.2">
      <c r="B3470" s="2">
        <f ca="1"/>
        <v>0.87406497844509157</v>
      </c>
      <c r="O3470" s="2">
        <f ca="1"/>
        <v>-1.0034225972386184</v>
      </c>
      <c r="X3470" s="2">
        <f ca="1"/>
        <v>40.992658545390661</v>
      </c>
      <c r="AG3470" s="2">
        <f ca="1"/>
        <v>0.20054749005444372</v>
      </c>
      <c r="AH3470" s="2" t="str">
        <f ca="1"/>
        <v>OK</v>
      </c>
    </row>
    <row r="3471" spans="2:34" x14ac:dyDescent="0.2">
      <c r="B3471" s="2">
        <f ca="1"/>
        <v>0.44185918567048765</v>
      </c>
      <c r="O3471" s="2">
        <f ca="1"/>
        <v>-1.9045854954503771</v>
      </c>
      <c r="X3471" s="2">
        <f ca="1"/>
        <v>48.269700472612193</v>
      </c>
      <c r="AG3471" s="2">
        <f ca="1"/>
        <v>0.47193175639610518</v>
      </c>
      <c r="AH3471" s="2" t="str">
        <f ca="1"/>
        <v>Bad</v>
      </c>
    </row>
    <row r="3472" spans="2:34" x14ac:dyDescent="0.2">
      <c r="B3472" s="2">
        <f ca="1"/>
        <v>0.16832484469244813</v>
      </c>
      <c r="O3472" s="2">
        <f ca="1"/>
        <v>-0.15353408741792368</v>
      </c>
      <c r="X3472" s="2">
        <f ca="1"/>
        <v>88.842125076891762</v>
      </c>
      <c r="AG3472" s="2">
        <f ca="1"/>
        <v>0.49231248446776399</v>
      </c>
      <c r="AH3472" s="2" t="str">
        <f ca="1"/>
        <v>Bad</v>
      </c>
    </row>
    <row r="3473" spans="2:34" x14ac:dyDescent="0.2">
      <c r="B3473" s="2">
        <f ca="1"/>
        <v>0.18271874453246228</v>
      </c>
      <c r="O3473" s="2">
        <f ca="1"/>
        <v>0.80053844232703109</v>
      </c>
      <c r="X3473" s="2">
        <f ca="1"/>
        <v>30.795470555114306</v>
      </c>
      <c r="AG3473" s="2">
        <f ca="1"/>
        <v>0.14786383865668973</v>
      </c>
      <c r="AH3473" s="2" t="str">
        <f ca="1"/>
        <v>OK</v>
      </c>
    </row>
    <row r="3474" spans="2:34" x14ac:dyDescent="0.2">
      <c r="B3474" s="2">
        <f ca="1"/>
        <v>0.75655195372628126</v>
      </c>
      <c r="O3474" s="2">
        <f ca="1"/>
        <v>-0.57313935657472437</v>
      </c>
      <c r="X3474" s="2">
        <f ca="1"/>
        <v>60.782535774199602</v>
      </c>
      <c r="AG3474" s="2">
        <f ca="1"/>
        <v>0.9588262963785259</v>
      </c>
      <c r="AH3474" s="2" t="str">
        <f ca="1"/>
        <v>Bad</v>
      </c>
    </row>
    <row r="3475" spans="2:34" x14ac:dyDescent="0.2">
      <c r="B3475" s="2">
        <f ca="1"/>
        <v>0.13139300198008974</v>
      </c>
      <c r="O3475" s="2">
        <f ca="1"/>
        <v>0.77727008131959963</v>
      </c>
      <c r="X3475" s="2">
        <f ca="1"/>
        <v>13.635426262413473</v>
      </c>
      <c r="AG3475" s="2">
        <f ca="1"/>
        <v>0.30184821311165289</v>
      </c>
      <c r="AH3475" s="2" t="str">
        <f ca="1"/>
        <v>OK</v>
      </c>
    </row>
    <row r="3476" spans="2:34" x14ac:dyDescent="0.2">
      <c r="B3476" s="2">
        <f ca="1"/>
        <v>0.68563833769707694</v>
      </c>
      <c r="O3476" s="2">
        <f ca="1"/>
        <v>2.5463660993092926E-3</v>
      </c>
      <c r="X3476" s="2">
        <f ca="1"/>
        <v>56.374247469129124</v>
      </c>
      <c r="AG3476" s="2">
        <f ca="1"/>
        <v>0.3832855688565191</v>
      </c>
      <c r="AH3476" s="2" t="str">
        <f ca="1"/>
        <v>OK</v>
      </c>
    </row>
    <row r="3477" spans="2:34" x14ac:dyDescent="0.2">
      <c r="B3477" s="2">
        <f ca="1"/>
        <v>0.93486694363492528</v>
      </c>
      <c r="O3477" s="2">
        <f ca="1"/>
        <v>-0.42040697203263117</v>
      </c>
      <c r="X3477" s="2">
        <f ca="1"/>
        <v>41.418679814402594</v>
      </c>
      <c r="AG3477" s="2">
        <f ca="1"/>
        <v>0.24147632182517409</v>
      </c>
      <c r="AH3477" s="2" t="str">
        <f ca="1"/>
        <v>OK</v>
      </c>
    </row>
    <row r="3478" spans="2:34" x14ac:dyDescent="0.2">
      <c r="B3478" s="2">
        <f ca="1"/>
        <v>0.72435017041562011</v>
      </c>
      <c r="O3478" s="2">
        <f ca="1"/>
        <v>-0.88240593718471683</v>
      </c>
      <c r="X3478" s="2">
        <f ca="1"/>
        <v>65.127268445006152</v>
      </c>
      <c r="AG3478" s="2">
        <f ca="1"/>
        <v>0.87626006547269886</v>
      </c>
      <c r="AH3478" s="2" t="str">
        <f ca="1"/>
        <v>Bad</v>
      </c>
    </row>
    <row r="3479" spans="2:34" x14ac:dyDescent="0.2">
      <c r="B3479" s="2">
        <f ca="1"/>
        <v>0.97037213335242445</v>
      </c>
      <c r="O3479" s="2">
        <f ca="1"/>
        <v>0.50712081619877647</v>
      </c>
      <c r="X3479" s="2">
        <f ca="1"/>
        <v>63.343647442278517</v>
      </c>
      <c r="AG3479" s="2">
        <f ca="1"/>
        <v>0.41393346725364455</v>
      </c>
      <c r="AH3479" s="2" t="str">
        <f ca="1"/>
        <v>Bad</v>
      </c>
    </row>
    <row r="3480" spans="2:34" x14ac:dyDescent="0.2">
      <c r="B3480" s="2">
        <f ca="1"/>
        <v>0.57692940985542163</v>
      </c>
      <c r="O3480" s="2">
        <f ca="1"/>
        <v>-0.99019633367069415</v>
      </c>
      <c r="X3480" s="2">
        <f ca="1"/>
        <v>52.382079267242901</v>
      </c>
      <c r="AG3480" s="2">
        <f ca="1"/>
        <v>8.2476477695925698E-2</v>
      </c>
      <c r="AH3480" s="2" t="str">
        <f ca="1"/>
        <v>OK</v>
      </c>
    </row>
    <row r="3481" spans="2:34" x14ac:dyDescent="0.2">
      <c r="B3481" s="2">
        <f ca="1"/>
        <v>0.63756186822059679</v>
      </c>
      <c r="O3481" s="2">
        <f ca="1"/>
        <v>-0.10664566886111113</v>
      </c>
      <c r="X3481" s="2">
        <f ca="1"/>
        <v>76.89177047752753</v>
      </c>
      <c r="AG3481" s="2">
        <f ca="1"/>
        <v>0.20121065862934029</v>
      </c>
      <c r="AH3481" s="2" t="str">
        <f ca="1"/>
        <v>OK</v>
      </c>
    </row>
    <row r="3482" spans="2:34" x14ac:dyDescent="0.2">
      <c r="B3482" s="2">
        <f ca="1"/>
        <v>0.70415484884305912</v>
      </c>
      <c r="O3482" s="2">
        <f ca="1"/>
        <v>-0.88986472759361546</v>
      </c>
      <c r="X3482" s="2">
        <f ca="1"/>
        <v>45.106628238899759</v>
      </c>
      <c r="AG3482" s="2">
        <f ca="1"/>
        <v>0.48711997532741647</v>
      </c>
      <c r="AH3482" s="2" t="str">
        <f ca="1"/>
        <v>Bad</v>
      </c>
    </row>
    <row r="3483" spans="2:34" x14ac:dyDescent="0.2">
      <c r="B3483" s="2">
        <f ca="1"/>
        <v>0.86656080422451942</v>
      </c>
      <c r="O3483" s="2">
        <f ca="1"/>
        <v>0.15258516976927952</v>
      </c>
      <c r="X3483" s="2">
        <f ca="1"/>
        <v>36.958120801423824</v>
      </c>
      <c r="AG3483" s="2">
        <f ca="1"/>
        <v>0.54711065024106231</v>
      </c>
      <c r="AH3483" s="2" t="str">
        <f ca="1"/>
        <v>Bad</v>
      </c>
    </row>
    <row r="3484" spans="2:34" x14ac:dyDescent="0.2">
      <c r="B3484" s="2">
        <f ca="1"/>
        <v>0.11443008313365932</v>
      </c>
      <c r="O3484" s="2">
        <f ca="1"/>
        <v>-1.1865256332402756</v>
      </c>
      <c r="X3484" s="2">
        <f ca="1"/>
        <v>73.772345849689302</v>
      </c>
      <c r="AG3484" s="2">
        <f ca="1"/>
        <v>3.7330046265443784E-2</v>
      </c>
      <c r="AH3484" s="2" t="str">
        <f ca="1"/>
        <v>Good</v>
      </c>
    </row>
    <row r="3485" spans="2:34" x14ac:dyDescent="0.2">
      <c r="B3485" s="2">
        <f ca="1"/>
        <v>0.31377683581248506</v>
      </c>
      <c r="O3485" s="2">
        <f ca="1"/>
        <v>1.3123081042229894</v>
      </c>
      <c r="X3485" s="2">
        <f ca="1"/>
        <v>33.464865082630809</v>
      </c>
      <c r="AG3485" s="2">
        <f ca="1"/>
        <v>0.91661058806648588</v>
      </c>
      <c r="AH3485" s="2" t="str">
        <f ca="1"/>
        <v>Bad</v>
      </c>
    </row>
    <row r="3486" spans="2:34" x14ac:dyDescent="0.2">
      <c r="B3486" s="2">
        <f ca="1"/>
        <v>0.77936018763676174</v>
      </c>
      <c r="O3486" s="2">
        <f ca="1"/>
        <v>1.1251868126325675</v>
      </c>
      <c r="X3486" s="2">
        <f ca="1"/>
        <v>30.850272817601613</v>
      </c>
      <c r="AG3486" s="2">
        <f ca="1"/>
        <v>0.68745972097670083</v>
      </c>
      <c r="AH3486" s="2" t="str">
        <f ca="1"/>
        <v>Bad</v>
      </c>
    </row>
    <row r="3487" spans="2:34" x14ac:dyDescent="0.2">
      <c r="B3487" s="2">
        <f ca="1"/>
        <v>0.72194393409824342</v>
      </c>
      <c r="O3487" s="2">
        <f ca="1"/>
        <v>2.5965233041685036</v>
      </c>
      <c r="X3487" s="2">
        <f ca="1"/>
        <v>42.906961723684034</v>
      </c>
      <c r="AG3487" s="2">
        <f ca="1"/>
        <v>0.39836129774500617</v>
      </c>
      <c r="AH3487" s="2" t="str">
        <f ca="1"/>
        <v>OK</v>
      </c>
    </row>
    <row r="3488" spans="2:34" x14ac:dyDescent="0.2">
      <c r="B3488" s="2">
        <f ca="1"/>
        <v>0.51272863252255618</v>
      </c>
      <c r="O3488" s="2">
        <f ca="1"/>
        <v>-2.0751976821265419E-2</v>
      </c>
      <c r="X3488" s="2">
        <f ca="1"/>
        <v>62.483327989341575</v>
      </c>
      <c r="AG3488" s="2">
        <f ca="1"/>
        <v>0.72400607465683198</v>
      </c>
      <c r="AH3488" s="2" t="str">
        <f ca="1"/>
        <v>Bad</v>
      </c>
    </row>
    <row r="3489" spans="2:34" x14ac:dyDescent="0.2">
      <c r="B3489" s="2">
        <f ca="1"/>
        <v>0.76001127842415217</v>
      </c>
      <c r="O3489" s="2">
        <f ca="1"/>
        <v>-0.60460273383064744</v>
      </c>
      <c r="X3489" s="2">
        <f ca="1"/>
        <v>50.397706628159412</v>
      </c>
      <c r="AG3489" s="2">
        <f ca="1"/>
        <v>0.20207959991954372</v>
      </c>
      <c r="AH3489" s="2" t="str">
        <f ca="1"/>
        <v>OK</v>
      </c>
    </row>
    <row r="3490" spans="2:34" x14ac:dyDescent="0.2">
      <c r="B3490" s="2">
        <f ca="1"/>
        <v>0.11039263166387037</v>
      </c>
      <c r="O3490" s="2">
        <f ca="1"/>
        <v>-0.80837333826435276</v>
      </c>
      <c r="X3490" s="2">
        <f ca="1"/>
        <v>25.396663217273424</v>
      </c>
      <c r="AG3490" s="2">
        <f ca="1"/>
        <v>0.30849852773460396</v>
      </c>
      <c r="AH3490" s="2" t="str">
        <f ca="1"/>
        <v>OK</v>
      </c>
    </row>
    <row r="3491" spans="2:34" x14ac:dyDescent="0.2">
      <c r="B3491" s="2">
        <f ca="1"/>
        <v>0.54092952332887312</v>
      </c>
      <c r="O3491" s="2">
        <f ca="1"/>
        <v>-1.0358888786469056</v>
      </c>
      <c r="X3491" s="2">
        <f ca="1"/>
        <v>34.437252584693312</v>
      </c>
      <c r="AG3491" s="2">
        <f ca="1"/>
        <v>0.4833164045658489</v>
      </c>
      <c r="AH3491" s="2" t="str">
        <f ca="1"/>
        <v>Bad</v>
      </c>
    </row>
    <row r="3492" spans="2:34" x14ac:dyDescent="0.2">
      <c r="B3492" s="2">
        <f ca="1"/>
        <v>0.21623579447964092</v>
      </c>
      <c r="O3492" s="2">
        <f ca="1"/>
        <v>-7.8022120565869268E-2</v>
      </c>
      <c r="X3492" s="2">
        <f ca="1"/>
        <v>59.089966083267321</v>
      </c>
      <c r="AG3492" s="2">
        <f ca="1"/>
        <v>0.53721163888230383</v>
      </c>
      <c r="AH3492" s="2" t="str">
        <f ca="1"/>
        <v>Bad</v>
      </c>
    </row>
    <row r="3493" spans="2:34" x14ac:dyDescent="0.2">
      <c r="B3493" s="2">
        <f ca="1"/>
        <v>0.55274445667579974</v>
      </c>
      <c r="O3493" s="2">
        <f ca="1"/>
        <v>0.65067305582381862</v>
      </c>
      <c r="X3493" s="2">
        <f ca="1"/>
        <v>31.894569816802338</v>
      </c>
      <c r="AG3493" s="2">
        <f ca="1"/>
        <v>0.59481984564049561</v>
      </c>
      <c r="AH3493" s="2" t="str">
        <f ca="1"/>
        <v>Bad</v>
      </c>
    </row>
    <row r="3494" spans="2:34" x14ac:dyDescent="0.2">
      <c r="B3494" s="2">
        <f ca="1"/>
        <v>0.39459243079536077</v>
      </c>
      <c r="O3494" s="2">
        <f ca="1"/>
        <v>0.67059404799142375</v>
      </c>
      <c r="X3494" s="2">
        <f ca="1"/>
        <v>54.64017824397493</v>
      </c>
      <c r="AG3494" s="2">
        <f ca="1"/>
        <v>0.79036788820271875</v>
      </c>
      <c r="AH3494" s="2" t="str">
        <f ca="1"/>
        <v>Bad</v>
      </c>
    </row>
    <row r="3495" spans="2:34" x14ac:dyDescent="0.2">
      <c r="B3495" s="2">
        <f ca="1"/>
        <v>0.90212712789262839</v>
      </c>
      <c r="O3495" s="2">
        <f ca="1"/>
        <v>0.2444189930161009</v>
      </c>
      <c r="X3495" s="2">
        <f ca="1"/>
        <v>43.335704056661804</v>
      </c>
      <c r="AG3495" s="2">
        <f ca="1"/>
        <v>8.7396157372503058E-2</v>
      </c>
      <c r="AH3495" s="2" t="str">
        <f ca="1"/>
        <v>OK</v>
      </c>
    </row>
    <row r="3496" spans="2:34" x14ac:dyDescent="0.2">
      <c r="B3496" s="2">
        <f ca="1"/>
        <v>0.18051082737358515</v>
      </c>
      <c r="O3496" s="2">
        <f ca="1"/>
        <v>1.5139148684997039</v>
      </c>
      <c r="X3496" s="2">
        <f ca="1"/>
        <v>40.62260515925427</v>
      </c>
      <c r="AG3496" s="2">
        <f ca="1"/>
        <v>0.20118934999815519</v>
      </c>
      <c r="AH3496" s="2" t="str">
        <f ca="1"/>
        <v>OK</v>
      </c>
    </row>
    <row r="3497" spans="2:34" x14ac:dyDescent="0.2">
      <c r="B3497" s="2">
        <f ca="1"/>
        <v>0.21268161510825867</v>
      </c>
      <c r="O3497" s="2">
        <f ca="1"/>
        <v>-0.50290288483516221</v>
      </c>
      <c r="X3497" s="2">
        <f ca="1"/>
        <v>46.805767037840951</v>
      </c>
      <c r="AG3497" s="2">
        <f ca="1"/>
        <v>0.31900352650952013</v>
      </c>
      <c r="AH3497" s="2" t="str">
        <f ca="1"/>
        <v>OK</v>
      </c>
    </row>
    <row r="3498" spans="2:34" x14ac:dyDescent="0.2">
      <c r="B3498" s="2">
        <f ca="1"/>
        <v>0.72193820003924203</v>
      </c>
      <c r="O3498" s="2">
        <f ca="1"/>
        <v>0.58163546895554497</v>
      </c>
      <c r="X3498" s="2">
        <f ca="1"/>
        <v>77.995117509417156</v>
      </c>
      <c r="AG3498" s="2">
        <f ca="1"/>
        <v>0.31580495081848525</v>
      </c>
      <c r="AH3498" s="2" t="str">
        <f ca="1"/>
        <v>OK</v>
      </c>
    </row>
    <row r="3499" spans="2:34" x14ac:dyDescent="0.2">
      <c r="B3499" s="2">
        <f ca="1"/>
        <v>0.39573016355176227</v>
      </c>
      <c r="O3499" s="2">
        <f ca="1"/>
        <v>0.52293141265687404</v>
      </c>
      <c r="X3499" s="2">
        <f ca="1"/>
        <v>48.89397864178801</v>
      </c>
      <c r="AG3499" s="2">
        <f ca="1"/>
        <v>0.14375847682391618</v>
      </c>
      <c r="AH3499" s="2" t="str">
        <f ca="1"/>
        <v>OK</v>
      </c>
    </row>
    <row r="3500" spans="2:34" x14ac:dyDescent="0.2">
      <c r="B3500" s="2">
        <f ca="1"/>
        <v>0.91806638958194897</v>
      </c>
      <c r="O3500" s="2">
        <f ca="1"/>
        <v>1.4448096587272792</v>
      </c>
      <c r="X3500" s="2">
        <f ca="1"/>
        <v>40.688833286748704</v>
      </c>
      <c r="AG3500" s="2">
        <f ca="1"/>
        <v>0.15303132384531182</v>
      </c>
      <c r="AH3500" s="2" t="str">
        <f ca="1"/>
        <v>OK</v>
      </c>
    </row>
    <row r="3501" spans="2:34" x14ac:dyDescent="0.2">
      <c r="B3501" s="2">
        <f ca="1"/>
        <v>0.19776763776778949</v>
      </c>
      <c r="O3501" s="2">
        <f ca="1"/>
        <v>-0.88208987511078585</v>
      </c>
      <c r="X3501" s="2">
        <f ca="1"/>
        <v>45.310840985440322</v>
      </c>
      <c r="AG3501" s="2">
        <f ca="1"/>
        <v>0.87969855605109815</v>
      </c>
      <c r="AH3501" s="2" t="str">
        <f ca="1"/>
        <v>Bad</v>
      </c>
    </row>
    <row r="3502" spans="2:34" x14ac:dyDescent="0.2">
      <c r="B3502" s="2">
        <f ca="1"/>
        <v>0.24964314447715452</v>
      </c>
      <c r="O3502" s="2">
        <f ca="1"/>
        <v>-0.6535020981958678</v>
      </c>
      <c r="X3502" s="2">
        <f ca="1"/>
        <v>116.67038159614209</v>
      </c>
      <c r="AG3502" s="2">
        <f ca="1"/>
        <v>0.32224731245061422</v>
      </c>
      <c r="AH3502" s="2" t="str">
        <f ca="1"/>
        <v>OK</v>
      </c>
    </row>
    <row r="3503" spans="2:34" x14ac:dyDescent="0.2">
      <c r="B3503" s="2">
        <f ca="1"/>
        <v>1.3817805779710035E-2</v>
      </c>
      <c r="O3503" s="2">
        <f ca="1"/>
        <v>-2.3179972376099183E-2</v>
      </c>
      <c r="X3503" s="2">
        <f ca="1"/>
        <v>49.122624950140462</v>
      </c>
      <c r="AG3503" s="2">
        <f ca="1"/>
        <v>0.55332744313284565</v>
      </c>
      <c r="AH3503" s="2" t="str">
        <f ca="1"/>
        <v>Bad</v>
      </c>
    </row>
    <row r="3504" spans="2:34" x14ac:dyDescent="0.2">
      <c r="B3504" s="2">
        <f ca="1"/>
        <v>0.4998181610963246</v>
      </c>
      <c r="O3504" s="2">
        <f ca="1"/>
        <v>0.29600355622266133</v>
      </c>
      <c r="X3504" s="2">
        <f ca="1"/>
        <v>35.553006654245955</v>
      </c>
      <c r="AG3504" s="2">
        <f ca="1"/>
        <v>0.70311719222485247</v>
      </c>
      <c r="AH3504" s="2" t="str">
        <f ca="1"/>
        <v>Bad</v>
      </c>
    </row>
    <row r="3505" spans="2:34" x14ac:dyDescent="0.2">
      <c r="B3505" s="2">
        <f ca="1"/>
        <v>0.56829325337422598</v>
      </c>
      <c r="O3505" s="2">
        <f ca="1"/>
        <v>0.38980456315461193</v>
      </c>
      <c r="X3505" s="2">
        <f ca="1"/>
        <v>55.695074140779575</v>
      </c>
      <c r="AG3505" s="2">
        <f ca="1"/>
        <v>0.94731617821791447</v>
      </c>
      <c r="AH3505" s="2" t="str">
        <f ca="1"/>
        <v>Bad</v>
      </c>
    </row>
    <row r="3506" spans="2:34" x14ac:dyDescent="0.2">
      <c r="B3506" s="2">
        <f ca="1"/>
        <v>7.7514240105379439E-2</v>
      </c>
      <c r="O3506" s="2">
        <f ca="1"/>
        <v>-0.22369244653630019</v>
      </c>
      <c r="X3506" s="2">
        <f ca="1"/>
        <v>34.509072736917069</v>
      </c>
      <c r="AG3506" s="2">
        <f ca="1"/>
        <v>0.50116810162883962</v>
      </c>
      <c r="AH3506" s="2" t="str">
        <f ca="1"/>
        <v>Bad</v>
      </c>
    </row>
    <row r="3507" spans="2:34" x14ac:dyDescent="0.2">
      <c r="B3507" s="2">
        <f ca="1"/>
        <v>0.17559036441761933</v>
      </c>
      <c r="O3507" s="2">
        <f ca="1"/>
        <v>-0.77053206496567839</v>
      </c>
      <c r="X3507" s="2">
        <f ca="1"/>
        <v>54.716047543563</v>
      </c>
      <c r="AG3507" s="2">
        <f ca="1"/>
        <v>0.42498597319880527</v>
      </c>
      <c r="AH3507" s="2" t="str">
        <f ca="1"/>
        <v>Bad</v>
      </c>
    </row>
    <row r="3508" spans="2:34" x14ac:dyDescent="0.2">
      <c r="B3508" s="2">
        <f ca="1"/>
        <v>0.52069477301327738</v>
      </c>
      <c r="O3508" s="2">
        <f ca="1"/>
        <v>-6.4527909280379034E-2</v>
      </c>
      <c r="X3508" s="2">
        <f ca="1"/>
        <v>28.55770657456333</v>
      </c>
      <c r="AG3508" s="2">
        <f ca="1"/>
        <v>0.13938825446567371</v>
      </c>
      <c r="AH3508" s="2" t="str">
        <f ca="1"/>
        <v>OK</v>
      </c>
    </row>
    <row r="3509" spans="2:34" x14ac:dyDescent="0.2">
      <c r="B3509" s="2">
        <f ca="1"/>
        <v>0.5402939401307485</v>
      </c>
      <c r="O3509" s="2">
        <f ca="1"/>
        <v>-1.2299462784659796</v>
      </c>
      <c r="X3509" s="2">
        <f ca="1"/>
        <v>70.127873968054217</v>
      </c>
      <c r="AG3509" s="2">
        <f ca="1"/>
        <v>0.86930593747202778</v>
      </c>
      <c r="AH3509" s="2" t="str">
        <f ca="1"/>
        <v>Bad</v>
      </c>
    </row>
    <row r="3510" spans="2:34" x14ac:dyDescent="0.2">
      <c r="B3510" s="2">
        <f ca="1"/>
        <v>0.3283729115708256</v>
      </c>
      <c r="O3510" s="2">
        <f ca="1"/>
        <v>-1.1702989646278263</v>
      </c>
      <c r="X3510" s="2">
        <f ca="1"/>
        <v>40.246253480960029</v>
      </c>
      <c r="AG3510" s="2">
        <f ca="1"/>
        <v>0.27307673824633305</v>
      </c>
      <c r="AH3510" s="2" t="str">
        <f ca="1"/>
        <v>OK</v>
      </c>
    </row>
    <row r="3511" spans="2:34" x14ac:dyDescent="0.2">
      <c r="B3511" s="2">
        <f ca="1"/>
        <v>0.17464521605569749</v>
      </c>
      <c r="O3511" s="2">
        <f ca="1"/>
        <v>-0.70153817245134276</v>
      </c>
      <c r="X3511" s="2">
        <f ca="1"/>
        <v>33.304101418262867</v>
      </c>
      <c r="AG3511" s="2">
        <f ca="1"/>
        <v>0.37820411260697817</v>
      </c>
      <c r="AH3511" s="2" t="str">
        <f ca="1"/>
        <v>OK</v>
      </c>
    </row>
    <row r="3512" spans="2:34" x14ac:dyDescent="0.2">
      <c r="B3512" s="2">
        <f ca="1"/>
        <v>0.98813954356908562</v>
      </c>
      <c r="O3512" s="2">
        <f ca="1"/>
        <v>-0.27102528395224113</v>
      </c>
      <c r="X3512" s="2">
        <f ca="1"/>
        <v>54.92224058330747</v>
      </c>
      <c r="AG3512" s="2">
        <f ca="1"/>
        <v>0.82983087158073676</v>
      </c>
      <c r="AH3512" s="2" t="str">
        <f ca="1"/>
        <v>Bad</v>
      </c>
    </row>
    <row r="3513" spans="2:34" x14ac:dyDescent="0.2">
      <c r="B3513" s="2">
        <f ca="1"/>
        <v>0.49403032778355938</v>
      </c>
      <c r="O3513" s="2">
        <f ca="1"/>
        <v>-1.2062379674813113</v>
      </c>
      <c r="X3513" s="2">
        <f ca="1"/>
        <v>73.816246179950838</v>
      </c>
      <c r="AG3513" s="2">
        <f ca="1"/>
        <v>0.16563923084736487</v>
      </c>
      <c r="AH3513" s="2" t="str">
        <f ca="1"/>
        <v>OK</v>
      </c>
    </row>
    <row r="3514" spans="2:34" x14ac:dyDescent="0.2">
      <c r="B3514" s="2">
        <f ca="1"/>
        <v>0.77760205961846407</v>
      </c>
      <c r="O3514" s="2">
        <f ca="1"/>
        <v>2.126417569025731</v>
      </c>
      <c r="X3514" s="2">
        <f ca="1"/>
        <v>42.2130434726595</v>
      </c>
      <c r="AG3514" s="2">
        <f ca="1"/>
        <v>0.40932759075616154</v>
      </c>
      <c r="AH3514" s="2" t="str">
        <f ca="1"/>
        <v>Bad</v>
      </c>
    </row>
    <row r="3515" spans="2:34" x14ac:dyDescent="0.2">
      <c r="B3515" s="2">
        <f ca="1"/>
        <v>0.20130844666830128</v>
      </c>
      <c r="O3515" s="2">
        <f ca="1"/>
        <v>8.5450140711103052E-3</v>
      </c>
      <c r="X3515" s="2">
        <f ca="1"/>
        <v>44.745172434513869</v>
      </c>
      <c r="AG3515" s="2">
        <f ca="1"/>
        <v>0.31122678877036014</v>
      </c>
      <c r="AH3515" s="2" t="str">
        <f ca="1"/>
        <v>OK</v>
      </c>
    </row>
    <row r="3516" spans="2:34" x14ac:dyDescent="0.2">
      <c r="B3516" s="2">
        <f ca="1"/>
        <v>0.39864010571819342</v>
      </c>
      <c r="O3516" s="2">
        <f ca="1"/>
        <v>0.86281707234300642</v>
      </c>
      <c r="X3516" s="2">
        <f ca="1"/>
        <v>62.797483543739617</v>
      </c>
      <c r="AG3516" s="2">
        <f ca="1"/>
        <v>0.16767983581570034</v>
      </c>
      <c r="AH3516" s="2" t="str">
        <f ca="1"/>
        <v>OK</v>
      </c>
    </row>
    <row r="3517" spans="2:34" x14ac:dyDescent="0.2">
      <c r="B3517" s="2">
        <f ca="1"/>
        <v>0.74302171030340847</v>
      </c>
      <c r="O3517" s="2">
        <f ca="1"/>
        <v>1.3840267818261556</v>
      </c>
      <c r="X3517" s="2">
        <f ca="1"/>
        <v>44.694738908437998</v>
      </c>
      <c r="AG3517" s="2">
        <f ca="1"/>
        <v>0.93475817613004986</v>
      </c>
      <c r="AH3517" s="2" t="str">
        <f ca="1"/>
        <v>Bad</v>
      </c>
    </row>
    <row r="3518" spans="2:34" x14ac:dyDescent="0.2">
      <c r="B3518" s="2">
        <f ca="1"/>
        <v>0.69562802507438071</v>
      </c>
      <c r="O3518" s="2">
        <f ca="1"/>
        <v>-0.82791185133109546</v>
      </c>
      <c r="X3518" s="2">
        <f ca="1"/>
        <v>29.007427717637423</v>
      </c>
      <c r="AG3518" s="2">
        <f ca="1"/>
        <v>0.48879740584600784</v>
      </c>
      <c r="AH3518" s="2" t="str">
        <f ca="1"/>
        <v>Bad</v>
      </c>
    </row>
    <row r="3519" spans="2:34" x14ac:dyDescent="0.2">
      <c r="B3519" s="2">
        <f ca="1"/>
        <v>0.61608571950297542</v>
      </c>
      <c r="O3519" s="2">
        <f ca="1"/>
        <v>0.79876268217494273</v>
      </c>
      <c r="X3519" s="2">
        <f ca="1"/>
        <v>22.950059164549508</v>
      </c>
      <c r="AG3519" s="2">
        <f ca="1"/>
        <v>0.76518325568810708</v>
      </c>
      <c r="AH3519" s="2" t="str">
        <f ca="1"/>
        <v>Bad</v>
      </c>
    </row>
    <row r="3520" spans="2:34" x14ac:dyDescent="0.2">
      <c r="B3520" s="2">
        <f ca="1"/>
        <v>0.59014152259162667</v>
      </c>
      <c r="O3520" s="2">
        <f ca="1"/>
        <v>0.52398519074178529</v>
      </c>
      <c r="X3520" s="2">
        <f ca="1"/>
        <v>38.682035105858823</v>
      </c>
      <c r="AG3520" s="2">
        <f ca="1"/>
        <v>0.21764688832767765</v>
      </c>
      <c r="AH3520" s="2" t="str">
        <f ca="1"/>
        <v>OK</v>
      </c>
    </row>
    <row r="3521" spans="2:34" x14ac:dyDescent="0.2">
      <c r="B3521" s="2">
        <f ca="1"/>
        <v>0.81781797892860997</v>
      </c>
      <c r="O3521" s="2">
        <f ca="1"/>
        <v>0.52738873911061024</v>
      </c>
      <c r="X3521" s="2">
        <f ca="1"/>
        <v>55.748172924995558</v>
      </c>
      <c r="AG3521" s="2">
        <f ca="1"/>
        <v>0.1489738531523126</v>
      </c>
      <c r="AH3521" s="2" t="str">
        <f ca="1"/>
        <v>OK</v>
      </c>
    </row>
    <row r="3522" spans="2:34" x14ac:dyDescent="0.2">
      <c r="B3522" s="2">
        <f ca="1"/>
        <v>0.11980168970150329</v>
      </c>
      <c r="O3522" s="2">
        <f ca="1"/>
        <v>-0.80756604016777089</v>
      </c>
      <c r="X3522" s="2">
        <f ca="1"/>
        <v>87.492181876457153</v>
      </c>
      <c r="AG3522" s="2">
        <f ca="1"/>
        <v>0.84268462712150005</v>
      </c>
      <c r="AH3522" s="2" t="str">
        <f ca="1"/>
        <v>Bad</v>
      </c>
    </row>
    <row r="3523" spans="2:34" x14ac:dyDescent="0.2">
      <c r="B3523" s="2">
        <f ca="1"/>
        <v>0.42691155968433114</v>
      </c>
      <c r="O3523" s="2">
        <f ca="1"/>
        <v>0.20965303810083</v>
      </c>
      <c r="X3523" s="2">
        <f ca="1"/>
        <v>52.232833442568534</v>
      </c>
      <c r="AG3523" s="2">
        <f ca="1"/>
        <v>0.33349188313148259</v>
      </c>
      <c r="AH3523" s="2" t="str">
        <f ca="1"/>
        <v>OK</v>
      </c>
    </row>
    <row r="3524" spans="2:34" x14ac:dyDescent="0.2">
      <c r="B3524" s="2">
        <f ca="1"/>
        <v>0.67469524763175226</v>
      </c>
      <c r="O3524" s="2">
        <f ca="1"/>
        <v>-3.7528109560209605E-2</v>
      </c>
      <c r="X3524" s="2">
        <f ca="1"/>
        <v>76.636044970819782</v>
      </c>
      <c r="AG3524" s="2">
        <f ca="1"/>
        <v>0.97717897586130897</v>
      </c>
      <c r="AH3524" s="2" t="str">
        <f ca="1"/>
        <v>Bad</v>
      </c>
    </row>
    <row r="3525" spans="2:34" x14ac:dyDescent="0.2">
      <c r="B3525" s="2">
        <f ca="1"/>
        <v>0.35009588574811357</v>
      </c>
      <c r="O3525" s="2">
        <f ca="1"/>
        <v>0.19592336666990248</v>
      </c>
      <c r="X3525" s="2">
        <f ca="1"/>
        <v>61.748078247239349</v>
      </c>
      <c r="AG3525" s="2">
        <f ca="1"/>
        <v>0.61960543796282685</v>
      </c>
      <c r="AH3525" s="2" t="str">
        <f ca="1"/>
        <v>Bad</v>
      </c>
    </row>
    <row r="3526" spans="2:34" x14ac:dyDescent="0.2">
      <c r="B3526" s="2">
        <f ca="1"/>
        <v>0.39206669255977511</v>
      </c>
      <c r="O3526" s="2">
        <f ca="1"/>
        <v>-0.57099234680469202</v>
      </c>
      <c r="X3526" s="2">
        <f ca="1"/>
        <v>51.615827806084404</v>
      </c>
      <c r="AG3526" s="2">
        <f ca="1"/>
        <v>0.45827585660639247</v>
      </c>
      <c r="AH3526" s="2" t="str">
        <f ca="1"/>
        <v>Bad</v>
      </c>
    </row>
    <row r="3527" spans="2:34" x14ac:dyDescent="0.2">
      <c r="B3527" s="2">
        <f ca="1"/>
        <v>0.50753336752945333</v>
      </c>
      <c r="O3527" s="2">
        <f ca="1"/>
        <v>-0.46484750953499293</v>
      </c>
      <c r="X3527" s="2">
        <f ca="1"/>
        <v>31.713855056558231</v>
      </c>
      <c r="AG3527" s="2">
        <f ca="1"/>
        <v>0.10148281813673621</v>
      </c>
      <c r="AH3527" s="2" t="str">
        <f ca="1"/>
        <v>OK</v>
      </c>
    </row>
    <row r="3528" spans="2:34" x14ac:dyDescent="0.2">
      <c r="B3528" s="2">
        <f ca="1"/>
        <v>0.89780431465254096</v>
      </c>
      <c r="O3528" s="2">
        <f ca="1"/>
        <v>-1.3253460301443794</v>
      </c>
      <c r="X3528" s="2">
        <f ca="1"/>
        <v>48.271548214357189</v>
      </c>
      <c r="AG3528" s="2">
        <f ca="1"/>
        <v>7.0358642529847026E-2</v>
      </c>
      <c r="AH3528" s="2" t="str">
        <f ca="1"/>
        <v>OK</v>
      </c>
    </row>
    <row r="3529" spans="2:34" x14ac:dyDescent="0.2">
      <c r="B3529" s="2">
        <f ca="1"/>
        <v>0.67610213947654541</v>
      </c>
      <c r="O3529" s="2">
        <f ca="1"/>
        <v>-0.51901457935352835</v>
      </c>
      <c r="X3529" s="2">
        <f ca="1"/>
        <v>46.748843366756311</v>
      </c>
      <c r="AG3529" s="2">
        <f ca="1"/>
        <v>0.16988563320236483</v>
      </c>
      <c r="AH3529" s="2" t="str">
        <f ca="1"/>
        <v>OK</v>
      </c>
    </row>
    <row r="3530" spans="2:34" x14ac:dyDescent="0.2">
      <c r="B3530" s="2">
        <f ca="1"/>
        <v>0.86571824444959522</v>
      </c>
      <c r="O3530" s="2">
        <f ca="1"/>
        <v>-1.3533974880719526</v>
      </c>
      <c r="X3530" s="2">
        <f ca="1"/>
        <v>58.118064639900666</v>
      </c>
      <c r="AG3530" s="2">
        <f ca="1"/>
        <v>0.36649913597000316</v>
      </c>
      <c r="AH3530" s="2" t="str">
        <f ca="1"/>
        <v>OK</v>
      </c>
    </row>
    <row r="3531" spans="2:34" x14ac:dyDescent="0.2">
      <c r="B3531" s="2">
        <f ca="1"/>
        <v>8.0577061199341271E-2</v>
      </c>
      <c r="O3531" s="2">
        <f ca="1"/>
        <v>-0.16637971401206922</v>
      </c>
      <c r="X3531" s="2">
        <f ca="1"/>
        <v>60.302596312098188</v>
      </c>
      <c r="AG3531" s="2">
        <f ca="1"/>
        <v>0.82600936088316357</v>
      </c>
      <c r="AH3531" s="2" t="str">
        <f ca="1"/>
        <v>Bad</v>
      </c>
    </row>
    <row r="3532" spans="2:34" x14ac:dyDescent="0.2">
      <c r="B3532" s="2">
        <f ca="1"/>
        <v>0.35688089896264974</v>
      </c>
      <c r="O3532" s="2">
        <f ca="1"/>
        <v>0.9740107496398942</v>
      </c>
      <c r="X3532" s="2">
        <f ca="1"/>
        <v>64.882484017600802</v>
      </c>
      <c r="AG3532" s="2">
        <f ca="1"/>
        <v>0.24388050525437088</v>
      </c>
      <c r="AH3532" s="2" t="str">
        <f ca="1"/>
        <v>OK</v>
      </c>
    </row>
    <row r="3533" spans="2:34" x14ac:dyDescent="0.2">
      <c r="B3533" s="2">
        <f ca="1"/>
        <v>0.9531516074629689</v>
      </c>
      <c r="O3533" s="2">
        <f ca="1"/>
        <v>3.2023176096042989</v>
      </c>
      <c r="X3533" s="2">
        <f ca="1"/>
        <v>64.974324926475646</v>
      </c>
      <c r="AG3533" s="2">
        <f ca="1"/>
        <v>0.32017859096479229</v>
      </c>
      <c r="AH3533" s="2" t="str">
        <f ca="1"/>
        <v>OK</v>
      </c>
    </row>
    <row r="3534" spans="2:34" x14ac:dyDescent="0.2">
      <c r="B3534" s="2">
        <f ca="1"/>
        <v>0.38972264616134966</v>
      </c>
      <c r="O3534" s="2">
        <f ca="1"/>
        <v>-1.3204773028075032</v>
      </c>
      <c r="X3534" s="2">
        <f ca="1"/>
        <v>38.782865383046484</v>
      </c>
      <c r="AG3534" s="2">
        <f ca="1"/>
        <v>0.26385305129233316</v>
      </c>
      <c r="AH3534" s="2" t="str">
        <f ca="1"/>
        <v>OK</v>
      </c>
    </row>
    <row r="3535" spans="2:34" x14ac:dyDescent="0.2">
      <c r="B3535" s="2">
        <f ca="1"/>
        <v>7.992696395021115E-2</v>
      </c>
      <c r="O3535" s="2">
        <f ca="1"/>
        <v>-9.7746502998640891E-2</v>
      </c>
      <c r="X3535" s="2">
        <f ca="1"/>
        <v>50.64229145108829</v>
      </c>
      <c r="AG3535" s="2">
        <f ca="1"/>
        <v>0.57265055548583144</v>
      </c>
      <c r="AH3535" s="2" t="str">
        <f ca="1"/>
        <v>Bad</v>
      </c>
    </row>
    <row r="3536" spans="2:34" x14ac:dyDescent="0.2">
      <c r="B3536" s="2">
        <f ca="1"/>
        <v>0.55712226284898736</v>
      </c>
      <c r="O3536" s="2">
        <f ca="1"/>
        <v>-0.11175745069943914</v>
      </c>
      <c r="X3536" s="2">
        <f ca="1"/>
        <v>49.35371983307428</v>
      </c>
      <c r="AG3536" s="2">
        <f ca="1"/>
        <v>0.66826648833292079</v>
      </c>
      <c r="AH3536" s="2" t="str">
        <f ca="1"/>
        <v>Bad</v>
      </c>
    </row>
    <row r="3537" spans="2:34" x14ac:dyDescent="0.2">
      <c r="B3537" s="2">
        <f ca="1"/>
        <v>0.58037322179936046</v>
      </c>
      <c r="O3537" s="2">
        <f ca="1"/>
        <v>0.15100993318681963</v>
      </c>
      <c r="X3537" s="2">
        <f ca="1"/>
        <v>20.17603561045582</v>
      </c>
      <c r="AG3537" s="2">
        <f ca="1"/>
        <v>0.72292401070707024</v>
      </c>
      <c r="AH3537" s="2" t="str">
        <f ca="1"/>
        <v>Bad</v>
      </c>
    </row>
    <row r="3538" spans="2:34" x14ac:dyDescent="0.2">
      <c r="B3538" s="2">
        <f ca="1"/>
        <v>0.34408061570936255</v>
      </c>
      <c r="O3538" s="2">
        <f ca="1"/>
        <v>0.55408580846295741</v>
      </c>
      <c r="X3538" s="2">
        <f ca="1"/>
        <v>25.045712103899117</v>
      </c>
      <c r="AG3538" s="2">
        <f ca="1"/>
        <v>0.96514214445694613</v>
      </c>
      <c r="AH3538" s="2" t="str">
        <f ca="1"/>
        <v>Bad</v>
      </c>
    </row>
    <row r="3539" spans="2:34" x14ac:dyDescent="0.2">
      <c r="B3539" s="2">
        <f ca="1"/>
        <v>0.11037518513953049</v>
      </c>
      <c r="O3539" s="2">
        <f ca="1"/>
        <v>-0.65641989726367311</v>
      </c>
      <c r="X3539" s="2">
        <f ca="1"/>
        <v>50.439882155738267</v>
      </c>
      <c r="AG3539" s="2">
        <f ca="1"/>
        <v>9.9052618726334529E-2</v>
      </c>
      <c r="AH3539" s="2" t="str">
        <f ca="1"/>
        <v>OK</v>
      </c>
    </row>
    <row r="3540" spans="2:34" x14ac:dyDescent="0.2">
      <c r="B3540" s="2">
        <f ca="1"/>
        <v>0.17835285076765195</v>
      </c>
      <c r="O3540" s="2">
        <f ca="1"/>
        <v>-0.66687218731334252</v>
      </c>
      <c r="X3540" s="2">
        <f ca="1"/>
        <v>49.050148676284202</v>
      </c>
      <c r="AG3540" s="2">
        <f ca="1"/>
        <v>0.4489327310785467</v>
      </c>
      <c r="AH3540" s="2" t="str">
        <f ca="1"/>
        <v>Bad</v>
      </c>
    </row>
    <row r="3541" spans="2:34" x14ac:dyDescent="0.2">
      <c r="B3541" s="2">
        <f ca="1"/>
        <v>0.62985784842610992</v>
      </c>
      <c r="O3541" s="2">
        <f ca="1"/>
        <v>-1.5606704671103064</v>
      </c>
      <c r="X3541" s="2">
        <f ca="1"/>
        <v>43.469231047435088</v>
      </c>
      <c r="AG3541" s="2">
        <f ca="1"/>
        <v>0.35657026336858122</v>
      </c>
      <c r="AH3541" s="2" t="str">
        <f ca="1"/>
        <v>OK</v>
      </c>
    </row>
    <row r="3542" spans="2:34" x14ac:dyDescent="0.2">
      <c r="B3542" s="2">
        <f ca="1"/>
        <v>6.0348310564006358E-2</v>
      </c>
      <c r="O3542" s="2">
        <f ca="1"/>
        <v>0.88118184356576279</v>
      </c>
      <c r="X3542" s="2">
        <f ca="1"/>
        <v>51.478639370548549</v>
      </c>
      <c r="AG3542" s="2">
        <f ca="1"/>
        <v>6.3995074264162399E-2</v>
      </c>
      <c r="AH3542" s="2" t="str">
        <f ca="1"/>
        <v>OK</v>
      </c>
    </row>
    <row r="3543" spans="2:34" x14ac:dyDescent="0.2">
      <c r="B3543" s="2">
        <f ca="1"/>
        <v>0.79190375271740598</v>
      </c>
      <c r="O3543" s="2">
        <f ca="1"/>
        <v>1.0501979212749881</v>
      </c>
      <c r="X3543" s="2">
        <f ca="1"/>
        <v>51.285901885553791</v>
      </c>
      <c r="AG3543" s="2">
        <f ca="1"/>
        <v>0.25739660406980169</v>
      </c>
      <c r="AH3543" s="2" t="str">
        <f ca="1"/>
        <v>OK</v>
      </c>
    </row>
    <row r="3544" spans="2:34" x14ac:dyDescent="0.2">
      <c r="B3544" s="2">
        <f ca="1"/>
        <v>0.82692560274937188</v>
      </c>
      <c r="O3544" s="2">
        <f ca="1"/>
        <v>1.4243381964809101</v>
      </c>
      <c r="X3544" s="2">
        <f ca="1"/>
        <v>33.285424797389418</v>
      </c>
      <c r="AG3544" s="2">
        <f ca="1"/>
        <v>0.58683502356816275</v>
      </c>
      <c r="AH3544" s="2" t="str">
        <f ca="1"/>
        <v>Bad</v>
      </c>
    </row>
    <row r="3545" spans="2:34" x14ac:dyDescent="0.2">
      <c r="B3545" s="2">
        <f ca="1"/>
        <v>0.16988280220219587</v>
      </c>
      <c r="O3545" s="2">
        <f ca="1"/>
        <v>0.66086416827094163</v>
      </c>
      <c r="X3545" s="2">
        <f ca="1"/>
        <v>36.427829713442122</v>
      </c>
      <c r="AG3545" s="2">
        <f ca="1"/>
        <v>0.57384264373407756</v>
      </c>
      <c r="AH3545" s="2" t="str">
        <f ca="1"/>
        <v>Bad</v>
      </c>
    </row>
    <row r="3546" spans="2:34" x14ac:dyDescent="0.2">
      <c r="B3546" s="2">
        <f ca="1"/>
        <v>0.11336931679837403</v>
      </c>
      <c r="O3546" s="2">
        <f ca="1"/>
        <v>-1.2884276013899831</v>
      </c>
      <c r="X3546" s="2">
        <f ca="1"/>
        <v>76.795561158134092</v>
      </c>
      <c r="AG3546" s="2">
        <f ca="1"/>
        <v>0.84087162047274822</v>
      </c>
      <c r="AH3546" s="2" t="str">
        <f ca="1"/>
        <v>Bad</v>
      </c>
    </row>
    <row r="3547" spans="2:34" x14ac:dyDescent="0.2">
      <c r="B3547" s="2">
        <f ca="1"/>
        <v>0.79757081160187782</v>
      </c>
      <c r="O3547" s="2">
        <f ca="1"/>
        <v>-1.3442083399555056</v>
      </c>
      <c r="X3547" s="2">
        <f ca="1"/>
        <v>44.164728969049058</v>
      </c>
      <c r="AG3547" s="2">
        <f ca="1"/>
        <v>0.65161285664616631</v>
      </c>
      <c r="AH3547" s="2" t="str">
        <f ca="1"/>
        <v>Bad</v>
      </c>
    </row>
    <row r="3548" spans="2:34" x14ac:dyDescent="0.2">
      <c r="B3548" s="2">
        <f ca="1"/>
        <v>9.7931778277416726E-2</v>
      </c>
      <c r="O3548" s="2">
        <f ca="1"/>
        <v>0.27371539249872312</v>
      </c>
      <c r="X3548" s="2">
        <f ca="1"/>
        <v>56.301504707969102</v>
      </c>
      <c r="AG3548" s="2">
        <f ca="1"/>
        <v>0.53415478032745467</v>
      </c>
      <c r="AH3548" s="2" t="str">
        <f ca="1"/>
        <v>Bad</v>
      </c>
    </row>
    <row r="3549" spans="2:34" x14ac:dyDescent="0.2">
      <c r="B3549" s="2">
        <f ca="1"/>
        <v>0.33004989453459554</v>
      </c>
      <c r="O3549" s="2">
        <f ca="1"/>
        <v>1.7078336256675706</v>
      </c>
      <c r="X3549" s="2">
        <f ca="1"/>
        <v>28.326301106887158</v>
      </c>
      <c r="AG3549" s="2">
        <f ca="1"/>
        <v>0.39997223464701359</v>
      </c>
      <c r="AH3549" s="2" t="str">
        <f ca="1"/>
        <v>OK</v>
      </c>
    </row>
    <row r="3550" spans="2:34" x14ac:dyDescent="0.2">
      <c r="B3550" s="2">
        <f ca="1"/>
        <v>0.68204943255050887</v>
      </c>
      <c r="O3550" s="2">
        <f ca="1"/>
        <v>0.75489967181927553</v>
      </c>
      <c r="X3550" s="2">
        <f ca="1"/>
        <v>54.181061124970284</v>
      </c>
      <c r="AG3550" s="2">
        <f ca="1"/>
        <v>0.84344547391291913</v>
      </c>
      <c r="AH3550" s="2" t="str">
        <f ca="1"/>
        <v>Bad</v>
      </c>
    </row>
    <row r="3551" spans="2:34" x14ac:dyDescent="0.2">
      <c r="B3551" s="2">
        <f ca="1"/>
        <v>0.50449823651507009</v>
      </c>
      <c r="O3551" s="2">
        <f ca="1"/>
        <v>-0.87031896234417994</v>
      </c>
      <c r="X3551" s="2">
        <f ca="1"/>
        <v>63.445829085564995</v>
      </c>
      <c r="AG3551" s="2">
        <f ca="1"/>
        <v>0.78653614338546718</v>
      </c>
      <c r="AH3551" s="2" t="str">
        <f ca="1"/>
        <v>Bad</v>
      </c>
    </row>
    <row r="3552" spans="2:34" x14ac:dyDescent="0.2">
      <c r="B3552" s="2">
        <f ca="1"/>
        <v>0.25651404068265227</v>
      </c>
      <c r="O3552" s="2">
        <f ca="1"/>
        <v>0.59648332039628349</v>
      </c>
      <c r="X3552" s="2">
        <f ca="1"/>
        <v>36.351008744225879</v>
      </c>
      <c r="AG3552" s="2">
        <f ca="1"/>
        <v>0.99143312691301366</v>
      </c>
      <c r="AH3552" s="2" t="str">
        <f ca="1"/>
        <v>Bad</v>
      </c>
    </row>
    <row r="3553" spans="2:34" x14ac:dyDescent="0.2">
      <c r="B3553" s="2">
        <f ca="1"/>
        <v>0.3512062413045125</v>
      </c>
      <c r="O3553" s="2">
        <f ca="1"/>
        <v>-1.5754582338733538</v>
      </c>
      <c r="X3553" s="2">
        <f ca="1"/>
        <v>56.224158693184087</v>
      </c>
      <c r="AG3553" s="2">
        <f ca="1"/>
        <v>0.90448428931227354</v>
      </c>
      <c r="AH3553" s="2" t="str">
        <f ca="1"/>
        <v>Bad</v>
      </c>
    </row>
    <row r="3554" spans="2:34" x14ac:dyDescent="0.2">
      <c r="B3554" s="2">
        <f ca="1"/>
        <v>0.39174333818299423</v>
      </c>
      <c r="O3554" s="2">
        <f ca="1"/>
        <v>-0.82247540512996009</v>
      </c>
      <c r="X3554" s="2">
        <f ca="1"/>
        <v>54.273258653690291</v>
      </c>
      <c r="AG3554" s="2">
        <f ca="1"/>
        <v>5.584932234791351E-2</v>
      </c>
      <c r="AH3554" s="2" t="str">
        <f ca="1"/>
        <v>OK</v>
      </c>
    </row>
    <row r="3555" spans="2:34" x14ac:dyDescent="0.2">
      <c r="B3555" s="2">
        <f ca="1"/>
        <v>0.47848683160550287</v>
      </c>
      <c r="O3555" s="2">
        <f ca="1"/>
        <v>1.4676152746132993</v>
      </c>
      <c r="X3555" s="2">
        <f ca="1"/>
        <v>68.931446515239003</v>
      </c>
      <c r="AG3555" s="2">
        <f ca="1"/>
        <v>0.57695881798355941</v>
      </c>
      <c r="AH3555" s="2" t="str">
        <f ca="1"/>
        <v>Bad</v>
      </c>
    </row>
    <row r="3556" spans="2:34" x14ac:dyDescent="0.2">
      <c r="B3556" s="2">
        <f ca="1"/>
        <v>0.78318614783840745</v>
      </c>
      <c r="O3556" s="2">
        <f ca="1"/>
        <v>-0.2327705787693643</v>
      </c>
      <c r="X3556" s="2">
        <f ca="1"/>
        <v>56.615379447851772</v>
      </c>
      <c r="AG3556" s="2">
        <f ca="1"/>
        <v>0.34798998832987604</v>
      </c>
      <c r="AH3556" s="2" t="str">
        <f ca="1"/>
        <v>OK</v>
      </c>
    </row>
    <row r="3557" spans="2:34" x14ac:dyDescent="0.2">
      <c r="B3557" s="2">
        <f ca="1"/>
        <v>0.68052884248444179</v>
      </c>
      <c r="O3557" s="2">
        <f ca="1"/>
        <v>1.9124683294809035</v>
      </c>
      <c r="X3557" s="2">
        <f ca="1"/>
        <v>58.551769682880767</v>
      </c>
      <c r="AG3557" s="2">
        <f ca="1"/>
        <v>0.93688330988376545</v>
      </c>
      <c r="AH3557" s="2" t="str">
        <f ca="1"/>
        <v>Bad</v>
      </c>
    </row>
    <row r="3558" spans="2:34" x14ac:dyDescent="0.2">
      <c r="B3558" s="2">
        <f ca="1"/>
        <v>6.8509637933229284E-2</v>
      </c>
      <c r="O3558" s="2">
        <f ca="1"/>
        <v>-1.0799690252130425</v>
      </c>
      <c r="X3558" s="2">
        <f ca="1"/>
        <v>55.102244749853433</v>
      </c>
      <c r="AG3558" s="2">
        <f ca="1"/>
        <v>0.82638716682496649</v>
      </c>
      <c r="AH3558" s="2" t="str">
        <f ca="1"/>
        <v>Bad</v>
      </c>
    </row>
    <row r="3559" spans="2:34" x14ac:dyDescent="0.2">
      <c r="B3559" s="2">
        <f ca="1"/>
        <v>0.87652896275506009</v>
      </c>
      <c r="O3559" s="2">
        <f ca="1"/>
        <v>-1.8307922137020198</v>
      </c>
      <c r="X3559" s="2">
        <f ca="1"/>
        <v>82.534809480277659</v>
      </c>
      <c r="AG3559" s="2">
        <f ca="1"/>
        <v>0.82727413281667839</v>
      </c>
      <c r="AH3559" s="2" t="str">
        <f ca="1"/>
        <v>Bad</v>
      </c>
    </row>
    <row r="3560" spans="2:34" x14ac:dyDescent="0.2">
      <c r="B3560" s="2">
        <f ca="1"/>
        <v>0.85799867999608836</v>
      </c>
      <c r="O3560" s="2">
        <f ca="1"/>
        <v>0.5354190684002027</v>
      </c>
      <c r="X3560" s="2">
        <f ca="1"/>
        <v>29.464172206982163</v>
      </c>
      <c r="AG3560" s="2">
        <f ca="1"/>
        <v>0.72427618253153025</v>
      </c>
      <c r="AH3560" s="2" t="str">
        <f ca="1"/>
        <v>Bad</v>
      </c>
    </row>
    <row r="3561" spans="2:34" x14ac:dyDescent="0.2">
      <c r="B3561" s="2">
        <f ca="1"/>
        <v>0.45497129277617154</v>
      </c>
      <c r="O3561" s="2">
        <f ca="1"/>
        <v>0.59420932757940814</v>
      </c>
      <c r="X3561" s="2">
        <f ca="1"/>
        <v>50.452006481767071</v>
      </c>
      <c r="AG3561" s="2">
        <f ca="1"/>
        <v>0.95094108705028169</v>
      </c>
      <c r="AH3561" s="2" t="str">
        <f ca="1"/>
        <v>Bad</v>
      </c>
    </row>
    <row r="3562" spans="2:34" x14ac:dyDescent="0.2">
      <c r="B3562" s="2">
        <f ca="1"/>
        <v>0.86043100513953297</v>
      </c>
      <c r="O3562" s="2">
        <f ca="1"/>
        <v>1.6194002155975211E-2</v>
      </c>
      <c r="X3562" s="2">
        <f ca="1"/>
        <v>32.67250851625581</v>
      </c>
      <c r="AG3562" s="2">
        <f ca="1"/>
        <v>0.87661993143234263</v>
      </c>
      <c r="AH3562" s="2" t="str">
        <f ca="1"/>
        <v>Bad</v>
      </c>
    </row>
    <row r="3563" spans="2:34" x14ac:dyDescent="0.2">
      <c r="B3563" s="2">
        <f ca="1"/>
        <v>0.50930774153072633</v>
      </c>
      <c r="O3563" s="2">
        <f ca="1"/>
        <v>0.42309391110890354</v>
      </c>
      <c r="X3563" s="2">
        <f ca="1"/>
        <v>46.180971195769388</v>
      </c>
      <c r="AG3563" s="2">
        <f ca="1"/>
        <v>0.14914824107200775</v>
      </c>
      <c r="AH3563" s="2" t="str">
        <f ca="1"/>
        <v>OK</v>
      </c>
    </row>
    <row r="3564" spans="2:34" x14ac:dyDescent="0.2">
      <c r="B3564" s="2">
        <f ca="1"/>
        <v>0.46304213451479148</v>
      </c>
      <c r="O3564" s="2">
        <f ca="1"/>
        <v>0.7626712906677352</v>
      </c>
      <c r="X3564" s="2">
        <f ca="1"/>
        <v>47.678131642593584</v>
      </c>
      <c r="AG3564" s="2">
        <f ca="1"/>
        <v>0.42256385849702682</v>
      </c>
      <c r="AH3564" s="2" t="str">
        <f ca="1"/>
        <v>Bad</v>
      </c>
    </row>
    <row r="3565" spans="2:34" x14ac:dyDescent="0.2">
      <c r="B3565" s="2">
        <f ca="1"/>
        <v>0.10719745626731259</v>
      </c>
      <c r="O3565" s="2">
        <f ca="1"/>
        <v>-2.1680533306696375</v>
      </c>
      <c r="X3565" s="2">
        <f ca="1"/>
        <v>35.526746945931173</v>
      </c>
      <c r="AG3565" s="2">
        <f ca="1"/>
        <v>0.46935092380281018</v>
      </c>
      <c r="AH3565" s="2" t="str">
        <f ca="1"/>
        <v>Bad</v>
      </c>
    </row>
    <row r="3566" spans="2:34" x14ac:dyDescent="0.2">
      <c r="B3566" s="2">
        <f ca="1"/>
        <v>0.93800425712466873</v>
      </c>
      <c r="O3566" s="2">
        <f ca="1"/>
        <v>-0.99889016579544221</v>
      </c>
      <c r="X3566" s="2">
        <f ca="1"/>
        <v>31.877603392601124</v>
      </c>
      <c r="AG3566" s="2">
        <f ca="1"/>
        <v>0.64063582082055759</v>
      </c>
      <c r="AH3566" s="2" t="str">
        <f ca="1"/>
        <v>Bad</v>
      </c>
    </row>
    <row r="3567" spans="2:34" x14ac:dyDescent="0.2">
      <c r="B3567" s="2">
        <f ca="1"/>
        <v>0.62351987607681258</v>
      </c>
      <c r="O3567" s="2">
        <f ca="1"/>
        <v>-0.77170408152594139</v>
      </c>
      <c r="X3567" s="2">
        <f ca="1"/>
        <v>49.499252403441439</v>
      </c>
      <c r="AG3567" s="2">
        <f ca="1"/>
        <v>8.8302119441896032E-2</v>
      </c>
      <c r="AH3567" s="2" t="str">
        <f ca="1"/>
        <v>OK</v>
      </c>
    </row>
    <row r="3568" spans="2:34" x14ac:dyDescent="0.2">
      <c r="B3568" s="2">
        <f ca="1"/>
        <v>0.28843357098045841</v>
      </c>
      <c r="O3568" s="2">
        <f ca="1"/>
        <v>1.4590134884551966</v>
      </c>
      <c r="X3568" s="2">
        <f ca="1"/>
        <v>54.265728908668969</v>
      </c>
      <c r="AG3568" s="2">
        <f ca="1"/>
        <v>0.15847071160166304</v>
      </c>
      <c r="AH3568" s="2" t="str">
        <f ca="1"/>
        <v>OK</v>
      </c>
    </row>
    <row r="3569" spans="2:34" x14ac:dyDescent="0.2">
      <c r="B3569" s="2">
        <f ca="1"/>
        <v>0.11267997609821223</v>
      </c>
      <c r="O3569" s="2">
        <f ca="1"/>
        <v>-1.049253023344134</v>
      </c>
      <c r="X3569" s="2">
        <f ca="1"/>
        <v>37.064771701005853</v>
      </c>
      <c r="AG3569" s="2">
        <f ca="1"/>
        <v>0.26850101426899142</v>
      </c>
      <c r="AH3569" s="2" t="str">
        <f ca="1"/>
        <v>OK</v>
      </c>
    </row>
    <row r="3570" spans="2:34" x14ac:dyDescent="0.2">
      <c r="B3570" s="2">
        <f ca="1"/>
        <v>0.20843782423827228</v>
      </c>
      <c r="O3570" s="2">
        <f ca="1"/>
        <v>-1.3955362789077419</v>
      </c>
      <c r="X3570" s="2">
        <f ca="1"/>
        <v>62.882092222872629</v>
      </c>
      <c r="AG3570" s="2">
        <f ca="1"/>
        <v>8.2418451429645323E-2</v>
      </c>
      <c r="AH3570" s="2" t="str">
        <f ca="1"/>
        <v>OK</v>
      </c>
    </row>
    <row r="3571" spans="2:34" x14ac:dyDescent="0.2">
      <c r="B3571" s="2">
        <f ca="1"/>
        <v>0.28831485852916039</v>
      </c>
      <c r="O3571" s="2">
        <f ca="1"/>
        <v>8.2622028074251619E-2</v>
      </c>
      <c r="X3571" s="2">
        <f ca="1"/>
        <v>51.318017885075051</v>
      </c>
      <c r="AG3571" s="2">
        <f ca="1"/>
        <v>0.60503434550126212</v>
      </c>
      <c r="AH3571" s="2" t="str">
        <f ca="1"/>
        <v>Bad</v>
      </c>
    </row>
    <row r="3572" spans="2:34" x14ac:dyDescent="0.2">
      <c r="B3572" s="2">
        <f ca="1"/>
        <v>0.68352431540329728</v>
      </c>
      <c r="O3572" s="2">
        <f ca="1"/>
        <v>3.7952612509486949E-2</v>
      </c>
      <c r="X3572" s="2">
        <f ca="1"/>
        <v>61.370025039075919</v>
      </c>
      <c r="AG3572" s="2">
        <f ca="1"/>
        <v>0.65528517725510982</v>
      </c>
      <c r="AH3572" s="2" t="str">
        <f ca="1"/>
        <v>Bad</v>
      </c>
    </row>
    <row r="3573" spans="2:34" x14ac:dyDescent="0.2">
      <c r="B3573" s="2">
        <f ca="1"/>
        <v>0.4476819415859894</v>
      </c>
      <c r="O3573" s="2">
        <f ca="1"/>
        <v>-0.26325930705034217</v>
      </c>
      <c r="X3573" s="2">
        <f ca="1"/>
        <v>54.6117211136186</v>
      </c>
      <c r="AG3573" s="2">
        <f ca="1"/>
        <v>0.43000830206948626</v>
      </c>
      <c r="AH3573" s="2" t="str">
        <f ca="1"/>
        <v>Bad</v>
      </c>
    </row>
    <row r="3574" spans="2:34" x14ac:dyDescent="0.2">
      <c r="B3574" s="2">
        <f ca="1"/>
        <v>0.51088298064920501</v>
      </c>
      <c r="O3574" s="2">
        <f ca="1"/>
        <v>-0.87082993171594669</v>
      </c>
      <c r="X3574" s="2">
        <f ca="1"/>
        <v>55.664502285619122</v>
      </c>
      <c r="AG3574" s="2">
        <f ca="1"/>
        <v>0.17266684390336673</v>
      </c>
      <c r="AH3574" s="2" t="str">
        <f ca="1"/>
        <v>OK</v>
      </c>
    </row>
    <row r="3575" spans="2:34" x14ac:dyDescent="0.2">
      <c r="B3575" s="2">
        <f ca="1"/>
        <v>0.53527733390254872</v>
      </c>
      <c r="O3575" s="2">
        <f ca="1"/>
        <v>-1.1706066042353815</v>
      </c>
      <c r="X3575" s="2">
        <f ca="1"/>
        <v>51.395543560091895</v>
      </c>
      <c r="AG3575" s="2">
        <f ca="1"/>
        <v>0.54671682316231962</v>
      </c>
      <c r="AH3575" s="2" t="str">
        <f ca="1"/>
        <v>Bad</v>
      </c>
    </row>
    <row r="3576" spans="2:34" x14ac:dyDescent="0.2">
      <c r="B3576" s="2">
        <f ca="1"/>
        <v>0.32942097288902361</v>
      </c>
      <c r="O3576" s="2">
        <f ca="1"/>
        <v>-1.1968749093793059</v>
      </c>
      <c r="X3576" s="2">
        <f ca="1"/>
        <v>68.709941775269954</v>
      </c>
      <c r="AG3576" s="2">
        <f ca="1"/>
        <v>0.71182616281146949</v>
      </c>
      <c r="AH3576" s="2" t="str">
        <f ca="1"/>
        <v>Bad</v>
      </c>
    </row>
    <row r="3577" spans="2:34" x14ac:dyDescent="0.2">
      <c r="B3577" s="2">
        <f ca="1"/>
        <v>0.61821181148994953</v>
      </c>
      <c r="O3577" s="2">
        <f ca="1"/>
        <v>-1.1649499347503349</v>
      </c>
      <c r="X3577" s="2">
        <f ca="1"/>
        <v>49.959180138979271</v>
      </c>
      <c r="AG3577" s="2">
        <f ca="1"/>
        <v>0.65436427906838879</v>
      </c>
      <c r="AH3577" s="2" t="str">
        <f ca="1"/>
        <v>Bad</v>
      </c>
    </row>
    <row r="3578" spans="2:34" x14ac:dyDescent="0.2">
      <c r="B3578" s="2">
        <f ca="1"/>
        <v>0.38953668697963439</v>
      </c>
      <c r="O3578" s="2">
        <f ca="1"/>
        <v>1.3257700067687277</v>
      </c>
      <c r="X3578" s="2">
        <f ca="1"/>
        <v>39.367165172723965</v>
      </c>
      <c r="AG3578" s="2">
        <f ca="1"/>
        <v>0.37518926905676464</v>
      </c>
      <c r="AH3578" s="2" t="str">
        <f ca="1"/>
        <v>OK</v>
      </c>
    </row>
    <row r="3579" spans="2:34" x14ac:dyDescent="0.2">
      <c r="B3579" s="2">
        <f ca="1"/>
        <v>3.1761881427647687E-2</v>
      </c>
      <c r="O3579" s="2">
        <f ca="1"/>
        <v>0.37735443253065831</v>
      </c>
      <c r="X3579" s="2">
        <f ca="1"/>
        <v>56.256013130177863</v>
      </c>
      <c r="AG3579" s="2">
        <f ca="1"/>
        <v>0.87256670050024554</v>
      </c>
      <c r="AH3579" s="2" t="str">
        <f ca="1"/>
        <v>Bad</v>
      </c>
    </row>
    <row r="3580" spans="2:34" x14ac:dyDescent="0.2">
      <c r="B3580" s="2">
        <f ca="1"/>
        <v>0.36081345558123101</v>
      </c>
      <c r="O3580" s="2">
        <f ca="1"/>
        <v>0.97387675254334238</v>
      </c>
      <c r="X3580" s="2">
        <f ca="1"/>
        <v>57.857125259402061</v>
      </c>
      <c r="AG3580" s="2">
        <f ca="1"/>
        <v>0.3156118261200469</v>
      </c>
      <c r="AH3580" s="2" t="str">
        <f ca="1"/>
        <v>OK</v>
      </c>
    </row>
    <row r="3581" spans="2:34" x14ac:dyDescent="0.2">
      <c r="B3581" s="2">
        <f ca="1"/>
        <v>0.84587063599532653</v>
      </c>
      <c r="O3581" s="2">
        <f ca="1"/>
        <v>-1.4311080061512691</v>
      </c>
      <c r="X3581" s="2">
        <f ca="1"/>
        <v>61.93602988865041</v>
      </c>
      <c r="AG3581" s="2">
        <f ca="1"/>
        <v>0.2474004646323158</v>
      </c>
      <c r="AH3581" s="2" t="str">
        <f ca="1"/>
        <v>OK</v>
      </c>
    </row>
    <row r="3582" spans="2:34" x14ac:dyDescent="0.2">
      <c r="B3582" s="2">
        <f ca="1"/>
        <v>4.6164693548406577E-2</v>
      </c>
      <c r="O3582" s="2">
        <f ca="1"/>
        <v>-0.32176848057151397</v>
      </c>
      <c r="X3582" s="2">
        <f ca="1"/>
        <v>72.216397726208299</v>
      </c>
      <c r="AG3582" s="2">
        <f ca="1"/>
        <v>0.79159322292171863</v>
      </c>
      <c r="AH3582" s="2" t="str">
        <f ca="1"/>
        <v>Bad</v>
      </c>
    </row>
    <row r="3583" spans="2:34" x14ac:dyDescent="0.2">
      <c r="B3583" s="2">
        <f ca="1"/>
        <v>0.91220261464318941</v>
      </c>
      <c r="O3583" s="2">
        <f ca="1"/>
        <v>1.5906369854619598</v>
      </c>
      <c r="X3583" s="2">
        <f ca="1"/>
        <v>73.679123700701879</v>
      </c>
      <c r="AG3583" s="2">
        <f ca="1"/>
        <v>0.63657494535915649</v>
      </c>
      <c r="AH3583" s="2" t="str">
        <f ca="1"/>
        <v>Bad</v>
      </c>
    </row>
    <row r="3584" spans="2:34" x14ac:dyDescent="0.2">
      <c r="B3584" s="2">
        <f ca="1"/>
        <v>0.55022265453583241</v>
      </c>
      <c r="O3584" s="2">
        <f ca="1"/>
        <v>0.83883007390154696</v>
      </c>
      <c r="X3584" s="2">
        <f ca="1"/>
        <v>98.04325870976767</v>
      </c>
      <c r="AG3584" s="2">
        <f ca="1"/>
        <v>0.59328683924796199</v>
      </c>
      <c r="AH3584" s="2" t="str">
        <f ca="1"/>
        <v>Bad</v>
      </c>
    </row>
    <row r="3585" spans="2:34" x14ac:dyDescent="0.2">
      <c r="B3585" s="2">
        <f ca="1"/>
        <v>0.13246663974264239</v>
      </c>
      <c r="O3585" s="2">
        <f ca="1"/>
        <v>-0.12286182143631229</v>
      </c>
      <c r="X3585" s="2">
        <f ca="1"/>
        <v>35.377472987678047</v>
      </c>
      <c r="AG3585" s="2">
        <f ca="1"/>
        <v>0.41641425300115276</v>
      </c>
      <c r="AH3585" s="2" t="str">
        <f ca="1"/>
        <v>Bad</v>
      </c>
    </row>
    <row r="3586" spans="2:34" x14ac:dyDescent="0.2">
      <c r="B3586" s="2">
        <f ca="1"/>
        <v>0.92860724242391601</v>
      </c>
      <c r="O3586" s="2">
        <f ca="1"/>
        <v>1.2157189464837561</v>
      </c>
      <c r="X3586" s="2">
        <f ca="1"/>
        <v>76.200631389969587</v>
      </c>
      <c r="AG3586" s="2">
        <f ca="1"/>
        <v>0.92002812658006428</v>
      </c>
      <c r="AH3586" s="2" t="str">
        <f ca="1"/>
        <v>Bad</v>
      </c>
    </row>
    <row r="3587" spans="2:34" x14ac:dyDescent="0.2">
      <c r="B3587" s="2">
        <f ca="1"/>
        <v>0.15255371124380912</v>
      </c>
      <c r="O3587" s="2">
        <f ca="1"/>
        <v>0.78845675179206243</v>
      </c>
      <c r="X3587" s="2">
        <f ca="1"/>
        <v>59.138036415675273</v>
      </c>
      <c r="AG3587" s="2">
        <f ca="1"/>
        <v>0.3844790337783115</v>
      </c>
      <c r="AH3587" s="2" t="str">
        <f ca="1"/>
        <v>OK</v>
      </c>
    </row>
    <row r="3588" spans="2:34" x14ac:dyDescent="0.2">
      <c r="B3588" s="2">
        <f ca="1"/>
        <v>0.17388053021973993</v>
      </c>
      <c r="O3588" s="2">
        <f ca="1"/>
        <v>-1.1205068905667066</v>
      </c>
      <c r="X3588" s="2">
        <f ca="1"/>
        <v>68.705964865832783</v>
      </c>
      <c r="AG3588" s="2">
        <f ca="1"/>
        <v>0.57949978100518917</v>
      </c>
      <c r="AH3588" s="2" t="str">
        <f ca="1"/>
        <v>Bad</v>
      </c>
    </row>
    <row r="3589" spans="2:34" x14ac:dyDescent="0.2">
      <c r="B3589" s="2">
        <f ca="1"/>
        <v>0.96758387558040693</v>
      </c>
      <c r="O3589" s="2">
        <f ca="1"/>
        <v>0.30472788419438757</v>
      </c>
      <c r="X3589" s="2">
        <f ca="1"/>
        <v>36.727817993247164</v>
      </c>
      <c r="AG3589" s="2">
        <f ca="1"/>
        <v>0.76028589434934735</v>
      </c>
      <c r="AH3589" s="2" t="str">
        <f ca="1"/>
        <v>Bad</v>
      </c>
    </row>
    <row r="3590" spans="2:34" x14ac:dyDescent="0.2">
      <c r="B3590" s="2">
        <f ca="1"/>
        <v>0.73736400801199209</v>
      </c>
      <c r="O3590" s="2">
        <f ca="1"/>
        <v>-1.4424936709843728</v>
      </c>
      <c r="X3590" s="2">
        <f ca="1"/>
        <v>46.769996682557291</v>
      </c>
      <c r="AG3590" s="2">
        <f ca="1"/>
        <v>0.61557658139272986</v>
      </c>
      <c r="AH3590" s="2" t="str">
        <f ca="1"/>
        <v>Bad</v>
      </c>
    </row>
    <row r="3591" spans="2:34" x14ac:dyDescent="0.2">
      <c r="B3591" s="2">
        <f ca="1"/>
        <v>0.6777509221556568</v>
      </c>
      <c r="O3591" s="2">
        <f ca="1"/>
        <v>-0.42260175010164508</v>
      </c>
      <c r="X3591" s="2">
        <f ca="1"/>
        <v>29.744026818962233</v>
      </c>
      <c r="AG3591" s="2">
        <f ca="1"/>
        <v>0.6047733392102026</v>
      </c>
      <c r="AH3591" s="2" t="str">
        <f ca="1"/>
        <v>Bad</v>
      </c>
    </row>
    <row r="3592" spans="2:34" x14ac:dyDescent="0.2">
      <c r="B3592" s="2">
        <f ca="1"/>
        <v>0.27031652747127244</v>
      </c>
      <c r="O3592" s="2">
        <f ca="1"/>
        <v>-0.6922056630489396</v>
      </c>
      <c r="X3592" s="2">
        <f ca="1"/>
        <v>49.688251464410428</v>
      </c>
      <c r="AG3592" s="2">
        <f ca="1"/>
        <v>0.1200513593172492</v>
      </c>
      <c r="AH3592" s="2" t="str">
        <f ca="1"/>
        <v>OK</v>
      </c>
    </row>
    <row r="3593" spans="2:34" x14ac:dyDescent="0.2">
      <c r="B3593" s="2">
        <f ca="1"/>
        <v>0.45319818469302509</v>
      </c>
      <c r="O3593" s="2">
        <f ca="1"/>
        <v>0.35226664399991758</v>
      </c>
      <c r="X3593" s="2">
        <f ca="1"/>
        <v>43.148775797128962</v>
      </c>
      <c r="AG3593" s="2">
        <f ca="1"/>
        <v>0.11953218838082202</v>
      </c>
      <c r="AH3593" s="2" t="str">
        <f ca="1"/>
        <v>OK</v>
      </c>
    </row>
    <row r="3594" spans="2:34" x14ac:dyDescent="0.2">
      <c r="B3594" s="2">
        <f ca="1"/>
        <v>0.22370819015628451</v>
      </c>
      <c r="O3594" s="2">
        <f ca="1"/>
        <v>-8.5207421615387649E-2</v>
      </c>
      <c r="X3594" s="2">
        <f ca="1"/>
        <v>61.991969979630014</v>
      </c>
      <c r="AG3594" s="2">
        <f ca="1"/>
        <v>5.0095159704591552E-2</v>
      </c>
      <c r="AH3594" s="2" t="str">
        <f ca="1"/>
        <v>OK</v>
      </c>
    </row>
    <row r="3595" spans="2:34" x14ac:dyDescent="0.2">
      <c r="B3595" s="2">
        <f ca="1"/>
        <v>0.29847016246708957</v>
      </c>
      <c r="O3595" s="2">
        <f ca="1"/>
        <v>1.6332445257619905</v>
      </c>
      <c r="X3595" s="2">
        <f ca="1"/>
        <v>41.782077590640874</v>
      </c>
      <c r="AG3595" s="2">
        <f ca="1"/>
        <v>0.87840925763696487</v>
      </c>
      <c r="AH3595" s="2" t="str">
        <f ca="1"/>
        <v>Bad</v>
      </c>
    </row>
    <row r="3596" spans="2:34" x14ac:dyDescent="0.2">
      <c r="B3596" s="2">
        <f ca="1"/>
        <v>0.94500950217126922</v>
      </c>
      <c r="O3596" s="2">
        <f ca="1"/>
        <v>0.36504760809465397</v>
      </c>
      <c r="X3596" s="2">
        <f ca="1"/>
        <v>51.232378978453006</v>
      </c>
      <c r="AG3596" s="2">
        <f ca="1"/>
        <v>9.9001056461191839E-2</v>
      </c>
      <c r="AH3596" s="2" t="str">
        <f ca="1"/>
        <v>OK</v>
      </c>
    </row>
    <row r="3597" spans="2:34" x14ac:dyDescent="0.2">
      <c r="B3597" s="2">
        <f ca="1"/>
        <v>0.48993745211378648</v>
      </c>
      <c r="O3597" s="2">
        <f ca="1"/>
        <v>3.8170684877855417E-2</v>
      </c>
      <c r="X3597" s="2">
        <f ca="1"/>
        <v>45.133547587443978</v>
      </c>
      <c r="AG3597" s="2">
        <f ca="1"/>
        <v>0.79429689276375304</v>
      </c>
      <c r="AH3597" s="2" t="str">
        <f ca="1"/>
        <v>Bad</v>
      </c>
    </row>
    <row r="3598" spans="2:34" x14ac:dyDescent="0.2">
      <c r="B3598" s="2">
        <f ca="1"/>
        <v>0.46600585703266884</v>
      </c>
      <c r="O3598" s="2">
        <f ca="1"/>
        <v>-0.20484727907510067</v>
      </c>
      <c r="X3598" s="2">
        <f ca="1"/>
        <v>43.041066640717119</v>
      </c>
      <c r="AG3598" s="2">
        <f ca="1"/>
        <v>0.68490796735837867</v>
      </c>
      <c r="AH3598" s="2" t="str">
        <f ca="1"/>
        <v>Bad</v>
      </c>
    </row>
    <row r="3599" spans="2:34" x14ac:dyDescent="0.2">
      <c r="B3599" s="2">
        <f ca="1"/>
        <v>0.82231496280481986</v>
      </c>
      <c r="O3599" s="2">
        <f ca="1"/>
        <v>0.54633032423429084</v>
      </c>
      <c r="X3599" s="2">
        <f ca="1"/>
        <v>32.072461487570955</v>
      </c>
      <c r="AG3599" s="2">
        <f ca="1"/>
        <v>0.29551097894747902</v>
      </c>
      <c r="AH3599" s="2" t="str">
        <f ca="1"/>
        <v>OK</v>
      </c>
    </row>
    <row r="3600" spans="2:34" x14ac:dyDescent="0.2">
      <c r="B3600" s="2">
        <f ca="1"/>
        <v>0.34201525446285319</v>
      </c>
      <c r="O3600" s="2">
        <f ca="1"/>
        <v>0.80113604323583687</v>
      </c>
      <c r="X3600" s="2">
        <f ca="1"/>
        <v>63.234790888738537</v>
      </c>
      <c r="AG3600" s="2">
        <f ca="1"/>
        <v>0.27630906705728076</v>
      </c>
      <c r="AH3600" s="2" t="str">
        <f ca="1"/>
        <v>OK</v>
      </c>
    </row>
    <row r="3601" spans="2:34" x14ac:dyDescent="0.2">
      <c r="B3601" s="2">
        <f ca="1"/>
        <v>0.36308619397991904</v>
      </c>
      <c r="O3601" s="2">
        <f ca="1"/>
        <v>1.7015184826096871E-2</v>
      </c>
      <c r="X3601" s="2">
        <f ca="1"/>
        <v>61.27543005496274</v>
      </c>
      <c r="AG3601" s="2">
        <f ca="1"/>
        <v>0.9570994475066994</v>
      </c>
      <c r="AH3601" s="2" t="str">
        <f ca="1"/>
        <v>Bad</v>
      </c>
    </row>
    <row r="3602" spans="2:34" x14ac:dyDescent="0.2">
      <c r="B3602" s="2">
        <f ca="1"/>
        <v>0.29243400267936748</v>
      </c>
      <c r="O3602" s="2">
        <f ca="1"/>
        <v>1.8907009672841129</v>
      </c>
      <c r="X3602" s="2">
        <f ca="1"/>
        <v>45.343412529441771</v>
      </c>
      <c r="AG3602" s="2">
        <f ca="1"/>
        <v>0.85988737052564912</v>
      </c>
      <c r="AH3602" s="2" t="str">
        <f ca="1"/>
        <v>Bad</v>
      </c>
    </row>
    <row r="3603" spans="2:34" x14ac:dyDescent="0.2">
      <c r="B3603" s="2">
        <f ca="1"/>
        <v>0.21955888438221205</v>
      </c>
      <c r="O3603" s="2">
        <f ca="1"/>
        <v>-0.64549179834936299</v>
      </c>
      <c r="X3603" s="2">
        <f ca="1"/>
        <v>42.821411432671724</v>
      </c>
      <c r="AG3603" s="2">
        <f ca="1"/>
        <v>0.994925999948854</v>
      </c>
      <c r="AH3603" s="2" t="str">
        <f ca="1"/>
        <v>Bad</v>
      </c>
    </row>
    <row r="3604" spans="2:34" x14ac:dyDescent="0.2">
      <c r="B3604" s="2">
        <f ca="1"/>
        <v>0.12030589473394948</v>
      </c>
      <c r="O3604" s="2">
        <f ca="1"/>
        <v>-0.94782890939687869</v>
      </c>
      <c r="X3604" s="2">
        <f ca="1"/>
        <v>46.062288055467974</v>
      </c>
      <c r="AG3604" s="2">
        <f ca="1"/>
        <v>0.58294655333535306</v>
      </c>
      <c r="AH3604" s="2" t="str">
        <f ca="1"/>
        <v>Bad</v>
      </c>
    </row>
    <row r="3605" spans="2:34" x14ac:dyDescent="0.2">
      <c r="B3605" s="2">
        <f ca="1"/>
        <v>0.81921971022538043</v>
      </c>
      <c r="O3605" s="2">
        <f ca="1"/>
        <v>-1.1123547179049729</v>
      </c>
      <c r="X3605" s="2">
        <f ca="1"/>
        <v>91.763099368939308</v>
      </c>
      <c r="AG3605" s="2">
        <f ca="1"/>
        <v>0.89361146035025452</v>
      </c>
      <c r="AH3605" s="2" t="str">
        <f ca="1"/>
        <v>Bad</v>
      </c>
    </row>
    <row r="3606" spans="2:34" x14ac:dyDescent="0.2">
      <c r="B3606" s="2">
        <f ca="1"/>
        <v>0.11615493867005089</v>
      </c>
      <c r="O3606" s="2">
        <f ca="1"/>
        <v>2.0002010598162565</v>
      </c>
      <c r="X3606" s="2">
        <f ca="1"/>
        <v>36.383851775755637</v>
      </c>
      <c r="AG3606" s="2">
        <f ca="1"/>
        <v>7.3629363521323432E-2</v>
      </c>
      <c r="AH3606" s="2" t="str">
        <f ca="1"/>
        <v>OK</v>
      </c>
    </row>
    <row r="3607" spans="2:34" x14ac:dyDescent="0.2">
      <c r="B3607" s="2">
        <f ca="1"/>
        <v>0.28963519178523889</v>
      </c>
      <c r="O3607" s="2">
        <f ca="1"/>
        <v>1.8562596393042716</v>
      </c>
      <c r="X3607" s="2">
        <f ca="1"/>
        <v>33.275593684712604</v>
      </c>
      <c r="AG3607" s="2">
        <f ca="1"/>
        <v>0.50860497005083993</v>
      </c>
      <c r="AH3607" s="2" t="str">
        <f ca="1"/>
        <v>Bad</v>
      </c>
    </row>
    <row r="3608" spans="2:34" x14ac:dyDescent="0.2">
      <c r="B3608" s="2">
        <f ca="1"/>
        <v>0.28522776363158098</v>
      </c>
      <c r="O3608" s="2">
        <f ca="1"/>
        <v>2.0687655426960436</v>
      </c>
      <c r="X3608" s="2">
        <f ca="1"/>
        <v>53.467623845154733</v>
      </c>
      <c r="AG3608" s="2">
        <f ca="1"/>
        <v>0.30244849221562276</v>
      </c>
      <c r="AH3608" s="2" t="str">
        <f ca="1"/>
        <v>OK</v>
      </c>
    </row>
    <row r="3609" spans="2:34" x14ac:dyDescent="0.2">
      <c r="B3609" s="2">
        <f ca="1"/>
        <v>0.62197951584230293</v>
      </c>
      <c r="O3609" s="2">
        <f ca="1"/>
        <v>0.37476127403518511</v>
      </c>
      <c r="X3609" s="2">
        <f ca="1"/>
        <v>53.400792528364008</v>
      </c>
      <c r="AG3609" s="2">
        <f ca="1"/>
        <v>0.73458076877544376</v>
      </c>
      <c r="AH3609" s="2" t="str">
        <f ca="1"/>
        <v>Bad</v>
      </c>
    </row>
    <row r="3610" spans="2:34" x14ac:dyDescent="0.2">
      <c r="B3610" s="2">
        <f ca="1"/>
        <v>0.50168508507184972</v>
      </c>
      <c r="O3610" s="2">
        <f ca="1"/>
        <v>-1.044041437750477</v>
      </c>
      <c r="X3610" s="2">
        <f ca="1"/>
        <v>46.814988844465155</v>
      </c>
      <c r="AG3610" s="2">
        <f ca="1"/>
        <v>0.73088607250046422</v>
      </c>
      <c r="AH3610" s="2" t="str">
        <f ca="1"/>
        <v>Bad</v>
      </c>
    </row>
    <row r="3611" spans="2:34" x14ac:dyDescent="0.2">
      <c r="B3611" s="2">
        <f ca="1"/>
        <v>0.45432709766707013</v>
      </c>
      <c r="O3611" s="2">
        <f ca="1"/>
        <v>1.022236635604874</v>
      </c>
      <c r="X3611" s="2">
        <f ca="1"/>
        <v>45.084175848210108</v>
      </c>
      <c r="AG3611" s="2">
        <f ca="1"/>
        <v>0.87951934582987779</v>
      </c>
      <c r="AH3611" s="2" t="str">
        <f ca="1"/>
        <v>Bad</v>
      </c>
    </row>
    <row r="3612" spans="2:34" x14ac:dyDescent="0.2">
      <c r="B3612" s="2">
        <f ca="1"/>
        <v>0.32289884212579389</v>
      </c>
      <c r="O3612" s="2">
        <f ca="1"/>
        <v>0.24955637574581441</v>
      </c>
      <c r="X3612" s="2">
        <f ca="1"/>
        <v>80.060211148014247</v>
      </c>
      <c r="AG3612" s="2">
        <f ca="1"/>
        <v>0.42136886114572958</v>
      </c>
      <c r="AH3612" s="2" t="str">
        <f ca="1"/>
        <v>Bad</v>
      </c>
    </row>
    <row r="3613" spans="2:34" x14ac:dyDescent="0.2">
      <c r="B3613" s="2">
        <f ca="1"/>
        <v>0.16400062198035847</v>
      </c>
      <c r="O3613" s="2">
        <f ca="1"/>
        <v>1.3846920602422115</v>
      </c>
      <c r="X3613" s="2">
        <f ca="1"/>
        <v>40.984398997015965</v>
      </c>
      <c r="AG3613" s="2">
        <f ca="1"/>
        <v>0.97834422969730794</v>
      </c>
      <c r="AH3613" s="2" t="str">
        <f ca="1"/>
        <v>Bad</v>
      </c>
    </row>
    <row r="3614" spans="2:34" x14ac:dyDescent="0.2">
      <c r="B3614" s="2">
        <f ca="1"/>
        <v>0.78911639472450412</v>
      </c>
      <c r="O3614" s="2">
        <f ca="1"/>
        <v>7.2958222958774077E-2</v>
      </c>
      <c r="X3614" s="2">
        <f ca="1"/>
        <v>37.844650446732224</v>
      </c>
      <c r="AG3614" s="2">
        <f ca="1"/>
        <v>0.70824784237600369</v>
      </c>
      <c r="AH3614" s="2" t="str">
        <f ca="1"/>
        <v>Bad</v>
      </c>
    </row>
    <row r="3615" spans="2:34" x14ac:dyDescent="0.2">
      <c r="B3615" s="2">
        <f ca="1"/>
        <v>3.1577716412286572E-2</v>
      </c>
      <c r="O3615" s="2">
        <f ca="1"/>
        <v>-0.9002384293968535</v>
      </c>
      <c r="X3615" s="2">
        <f ca="1"/>
        <v>26.591481099161882</v>
      </c>
      <c r="AG3615" s="2">
        <f ca="1"/>
        <v>0.94479391229337861</v>
      </c>
      <c r="AH3615" s="2" t="str">
        <f ca="1"/>
        <v>Bad</v>
      </c>
    </row>
    <row r="3616" spans="2:34" x14ac:dyDescent="0.2">
      <c r="B3616" s="2">
        <f ca="1"/>
        <v>0.29913629385437357</v>
      </c>
      <c r="O3616" s="2">
        <f ca="1"/>
        <v>-0.6023957032779913</v>
      </c>
      <c r="X3616" s="2">
        <f ca="1"/>
        <v>36.033663902366555</v>
      </c>
      <c r="AG3616" s="2">
        <f ca="1"/>
        <v>0.15050980768650901</v>
      </c>
      <c r="AH3616" s="2" t="str">
        <f ca="1"/>
        <v>OK</v>
      </c>
    </row>
    <row r="3617" spans="2:34" x14ac:dyDescent="0.2">
      <c r="B3617" s="2">
        <f ca="1"/>
        <v>0.62472893839030164</v>
      </c>
      <c r="O3617" s="2">
        <f ca="1"/>
        <v>0.40135588313292941</v>
      </c>
      <c r="X3617" s="2">
        <f ca="1"/>
        <v>71.720354854876248</v>
      </c>
      <c r="AG3617" s="2">
        <f ca="1"/>
        <v>5.1305721047607555E-2</v>
      </c>
      <c r="AH3617" s="2" t="str">
        <f ca="1"/>
        <v>OK</v>
      </c>
    </row>
    <row r="3618" spans="2:34" x14ac:dyDescent="0.2">
      <c r="B3618" s="2">
        <f ca="1"/>
        <v>0.41315105315475709</v>
      </c>
      <c r="O3618" s="2">
        <f ca="1"/>
        <v>-2.1909382839897349</v>
      </c>
      <c r="X3618" s="2">
        <f ca="1"/>
        <v>67.037231695289165</v>
      </c>
      <c r="AG3618" s="2">
        <f ca="1"/>
        <v>0.96345303035409824</v>
      </c>
      <c r="AH3618" s="2" t="str">
        <f ca="1"/>
        <v>Bad</v>
      </c>
    </row>
    <row r="3619" spans="2:34" x14ac:dyDescent="0.2">
      <c r="B3619" s="2">
        <f ca="1"/>
        <v>0.64440209159357598</v>
      </c>
      <c r="O3619" s="2">
        <f ca="1"/>
        <v>-0.94210695174019199</v>
      </c>
      <c r="X3619" s="2">
        <f ca="1"/>
        <v>44.854121384421042</v>
      </c>
      <c r="AG3619" s="2">
        <f ca="1"/>
        <v>0.97737719901875519</v>
      </c>
      <c r="AH3619" s="2" t="str">
        <f ca="1"/>
        <v>Bad</v>
      </c>
    </row>
    <row r="3620" spans="2:34" x14ac:dyDescent="0.2">
      <c r="B3620" s="2">
        <f ca="1"/>
        <v>0.90724970796645632</v>
      </c>
      <c r="O3620" s="2">
        <f ca="1"/>
        <v>-0.27108403778199497</v>
      </c>
      <c r="X3620" s="2">
        <f ca="1"/>
        <v>48.719913793462155</v>
      </c>
      <c r="AG3620" s="2">
        <f ca="1"/>
        <v>0.36766415006262432</v>
      </c>
      <c r="AH3620" s="2" t="str">
        <f ca="1"/>
        <v>OK</v>
      </c>
    </row>
    <row r="3621" spans="2:34" x14ac:dyDescent="0.2">
      <c r="B3621" s="2">
        <f ca="1"/>
        <v>0.58756458909515108</v>
      </c>
      <c r="O3621" s="2">
        <f ca="1"/>
        <v>1.0905298207618421</v>
      </c>
      <c r="X3621" s="2">
        <f ca="1"/>
        <v>50.676413516853813</v>
      </c>
      <c r="AG3621" s="2">
        <f ca="1"/>
        <v>0.31693338136406513</v>
      </c>
      <c r="AH3621" s="2" t="str">
        <f ca="1"/>
        <v>OK</v>
      </c>
    </row>
    <row r="3622" spans="2:34" x14ac:dyDescent="0.2">
      <c r="B3622" s="2">
        <f ca="1"/>
        <v>0.98099617702871389</v>
      </c>
      <c r="O3622" s="2">
        <f ca="1"/>
        <v>-0.91915043317095957</v>
      </c>
      <c r="X3622" s="2">
        <f ca="1"/>
        <v>58.051279241849628</v>
      </c>
      <c r="AG3622" s="2">
        <f ca="1"/>
        <v>0.77553687256242454</v>
      </c>
      <c r="AH3622" s="2" t="str">
        <f ca="1"/>
        <v>Bad</v>
      </c>
    </row>
    <row r="3623" spans="2:34" x14ac:dyDescent="0.2">
      <c r="B3623" s="2">
        <f ca="1"/>
        <v>0.14243237308391121</v>
      </c>
      <c r="O3623" s="2">
        <f ca="1"/>
        <v>-1.3332227148963787</v>
      </c>
      <c r="X3623" s="2">
        <f ca="1"/>
        <v>30.819140585617909</v>
      </c>
      <c r="AG3623" s="2">
        <f ca="1"/>
        <v>0.51309309397606517</v>
      </c>
      <c r="AH3623" s="2" t="str">
        <f ca="1"/>
        <v>Bad</v>
      </c>
    </row>
    <row r="3624" spans="2:34" x14ac:dyDescent="0.2">
      <c r="B3624" s="2">
        <f ca="1"/>
        <v>0.31556329769360913</v>
      </c>
      <c r="O3624" s="2">
        <f ca="1"/>
        <v>1.3347846921796935</v>
      </c>
      <c r="X3624" s="2">
        <f ca="1"/>
        <v>41.68066874507717</v>
      </c>
      <c r="AG3624" s="2">
        <f ca="1"/>
        <v>5.1913988921305387E-2</v>
      </c>
      <c r="AH3624" s="2" t="str">
        <f ca="1"/>
        <v>OK</v>
      </c>
    </row>
    <row r="3625" spans="2:34" x14ac:dyDescent="0.2">
      <c r="B3625" s="2">
        <f ca="1"/>
        <v>1.8607979524100982E-2</v>
      </c>
      <c r="O3625" s="2">
        <f ca="1"/>
        <v>1.6083745596503041</v>
      </c>
      <c r="X3625" s="2">
        <f ca="1"/>
        <v>56.747037944345998</v>
      </c>
      <c r="AG3625" s="2">
        <f ca="1"/>
        <v>0.78353618282638782</v>
      </c>
      <c r="AH3625" s="2" t="str">
        <f ca="1"/>
        <v>Bad</v>
      </c>
    </row>
    <row r="3626" spans="2:34" x14ac:dyDescent="0.2">
      <c r="B3626" s="2">
        <f ca="1"/>
        <v>0.68493525888429296</v>
      </c>
      <c r="O3626" s="2">
        <f ca="1"/>
        <v>2.3254701736090264</v>
      </c>
      <c r="X3626" s="2">
        <f ca="1"/>
        <v>42.257904386075737</v>
      </c>
      <c r="AG3626" s="2">
        <f ca="1"/>
        <v>0.65414621063889689</v>
      </c>
      <c r="AH3626" s="2" t="str">
        <f ca="1"/>
        <v>Bad</v>
      </c>
    </row>
    <row r="3627" spans="2:34" x14ac:dyDescent="0.2">
      <c r="B3627" s="2">
        <f ca="1"/>
        <v>0.94229495683315623</v>
      </c>
      <c r="O3627" s="2">
        <f ca="1"/>
        <v>-1.4191208046576635</v>
      </c>
      <c r="X3627" s="2">
        <f ca="1"/>
        <v>61.467204766858757</v>
      </c>
      <c r="AG3627" s="2">
        <f ca="1"/>
        <v>0.57630993511665052</v>
      </c>
      <c r="AH3627" s="2" t="str">
        <f ca="1"/>
        <v>Bad</v>
      </c>
    </row>
    <row r="3628" spans="2:34" x14ac:dyDescent="0.2">
      <c r="B3628" s="2">
        <f ca="1"/>
        <v>0.58800816621226448</v>
      </c>
      <c r="O3628" s="2">
        <f ca="1"/>
        <v>1.3269525665508595</v>
      </c>
      <c r="X3628" s="2">
        <f ca="1"/>
        <v>59.907451458926822</v>
      </c>
      <c r="AG3628" s="2">
        <f ca="1"/>
        <v>5.5281443552256393E-2</v>
      </c>
      <c r="AH3628" s="2" t="str">
        <f ca="1"/>
        <v>OK</v>
      </c>
    </row>
    <row r="3629" spans="2:34" x14ac:dyDescent="0.2">
      <c r="B3629" s="2">
        <f ca="1"/>
        <v>9.8655904003929207E-2</v>
      </c>
      <c r="O3629" s="2">
        <f ca="1"/>
        <v>1.7415599625704015</v>
      </c>
      <c r="X3629" s="2">
        <f ca="1"/>
        <v>52.676179929729912</v>
      </c>
      <c r="AG3629" s="2">
        <f ca="1"/>
        <v>0.35100994456798928</v>
      </c>
      <c r="AH3629" s="2" t="str">
        <f ca="1"/>
        <v>OK</v>
      </c>
    </row>
    <row r="3630" spans="2:34" x14ac:dyDescent="0.2">
      <c r="B3630" s="2">
        <f ca="1"/>
        <v>0.6038251175344751</v>
      </c>
      <c r="O3630" s="2">
        <f ca="1"/>
        <v>2.7591427006008206E-2</v>
      </c>
      <c r="X3630" s="2">
        <f ca="1"/>
        <v>35.854387035507671</v>
      </c>
      <c r="AG3630" s="2">
        <f ca="1"/>
        <v>0.96416798885807542</v>
      </c>
      <c r="AH3630" s="2" t="str">
        <f ca="1"/>
        <v>Bad</v>
      </c>
    </row>
    <row r="3631" spans="2:34" x14ac:dyDescent="0.2">
      <c r="B3631" s="2">
        <f ca="1"/>
        <v>4.7083589749916888E-2</v>
      </c>
      <c r="O3631" s="2">
        <f ca="1"/>
        <v>-0.75495137972453119</v>
      </c>
      <c r="X3631" s="2">
        <f ca="1"/>
        <v>38.959158488900442</v>
      </c>
      <c r="AG3631" s="2">
        <f ca="1"/>
        <v>5.0053957839776952E-2</v>
      </c>
      <c r="AH3631" s="2" t="str">
        <f ca="1"/>
        <v>OK</v>
      </c>
    </row>
    <row r="3632" spans="2:34" x14ac:dyDescent="0.2">
      <c r="B3632" s="2">
        <f ca="1"/>
        <v>0.88060029312876598</v>
      </c>
      <c r="O3632" s="2">
        <f ca="1"/>
        <v>-0.1419624656084727</v>
      </c>
      <c r="X3632" s="2">
        <f ca="1"/>
        <v>36.760170084370529</v>
      </c>
      <c r="AG3632" s="2">
        <f ca="1"/>
        <v>0.60873748016331386</v>
      </c>
      <c r="AH3632" s="2" t="str">
        <f ca="1"/>
        <v>Bad</v>
      </c>
    </row>
    <row r="3633" spans="2:34" x14ac:dyDescent="0.2">
      <c r="B3633" s="2">
        <f ca="1"/>
        <v>3.8664866710604429E-2</v>
      </c>
      <c r="O3633" s="2">
        <f ca="1"/>
        <v>1.2168619294179097</v>
      </c>
      <c r="X3633" s="2">
        <f ca="1"/>
        <v>18.417435813697203</v>
      </c>
      <c r="AG3633" s="2">
        <f ca="1"/>
        <v>0.14419839937966139</v>
      </c>
      <c r="AH3633" s="2" t="str">
        <f ca="1"/>
        <v>OK</v>
      </c>
    </row>
    <row r="3634" spans="2:34" x14ac:dyDescent="0.2">
      <c r="B3634" s="2">
        <f ca="1"/>
        <v>0.5814283265875555</v>
      </c>
      <c r="O3634" s="2">
        <f ca="1"/>
        <v>1.3845498406311192</v>
      </c>
      <c r="X3634" s="2">
        <f ca="1"/>
        <v>45.097228233119715</v>
      </c>
      <c r="AG3634" s="2">
        <f ca="1"/>
        <v>0.1006445984672999</v>
      </c>
      <c r="AH3634" s="2" t="str">
        <f ca="1"/>
        <v>OK</v>
      </c>
    </row>
    <row r="3635" spans="2:34" x14ac:dyDescent="0.2">
      <c r="B3635" s="2">
        <f ca="1"/>
        <v>0.72909259195408849</v>
      </c>
      <c r="O3635" s="2">
        <f ca="1"/>
        <v>-0.45150820303235006</v>
      </c>
      <c r="X3635" s="2">
        <f ca="1"/>
        <v>39.694179203386483</v>
      </c>
      <c r="AG3635" s="2">
        <f ca="1"/>
        <v>0.23956777681210073</v>
      </c>
      <c r="AH3635" s="2" t="str">
        <f ca="1"/>
        <v>OK</v>
      </c>
    </row>
    <row r="3636" spans="2:34" x14ac:dyDescent="0.2">
      <c r="B3636" s="2">
        <f ca="1"/>
        <v>0.52657961132462372</v>
      </c>
      <c r="O3636" s="2">
        <f ca="1"/>
        <v>-1.6965415800264576</v>
      </c>
      <c r="X3636" s="2">
        <f ca="1"/>
        <v>53.347438112299997</v>
      </c>
      <c r="AG3636" s="2">
        <f ca="1"/>
        <v>0.2626317498908779</v>
      </c>
      <c r="AH3636" s="2" t="str">
        <f ca="1"/>
        <v>OK</v>
      </c>
    </row>
    <row r="3637" spans="2:34" x14ac:dyDescent="0.2">
      <c r="B3637" s="2">
        <f ca="1"/>
        <v>0.50205856666580373</v>
      </c>
      <c r="O3637" s="2">
        <f ca="1"/>
        <v>-1.0483051801367353</v>
      </c>
      <c r="X3637" s="2">
        <f ca="1"/>
        <v>66.374841052423591</v>
      </c>
      <c r="AG3637" s="2">
        <f ca="1"/>
        <v>0.29551602437881375</v>
      </c>
      <c r="AH3637" s="2" t="str">
        <f ca="1"/>
        <v>OK</v>
      </c>
    </row>
    <row r="3638" spans="2:34" x14ac:dyDescent="0.2">
      <c r="B3638" s="2">
        <f ca="1"/>
        <v>0.4548792359203071</v>
      </c>
      <c r="O3638" s="2">
        <f ca="1"/>
        <v>1.0711033124445699E-2</v>
      </c>
      <c r="X3638" s="2">
        <f ca="1"/>
        <v>66.025102581935585</v>
      </c>
      <c r="AG3638" s="2">
        <f ca="1"/>
        <v>0.60281587005356885</v>
      </c>
      <c r="AH3638" s="2" t="str">
        <f ca="1"/>
        <v>Bad</v>
      </c>
    </row>
    <row r="3639" spans="2:34" x14ac:dyDescent="0.2">
      <c r="B3639" s="2">
        <f ca="1"/>
        <v>0.9655366953384803</v>
      </c>
      <c r="O3639" s="2">
        <f ca="1"/>
        <v>0.58789397855257397</v>
      </c>
      <c r="X3639" s="2">
        <f ca="1"/>
        <v>55.056942796466416</v>
      </c>
      <c r="AG3639" s="2">
        <f ca="1"/>
        <v>9.6198511918615504E-2</v>
      </c>
      <c r="AH3639" s="2" t="str">
        <f ca="1"/>
        <v>OK</v>
      </c>
    </row>
    <row r="3640" spans="2:34" x14ac:dyDescent="0.2">
      <c r="B3640" s="2">
        <f ca="1"/>
        <v>2.5287379752561234E-2</v>
      </c>
      <c r="O3640" s="2">
        <f ca="1"/>
        <v>0.95151518052436412</v>
      </c>
      <c r="X3640" s="2">
        <f ca="1"/>
        <v>51.484069266013115</v>
      </c>
      <c r="AG3640" s="2">
        <f ca="1"/>
        <v>0.30636226956658352</v>
      </c>
      <c r="AH3640" s="2" t="str">
        <f ca="1"/>
        <v>OK</v>
      </c>
    </row>
    <row r="3641" spans="2:34" x14ac:dyDescent="0.2">
      <c r="B3641" s="2">
        <f ca="1"/>
        <v>0.29748710153237456</v>
      </c>
      <c r="O3641" s="2">
        <f ca="1"/>
        <v>-2.6085116922129155</v>
      </c>
      <c r="X3641" s="2">
        <f ca="1"/>
        <v>46.54923382627122</v>
      </c>
      <c r="AG3641" s="2">
        <f ca="1"/>
        <v>0.79411149162036176</v>
      </c>
      <c r="AH3641" s="2" t="str">
        <f ca="1"/>
        <v>Bad</v>
      </c>
    </row>
    <row r="3642" spans="2:34" x14ac:dyDescent="0.2">
      <c r="B3642" s="2">
        <f ca="1"/>
        <v>8.2695573473591244E-2</v>
      </c>
      <c r="O3642" s="2">
        <f ca="1"/>
        <v>1.1475343780158913</v>
      </c>
      <c r="X3642" s="2">
        <f ca="1"/>
        <v>64.089611133537502</v>
      </c>
      <c r="AG3642" s="2">
        <f ca="1"/>
        <v>0.66516804779987515</v>
      </c>
      <c r="AH3642" s="2" t="str">
        <f ca="1"/>
        <v>Bad</v>
      </c>
    </row>
    <row r="3643" spans="2:34" x14ac:dyDescent="0.2">
      <c r="B3643" s="2">
        <f ca="1"/>
        <v>0.46119482699901759</v>
      </c>
      <c r="O3643" s="2">
        <f ca="1"/>
        <v>-0.89831170079719569</v>
      </c>
      <c r="X3643" s="2">
        <f ca="1"/>
        <v>75.852257695992876</v>
      </c>
      <c r="AG3643" s="2">
        <f ca="1"/>
        <v>0.47767034303447375</v>
      </c>
      <c r="AH3643" s="2" t="str">
        <f ca="1"/>
        <v>Bad</v>
      </c>
    </row>
    <row r="3644" spans="2:34" x14ac:dyDescent="0.2">
      <c r="B3644" s="2">
        <f ca="1"/>
        <v>0.23635733813852644</v>
      </c>
      <c r="O3644" s="2">
        <f ca="1"/>
        <v>-0.24503241292425768</v>
      </c>
      <c r="X3644" s="2">
        <f ca="1"/>
        <v>56.103785877652889</v>
      </c>
      <c r="AG3644" s="2">
        <f ca="1"/>
        <v>0.75632190179050185</v>
      </c>
      <c r="AH3644" s="2" t="str">
        <f ca="1"/>
        <v>Bad</v>
      </c>
    </row>
    <row r="3645" spans="2:34" x14ac:dyDescent="0.2">
      <c r="B3645" s="2">
        <f ca="1"/>
        <v>0.85319236277532573</v>
      </c>
      <c r="O3645" s="2">
        <f ca="1"/>
        <v>-0.96295638296264274</v>
      </c>
      <c r="X3645" s="2">
        <f ca="1"/>
        <v>59.797272776791033</v>
      </c>
      <c r="AG3645" s="2">
        <f ca="1"/>
        <v>0.85156532645467897</v>
      </c>
      <c r="AH3645" s="2" t="str">
        <f ca="1"/>
        <v>Bad</v>
      </c>
    </row>
    <row r="3646" spans="2:34" x14ac:dyDescent="0.2">
      <c r="B3646" s="2">
        <f ca="1"/>
        <v>0.5493659077827866</v>
      </c>
      <c r="O3646" s="2">
        <f ca="1"/>
        <v>1.9261720791305375</v>
      </c>
      <c r="X3646" s="2">
        <f ca="1"/>
        <v>33.705382057846805</v>
      </c>
      <c r="AG3646" s="2">
        <f ca="1"/>
        <v>5.6188985363229582E-2</v>
      </c>
      <c r="AH3646" s="2" t="str">
        <f ca="1"/>
        <v>OK</v>
      </c>
    </row>
    <row r="3647" spans="2:34" x14ac:dyDescent="0.2">
      <c r="B3647" s="2">
        <f ca="1"/>
        <v>0.90904628392797071</v>
      </c>
      <c r="O3647" s="2">
        <f ca="1"/>
        <v>-2.9651469828711767</v>
      </c>
      <c r="X3647" s="2">
        <f ca="1"/>
        <v>36.252837744695242</v>
      </c>
      <c r="AG3647" s="2">
        <f ca="1"/>
        <v>0.26952286628030109</v>
      </c>
      <c r="AH3647" s="2" t="str">
        <f ca="1"/>
        <v>OK</v>
      </c>
    </row>
    <row r="3648" spans="2:34" x14ac:dyDescent="0.2">
      <c r="B3648" s="2">
        <f ca="1"/>
        <v>0.19843761457951659</v>
      </c>
      <c r="O3648" s="2">
        <f ca="1"/>
        <v>0.58157663168186569</v>
      </c>
      <c r="X3648" s="2">
        <f ca="1"/>
        <v>54.678604017701119</v>
      </c>
      <c r="AG3648" s="2">
        <f ca="1"/>
        <v>0.86155895559785911</v>
      </c>
      <c r="AH3648" s="2" t="str">
        <f ca="1"/>
        <v>Bad</v>
      </c>
    </row>
    <row r="3649" spans="2:34" x14ac:dyDescent="0.2">
      <c r="B3649" s="2">
        <f ca="1"/>
        <v>0.21171391695112129</v>
      </c>
      <c r="O3649" s="2">
        <f ca="1"/>
        <v>-1.5923232954986624</v>
      </c>
      <c r="X3649" s="2">
        <f ca="1"/>
        <v>64.584710861676157</v>
      </c>
      <c r="AG3649" s="2">
        <f ca="1"/>
        <v>0.56882023523631298</v>
      </c>
      <c r="AH3649" s="2" t="str">
        <f ca="1"/>
        <v>Bad</v>
      </c>
    </row>
    <row r="3650" spans="2:34" x14ac:dyDescent="0.2">
      <c r="B3650" s="2">
        <f ca="1"/>
        <v>0.76848720593552544</v>
      </c>
      <c r="O3650" s="2">
        <f ca="1"/>
        <v>0.72777639391452853</v>
      </c>
      <c r="X3650" s="2">
        <f ca="1"/>
        <v>56.182797450156976</v>
      </c>
      <c r="AG3650" s="2">
        <f ca="1"/>
        <v>0.62146192845622261</v>
      </c>
      <c r="AH3650" s="2" t="str">
        <f ca="1"/>
        <v>Bad</v>
      </c>
    </row>
    <row r="3651" spans="2:34" x14ac:dyDescent="0.2">
      <c r="B3651" s="2">
        <f ca="1"/>
        <v>0.19000251177228922</v>
      </c>
      <c r="O3651" s="2">
        <f ca="1"/>
        <v>-0.10393152942887435</v>
      </c>
      <c r="X3651" s="2">
        <f ca="1"/>
        <v>44.81232394853383</v>
      </c>
      <c r="AG3651" s="2">
        <f ca="1"/>
        <v>0.8304702294855657</v>
      </c>
      <c r="AH3651" s="2" t="str">
        <f ca="1"/>
        <v>Bad</v>
      </c>
    </row>
    <row r="3652" spans="2:34" x14ac:dyDescent="0.2">
      <c r="B3652" s="2">
        <f ca="1"/>
        <v>6.251624216489704E-2</v>
      </c>
      <c r="O3652" s="2">
        <f ca="1"/>
        <v>0.69891891175638321</v>
      </c>
      <c r="X3652" s="2">
        <f ca="1"/>
        <v>33.573963243811875</v>
      </c>
      <c r="AG3652" s="2">
        <f ca="1"/>
        <v>6.4221695264724765E-2</v>
      </c>
      <c r="AH3652" s="2" t="str">
        <f ca="1"/>
        <v>OK</v>
      </c>
    </row>
    <row r="3653" spans="2:34" x14ac:dyDescent="0.2">
      <c r="B3653" s="2">
        <f ca="1"/>
        <v>0.71123854009840692</v>
      </c>
      <c r="O3653" s="2">
        <f ca="1"/>
        <v>-1.9227024293868458</v>
      </c>
      <c r="X3653" s="2">
        <f ca="1"/>
        <v>29.10897512598342</v>
      </c>
      <c r="AG3653" s="2">
        <f ca="1"/>
        <v>6.1974129965649993E-2</v>
      </c>
      <c r="AH3653" s="2" t="str">
        <f ca="1"/>
        <v>OK</v>
      </c>
    </row>
    <row r="3654" spans="2:34" x14ac:dyDescent="0.2">
      <c r="B3654" s="2">
        <f ca="1"/>
        <v>0.48645589985864923</v>
      </c>
      <c r="O3654" s="2">
        <f ca="1"/>
        <v>-0.41468452696904479</v>
      </c>
      <c r="X3654" s="2">
        <f ca="1"/>
        <v>75.722536641884815</v>
      </c>
      <c r="AG3654" s="2">
        <f ca="1"/>
        <v>0.2321376495137204</v>
      </c>
      <c r="AH3654" s="2" t="str">
        <f ca="1"/>
        <v>OK</v>
      </c>
    </row>
    <row r="3655" spans="2:34" x14ac:dyDescent="0.2">
      <c r="B3655" s="2">
        <f ca="1"/>
        <v>0.87864425925479983</v>
      </c>
      <c r="O3655" s="2">
        <f ca="1"/>
        <v>-1.0591968699439376</v>
      </c>
      <c r="X3655" s="2">
        <f ca="1"/>
        <v>53.1585373174577</v>
      </c>
      <c r="AG3655" s="2">
        <f ca="1"/>
        <v>4.0049548787696621E-2</v>
      </c>
      <c r="AH3655" s="2" t="str">
        <f ca="1"/>
        <v>Good</v>
      </c>
    </row>
    <row r="3656" spans="2:34" x14ac:dyDescent="0.2">
      <c r="B3656" s="2">
        <f ca="1"/>
        <v>0.94609916708852793</v>
      </c>
      <c r="O3656" s="2">
        <f ca="1"/>
        <v>-0.15649877076126659</v>
      </c>
      <c r="X3656" s="2">
        <f ca="1"/>
        <v>67.648007327042961</v>
      </c>
      <c r="AG3656" s="2">
        <f ca="1"/>
        <v>0.66608948464847439</v>
      </c>
      <c r="AH3656" s="2" t="str">
        <f ca="1"/>
        <v>Bad</v>
      </c>
    </row>
    <row r="3657" spans="2:34" x14ac:dyDescent="0.2">
      <c r="B3657" s="2">
        <f ca="1"/>
        <v>0.11441415068590621</v>
      </c>
      <c r="O3657" s="2">
        <f ca="1"/>
        <v>0.86765348507421336</v>
      </c>
      <c r="X3657" s="2">
        <f ca="1"/>
        <v>39.231016971351323</v>
      </c>
      <c r="AG3657" s="2">
        <f ca="1"/>
        <v>0.81033640176103749</v>
      </c>
      <c r="AH3657" s="2" t="str">
        <f ca="1"/>
        <v>Bad</v>
      </c>
    </row>
    <row r="3658" spans="2:34" x14ac:dyDescent="0.2">
      <c r="B3658" s="2">
        <f ca="1"/>
        <v>0.18553013177039679</v>
      </c>
      <c r="O3658" s="2">
        <f ca="1"/>
        <v>-0.42814784159248637</v>
      </c>
      <c r="X3658" s="2">
        <f ca="1"/>
        <v>48.544754064856988</v>
      </c>
      <c r="AG3658" s="2">
        <f ca="1"/>
        <v>0.50861971336259915</v>
      </c>
      <c r="AH3658" s="2" t="str">
        <f ca="1"/>
        <v>Bad</v>
      </c>
    </row>
    <row r="3659" spans="2:34" x14ac:dyDescent="0.2">
      <c r="B3659" s="2">
        <f ca="1"/>
        <v>0.92122762470003705</v>
      </c>
      <c r="O3659" s="2">
        <f ca="1"/>
        <v>0.13214605212065714</v>
      </c>
      <c r="X3659" s="2">
        <f ca="1"/>
        <v>48.6960657117138</v>
      </c>
      <c r="AG3659" s="2">
        <f ca="1"/>
        <v>0.57892393119124508</v>
      </c>
      <c r="AH3659" s="2" t="str">
        <f ca="1"/>
        <v>Bad</v>
      </c>
    </row>
    <row r="3660" spans="2:34" x14ac:dyDescent="0.2">
      <c r="B3660" s="2">
        <f ca="1"/>
        <v>0.22402733538903186</v>
      </c>
      <c r="O3660" s="2">
        <f ca="1"/>
        <v>1.5633071434129524</v>
      </c>
      <c r="X3660" s="2">
        <f ca="1"/>
        <v>57.126149593625414</v>
      </c>
      <c r="AG3660" s="2">
        <f ca="1"/>
        <v>0.67759274077710741</v>
      </c>
      <c r="AH3660" s="2" t="str">
        <f ca="1"/>
        <v>Bad</v>
      </c>
    </row>
    <row r="3661" spans="2:34" x14ac:dyDescent="0.2">
      <c r="B3661" s="2">
        <f ca="1"/>
        <v>7.0418430757644312E-2</v>
      </c>
      <c r="O3661" s="2">
        <f ca="1"/>
        <v>0.86986165950756722</v>
      </c>
      <c r="X3661" s="2">
        <f ca="1"/>
        <v>63.088709258731114</v>
      </c>
      <c r="AG3661" s="2">
        <f ca="1"/>
        <v>0.25086174157974517</v>
      </c>
      <c r="AH3661" s="2" t="str">
        <f ca="1"/>
        <v>OK</v>
      </c>
    </row>
    <row r="3662" spans="2:34" x14ac:dyDescent="0.2">
      <c r="B3662" s="2">
        <f ca="1"/>
        <v>0.70082698936624288</v>
      </c>
      <c r="O3662" s="2">
        <f ca="1"/>
        <v>-0.43297382007372981</v>
      </c>
      <c r="X3662" s="2">
        <f ca="1"/>
        <v>45.316960408031036</v>
      </c>
      <c r="AG3662" s="2">
        <f ca="1"/>
        <v>0.26947420084698237</v>
      </c>
      <c r="AH3662" s="2" t="str">
        <f ca="1"/>
        <v>OK</v>
      </c>
    </row>
    <row r="3663" spans="2:34" x14ac:dyDescent="0.2">
      <c r="B3663" s="2">
        <f ca="1"/>
        <v>0.95003256661208901</v>
      </c>
      <c r="O3663" s="2">
        <f ca="1"/>
        <v>0.89619960751355721</v>
      </c>
      <c r="X3663" s="2">
        <f ca="1"/>
        <v>23.831492720147871</v>
      </c>
      <c r="AG3663" s="2">
        <f ca="1"/>
        <v>0.73744225144286824</v>
      </c>
      <c r="AH3663" s="2" t="str">
        <f ca="1"/>
        <v>Bad</v>
      </c>
    </row>
    <row r="3664" spans="2:34" x14ac:dyDescent="0.2">
      <c r="B3664" s="2">
        <f ca="1"/>
        <v>0.2255006768967176</v>
      </c>
      <c r="O3664" s="2">
        <f ca="1"/>
        <v>-1.1255706580349378</v>
      </c>
      <c r="X3664" s="2">
        <f ca="1"/>
        <v>42.588757080622415</v>
      </c>
      <c r="AG3664" s="2">
        <f ca="1"/>
        <v>0.1836638303975866</v>
      </c>
      <c r="AH3664" s="2" t="str">
        <f ca="1"/>
        <v>OK</v>
      </c>
    </row>
    <row r="3665" spans="2:34" x14ac:dyDescent="0.2">
      <c r="B3665" s="2">
        <f ca="1"/>
        <v>0.1232460979366885</v>
      </c>
      <c r="O3665" s="2">
        <f ca="1"/>
        <v>0.77739114872957027</v>
      </c>
      <c r="X3665" s="2">
        <f ca="1"/>
        <v>56.914770714361751</v>
      </c>
      <c r="AG3665" s="2">
        <f ca="1"/>
        <v>6.8925864740521758E-2</v>
      </c>
      <c r="AH3665" s="2" t="str">
        <f ca="1"/>
        <v>OK</v>
      </c>
    </row>
    <row r="3666" spans="2:34" x14ac:dyDescent="0.2">
      <c r="B3666" s="2">
        <f ca="1"/>
        <v>0.6693050598664525</v>
      </c>
      <c r="O3666" s="2">
        <f ca="1"/>
        <v>-0.3573692954755075</v>
      </c>
      <c r="X3666" s="2">
        <f ca="1"/>
        <v>61.159783318437128</v>
      </c>
      <c r="AG3666" s="2">
        <f ca="1"/>
        <v>0.77040504880555738</v>
      </c>
      <c r="AH3666" s="2" t="str">
        <f ca="1"/>
        <v>Bad</v>
      </c>
    </row>
    <row r="3667" spans="2:34" x14ac:dyDescent="0.2">
      <c r="B3667" s="2">
        <f ca="1"/>
        <v>0.27695881474310635</v>
      </c>
      <c r="O3667" s="2">
        <f ca="1"/>
        <v>0.38379586541799715</v>
      </c>
      <c r="X3667" s="2">
        <f ca="1"/>
        <v>60.872833455315302</v>
      </c>
      <c r="AG3667" s="2">
        <f ca="1"/>
        <v>0.14995259492994006</v>
      </c>
      <c r="AH3667" s="2" t="str">
        <f ca="1"/>
        <v>OK</v>
      </c>
    </row>
    <row r="3668" spans="2:34" x14ac:dyDescent="0.2">
      <c r="B3668" s="2">
        <f ca="1"/>
        <v>0.61203664546954606</v>
      </c>
      <c r="O3668" s="2">
        <f ca="1"/>
        <v>-1.0305714356515667</v>
      </c>
      <c r="X3668" s="2">
        <f ca="1"/>
        <v>31.763134897517013</v>
      </c>
      <c r="AG3668" s="2">
        <f ca="1"/>
        <v>0.60089882038237219</v>
      </c>
      <c r="AH3668" s="2" t="str">
        <f ca="1"/>
        <v>Bad</v>
      </c>
    </row>
    <row r="3669" spans="2:34" x14ac:dyDescent="0.2">
      <c r="B3669" s="2">
        <f ca="1"/>
        <v>0.63592830411518464</v>
      </c>
      <c r="O3669" s="2">
        <f ca="1"/>
        <v>0.78458811047630928</v>
      </c>
      <c r="X3669" s="2">
        <f ca="1"/>
        <v>35.952238880684746</v>
      </c>
      <c r="AG3669" s="2">
        <f ca="1"/>
        <v>0.51068985174320503</v>
      </c>
      <c r="AH3669" s="2" t="str">
        <f ca="1"/>
        <v>Bad</v>
      </c>
    </row>
    <row r="3670" spans="2:34" x14ac:dyDescent="0.2">
      <c r="B3670" s="2">
        <f ca="1"/>
        <v>0.82572225381126829</v>
      </c>
      <c r="O3670" s="2">
        <f ca="1"/>
        <v>-0.59518374763065429</v>
      </c>
      <c r="X3670" s="2">
        <f ca="1"/>
        <v>56.86117609834681</v>
      </c>
      <c r="AG3670" s="2">
        <f ca="1"/>
        <v>2.8498396931007308E-2</v>
      </c>
      <c r="AH3670" s="2" t="str">
        <f ca="1"/>
        <v>Good</v>
      </c>
    </row>
    <row r="3671" spans="2:34" x14ac:dyDescent="0.2">
      <c r="B3671" s="2">
        <f ca="1"/>
        <v>0.16033344896877511</v>
      </c>
      <c r="O3671" s="2">
        <f ca="1"/>
        <v>1.2544647123270645</v>
      </c>
      <c r="X3671" s="2">
        <f ca="1"/>
        <v>35.682747885027965</v>
      </c>
      <c r="AG3671" s="2">
        <f ca="1"/>
        <v>0.93782931543200032</v>
      </c>
      <c r="AH3671" s="2" t="str">
        <f ca="1"/>
        <v>Bad</v>
      </c>
    </row>
    <row r="3672" spans="2:34" x14ac:dyDescent="0.2">
      <c r="B3672" s="2">
        <f ca="1"/>
        <v>7.2788822643672368E-2</v>
      </c>
      <c r="O3672" s="2">
        <f ca="1"/>
        <v>-0.3163908258863134</v>
      </c>
      <c r="X3672" s="2">
        <f ca="1"/>
        <v>46.248186434082406</v>
      </c>
      <c r="AG3672" s="2">
        <f ca="1"/>
        <v>0.95051181636251014</v>
      </c>
      <c r="AH3672" s="2" t="str">
        <f ca="1"/>
        <v>Bad</v>
      </c>
    </row>
    <row r="3673" spans="2:34" x14ac:dyDescent="0.2">
      <c r="B3673" s="2">
        <f ca="1"/>
        <v>0.87733553574210976</v>
      </c>
      <c r="O3673" s="2">
        <f ca="1"/>
        <v>-0.24945711541371282</v>
      </c>
      <c r="X3673" s="2">
        <f ca="1"/>
        <v>74.606524842963907</v>
      </c>
      <c r="AG3673" s="2">
        <f ca="1"/>
        <v>0.48353719085732672</v>
      </c>
      <c r="AH3673" s="2" t="str">
        <f ca="1"/>
        <v>Bad</v>
      </c>
    </row>
    <row r="3674" spans="2:34" x14ac:dyDescent="0.2">
      <c r="B3674" s="2">
        <f ca="1"/>
        <v>0.36928811822254737</v>
      </c>
      <c r="O3674" s="2">
        <f ca="1"/>
        <v>-0.29883931637128752</v>
      </c>
      <c r="X3674" s="2">
        <f ca="1"/>
        <v>33.2448862922285</v>
      </c>
      <c r="AG3674" s="2">
        <f ca="1"/>
        <v>0.62743392533806119</v>
      </c>
      <c r="AH3674" s="2" t="str">
        <f ca="1"/>
        <v>Bad</v>
      </c>
    </row>
    <row r="3675" spans="2:34" x14ac:dyDescent="0.2">
      <c r="B3675" s="2">
        <f ca="1"/>
        <v>0.79526698456026756</v>
      </c>
      <c r="O3675" s="2">
        <f ca="1"/>
        <v>9.3984610540638502E-2</v>
      </c>
      <c r="X3675" s="2">
        <f ca="1"/>
        <v>54.313961799526076</v>
      </c>
      <c r="AG3675" s="2">
        <f ca="1"/>
        <v>0.21856526217550165</v>
      </c>
      <c r="AH3675" s="2" t="str">
        <f ca="1"/>
        <v>OK</v>
      </c>
    </row>
    <row r="3676" spans="2:34" x14ac:dyDescent="0.2">
      <c r="B3676" s="2">
        <f ca="1"/>
        <v>0.21314729743104843</v>
      </c>
      <c r="O3676" s="2">
        <f ca="1"/>
        <v>0.66804989925391944</v>
      </c>
      <c r="X3676" s="2">
        <f ca="1"/>
        <v>49.55834003756798</v>
      </c>
      <c r="AG3676" s="2">
        <f ca="1"/>
        <v>0.79546839897540633</v>
      </c>
      <c r="AH3676" s="2" t="str">
        <f ca="1"/>
        <v>Bad</v>
      </c>
    </row>
    <row r="3677" spans="2:34" x14ac:dyDescent="0.2">
      <c r="B3677" s="2">
        <f ca="1"/>
        <v>0.50494113692983289</v>
      </c>
      <c r="O3677" s="2">
        <f ca="1"/>
        <v>-0.36861793361986828</v>
      </c>
      <c r="X3677" s="2">
        <f ca="1"/>
        <v>49.31571108867346</v>
      </c>
      <c r="AG3677" s="2">
        <f ca="1"/>
        <v>0.40461708130047458</v>
      </c>
      <c r="AH3677" s="2" t="str">
        <f ca="1"/>
        <v>Bad</v>
      </c>
    </row>
    <row r="3678" spans="2:34" x14ac:dyDescent="0.2">
      <c r="B3678" s="2">
        <f ca="1"/>
        <v>0.22452665404382732</v>
      </c>
      <c r="O3678" s="2">
        <f ca="1"/>
        <v>-0.92220087541581819</v>
      </c>
      <c r="X3678" s="2">
        <f ca="1"/>
        <v>48.88320373766711</v>
      </c>
      <c r="AG3678" s="2">
        <f ca="1"/>
        <v>0.24410150065671399</v>
      </c>
      <c r="AH3678" s="2" t="str">
        <f ca="1"/>
        <v>OK</v>
      </c>
    </row>
    <row r="3679" spans="2:34" x14ac:dyDescent="0.2">
      <c r="B3679" s="2">
        <f ca="1"/>
        <v>0.91796674523366417</v>
      </c>
      <c r="O3679" s="2">
        <f ca="1"/>
        <v>0.26100549765064851</v>
      </c>
      <c r="X3679" s="2">
        <f ca="1"/>
        <v>74.81969671186144</v>
      </c>
      <c r="AG3679" s="2">
        <f ca="1"/>
        <v>0.57356154660963399</v>
      </c>
      <c r="AH3679" s="2" t="str">
        <f ca="1"/>
        <v>Bad</v>
      </c>
    </row>
    <row r="3680" spans="2:34" x14ac:dyDescent="0.2">
      <c r="B3680" s="2">
        <f ca="1"/>
        <v>0.26342409582659632</v>
      </c>
      <c r="O3680" s="2">
        <f ca="1"/>
        <v>-0.63663543870140105</v>
      </c>
      <c r="X3680" s="2">
        <f ca="1"/>
        <v>49.778640962745186</v>
      </c>
      <c r="AG3680" s="2">
        <f ca="1"/>
        <v>0.33068313023218776</v>
      </c>
      <c r="AH3680" s="2" t="str">
        <f ca="1"/>
        <v>OK</v>
      </c>
    </row>
    <row r="3681" spans="2:34" x14ac:dyDescent="0.2">
      <c r="B3681" s="2">
        <f ca="1"/>
        <v>0.17618026626374395</v>
      </c>
      <c r="O3681" s="2">
        <f ca="1"/>
        <v>0.87512386663694608</v>
      </c>
      <c r="X3681" s="2">
        <f ca="1"/>
        <v>33.092044910216899</v>
      </c>
      <c r="AG3681" s="2">
        <f ca="1"/>
        <v>0.93297804254375682</v>
      </c>
      <c r="AH3681" s="2" t="str">
        <f ca="1"/>
        <v>Bad</v>
      </c>
    </row>
    <row r="3682" spans="2:34" x14ac:dyDescent="0.2">
      <c r="B3682" s="2">
        <f ca="1"/>
        <v>7.8162822495100537E-2</v>
      </c>
      <c r="O3682" s="2">
        <f ca="1"/>
        <v>0.85836113113134349</v>
      </c>
      <c r="X3682" s="2">
        <f ca="1"/>
        <v>48.930232103229365</v>
      </c>
      <c r="AG3682" s="2">
        <f ca="1"/>
        <v>0.78402564889219017</v>
      </c>
      <c r="AH3682" s="2" t="str">
        <f ca="1"/>
        <v>Bad</v>
      </c>
    </row>
    <row r="3683" spans="2:34" x14ac:dyDescent="0.2">
      <c r="B3683" s="2">
        <f ca="1"/>
        <v>0.65980481125000656</v>
      </c>
      <c r="O3683" s="2">
        <f ca="1"/>
        <v>0.52661586314925102</v>
      </c>
      <c r="X3683" s="2">
        <f ca="1"/>
        <v>43.082157615622933</v>
      </c>
      <c r="AG3683" s="2">
        <f ca="1"/>
        <v>0.41153095826790498</v>
      </c>
      <c r="AH3683" s="2" t="str">
        <f ca="1"/>
        <v>Bad</v>
      </c>
    </row>
    <row r="3684" spans="2:34" x14ac:dyDescent="0.2">
      <c r="B3684" s="2">
        <f ca="1"/>
        <v>8.2122399442299709E-2</v>
      </c>
      <c r="O3684" s="2">
        <f ca="1"/>
        <v>-4.5515862830909033E-2</v>
      </c>
      <c r="X3684" s="2">
        <f ca="1"/>
        <v>46.18060487702909</v>
      </c>
      <c r="AG3684" s="2">
        <f ca="1"/>
        <v>0.50708032193263142</v>
      </c>
      <c r="AH3684" s="2" t="str">
        <f ca="1"/>
        <v>Bad</v>
      </c>
    </row>
    <row r="3685" spans="2:34" x14ac:dyDescent="0.2">
      <c r="B3685" s="2">
        <f ca="1"/>
        <v>0.27274040899019636</v>
      </c>
      <c r="O3685" s="2">
        <f ca="1"/>
        <v>0.55160025579002137</v>
      </c>
      <c r="X3685" s="2">
        <f ca="1"/>
        <v>49.256368337662046</v>
      </c>
      <c r="AG3685" s="2">
        <f ca="1"/>
        <v>0.35520335759627941</v>
      </c>
      <c r="AH3685" s="2" t="str">
        <f ca="1"/>
        <v>OK</v>
      </c>
    </row>
    <row r="3686" spans="2:34" x14ac:dyDescent="0.2">
      <c r="B3686" s="2">
        <f ca="1"/>
        <v>0.72312317347931176</v>
      </c>
      <c r="O3686" s="2">
        <f ca="1"/>
        <v>0.43328798322733841</v>
      </c>
      <c r="X3686" s="2">
        <f ca="1"/>
        <v>39.857008858310373</v>
      </c>
      <c r="AG3686" s="2">
        <f ca="1"/>
        <v>0.42292208728128777</v>
      </c>
      <c r="AH3686" s="2" t="str">
        <f ca="1"/>
        <v>Bad</v>
      </c>
    </row>
    <row r="3687" spans="2:34" x14ac:dyDescent="0.2">
      <c r="B3687" s="2">
        <f ca="1"/>
        <v>0.97288407110483699</v>
      </c>
      <c r="O3687" s="2">
        <f ca="1"/>
        <v>0.80977314397264855</v>
      </c>
      <c r="X3687" s="2">
        <f ca="1"/>
        <v>60.614535078646846</v>
      </c>
      <c r="AG3687" s="2">
        <f ca="1"/>
        <v>0.33193241470515722</v>
      </c>
      <c r="AH3687" s="2" t="str">
        <f ca="1"/>
        <v>OK</v>
      </c>
    </row>
    <row r="3688" spans="2:34" x14ac:dyDescent="0.2">
      <c r="B3688" s="2">
        <f ca="1"/>
        <v>0.79550706246415204</v>
      </c>
      <c r="O3688" s="2">
        <f ca="1"/>
        <v>-0.38672471694168409</v>
      </c>
      <c r="X3688" s="2">
        <f ca="1"/>
        <v>40.770853991640351</v>
      </c>
      <c r="AG3688" s="2">
        <f ca="1"/>
        <v>0.93686558456756641</v>
      </c>
      <c r="AH3688" s="2" t="str">
        <f ca="1"/>
        <v>Bad</v>
      </c>
    </row>
    <row r="3689" spans="2:34" x14ac:dyDescent="0.2">
      <c r="B3689" s="2">
        <f ca="1"/>
        <v>2.1549311762960599E-3</v>
      </c>
      <c r="O3689" s="2">
        <f ca="1"/>
        <v>0.56644949080836615</v>
      </c>
      <c r="X3689" s="2">
        <f ca="1"/>
        <v>39.102826190052021</v>
      </c>
      <c r="AG3689" s="2">
        <f ca="1"/>
        <v>0.83580551677979376</v>
      </c>
      <c r="AH3689" s="2" t="str">
        <f ca="1"/>
        <v>Bad</v>
      </c>
    </row>
    <row r="3690" spans="2:34" x14ac:dyDescent="0.2">
      <c r="B3690" s="2">
        <f ca="1"/>
        <v>0.27257918242772483</v>
      </c>
      <c r="O3690" s="2">
        <f ca="1"/>
        <v>0.65242608062282093</v>
      </c>
      <c r="X3690" s="2">
        <f ca="1"/>
        <v>29.177896134103097</v>
      </c>
      <c r="AG3690" s="2">
        <f ca="1"/>
        <v>0.31657410249567897</v>
      </c>
      <c r="AH3690" s="2" t="str">
        <f ca="1"/>
        <v>OK</v>
      </c>
    </row>
    <row r="3691" spans="2:34" x14ac:dyDescent="0.2">
      <c r="B3691" s="2">
        <f ca="1"/>
        <v>0.33263069300790726</v>
      </c>
      <c r="O3691" s="2">
        <f ca="1"/>
        <v>-0.14142203857556648</v>
      </c>
      <c r="X3691" s="2">
        <f ca="1"/>
        <v>44.233456596191878</v>
      </c>
      <c r="AG3691" s="2">
        <f ca="1"/>
        <v>0.96126453699981607</v>
      </c>
      <c r="AH3691" s="2" t="str">
        <f ca="1"/>
        <v>Bad</v>
      </c>
    </row>
    <row r="3692" spans="2:34" x14ac:dyDescent="0.2">
      <c r="B3692" s="2">
        <f ca="1"/>
        <v>0.34200392685227388</v>
      </c>
      <c r="O3692" s="2">
        <f ca="1"/>
        <v>-0.44788468693246059</v>
      </c>
      <c r="X3692" s="2">
        <f ca="1"/>
        <v>37.607638909477295</v>
      </c>
      <c r="AG3692" s="2">
        <f ca="1"/>
        <v>0.53335391961062339</v>
      </c>
      <c r="AH3692" s="2" t="str">
        <f ca="1"/>
        <v>Bad</v>
      </c>
    </row>
    <row r="3693" spans="2:34" x14ac:dyDescent="0.2">
      <c r="B3693" s="2">
        <f ca="1"/>
        <v>0.56902016932145516</v>
      </c>
      <c r="O3693" s="2">
        <f ca="1"/>
        <v>-5.5017829278773175E-2</v>
      </c>
      <c r="X3693" s="2">
        <f ca="1"/>
        <v>28.298430742197674</v>
      </c>
      <c r="AG3693" s="2">
        <f ca="1"/>
        <v>0.83020931002310472</v>
      </c>
      <c r="AH3693" s="2" t="str">
        <f ca="1"/>
        <v>Bad</v>
      </c>
    </row>
    <row r="3694" spans="2:34" x14ac:dyDescent="0.2">
      <c r="B3694" s="2">
        <f ca="1"/>
        <v>0.59801559487309963</v>
      </c>
      <c r="O3694" s="2">
        <f ca="1"/>
        <v>0.7474529358307459</v>
      </c>
      <c r="X3694" s="2">
        <f ca="1"/>
        <v>52.206426155340075</v>
      </c>
      <c r="AG3694" s="2">
        <f ca="1"/>
        <v>0.13359238539691431</v>
      </c>
      <c r="AH3694" s="2" t="str">
        <f ca="1"/>
        <v>OK</v>
      </c>
    </row>
    <row r="3695" spans="2:34" x14ac:dyDescent="0.2">
      <c r="B3695" s="2">
        <f ca="1"/>
        <v>0.13289689273320926</v>
      </c>
      <c r="O3695" s="2">
        <f ca="1"/>
        <v>0.37582105446775133</v>
      </c>
      <c r="X3695" s="2">
        <f ca="1"/>
        <v>39.69816635636311</v>
      </c>
      <c r="AG3695" s="2">
        <f ca="1"/>
        <v>0.53078175142209716</v>
      </c>
      <c r="AH3695" s="2" t="str">
        <f ca="1"/>
        <v>Bad</v>
      </c>
    </row>
    <row r="3696" spans="2:34" x14ac:dyDescent="0.2">
      <c r="B3696" s="2">
        <f ca="1"/>
        <v>0.13917874394276408</v>
      </c>
      <c r="O3696" s="2">
        <f ca="1"/>
        <v>0.83805934054309517</v>
      </c>
      <c r="X3696" s="2">
        <f ca="1"/>
        <v>62.142592832471671</v>
      </c>
      <c r="AG3696" s="2">
        <f ca="1"/>
        <v>0.44861964009356892</v>
      </c>
      <c r="AH3696" s="2" t="str">
        <f ca="1"/>
        <v>Bad</v>
      </c>
    </row>
    <row r="3697" spans="2:34" x14ac:dyDescent="0.2">
      <c r="B3697" s="2">
        <f ca="1"/>
        <v>0.7270169338828969</v>
      </c>
      <c r="O3697" s="2">
        <f ca="1"/>
        <v>9.3240473189962828E-2</v>
      </c>
      <c r="X3697" s="2">
        <f ca="1"/>
        <v>52.411888297819004</v>
      </c>
      <c r="AG3697" s="2">
        <f ca="1"/>
        <v>0.30613125270314234</v>
      </c>
      <c r="AH3697" s="2" t="str">
        <f ca="1"/>
        <v>OK</v>
      </c>
    </row>
    <row r="3698" spans="2:34" x14ac:dyDescent="0.2">
      <c r="B3698" s="2">
        <f ca="1"/>
        <v>2.1758050990411393E-2</v>
      </c>
      <c r="O3698" s="2">
        <f ca="1"/>
        <v>-1.0103240665207311</v>
      </c>
      <c r="X3698" s="2">
        <f ca="1"/>
        <v>68.653675614100507</v>
      </c>
      <c r="AG3698" s="2">
        <f ca="1"/>
        <v>0.41827563574200055</v>
      </c>
      <c r="AH3698" s="2" t="str">
        <f ca="1"/>
        <v>Bad</v>
      </c>
    </row>
    <row r="3699" spans="2:34" x14ac:dyDescent="0.2">
      <c r="B3699" s="2">
        <f ca="1"/>
        <v>0.43044522015937403</v>
      </c>
      <c r="O3699" s="2">
        <f ca="1"/>
        <v>0.52165120580090585</v>
      </c>
      <c r="X3699" s="2">
        <f ca="1"/>
        <v>48.454598948090315</v>
      </c>
      <c r="AG3699" s="2">
        <f ca="1"/>
        <v>0.73094814985194301</v>
      </c>
      <c r="AH3699" s="2" t="str">
        <f ca="1"/>
        <v>Bad</v>
      </c>
    </row>
    <row r="3700" spans="2:34" x14ac:dyDescent="0.2">
      <c r="B3700" s="2">
        <f ca="1"/>
        <v>0.59203140258602605</v>
      </c>
      <c r="O3700" s="2">
        <f ca="1"/>
        <v>0.49653945815781325</v>
      </c>
      <c r="X3700" s="2">
        <f ca="1"/>
        <v>49.394211733444308</v>
      </c>
      <c r="AG3700" s="2">
        <f ca="1"/>
        <v>3.5636017160367794E-2</v>
      </c>
      <c r="AH3700" s="2" t="str">
        <f ca="1"/>
        <v>Good</v>
      </c>
    </row>
    <row r="3701" spans="2:34" x14ac:dyDescent="0.2">
      <c r="B3701" s="2">
        <f ca="1"/>
        <v>0.22504014829633112</v>
      </c>
      <c r="O3701" s="2">
        <f ca="1"/>
        <v>1.0876537778498134</v>
      </c>
      <c r="X3701" s="2">
        <f ca="1"/>
        <v>58.443509769833653</v>
      </c>
      <c r="AG3701" s="2">
        <f ca="1"/>
        <v>0.8210263726014615</v>
      </c>
      <c r="AH3701" s="2" t="str">
        <f ca="1"/>
        <v>Bad</v>
      </c>
    </row>
    <row r="3702" spans="2:34" x14ac:dyDescent="0.2">
      <c r="B3702" s="2">
        <f ca="1"/>
        <v>0.66820599752386056</v>
      </c>
      <c r="O3702" s="2">
        <f ca="1"/>
        <v>0.17273297808403357</v>
      </c>
      <c r="X3702" s="2">
        <f ca="1"/>
        <v>38.36655720793523</v>
      </c>
      <c r="AG3702" s="2">
        <f ca="1"/>
        <v>0.77720043735287714</v>
      </c>
      <c r="AH3702" s="2" t="str">
        <f ca="1"/>
        <v>Bad</v>
      </c>
    </row>
    <row r="3703" spans="2:34" x14ac:dyDescent="0.2">
      <c r="B3703" s="2">
        <f ca="1"/>
        <v>4.1898072390433638E-2</v>
      </c>
      <c r="O3703" s="2">
        <f ca="1"/>
        <v>-0.71906016157242891</v>
      </c>
      <c r="X3703" s="2">
        <f ca="1"/>
        <v>38.460900982473923</v>
      </c>
      <c r="AG3703" s="2">
        <f ca="1"/>
        <v>9.7398311208644506E-2</v>
      </c>
      <c r="AH3703" s="2" t="str">
        <f ca="1"/>
        <v>OK</v>
      </c>
    </row>
    <row r="3704" spans="2:34" x14ac:dyDescent="0.2">
      <c r="B3704" s="2">
        <f ca="1"/>
        <v>0.35854343914151987</v>
      </c>
      <c r="O3704" s="2">
        <f ca="1"/>
        <v>-6.3460454084930881E-2</v>
      </c>
      <c r="X3704" s="2">
        <f ca="1"/>
        <v>69.885892452616631</v>
      </c>
      <c r="AG3704" s="2">
        <f ca="1"/>
        <v>0.23347014861888438</v>
      </c>
      <c r="AH3704" s="2" t="str">
        <f ca="1"/>
        <v>OK</v>
      </c>
    </row>
    <row r="3705" spans="2:34" x14ac:dyDescent="0.2">
      <c r="B3705" s="2">
        <f ca="1"/>
        <v>0.8825073578895033</v>
      </c>
      <c r="O3705" s="2">
        <f ca="1"/>
        <v>1.8768359982107337</v>
      </c>
      <c r="X3705" s="2">
        <f ca="1"/>
        <v>49.98082707475082</v>
      </c>
      <c r="AG3705" s="2">
        <f ca="1"/>
        <v>9.0317148720649332E-2</v>
      </c>
      <c r="AH3705" s="2" t="str">
        <f ca="1"/>
        <v>OK</v>
      </c>
    </row>
    <row r="3706" spans="2:34" x14ac:dyDescent="0.2">
      <c r="B3706" s="2">
        <f ca="1"/>
        <v>0.74074512146605742</v>
      </c>
      <c r="O3706" s="2">
        <f ca="1"/>
        <v>-0.27157898970419059</v>
      </c>
      <c r="X3706" s="2">
        <f ca="1"/>
        <v>40.311332392072785</v>
      </c>
      <c r="AG3706" s="2">
        <f ca="1"/>
        <v>1.0314113652830414E-2</v>
      </c>
      <c r="AH3706" s="2" t="str">
        <f ca="1"/>
        <v>Good</v>
      </c>
    </row>
    <row r="3707" spans="2:34" x14ac:dyDescent="0.2">
      <c r="B3707" s="2">
        <f ca="1"/>
        <v>0.35237581124164019</v>
      </c>
      <c r="O3707" s="2">
        <f ca="1"/>
        <v>1.7458493479147064</v>
      </c>
      <c r="X3707" s="2">
        <f ca="1"/>
        <v>49.713080066077204</v>
      </c>
      <c r="AG3707" s="2">
        <f ca="1"/>
        <v>0.84661455838291255</v>
      </c>
      <c r="AH3707" s="2" t="str">
        <f ca="1"/>
        <v>Bad</v>
      </c>
    </row>
    <row r="3708" spans="2:34" x14ac:dyDescent="0.2">
      <c r="B3708" s="2">
        <f ca="1"/>
        <v>0.31406019269836793</v>
      </c>
      <c r="O3708" s="2">
        <f ca="1"/>
        <v>0.24330502710734359</v>
      </c>
      <c r="X3708" s="2">
        <f ca="1"/>
        <v>61.757126335770849</v>
      </c>
      <c r="AG3708" s="2">
        <f ca="1"/>
        <v>0.44391249561616997</v>
      </c>
      <c r="AH3708" s="2" t="str">
        <f ca="1"/>
        <v>Bad</v>
      </c>
    </row>
    <row r="3709" spans="2:34" x14ac:dyDescent="0.2">
      <c r="B3709" s="2">
        <f ca="1"/>
        <v>0.58302536992568799</v>
      </c>
      <c r="O3709" s="2">
        <f ca="1"/>
        <v>-1.1039936742764314</v>
      </c>
      <c r="X3709" s="2">
        <f ca="1"/>
        <v>62.706440624673185</v>
      </c>
      <c r="AG3709" s="2">
        <f ca="1"/>
        <v>0.88888944754434851</v>
      </c>
      <c r="AH3709" s="2" t="str">
        <f ca="1"/>
        <v>Bad</v>
      </c>
    </row>
    <row r="3710" spans="2:34" x14ac:dyDescent="0.2">
      <c r="B3710" s="2">
        <f ca="1"/>
        <v>0.81885346534802594</v>
      </c>
      <c r="O3710" s="2">
        <f ca="1"/>
        <v>0.35525701013667615</v>
      </c>
      <c r="X3710" s="2">
        <f ca="1"/>
        <v>37.919306402410598</v>
      </c>
      <c r="AG3710" s="2">
        <f ca="1"/>
        <v>0.94007503020420913</v>
      </c>
      <c r="AH3710" s="2" t="str">
        <f ca="1"/>
        <v>Bad</v>
      </c>
    </row>
    <row r="3711" spans="2:34" x14ac:dyDescent="0.2">
      <c r="B3711" s="2">
        <f ca="1"/>
        <v>0.83593836350494755</v>
      </c>
      <c r="O3711" s="2">
        <f ca="1"/>
        <v>-0.90475858874331427</v>
      </c>
      <c r="X3711" s="2">
        <f ca="1"/>
        <v>14.080988451769967</v>
      </c>
      <c r="AG3711" s="2">
        <f ca="1"/>
        <v>0.17182983180764677</v>
      </c>
      <c r="AH3711" s="2" t="str">
        <f ca="1"/>
        <v>OK</v>
      </c>
    </row>
    <row r="3712" spans="2:34" x14ac:dyDescent="0.2">
      <c r="B3712" s="2">
        <f ca="1"/>
        <v>0.77207288163284038</v>
      </c>
      <c r="O3712" s="2">
        <f ca="1"/>
        <v>-1.2230019331697959</v>
      </c>
      <c r="X3712" s="2">
        <f ca="1"/>
        <v>75.500975223176169</v>
      </c>
      <c r="AG3712" s="2">
        <f ca="1"/>
        <v>0.57102191916741574</v>
      </c>
      <c r="AH3712" s="2" t="str">
        <f ca="1"/>
        <v>Bad</v>
      </c>
    </row>
    <row r="3713" spans="2:34" x14ac:dyDescent="0.2">
      <c r="B3713" s="2">
        <f ca="1"/>
        <v>0.43250859216955795</v>
      </c>
      <c r="O3713" s="2">
        <f ca="1"/>
        <v>-1.1172626314522178</v>
      </c>
      <c r="X3713" s="2">
        <f ca="1"/>
        <v>50.23907902454382</v>
      </c>
      <c r="AG3713" s="2">
        <f ca="1"/>
        <v>0.95874460800739558</v>
      </c>
      <c r="AH3713" s="2" t="str">
        <f ca="1"/>
        <v>Bad</v>
      </c>
    </row>
    <row r="3714" spans="2:34" x14ac:dyDescent="0.2">
      <c r="B3714" s="2">
        <f ca="1"/>
        <v>0.97907405080225041</v>
      </c>
      <c r="O3714" s="2">
        <f ca="1"/>
        <v>-0.65664958801332896</v>
      </c>
      <c r="X3714" s="2">
        <f ca="1"/>
        <v>59.491874299439417</v>
      </c>
      <c r="AG3714" s="2">
        <f ca="1"/>
        <v>5.2677673658575452E-2</v>
      </c>
      <c r="AH3714" s="2" t="str">
        <f ca="1"/>
        <v>OK</v>
      </c>
    </row>
    <row r="3715" spans="2:34" x14ac:dyDescent="0.2">
      <c r="B3715" s="2">
        <f ca="1"/>
        <v>0.5545015775826363</v>
      </c>
      <c r="O3715" s="2">
        <f ca="1"/>
        <v>1.1680388927300813</v>
      </c>
      <c r="X3715" s="2">
        <f ca="1"/>
        <v>18.755808668013103</v>
      </c>
      <c r="AG3715" s="2">
        <f ca="1"/>
        <v>0.65761640137579236</v>
      </c>
      <c r="AH3715" s="2" t="str">
        <f ca="1"/>
        <v>Bad</v>
      </c>
    </row>
    <row r="3716" spans="2:34" x14ac:dyDescent="0.2">
      <c r="B3716" s="2">
        <f ca="1"/>
        <v>9.1814332504391638E-2</v>
      </c>
      <c r="O3716" s="2">
        <f ca="1"/>
        <v>-0.44221541286730348</v>
      </c>
      <c r="X3716" s="2">
        <f ca="1"/>
        <v>59.827673723113115</v>
      </c>
      <c r="AG3716" s="2">
        <f ca="1"/>
        <v>0.49342635406914259</v>
      </c>
      <c r="AH3716" s="2" t="str">
        <f ca="1"/>
        <v>Bad</v>
      </c>
    </row>
    <row r="3717" spans="2:34" x14ac:dyDescent="0.2">
      <c r="B3717" s="2">
        <f ca="1"/>
        <v>0.58563879451715617</v>
      </c>
      <c r="O3717" s="2">
        <f ca="1"/>
        <v>-0.54096368920250093</v>
      </c>
      <c r="X3717" s="2">
        <f ca="1"/>
        <v>36.503507287996754</v>
      </c>
      <c r="AG3717" s="2">
        <f ca="1"/>
        <v>0.31802116737262787</v>
      </c>
      <c r="AH3717" s="2" t="str">
        <f ca="1"/>
        <v>OK</v>
      </c>
    </row>
    <row r="3718" spans="2:34" x14ac:dyDescent="0.2">
      <c r="B3718" s="2">
        <f ca="1"/>
        <v>0.76095854290842313</v>
      </c>
      <c r="O3718" s="2">
        <f ca="1"/>
        <v>0.63584592476419388</v>
      </c>
      <c r="X3718" s="2">
        <f ca="1"/>
        <v>39.184095275249142</v>
      </c>
      <c r="AG3718" s="2">
        <f ca="1"/>
        <v>0.39630474847956387</v>
      </c>
      <c r="AH3718" s="2" t="str">
        <f ca="1"/>
        <v>OK</v>
      </c>
    </row>
    <row r="3719" spans="2:34" x14ac:dyDescent="0.2">
      <c r="B3719" s="2">
        <f ca="1"/>
        <v>0.1050692097077186</v>
      </c>
      <c r="O3719" s="2">
        <f ca="1"/>
        <v>0.61109790772070594</v>
      </c>
      <c r="X3719" s="2">
        <f ca="1"/>
        <v>62.089876887480784</v>
      </c>
      <c r="AG3719" s="2">
        <f ca="1"/>
        <v>0.99672616899394839</v>
      </c>
      <c r="AH3719" s="2" t="str">
        <f ca="1"/>
        <v>Bad</v>
      </c>
    </row>
    <row r="3720" spans="2:34" x14ac:dyDescent="0.2">
      <c r="B3720" s="2">
        <f ca="1"/>
        <v>0.5263608837298146</v>
      </c>
      <c r="O3720" s="2">
        <f ca="1"/>
        <v>0.12036347847710033</v>
      </c>
      <c r="X3720" s="2">
        <f ca="1"/>
        <v>30.664916446236703</v>
      </c>
      <c r="AG3720" s="2">
        <f ca="1"/>
        <v>0.61359414908371135</v>
      </c>
      <c r="AH3720" s="2" t="str">
        <f ca="1"/>
        <v>Bad</v>
      </c>
    </row>
    <row r="3721" spans="2:34" x14ac:dyDescent="0.2">
      <c r="B3721" s="2">
        <f ca="1"/>
        <v>0.58712764700116926</v>
      </c>
      <c r="O3721" s="2">
        <f ca="1"/>
        <v>-0.51855849287585332</v>
      </c>
      <c r="X3721" s="2">
        <f ca="1"/>
        <v>82.752487288016795</v>
      </c>
      <c r="AG3721" s="2">
        <f ca="1"/>
        <v>0.75868717303622168</v>
      </c>
      <c r="AH3721" s="2" t="str">
        <f ca="1"/>
        <v>Bad</v>
      </c>
    </row>
    <row r="3722" spans="2:34" x14ac:dyDescent="0.2">
      <c r="B3722" s="2">
        <f ca="1"/>
        <v>0.47778402727352565</v>
      </c>
      <c r="O3722" s="2">
        <f ca="1"/>
        <v>0.94542104712965658</v>
      </c>
      <c r="X3722" s="2">
        <f ca="1"/>
        <v>39.665347273220547</v>
      </c>
      <c r="AG3722" s="2">
        <f ca="1"/>
        <v>4.3045494892384628E-2</v>
      </c>
      <c r="AH3722" s="2" t="str">
        <f ca="1"/>
        <v>Good</v>
      </c>
    </row>
    <row r="3723" spans="2:34" x14ac:dyDescent="0.2">
      <c r="B3723" s="2">
        <f ca="1"/>
        <v>0.73970284323181645</v>
      </c>
      <c r="O3723" s="2">
        <f ca="1"/>
        <v>1.1356349761599978</v>
      </c>
      <c r="X3723" s="2">
        <f ca="1"/>
        <v>48.276918903366834</v>
      </c>
      <c r="AG3723" s="2">
        <f ca="1"/>
        <v>0.2184083429583763</v>
      </c>
      <c r="AH3723" s="2" t="str">
        <f ca="1"/>
        <v>OK</v>
      </c>
    </row>
    <row r="3724" spans="2:34" x14ac:dyDescent="0.2">
      <c r="B3724" s="2">
        <f ca="1"/>
        <v>2.8185168142215611E-2</v>
      </c>
      <c r="O3724" s="2">
        <f ca="1"/>
        <v>0.81805780221981017</v>
      </c>
      <c r="X3724" s="2">
        <f ca="1"/>
        <v>34.058762597648553</v>
      </c>
      <c r="AG3724" s="2">
        <f ca="1"/>
        <v>0.54503760986796235</v>
      </c>
      <c r="AH3724" s="2" t="str">
        <f ca="1"/>
        <v>Bad</v>
      </c>
    </row>
    <row r="3725" spans="2:34" x14ac:dyDescent="0.2">
      <c r="B3725" s="2">
        <f ca="1"/>
        <v>0.83306685869041641</v>
      </c>
      <c r="O3725" s="2">
        <f ca="1"/>
        <v>-1.291425387400819</v>
      </c>
      <c r="X3725" s="2">
        <f ca="1"/>
        <v>63.97825363881546</v>
      </c>
      <c r="AG3725" s="2">
        <f ca="1"/>
        <v>0.25391751392019413</v>
      </c>
      <c r="AH3725" s="2" t="str">
        <f ca="1"/>
        <v>OK</v>
      </c>
    </row>
    <row r="3726" spans="2:34" x14ac:dyDescent="0.2">
      <c r="B3726" s="2">
        <f ca="1"/>
        <v>0.98569561984556708</v>
      </c>
      <c r="O3726" s="2">
        <f ca="1"/>
        <v>-1.3270266865476243</v>
      </c>
      <c r="X3726" s="2">
        <f ca="1"/>
        <v>54.327555060816138</v>
      </c>
      <c r="AG3726" s="2">
        <f ca="1"/>
        <v>6.8002150786901083E-2</v>
      </c>
      <c r="AH3726" s="2" t="str">
        <f ca="1"/>
        <v>OK</v>
      </c>
    </row>
    <row r="3727" spans="2:34" x14ac:dyDescent="0.2">
      <c r="B3727" s="2">
        <f ca="1"/>
        <v>0.49643522722539002</v>
      </c>
      <c r="O3727" s="2">
        <f ca="1"/>
        <v>-0.38291209547083466</v>
      </c>
      <c r="X3727" s="2">
        <f ca="1"/>
        <v>63.245083032375845</v>
      </c>
      <c r="AG3727" s="2">
        <f ca="1"/>
        <v>3.5133617152921959E-2</v>
      </c>
      <c r="AH3727" s="2" t="str">
        <f ca="1"/>
        <v>Good</v>
      </c>
    </row>
    <row r="3728" spans="2:34" x14ac:dyDescent="0.2">
      <c r="B3728" s="2">
        <f ca="1"/>
        <v>0.24046522575199414</v>
      </c>
      <c r="O3728" s="2">
        <f ca="1"/>
        <v>5.6680907788176057E-3</v>
      </c>
      <c r="X3728" s="2">
        <f ca="1"/>
        <v>49.356784300329693</v>
      </c>
      <c r="AG3728" s="2">
        <f ca="1"/>
        <v>0.50914359601315762</v>
      </c>
      <c r="AH3728" s="2" t="str">
        <f ca="1"/>
        <v>Bad</v>
      </c>
    </row>
    <row r="3729" spans="2:34" x14ac:dyDescent="0.2">
      <c r="B3729" s="2">
        <f ca="1"/>
        <v>0.1429310655760585</v>
      </c>
      <c r="O3729" s="2">
        <f ca="1"/>
        <v>0.57276512966275317</v>
      </c>
      <c r="X3729" s="2">
        <f ca="1"/>
        <v>56.777565682068982</v>
      </c>
      <c r="AG3729" s="2">
        <f ca="1"/>
        <v>0.19887256213633164</v>
      </c>
      <c r="AH3729" s="2" t="str">
        <f ca="1"/>
        <v>OK</v>
      </c>
    </row>
    <row r="3730" spans="2:34" x14ac:dyDescent="0.2">
      <c r="B3730" s="2">
        <f ca="1"/>
        <v>0.72093161025784536</v>
      </c>
      <c r="O3730" s="2">
        <f ca="1"/>
        <v>0.33516166063415714</v>
      </c>
      <c r="X3730" s="2">
        <f ca="1"/>
        <v>24.58274084931481</v>
      </c>
      <c r="AG3730" s="2">
        <f ca="1"/>
        <v>0.35645693998982031</v>
      </c>
      <c r="AH3730" s="2" t="str">
        <f ca="1"/>
        <v>OK</v>
      </c>
    </row>
    <row r="3731" spans="2:34" x14ac:dyDescent="0.2">
      <c r="B3731" s="2">
        <f ca="1"/>
        <v>0.4309847771594284</v>
      </c>
      <c r="O3731" s="2">
        <f ca="1"/>
        <v>-1.3464009219472612</v>
      </c>
      <c r="X3731" s="2">
        <f ca="1"/>
        <v>66.832740236430467</v>
      </c>
      <c r="AG3731" s="2">
        <f ca="1"/>
        <v>0.85844434065024666</v>
      </c>
      <c r="AH3731" s="2" t="str">
        <f ca="1"/>
        <v>Bad</v>
      </c>
    </row>
    <row r="3732" spans="2:34" x14ac:dyDescent="0.2">
      <c r="B3732" s="2">
        <f ca="1"/>
        <v>0.25847987722567245</v>
      </c>
      <c r="O3732" s="2">
        <f ca="1"/>
        <v>1.454309166788355</v>
      </c>
      <c r="X3732" s="2">
        <f ca="1"/>
        <v>44.863407835617402</v>
      </c>
      <c r="AG3732" s="2">
        <f ca="1"/>
        <v>0.64889087218996733</v>
      </c>
      <c r="AH3732" s="2" t="str">
        <f ca="1"/>
        <v>Bad</v>
      </c>
    </row>
    <row r="3733" spans="2:34" x14ac:dyDescent="0.2">
      <c r="B3733" s="2">
        <f ca="1"/>
        <v>0.27029596098541986</v>
      </c>
      <c r="O3733" s="2">
        <f ca="1"/>
        <v>-0.58755416758379919</v>
      </c>
      <c r="X3733" s="2">
        <f ca="1"/>
        <v>17.116694611408001</v>
      </c>
      <c r="AG3733" s="2">
        <f ca="1"/>
        <v>0.58890095590242919</v>
      </c>
      <c r="AH3733" s="2" t="str">
        <f ca="1"/>
        <v>Bad</v>
      </c>
    </row>
    <row r="3734" spans="2:34" x14ac:dyDescent="0.2">
      <c r="B3734" s="2">
        <f ca="1"/>
        <v>1.7283172212018805E-2</v>
      </c>
      <c r="O3734" s="2">
        <f ca="1"/>
        <v>1.5975033583799327</v>
      </c>
      <c r="X3734" s="2">
        <f ca="1"/>
        <v>47.253532506078898</v>
      </c>
      <c r="AG3734" s="2">
        <f ca="1"/>
        <v>0.15002118006753817</v>
      </c>
      <c r="AH3734" s="2" t="str">
        <f ca="1"/>
        <v>OK</v>
      </c>
    </row>
    <row r="3735" spans="2:34" x14ac:dyDescent="0.2">
      <c r="B3735" s="2">
        <f ca="1"/>
        <v>0.68689153362721367</v>
      </c>
      <c r="O3735" s="2">
        <f ca="1"/>
        <v>-0.23090587495720538</v>
      </c>
      <c r="X3735" s="2">
        <f ca="1"/>
        <v>71.302621922071637</v>
      </c>
      <c r="AG3735" s="2">
        <f ca="1"/>
        <v>8.5446287989201952E-2</v>
      </c>
      <c r="AH3735" s="2" t="str">
        <f ca="1"/>
        <v>OK</v>
      </c>
    </row>
    <row r="3736" spans="2:34" x14ac:dyDescent="0.2">
      <c r="B3736" s="2">
        <f ca="1"/>
        <v>0.52687077941748051</v>
      </c>
      <c r="O3736" s="2">
        <f ca="1"/>
        <v>-0.43805635887628158</v>
      </c>
      <c r="X3736" s="2">
        <f ca="1"/>
        <v>28.640884512892196</v>
      </c>
      <c r="AG3736" s="2">
        <f ca="1"/>
        <v>0.63352633571475225</v>
      </c>
      <c r="AH3736" s="2" t="str">
        <f ca="1"/>
        <v>Bad</v>
      </c>
    </row>
    <row r="3737" spans="2:34" x14ac:dyDescent="0.2">
      <c r="B3737" s="2">
        <f ca="1"/>
        <v>0.81422848007382731</v>
      </c>
      <c r="O3737" s="2">
        <f ca="1"/>
        <v>0.46760017805912862</v>
      </c>
      <c r="X3737" s="2">
        <f ca="1"/>
        <v>45.627061933708916</v>
      </c>
      <c r="AG3737" s="2">
        <f ca="1"/>
        <v>3.8527431802446443E-2</v>
      </c>
      <c r="AH3737" s="2" t="str">
        <f ca="1"/>
        <v>Good</v>
      </c>
    </row>
    <row r="3738" spans="2:34" x14ac:dyDescent="0.2">
      <c r="B3738" s="2">
        <f ca="1"/>
        <v>0.51921158165354897</v>
      </c>
      <c r="O3738" s="2">
        <f ca="1"/>
        <v>-0.2664682574424877</v>
      </c>
      <c r="X3738" s="2">
        <f ca="1"/>
        <v>48.622455739177909</v>
      </c>
      <c r="AG3738" s="2">
        <f ca="1"/>
        <v>0.26845596949567629</v>
      </c>
      <c r="AH3738" s="2" t="str">
        <f ca="1"/>
        <v>OK</v>
      </c>
    </row>
    <row r="3739" spans="2:34" x14ac:dyDescent="0.2">
      <c r="B3739" s="2">
        <f ca="1"/>
        <v>0.60078359433848427</v>
      </c>
      <c r="O3739" s="2">
        <f ca="1"/>
        <v>1.0981404379737856</v>
      </c>
      <c r="X3739" s="2">
        <f ca="1"/>
        <v>56.356492557785643</v>
      </c>
      <c r="AG3739" s="2">
        <f ca="1"/>
        <v>9.9954239437577419E-2</v>
      </c>
      <c r="AH3739" s="2" t="str">
        <f ca="1"/>
        <v>OK</v>
      </c>
    </row>
    <row r="3740" spans="2:34" x14ac:dyDescent="0.2">
      <c r="B3740" s="2">
        <f ca="1"/>
        <v>0.30549949947222843</v>
      </c>
      <c r="O3740" s="2">
        <f ca="1"/>
        <v>-0.49679681204054127</v>
      </c>
      <c r="X3740" s="2">
        <f ca="1"/>
        <v>46.382481313650985</v>
      </c>
      <c r="AG3740" s="2">
        <f ca="1"/>
        <v>0.87150329509777169</v>
      </c>
      <c r="AH3740" s="2" t="str">
        <f ca="1"/>
        <v>Bad</v>
      </c>
    </row>
    <row r="3741" spans="2:34" x14ac:dyDescent="0.2">
      <c r="B3741" s="2">
        <f ca="1"/>
        <v>6.714569501800538E-2</v>
      </c>
      <c r="O3741" s="2">
        <f ca="1"/>
        <v>0.84223630177021946</v>
      </c>
      <c r="X3741" s="2">
        <f ca="1"/>
        <v>78.15183317338554</v>
      </c>
      <c r="AG3741" s="2">
        <f ca="1"/>
        <v>0.65954360962522962</v>
      </c>
      <c r="AH3741" s="2" t="str">
        <f ca="1"/>
        <v>Bad</v>
      </c>
    </row>
    <row r="3742" spans="2:34" x14ac:dyDescent="0.2">
      <c r="B3742" s="2">
        <f ca="1"/>
        <v>0.53315448763370288</v>
      </c>
      <c r="O3742" s="2">
        <f ca="1"/>
        <v>-1.4124397773216002</v>
      </c>
      <c r="X3742" s="2">
        <f ca="1"/>
        <v>53.91942538826239</v>
      </c>
      <c r="AG3742" s="2">
        <f ca="1"/>
        <v>0.92042303994830243</v>
      </c>
      <c r="AH3742" s="2" t="str">
        <f ca="1"/>
        <v>Bad</v>
      </c>
    </row>
    <row r="3743" spans="2:34" x14ac:dyDescent="0.2">
      <c r="B3743" s="2">
        <f ca="1"/>
        <v>0.99760054933969244</v>
      </c>
      <c r="O3743" s="2">
        <f ca="1"/>
        <v>0.11504265976720178</v>
      </c>
      <c r="X3743" s="2">
        <f ca="1"/>
        <v>63.784227845950994</v>
      </c>
      <c r="AG3743" s="2">
        <f ca="1"/>
        <v>0.64608808034787435</v>
      </c>
      <c r="AH3743" s="2" t="str">
        <f ca="1"/>
        <v>Bad</v>
      </c>
    </row>
    <row r="3744" spans="2:34" x14ac:dyDescent="0.2">
      <c r="B3744" s="2">
        <f ca="1"/>
        <v>0.47823771176689478</v>
      </c>
      <c r="O3744" s="2">
        <f ca="1"/>
        <v>-0.23391383258796306</v>
      </c>
      <c r="X3744" s="2">
        <f ca="1"/>
        <v>52.259605735197368</v>
      </c>
      <c r="AG3744" s="2">
        <f ca="1"/>
        <v>0.1522184901581789</v>
      </c>
      <c r="AH3744" s="2" t="str">
        <f ca="1"/>
        <v>OK</v>
      </c>
    </row>
    <row r="3745" spans="2:34" x14ac:dyDescent="0.2">
      <c r="B3745" s="2">
        <f ca="1"/>
        <v>0.78165446215983159</v>
      </c>
      <c r="O3745" s="2">
        <f ca="1"/>
        <v>0.52767113088301232</v>
      </c>
      <c r="X3745" s="2">
        <f ca="1"/>
        <v>25.267743449870856</v>
      </c>
      <c r="AG3745" s="2">
        <f ca="1"/>
        <v>0.60556066944057596</v>
      </c>
      <c r="AH3745" s="2" t="str">
        <f ca="1"/>
        <v>Bad</v>
      </c>
    </row>
    <row r="3746" spans="2:34" x14ac:dyDescent="0.2">
      <c r="B3746" s="2">
        <f ca="1"/>
        <v>0.86925630987914992</v>
      </c>
      <c r="O3746" s="2">
        <f ca="1"/>
        <v>0.75733388896620146</v>
      </c>
      <c r="X3746" s="2">
        <f ca="1"/>
        <v>46.219895272387461</v>
      </c>
      <c r="AG3746" s="2">
        <f ca="1"/>
        <v>0.50168028847227242</v>
      </c>
      <c r="AH3746" s="2" t="str">
        <f ca="1"/>
        <v>Bad</v>
      </c>
    </row>
    <row r="3747" spans="2:34" x14ac:dyDescent="0.2">
      <c r="B3747" s="2">
        <f ca="1"/>
        <v>0.95208464734346188</v>
      </c>
      <c r="O3747" s="2">
        <f ca="1"/>
        <v>-0.11356983399521819</v>
      </c>
      <c r="X3747" s="2">
        <f ca="1"/>
        <v>65.235648699312236</v>
      </c>
      <c r="AG3747" s="2">
        <f ca="1"/>
        <v>5.1433598071718434E-2</v>
      </c>
      <c r="AH3747" s="2" t="str">
        <f ca="1"/>
        <v>OK</v>
      </c>
    </row>
    <row r="3748" spans="2:34" x14ac:dyDescent="0.2">
      <c r="B3748" s="2">
        <f ca="1"/>
        <v>0.75948074566666679</v>
      </c>
      <c r="O3748" s="2">
        <f ca="1"/>
        <v>-0.20523362764333644</v>
      </c>
      <c r="X3748" s="2">
        <f ca="1"/>
        <v>43.843386749100326</v>
      </c>
      <c r="AG3748" s="2">
        <f ca="1"/>
        <v>0.47851451178824012</v>
      </c>
      <c r="AH3748" s="2" t="str">
        <f ca="1"/>
        <v>Bad</v>
      </c>
    </row>
    <row r="3749" spans="2:34" x14ac:dyDescent="0.2">
      <c r="B3749" s="2">
        <f ca="1"/>
        <v>0.53705266347996083</v>
      </c>
      <c r="O3749" s="2">
        <f ca="1"/>
        <v>0.95963150717605727</v>
      </c>
      <c r="X3749" s="2">
        <f ca="1"/>
        <v>71.612491345262001</v>
      </c>
      <c r="AG3749" s="2">
        <f ca="1"/>
        <v>0.3696365830985453</v>
      </c>
      <c r="AH3749" s="2" t="str">
        <f ca="1"/>
        <v>OK</v>
      </c>
    </row>
    <row r="3750" spans="2:34" x14ac:dyDescent="0.2">
      <c r="B3750" s="2">
        <f ca="1"/>
        <v>0.69557339430545095</v>
      </c>
      <c r="O3750" s="2">
        <f ca="1"/>
        <v>-1.460360739877018</v>
      </c>
      <c r="X3750" s="2">
        <f ca="1"/>
        <v>43.844372902713346</v>
      </c>
      <c r="AG3750" s="2">
        <f ca="1"/>
        <v>0.51137037026414389</v>
      </c>
      <c r="AH3750" s="2" t="str">
        <f ca="1"/>
        <v>Bad</v>
      </c>
    </row>
    <row r="3751" spans="2:34" x14ac:dyDescent="0.2">
      <c r="B3751" s="2">
        <f ca="1"/>
        <v>0.32927397148868054</v>
      </c>
      <c r="O3751" s="2">
        <f ca="1"/>
        <v>-0.95374086190101848</v>
      </c>
      <c r="X3751" s="2">
        <f ca="1"/>
        <v>105.53677675138201</v>
      </c>
      <c r="AG3751" s="2">
        <f ca="1"/>
        <v>7.1213227762584541E-2</v>
      </c>
      <c r="AH3751" s="2" t="str">
        <f ca="1"/>
        <v>OK</v>
      </c>
    </row>
    <row r="3752" spans="2:34" x14ac:dyDescent="0.2">
      <c r="B3752" s="2">
        <f ca="1"/>
        <v>0.54313940074382727</v>
      </c>
      <c r="O3752" s="2">
        <f ca="1"/>
        <v>-0.23700798550741559</v>
      </c>
      <c r="X3752" s="2">
        <f ca="1"/>
        <v>42.447461456323452</v>
      </c>
      <c r="AG3752" s="2">
        <f ca="1"/>
        <v>0.70317976650231717</v>
      </c>
      <c r="AH3752" s="2" t="str">
        <f ca="1"/>
        <v>Bad</v>
      </c>
    </row>
    <row r="3753" spans="2:34" x14ac:dyDescent="0.2">
      <c r="B3753" s="2">
        <f ca="1"/>
        <v>0.15316742990580612</v>
      </c>
      <c r="O3753" s="2">
        <f ca="1"/>
        <v>1.2480065058672252</v>
      </c>
      <c r="X3753" s="2">
        <f ca="1"/>
        <v>44.457380056399614</v>
      </c>
      <c r="AG3753" s="2">
        <f ca="1"/>
        <v>0.39076034115575298</v>
      </c>
      <c r="AH3753" s="2" t="str">
        <f ca="1"/>
        <v>OK</v>
      </c>
    </row>
    <row r="3754" spans="2:34" x14ac:dyDescent="0.2">
      <c r="B3754" s="2">
        <f ca="1"/>
        <v>0.3648765874156954</v>
      </c>
      <c r="O3754" s="2">
        <f ca="1"/>
        <v>-0.10331069280100337</v>
      </c>
      <c r="X3754" s="2">
        <f ca="1"/>
        <v>55.467776766394707</v>
      </c>
      <c r="AG3754" s="2">
        <f ca="1"/>
        <v>0.58777235490207724</v>
      </c>
      <c r="AH3754" s="2" t="str">
        <f ca="1"/>
        <v>Bad</v>
      </c>
    </row>
    <row r="3755" spans="2:34" x14ac:dyDescent="0.2">
      <c r="B3755" s="2">
        <f ca="1"/>
        <v>0.85991434500956698</v>
      </c>
      <c r="O3755" s="2">
        <f ca="1"/>
        <v>6.0323874918033434E-2</v>
      </c>
      <c r="X3755" s="2">
        <f ca="1"/>
        <v>37.588748034359753</v>
      </c>
      <c r="AG3755" s="2">
        <f ca="1"/>
        <v>0.14785369902251011</v>
      </c>
      <c r="AH3755" s="2" t="str">
        <f ca="1"/>
        <v>OK</v>
      </c>
    </row>
    <row r="3756" spans="2:34" x14ac:dyDescent="0.2">
      <c r="B3756" s="2">
        <f ca="1"/>
        <v>0.45297244011063076</v>
      </c>
      <c r="O3756" s="2">
        <f ca="1"/>
        <v>1.8716434285457813</v>
      </c>
      <c r="X3756" s="2">
        <f ca="1"/>
        <v>51.562768803321852</v>
      </c>
      <c r="AG3756" s="2">
        <f ca="1"/>
        <v>6.3217924007434867E-3</v>
      </c>
      <c r="AH3756" s="2" t="str">
        <f ca="1"/>
        <v>Good</v>
      </c>
    </row>
    <row r="3757" spans="2:34" x14ac:dyDescent="0.2">
      <c r="B3757" s="2">
        <f ca="1"/>
        <v>0.90881677425774754</v>
      </c>
      <c r="O3757" s="2">
        <f ca="1"/>
        <v>-0.38252637918171484</v>
      </c>
      <c r="X3757" s="2">
        <f ca="1"/>
        <v>48.067020070415431</v>
      </c>
      <c r="AG3757" s="2">
        <f ca="1"/>
        <v>0.51525400987319636</v>
      </c>
      <c r="AH3757" s="2" t="str">
        <f ca="1"/>
        <v>Bad</v>
      </c>
    </row>
    <row r="3758" spans="2:34" x14ac:dyDescent="0.2">
      <c r="B3758" s="2">
        <f ca="1"/>
        <v>7.9967627082802695E-2</v>
      </c>
      <c r="O3758" s="2">
        <f ca="1"/>
        <v>2.4050231775068793</v>
      </c>
      <c r="X3758" s="2">
        <f ca="1"/>
        <v>51.635620385654676</v>
      </c>
      <c r="AG3758" s="2">
        <f ca="1"/>
        <v>0.55192613128614432</v>
      </c>
      <c r="AH3758" s="2" t="str">
        <f ca="1"/>
        <v>Bad</v>
      </c>
    </row>
    <row r="3759" spans="2:34" x14ac:dyDescent="0.2">
      <c r="B3759" s="2">
        <f ca="1"/>
        <v>0.87119504702650619</v>
      </c>
      <c r="O3759" s="2">
        <f ca="1"/>
        <v>0.84657181893615563</v>
      </c>
      <c r="X3759" s="2">
        <f ca="1"/>
        <v>64.340023606760582</v>
      </c>
      <c r="AG3759" s="2">
        <f ca="1"/>
        <v>0.5273358027366839</v>
      </c>
      <c r="AH3759" s="2" t="str">
        <f ca="1"/>
        <v>Bad</v>
      </c>
    </row>
    <row r="3760" spans="2:34" x14ac:dyDescent="0.2">
      <c r="B3760" s="2">
        <f ca="1"/>
        <v>0.71227487510467213</v>
      </c>
      <c r="O3760" s="2">
        <f ca="1"/>
        <v>-0.19948206962061574</v>
      </c>
      <c r="X3760" s="2">
        <f ca="1"/>
        <v>56.490302286559114</v>
      </c>
      <c r="AG3760" s="2">
        <f ca="1"/>
        <v>0.76901067281258717</v>
      </c>
      <c r="AH3760" s="2" t="str">
        <f ca="1"/>
        <v>Bad</v>
      </c>
    </row>
    <row r="3761" spans="2:34" x14ac:dyDescent="0.2">
      <c r="B3761" s="2">
        <f ca="1"/>
        <v>0.15332505107170791</v>
      </c>
      <c r="O3761" s="2">
        <f ca="1"/>
        <v>1.5437099144892914</v>
      </c>
      <c r="X3761" s="2">
        <f ca="1"/>
        <v>77.347106099977537</v>
      </c>
      <c r="AG3761" s="2">
        <f ca="1"/>
        <v>0.6785814288575962</v>
      </c>
      <c r="AH3761" s="2" t="str">
        <f ca="1"/>
        <v>Bad</v>
      </c>
    </row>
    <row r="3762" spans="2:34" x14ac:dyDescent="0.2">
      <c r="B3762" s="2">
        <f ca="1"/>
        <v>1.9268635541622947E-2</v>
      </c>
      <c r="O3762" s="2">
        <f ca="1"/>
        <v>-1.5183344804481927E-2</v>
      </c>
      <c r="X3762" s="2">
        <f ca="1"/>
        <v>48.956683860613737</v>
      </c>
      <c r="AG3762" s="2">
        <f ca="1"/>
        <v>3.2370968589385818E-3</v>
      </c>
      <c r="AH3762" s="2" t="str">
        <f ca="1"/>
        <v>Good</v>
      </c>
    </row>
    <row r="3763" spans="2:34" x14ac:dyDescent="0.2">
      <c r="B3763" s="2">
        <f ca="1"/>
        <v>8.1736016667029565E-2</v>
      </c>
      <c r="O3763" s="2">
        <f ca="1"/>
        <v>-0.3291942455938649</v>
      </c>
      <c r="X3763" s="2">
        <f ca="1"/>
        <v>61.695823574083278</v>
      </c>
      <c r="AG3763" s="2">
        <f ca="1"/>
        <v>0.5693456198372866</v>
      </c>
      <c r="AH3763" s="2" t="str">
        <f ca="1"/>
        <v>Bad</v>
      </c>
    </row>
    <row r="3764" spans="2:34" x14ac:dyDescent="0.2">
      <c r="B3764" s="2">
        <f ca="1"/>
        <v>0.18353000060942248</v>
      </c>
      <c r="O3764" s="2">
        <f ca="1"/>
        <v>-0.13360256944168686</v>
      </c>
      <c r="X3764" s="2">
        <f ca="1"/>
        <v>61.775411728276843</v>
      </c>
      <c r="AG3764" s="2">
        <f ca="1"/>
        <v>0.88585211417237697</v>
      </c>
      <c r="AH3764" s="2" t="str">
        <f ca="1"/>
        <v>Bad</v>
      </c>
    </row>
    <row r="3765" spans="2:34" x14ac:dyDescent="0.2">
      <c r="B3765" s="2">
        <f ca="1"/>
        <v>0.26887701161716593</v>
      </c>
      <c r="O3765" s="2">
        <f ca="1"/>
        <v>0.4051453086605678</v>
      </c>
      <c r="X3765" s="2">
        <f ca="1"/>
        <v>74.988241896324595</v>
      </c>
      <c r="AG3765" s="2">
        <f ca="1"/>
        <v>0.99953652432031337</v>
      </c>
      <c r="AH3765" s="2" t="str">
        <f ca="1"/>
        <v>Bad</v>
      </c>
    </row>
    <row r="3766" spans="2:34" x14ac:dyDescent="0.2">
      <c r="B3766" s="2">
        <f ca="1"/>
        <v>0.75391857311282706</v>
      </c>
      <c r="O3766" s="2">
        <f ca="1"/>
        <v>1.1203597827155256</v>
      </c>
      <c r="X3766" s="2">
        <f ca="1"/>
        <v>52.234650449068255</v>
      </c>
      <c r="AG3766" s="2">
        <f ca="1"/>
        <v>0.16654206414219264</v>
      </c>
      <c r="AH3766" s="2" t="str">
        <f ca="1"/>
        <v>OK</v>
      </c>
    </row>
    <row r="3767" spans="2:34" x14ac:dyDescent="0.2">
      <c r="B3767" s="2">
        <f ca="1"/>
        <v>0.156114311992958</v>
      </c>
      <c r="O3767" s="2">
        <f ca="1"/>
        <v>-0.7107433890963345</v>
      </c>
      <c r="X3767" s="2">
        <f ca="1"/>
        <v>73.411663922642347</v>
      </c>
      <c r="AG3767" s="2">
        <f ca="1"/>
        <v>0.22971894108033752</v>
      </c>
      <c r="AH3767" s="2" t="str">
        <f ca="1"/>
        <v>OK</v>
      </c>
    </row>
    <row r="3768" spans="2:34" x14ac:dyDescent="0.2">
      <c r="B3768" s="2">
        <f ca="1"/>
        <v>0.43213412529540252</v>
      </c>
      <c r="O3768" s="2">
        <f ca="1"/>
        <v>-0.37851676191498718</v>
      </c>
      <c r="X3768" s="2">
        <f ca="1"/>
        <v>50.307145849419911</v>
      </c>
      <c r="AG3768" s="2">
        <f ca="1"/>
        <v>0.18335783109564074</v>
      </c>
      <c r="AH3768" s="2" t="str">
        <f ca="1"/>
        <v>OK</v>
      </c>
    </row>
    <row r="3769" spans="2:34" x14ac:dyDescent="0.2">
      <c r="B3769" s="2">
        <f ca="1"/>
        <v>0.21434936868117749</v>
      </c>
      <c r="O3769" s="2">
        <f ca="1"/>
        <v>-0.52763736877212553</v>
      </c>
      <c r="X3769" s="2">
        <f ca="1"/>
        <v>52.349413439505085</v>
      </c>
      <c r="AG3769" s="2">
        <f ca="1"/>
        <v>0.36613816752738471</v>
      </c>
      <c r="AH3769" s="2" t="str">
        <f ca="1"/>
        <v>OK</v>
      </c>
    </row>
    <row r="3770" spans="2:34" x14ac:dyDescent="0.2">
      <c r="B3770" s="2">
        <f ca="1"/>
        <v>7.4604103745147698E-2</v>
      </c>
      <c r="O3770" s="2">
        <f ca="1"/>
        <v>9.9793899477677195E-2</v>
      </c>
      <c r="X3770" s="2">
        <f ca="1"/>
        <v>37.724869026099441</v>
      </c>
      <c r="AG3770" s="2">
        <f ca="1"/>
        <v>0.81270285215701343</v>
      </c>
      <c r="AH3770" s="2" t="str">
        <f ca="1"/>
        <v>Bad</v>
      </c>
    </row>
    <row r="3771" spans="2:34" x14ac:dyDescent="0.2">
      <c r="B3771" s="2">
        <f ca="1"/>
        <v>0.5039295193734874</v>
      </c>
      <c r="O3771" s="2">
        <f ca="1"/>
        <v>0.24997195821117857</v>
      </c>
      <c r="X3771" s="2">
        <f ca="1"/>
        <v>45.544992179106849</v>
      </c>
      <c r="AG3771" s="2">
        <f ca="1"/>
        <v>2.584616919918048E-2</v>
      </c>
      <c r="AH3771" s="2" t="str">
        <f ca="1"/>
        <v>Good</v>
      </c>
    </row>
    <row r="3772" spans="2:34" x14ac:dyDescent="0.2">
      <c r="B3772" s="2">
        <f ca="1"/>
        <v>0.61412799790187145</v>
      </c>
      <c r="O3772" s="2">
        <f ca="1"/>
        <v>-1.4430890952528492</v>
      </c>
      <c r="X3772" s="2">
        <f ca="1"/>
        <v>45.31548900650138</v>
      </c>
      <c r="AG3772" s="2">
        <f ca="1"/>
        <v>0.65290096304841261</v>
      </c>
      <c r="AH3772" s="2" t="str">
        <f ca="1"/>
        <v>Bad</v>
      </c>
    </row>
    <row r="3773" spans="2:34" x14ac:dyDescent="0.2">
      <c r="B3773" s="2">
        <f ca="1"/>
        <v>0.95559933959611998</v>
      </c>
      <c r="O3773" s="2">
        <f ca="1"/>
        <v>0.9447426022259201</v>
      </c>
      <c r="X3773" s="2">
        <f ca="1"/>
        <v>41.422141485534993</v>
      </c>
      <c r="AG3773" s="2">
        <f ca="1"/>
        <v>0.56890520114666776</v>
      </c>
      <c r="AH3773" s="2" t="str">
        <f ca="1"/>
        <v>Bad</v>
      </c>
    </row>
    <row r="3774" spans="2:34" x14ac:dyDescent="0.2">
      <c r="B3774" s="2">
        <f ca="1"/>
        <v>0.52599374724638936</v>
      </c>
      <c r="O3774" s="2">
        <f ca="1"/>
        <v>0.39724934340838741</v>
      </c>
      <c r="X3774" s="2">
        <f ca="1"/>
        <v>48.581836912594099</v>
      </c>
      <c r="AG3774" s="2">
        <f ca="1"/>
        <v>0.89196211754786403</v>
      </c>
      <c r="AH3774" s="2" t="str">
        <f ca="1"/>
        <v>Bad</v>
      </c>
    </row>
    <row r="3775" spans="2:34" x14ac:dyDescent="0.2">
      <c r="B3775" s="2">
        <f ca="1"/>
        <v>0.5352420965065996</v>
      </c>
      <c r="O3775" s="2">
        <f ca="1"/>
        <v>7.1700876045910703E-2</v>
      </c>
      <c r="X3775" s="2">
        <f ca="1"/>
        <v>43.919367873167033</v>
      </c>
      <c r="AG3775" s="2">
        <f ca="1"/>
        <v>0.65392188757708514</v>
      </c>
      <c r="AH3775" s="2" t="str">
        <f ca="1"/>
        <v>Bad</v>
      </c>
    </row>
    <row r="3776" spans="2:34" x14ac:dyDescent="0.2">
      <c r="B3776" s="2">
        <f ca="1"/>
        <v>0.31189254254652421</v>
      </c>
      <c r="O3776" s="2">
        <f ca="1"/>
        <v>8.4266276755882302E-2</v>
      </c>
      <c r="X3776" s="2">
        <f ca="1"/>
        <v>65.766781668435272</v>
      </c>
      <c r="AG3776" s="2">
        <f ca="1"/>
        <v>8.5298362108372272E-2</v>
      </c>
      <c r="AH3776" s="2" t="str">
        <f ca="1"/>
        <v>OK</v>
      </c>
    </row>
    <row r="3777" spans="2:34" x14ac:dyDescent="0.2">
      <c r="B3777" s="2">
        <f ca="1"/>
        <v>0.69226604944685688</v>
      </c>
      <c r="O3777" s="2">
        <f ca="1"/>
        <v>-1.0676177400765747</v>
      </c>
      <c r="X3777" s="2">
        <f ca="1"/>
        <v>46.878941773870231</v>
      </c>
      <c r="AG3777" s="2">
        <f ca="1"/>
        <v>0.88299410050451654</v>
      </c>
      <c r="AH3777" s="2" t="str">
        <f ca="1"/>
        <v>Bad</v>
      </c>
    </row>
    <row r="3778" spans="2:34" x14ac:dyDescent="0.2">
      <c r="B3778" s="2">
        <f ca="1"/>
        <v>0.98391179625692327</v>
      </c>
      <c r="O3778" s="2">
        <f ca="1"/>
        <v>-0.98067556792710997</v>
      </c>
      <c r="X3778" s="2">
        <f ca="1"/>
        <v>24.301593412978889</v>
      </c>
      <c r="AG3778" s="2">
        <f ca="1"/>
        <v>0.20085269764967206</v>
      </c>
      <c r="AH3778" s="2" t="str">
        <f ca="1"/>
        <v>OK</v>
      </c>
    </row>
    <row r="3779" spans="2:34" x14ac:dyDescent="0.2">
      <c r="B3779" s="2">
        <f ca="1"/>
        <v>0.53518924003643664</v>
      </c>
      <c r="O3779" s="2">
        <f ca="1"/>
        <v>-0.81865013588196223</v>
      </c>
      <c r="X3779" s="2">
        <f ca="1"/>
        <v>49.912170449451708</v>
      </c>
      <c r="AG3779" s="2">
        <f ca="1"/>
        <v>0.58805809888481164</v>
      </c>
      <c r="AH3779" s="2" t="str">
        <f ca="1"/>
        <v>Bad</v>
      </c>
    </row>
    <row r="3780" spans="2:34" x14ac:dyDescent="0.2">
      <c r="B3780" s="2">
        <f ca="1"/>
        <v>0.34986149704582359</v>
      </c>
      <c r="O3780" s="2">
        <f ca="1"/>
        <v>-1.3629258233602592</v>
      </c>
      <c r="X3780" s="2">
        <f ca="1"/>
        <v>64.515713811088375</v>
      </c>
      <c r="AG3780" s="2">
        <f ca="1"/>
        <v>0.87859539674497089</v>
      </c>
      <c r="AH3780" s="2" t="str">
        <f ca="1"/>
        <v>Bad</v>
      </c>
    </row>
    <row r="3781" spans="2:34" x14ac:dyDescent="0.2">
      <c r="B3781" s="2">
        <f ca="1"/>
        <v>0.83982993134692974</v>
      </c>
      <c r="O3781" s="2">
        <f ca="1"/>
        <v>-1.5462732431955777</v>
      </c>
      <c r="X3781" s="2">
        <f ca="1"/>
        <v>39.116451136631149</v>
      </c>
      <c r="AG3781" s="2">
        <f ca="1"/>
        <v>0.14610924800235447</v>
      </c>
      <c r="AH3781" s="2" t="str">
        <f ca="1"/>
        <v>OK</v>
      </c>
    </row>
    <row r="3782" spans="2:34" x14ac:dyDescent="0.2">
      <c r="B3782" s="2">
        <f ca="1"/>
        <v>0.92178412213781491</v>
      </c>
      <c r="O3782" s="2">
        <f ca="1"/>
        <v>0.99784448672925607</v>
      </c>
      <c r="X3782" s="2">
        <f ca="1"/>
        <v>59.910175469990214</v>
      </c>
      <c r="AG3782" s="2">
        <f ca="1"/>
        <v>0.10671037631388192</v>
      </c>
      <c r="AH3782" s="2" t="str">
        <f ca="1"/>
        <v>OK</v>
      </c>
    </row>
    <row r="3783" spans="2:34" x14ac:dyDescent="0.2">
      <c r="B3783" s="2">
        <f ca="1"/>
        <v>0.63616704050916217</v>
      </c>
      <c r="O3783" s="2">
        <f ca="1"/>
        <v>-0.45817693542429833</v>
      </c>
      <c r="X3783" s="2">
        <f ca="1"/>
        <v>61.134882312974305</v>
      </c>
      <c r="AG3783" s="2">
        <f ca="1"/>
        <v>4.5264797080059038E-2</v>
      </c>
      <c r="AH3783" s="2" t="str">
        <f ca="1"/>
        <v>Good</v>
      </c>
    </row>
    <row r="3784" spans="2:34" x14ac:dyDescent="0.2">
      <c r="B3784" s="2">
        <f ca="1"/>
        <v>0.28688488364705145</v>
      </c>
      <c r="O3784" s="2">
        <f ca="1"/>
        <v>-0.9242675358888528</v>
      </c>
      <c r="X3784" s="2">
        <f ca="1"/>
        <v>68.754153454185499</v>
      </c>
      <c r="AG3784" s="2">
        <f ca="1"/>
        <v>0.63443668812761644</v>
      </c>
      <c r="AH3784" s="2" t="str">
        <f ca="1"/>
        <v>Bad</v>
      </c>
    </row>
    <row r="3785" spans="2:34" x14ac:dyDescent="0.2">
      <c r="B3785" s="2">
        <f ca="1"/>
        <v>0.18452852539266162</v>
      </c>
      <c r="O3785" s="2">
        <f ca="1"/>
        <v>-0.74899551477423831</v>
      </c>
      <c r="X3785" s="2">
        <f ca="1"/>
        <v>67.332756688674834</v>
      </c>
      <c r="AG3785" s="2">
        <f ca="1"/>
        <v>7.5938379082434171E-2</v>
      </c>
      <c r="AH3785" s="2" t="str">
        <f ca="1"/>
        <v>OK</v>
      </c>
    </row>
    <row r="3786" spans="2:34" x14ac:dyDescent="0.2">
      <c r="B3786" s="2">
        <f ca="1"/>
        <v>0.88920467285155658</v>
      </c>
      <c r="O3786" s="2">
        <f ca="1"/>
        <v>-1.2603028981841744</v>
      </c>
      <c r="X3786" s="2">
        <f ca="1"/>
        <v>48.888984124172545</v>
      </c>
      <c r="AG3786" s="2">
        <f ca="1"/>
        <v>0.97234446068918734</v>
      </c>
      <c r="AH3786" s="2" t="str">
        <f ca="1"/>
        <v>Bad</v>
      </c>
    </row>
    <row r="3787" spans="2:34" x14ac:dyDescent="0.2">
      <c r="B3787" s="2">
        <f ca="1"/>
        <v>0.84910175427439949</v>
      </c>
      <c r="O3787" s="2">
        <f ca="1"/>
        <v>0.39989641221965089</v>
      </c>
      <c r="X3787" s="2">
        <f ca="1"/>
        <v>48.33270689138007</v>
      </c>
      <c r="AG3787" s="2">
        <f ca="1"/>
        <v>0.39102066134317903</v>
      </c>
      <c r="AH3787" s="2" t="str">
        <f ca="1"/>
        <v>OK</v>
      </c>
    </row>
    <row r="3788" spans="2:34" x14ac:dyDescent="0.2">
      <c r="B3788" s="2">
        <f ca="1"/>
        <v>0.52336182166351275</v>
      </c>
      <c r="O3788" s="2">
        <f ca="1"/>
        <v>6.1102242876347877E-2</v>
      </c>
      <c r="X3788" s="2">
        <f ca="1"/>
        <v>57.879878583547175</v>
      </c>
      <c r="AG3788" s="2">
        <f ca="1"/>
        <v>0.776906936929743</v>
      </c>
      <c r="AH3788" s="2" t="str">
        <f ca="1"/>
        <v>Bad</v>
      </c>
    </row>
    <row r="3789" spans="2:34" x14ac:dyDescent="0.2">
      <c r="B3789" s="2">
        <f ca="1"/>
        <v>9.6728638419518731E-4</v>
      </c>
      <c r="O3789" s="2">
        <f ca="1"/>
        <v>0.81753191063562214</v>
      </c>
      <c r="X3789" s="2">
        <f ca="1"/>
        <v>35.53281637592476</v>
      </c>
      <c r="AG3789" s="2">
        <f ca="1"/>
        <v>0.98050741454604862</v>
      </c>
      <c r="AH3789" s="2" t="str">
        <f ca="1"/>
        <v>Bad</v>
      </c>
    </row>
    <row r="3790" spans="2:34" x14ac:dyDescent="0.2">
      <c r="B3790" s="2">
        <f ca="1"/>
        <v>0.6050794337377785</v>
      </c>
      <c r="O3790" s="2">
        <f ca="1"/>
        <v>1.1005222280794285</v>
      </c>
      <c r="X3790" s="2">
        <f ca="1"/>
        <v>22.439925561877637</v>
      </c>
      <c r="AG3790" s="2">
        <f ca="1"/>
        <v>0.50293991068433885</v>
      </c>
      <c r="AH3790" s="2" t="str">
        <f ca="1"/>
        <v>Bad</v>
      </c>
    </row>
    <row r="3791" spans="2:34" x14ac:dyDescent="0.2">
      <c r="B3791" s="2">
        <f ca="1"/>
        <v>0.39758737850774328</v>
      </c>
      <c r="O3791" s="2">
        <f ca="1"/>
        <v>-1.2690816026951395</v>
      </c>
      <c r="X3791" s="2">
        <f ca="1"/>
        <v>120.13220545783007</v>
      </c>
      <c r="AG3791" s="2">
        <f ca="1"/>
        <v>0.33141845660946645</v>
      </c>
      <c r="AH3791" s="2" t="str">
        <f ca="1"/>
        <v>OK</v>
      </c>
    </row>
    <row r="3792" spans="2:34" x14ac:dyDescent="0.2">
      <c r="B3792" s="2">
        <f ca="1"/>
        <v>0.69933397048831258</v>
      </c>
      <c r="O3792" s="2">
        <f ca="1"/>
        <v>-0.82488312546950704</v>
      </c>
      <c r="X3792" s="2">
        <f ca="1"/>
        <v>43.156636713918033</v>
      </c>
      <c r="AG3792" s="2">
        <f ca="1"/>
        <v>0.41886299975231589</v>
      </c>
      <c r="AH3792" s="2" t="str">
        <f ca="1"/>
        <v>Bad</v>
      </c>
    </row>
    <row r="3793" spans="2:34" x14ac:dyDescent="0.2">
      <c r="B3793" s="2">
        <f ca="1"/>
        <v>0.78569373399945697</v>
      </c>
      <c r="O3793" s="2">
        <f ca="1"/>
        <v>-7.2900168562986589E-2</v>
      </c>
      <c r="X3793" s="2">
        <f ca="1"/>
        <v>62.432617888539077</v>
      </c>
      <c r="AG3793" s="2">
        <f ca="1"/>
        <v>0.21401305466517839</v>
      </c>
      <c r="AH3793" s="2" t="str">
        <f ca="1"/>
        <v>OK</v>
      </c>
    </row>
    <row r="3794" spans="2:34" x14ac:dyDescent="0.2">
      <c r="B3794" s="2">
        <f ca="1"/>
        <v>0.66687261492936289</v>
      </c>
      <c r="O3794" s="2">
        <f ca="1"/>
        <v>-0.26166637555454419</v>
      </c>
      <c r="X3794" s="2">
        <f ca="1"/>
        <v>51.206314817714542</v>
      </c>
      <c r="AG3794" s="2">
        <f ca="1"/>
        <v>0.7241746939242899</v>
      </c>
      <c r="AH3794" s="2" t="str">
        <f ca="1"/>
        <v>Bad</v>
      </c>
    </row>
    <row r="3795" spans="2:34" x14ac:dyDescent="0.2">
      <c r="B3795" s="2">
        <f ca="1"/>
        <v>0.97344155428951917</v>
      </c>
      <c r="O3795" s="2">
        <f ca="1"/>
        <v>0.71650017406809496</v>
      </c>
      <c r="X3795" s="2">
        <f ca="1"/>
        <v>34.369305624715466</v>
      </c>
      <c r="AG3795" s="2">
        <f ca="1"/>
        <v>0.91897144238333883</v>
      </c>
      <c r="AH3795" s="2" t="str">
        <f ca="1"/>
        <v>Bad</v>
      </c>
    </row>
    <row r="3796" spans="2:34" x14ac:dyDescent="0.2">
      <c r="B3796" s="2">
        <f ca="1"/>
        <v>0.15749603489613095</v>
      </c>
      <c r="O3796" s="2">
        <f ca="1"/>
        <v>-7.7045154519360351E-2</v>
      </c>
      <c r="X3796" s="2">
        <f ca="1"/>
        <v>64.57346444957642</v>
      </c>
      <c r="AG3796" s="2">
        <f ca="1"/>
        <v>0.20582098835604468</v>
      </c>
      <c r="AH3796" s="2" t="str">
        <f ca="1"/>
        <v>OK</v>
      </c>
    </row>
    <row r="3797" spans="2:34" x14ac:dyDescent="0.2">
      <c r="B3797" s="2">
        <f ca="1"/>
        <v>0.45417590337170011</v>
      </c>
      <c r="O3797" s="2">
        <f ca="1"/>
        <v>0.4482828626350791</v>
      </c>
      <c r="X3797" s="2">
        <f ca="1"/>
        <v>48.610744234847473</v>
      </c>
      <c r="AG3797" s="2">
        <f ca="1"/>
        <v>0.38272646452026016</v>
      </c>
      <c r="AH3797" s="2" t="str">
        <f ca="1"/>
        <v>OK</v>
      </c>
    </row>
    <row r="3798" spans="2:34" x14ac:dyDescent="0.2">
      <c r="B3798" s="2">
        <f ca="1"/>
        <v>0.23316273072061899</v>
      </c>
      <c r="O3798" s="2">
        <f ca="1"/>
        <v>0.82555293080813696</v>
      </c>
      <c r="X3798" s="2">
        <f ca="1"/>
        <v>33.540999608994355</v>
      </c>
      <c r="AG3798" s="2">
        <f ca="1"/>
        <v>0.43813439624729633</v>
      </c>
      <c r="AH3798" s="2" t="str">
        <f ca="1"/>
        <v>Bad</v>
      </c>
    </row>
    <row r="3799" spans="2:34" x14ac:dyDescent="0.2">
      <c r="B3799" s="2">
        <f ca="1"/>
        <v>8.9180516522726627E-3</v>
      </c>
      <c r="O3799" s="2">
        <f ca="1"/>
        <v>-0.56327451247465576</v>
      </c>
      <c r="X3799" s="2">
        <f ca="1"/>
        <v>33.920176011311398</v>
      </c>
      <c r="AG3799" s="2">
        <f ca="1"/>
        <v>0.33485876760435862</v>
      </c>
      <c r="AH3799" s="2" t="str">
        <f ca="1"/>
        <v>OK</v>
      </c>
    </row>
    <row r="3800" spans="2:34" x14ac:dyDescent="0.2">
      <c r="B3800" s="2">
        <f ca="1"/>
        <v>6.9584005330794119E-2</v>
      </c>
      <c r="O3800" s="2">
        <f ca="1"/>
        <v>1.0997691706020596</v>
      </c>
      <c r="X3800" s="2">
        <f ca="1"/>
        <v>42.2593499937338</v>
      </c>
      <c r="AG3800" s="2">
        <f ca="1"/>
        <v>2.4550526017665053E-2</v>
      </c>
      <c r="AH3800" s="2" t="str">
        <f ca="1"/>
        <v>Good</v>
      </c>
    </row>
    <row r="3801" spans="2:34" x14ac:dyDescent="0.2">
      <c r="B3801" s="2">
        <f ca="1"/>
        <v>0.29599627180092991</v>
      </c>
      <c r="O3801" s="2">
        <f ca="1"/>
        <v>1.827523494133821</v>
      </c>
      <c r="X3801" s="2">
        <f ca="1"/>
        <v>53.972535610048318</v>
      </c>
      <c r="AG3801" s="2">
        <f ca="1"/>
        <v>0.21316762006892009</v>
      </c>
      <c r="AH3801" s="2" t="str">
        <f ca="1"/>
        <v>OK</v>
      </c>
    </row>
    <row r="3802" spans="2:34" x14ac:dyDescent="0.2">
      <c r="B3802" s="2">
        <f ca="1"/>
        <v>0.46868654297362311</v>
      </c>
      <c r="O3802" s="2">
        <f ca="1"/>
        <v>-1.8428956839700903</v>
      </c>
      <c r="X3802" s="2">
        <f ca="1"/>
        <v>48.410085781951977</v>
      </c>
      <c r="AG3802" s="2">
        <f ca="1"/>
        <v>0.37590523798909792</v>
      </c>
      <c r="AH3802" s="2" t="str">
        <f ca="1"/>
        <v>OK</v>
      </c>
    </row>
    <row r="3803" spans="2:34" x14ac:dyDescent="0.2">
      <c r="B3803" s="2">
        <f ca="1"/>
        <v>0.5519105224308698</v>
      </c>
      <c r="O3803" s="2">
        <f ca="1"/>
        <v>-0.13896177413096691</v>
      </c>
      <c r="X3803" s="2">
        <f ca="1"/>
        <v>55.364320983989316</v>
      </c>
      <c r="AG3803" s="2">
        <f ca="1"/>
        <v>6.4191211294309047E-2</v>
      </c>
      <c r="AH3803" s="2" t="str">
        <f ca="1"/>
        <v>OK</v>
      </c>
    </row>
    <row r="3804" spans="2:34" x14ac:dyDescent="0.2">
      <c r="B3804" s="2">
        <f ca="1"/>
        <v>0.65626636128875404</v>
      </c>
      <c r="O3804" s="2">
        <f ca="1"/>
        <v>-1.3634519569460499</v>
      </c>
      <c r="X3804" s="2">
        <f ca="1"/>
        <v>47.75208345204134</v>
      </c>
      <c r="AG3804" s="2">
        <f ca="1"/>
        <v>0.87695213103034475</v>
      </c>
      <c r="AH3804" s="2" t="str">
        <f ca="1"/>
        <v>Bad</v>
      </c>
    </row>
    <row r="3805" spans="2:34" x14ac:dyDescent="0.2">
      <c r="B3805" s="2">
        <f ca="1"/>
        <v>0.91588872975596236</v>
      </c>
      <c r="O3805" s="2">
        <f ca="1"/>
        <v>1.9602923289598924</v>
      </c>
      <c r="X3805" s="2">
        <f ca="1"/>
        <v>32.810224818499037</v>
      </c>
      <c r="AG3805" s="2">
        <f ca="1"/>
        <v>0.309388367873074</v>
      </c>
      <c r="AH3805" s="2" t="str">
        <f ca="1"/>
        <v>OK</v>
      </c>
    </row>
    <row r="3806" spans="2:34" x14ac:dyDescent="0.2">
      <c r="B3806" s="2">
        <f ca="1"/>
        <v>0.27420182073136101</v>
      </c>
      <c r="O3806" s="2">
        <f ca="1"/>
        <v>2.0582994838672244</v>
      </c>
      <c r="X3806" s="2">
        <f ca="1"/>
        <v>46.333257881098369</v>
      </c>
      <c r="AG3806" s="2">
        <f ca="1"/>
        <v>0.409921508627487</v>
      </c>
      <c r="AH3806" s="2" t="str">
        <f ca="1"/>
        <v>Bad</v>
      </c>
    </row>
    <row r="3807" spans="2:34" x14ac:dyDescent="0.2">
      <c r="B3807" s="2">
        <f ca="1"/>
        <v>0.30665598870095567</v>
      </c>
      <c r="O3807" s="2">
        <f ca="1"/>
        <v>0.44736037704509213</v>
      </c>
      <c r="X3807" s="2">
        <f ca="1"/>
        <v>65.193310307131668</v>
      </c>
      <c r="AG3807" s="2">
        <f ca="1"/>
        <v>0.94466600048317217</v>
      </c>
      <c r="AH3807" s="2" t="str">
        <f ca="1"/>
        <v>Bad</v>
      </c>
    </row>
    <row r="3808" spans="2:34" x14ac:dyDescent="0.2">
      <c r="B3808" s="2">
        <f ca="1"/>
        <v>0.46494919059138673</v>
      </c>
      <c r="O3808" s="2">
        <f ca="1"/>
        <v>0.24541058927087614</v>
      </c>
      <c r="X3808" s="2">
        <f ca="1"/>
        <v>46.661084460655253</v>
      </c>
      <c r="AG3808" s="2">
        <f ca="1"/>
        <v>4.3204295232566192E-3</v>
      </c>
      <c r="AH3808" s="2" t="str">
        <f ca="1"/>
        <v>Good</v>
      </c>
    </row>
    <row r="3809" spans="2:34" x14ac:dyDescent="0.2">
      <c r="B3809" s="2">
        <f ca="1"/>
        <v>0.11306539026864537</v>
      </c>
      <c r="O3809" s="2">
        <f ca="1"/>
        <v>2.3732761463203063</v>
      </c>
      <c r="X3809" s="2">
        <f ca="1"/>
        <v>50.61660073234512</v>
      </c>
      <c r="AG3809" s="2">
        <f ca="1"/>
        <v>0.41468020503257308</v>
      </c>
      <c r="AH3809" s="2" t="str">
        <f ca="1"/>
        <v>Bad</v>
      </c>
    </row>
    <row r="3810" spans="2:34" x14ac:dyDescent="0.2">
      <c r="B3810" s="2">
        <f ca="1"/>
        <v>0.27706113798213572</v>
      </c>
      <c r="O3810" s="2">
        <f ca="1"/>
        <v>1.2376045714434314</v>
      </c>
      <c r="X3810" s="2">
        <f ca="1"/>
        <v>37.960040869552401</v>
      </c>
      <c r="AG3810" s="2">
        <f ca="1"/>
        <v>0.23374604718257364</v>
      </c>
      <c r="AH3810" s="2" t="str">
        <f ca="1"/>
        <v>OK</v>
      </c>
    </row>
    <row r="3811" spans="2:34" x14ac:dyDescent="0.2">
      <c r="B3811" s="2">
        <f ca="1"/>
        <v>0.45981269940347147</v>
      </c>
      <c r="O3811" s="2">
        <f ca="1"/>
        <v>1.4720235630046981</v>
      </c>
      <c r="X3811" s="2">
        <f ca="1"/>
        <v>63.381172024127714</v>
      </c>
      <c r="AG3811" s="2">
        <f ca="1"/>
        <v>0.24653011308618789</v>
      </c>
      <c r="AH3811" s="2" t="str">
        <f ca="1"/>
        <v>OK</v>
      </c>
    </row>
    <row r="3812" spans="2:34" x14ac:dyDescent="0.2">
      <c r="B3812" s="2">
        <f ca="1"/>
        <v>0.35068898317706521</v>
      </c>
      <c r="O3812" s="2">
        <f ca="1"/>
        <v>-0.28908125898381754</v>
      </c>
      <c r="X3812" s="2">
        <f ca="1"/>
        <v>34.839789730170907</v>
      </c>
      <c r="AG3812" s="2">
        <f ca="1"/>
        <v>0.73492067291581575</v>
      </c>
      <c r="AH3812" s="2" t="str">
        <f ca="1"/>
        <v>Bad</v>
      </c>
    </row>
    <row r="3813" spans="2:34" x14ac:dyDescent="0.2">
      <c r="B3813" s="2">
        <f ca="1"/>
        <v>0.52596133749117069</v>
      </c>
      <c r="O3813" s="2">
        <f ca="1"/>
        <v>-0.16496994098894299</v>
      </c>
      <c r="X3813" s="2">
        <f ca="1"/>
        <v>52.264911474221691</v>
      </c>
      <c r="AG3813" s="2">
        <f ca="1"/>
        <v>0.88642818366497567</v>
      </c>
      <c r="AH3813" s="2" t="str">
        <f ca="1"/>
        <v>Bad</v>
      </c>
    </row>
    <row r="3814" spans="2:34" x14ac:dyDescent="0.2">
      <c r="B3814" s="2">
        <f ca="1"/>
        <v>4.1961499059196328E-2</v>
      </c>
      <c r="O3814" s="2">
        <f ca="1"/>
        <v>0.32475451609348516</v>
      </c>
      <c r="X3814" s="2">
        <f ca="1"/>
        <v>41.017463156852386</v>
      </c>
      <c r="AG3814" s="2">
        <f ca="1"/>
        <v>0.27331573258943953</v>
      </c>
      <c r="AH3814" s="2" t="str">
        <f ca="1"/>
        <v>OK</v>
      </c>
    </row>
    <row r="3815" spans="2:34" x14ac:dyDescent="0.2">
      <c r="B3815" s="2">
        <f ca="1"/>
        <v>0.53309571058511662</v>
      </c>
      <c r="O3815" s="2">
        <f ca="1"/>
        <v>-0.15431730109728578</v>
      </c>
      <c r="X3815" s="2">
        <f ca="1"/>
        <v>50.223440690564807</v>
      </c>
      <c r="AG3815" s="2">
        <f ca="1"/>
        <v>0.15539682248538167</v>
      </c>
      <c r="AH3815" s="2" t="str">
        <f ca="1"/>
        <v>OK</v>
      </c>
    </row>
    <row r="3816" spans="2:34" x14ac:dyDescent="0.2">
      <c r="B3816" s="2">
        <f ca="1"/>
        <v>9.4794795052306036E-2</v>
      </c>
      <c r="O3816" s="2">
        <f ca="1"/>
        <v>8.7867799428333712E-2</v>
      </c>
      <c r="X3816" s="2">
        <f ca="1"/>
        <v>43.303696597036321</v>
      </c>
      <c r="AG3816" s="2">
        <f ca="1"/>
        <v>0.22502018421250258</v>
      </c>
      <c r="AH3816" s="2" t="str">
        <f ca="1"/>
        <v>OK</v>
      </c>
    </row>
    <row r="3817" spans="2:34" x14ac:dyDescent="0.2">
      <c r="B3817" s="2">
        <f ca="1"/>
        <v>0.26691281046629722</v>
      </c>
      <c r="O3817" s="2">
        <f ca="1"/>
        <v>-0.86225408266337689</v>
      </c>
      <c r="X3817" s="2">
        <f ca="1"/>
        <v>65.601534360717963</v>
      </c>
      <c r="AG3817" s="2">
        <f ca="1"/>
        <v>0.37205731581849322</v>
      </c>
      <c r="AH3817" s="2" t="str">
        <f ca="1"/>
        <v>OK</v>
      </c>
    </row>
    <row r="3818" spans="2:34" x14ac:dyDescent="0.2">
      <c r="B3818" s="2">
        <f ca="1"/>
        <v>0.8339744013946242</v>
      </c>
      <c r="O3818" s="2">
        <f ca="1"/>
        <v>0.3426083653877714</v>
      </c>
      <c r="X3818" s="2">
        <f ca="1"/>
        <v>51.789286220673006</v>
      </c>
      <c r="AG3818" s="2">
        <f ca="1"/>
        <v>0.94204800046670245</v>
      </c>
      <c r="AH3818" s="2" t="str">
        <f ca="1"/>
        <v>Bad</v>
      </c>
    </row>
    <row r="3819" spans="2:34" x14ac:dyDescent="0.2">
      <c r="B3819" s="2">
        <f ca="1"/>
        <v>0.83783782899740156</v>
      </c>
      <c r="O3819" s="2">
        <f ca="1"/>
        <v>-0.6867251925382144</v>
      </c>
      <c r="X3819" s="2">
        <f ca="1"/>
        <v>41.580103199398437</v>
      </c>
      <c r="AG3819" s="2">
        <f ca="1"/>
        <v>0.72109307322722893</v>
      </c>
      <c r="AH3819" s="2" t="str">
        <f ca="1"/>
        <v>Bad</v>
      </c>
    </row>
    <row r="3820" spans="2:34" x14ac:dyDescent="0.2">
      <c r="B3820" s="2">
        <f ca="1"/>
        <v>0.16595529095158223</v>
      </c>
      <c r="O3820" s="2">
        <f ca="1"/>
        <v>-1.1559932177819736</v>
      </c>
      <c r="X3820" s="2">
        <f ca="1"/>
        <v>21.815362680451603</v>
      </c>
      <c r="AG3820" s="2">
        <f ca="1"/>
        <v>0.16440100556367532</v>
      </c>
      <c r="AH3820" s="2" t="str">
        <f ca="1"/>
        <v>OK</v>
      </c>
    </row>
    <row r="3821" spans="2:34" x14ac:dyDescent="0.2">
      <c r="B3821" s="2">
        <f ca="1"/>
        <v>0.24283280772271709</v>
      </c>
      <c r="O3821" s="2">
        <f ca="1"/>
        <v>-7.9691835326342358E-2</v>
      </c>
      <c r="X3821" s="2">
        <f ca="1"/>
        <v>60.185512862404529</v>
      </c>
      <c r="AG3821" s="2">
        <f ca="1"/>
        <v>0.25509757367662589</v>
      </c>
      <c r="AH3821" s="2" t="str">
        <f ca="1"/>
        <v>OK</v>
      </c>
    </row>
    <row r="3822" spans="2:34" x14ac:dyDescent="0.2">
      <c r="B3822" s="2">
        <f ca="1"/>
        <v>0.39339990971011685</v>
      </c>
      <c r="O3822" s="2">
        <f ca="1"/>
        <v>-0.3029992738571361</v>
      </c>
      <c r="X3822" s="2">
        <f ca="1"/>
        <v>39.532707635782245</v>
      </c>
      <c r="AG3822" s="2">
        <f ca="1"/>
        <v>0.62275936527710574</v>
      </c>
      <c r="AH3822" s="2" t="str">
        <f ca="1"/>
        <v>Bad</v>
      </c>
    </row>
    <row r="3823" spans="2:34" x14ac:dyDescent="0.2">
      <c r="B3823" s="2">
        <f ca="1"/>
        <v>0.16853080586627467</v>
      </c>
      <c r="O3823" s="2">
        <f ca="1"/>
        <v>-0.91908982709951093</v>
      </c>
      <c r="X3823" s="2">
        <f ca="1"/>
        <v>36.067312310527221</v>
      </c>
      <c r="AG3823" s="2">
        <f ca="1"/>
        <v>0.72471883710138219</v>
      </c>
      <c r="AH3823" s="2" t="str">
        <f ca="1"/>
        <v>Bad</v>
      </c>
    </row>
    <row r="3824" spans="2:34" x14ac:dyDescent="0.2">
      <c r="B3824" s="2">
        <f ca="1"/>
        <v>0.37447154063768484</v>
      </c>
      <c r="O3824" s="2">
        <f ca="1"/>
        <v>0.25230822187453561</v>
      </c>
      <c r="X3824" s="2">
        <f ca="1"/>
        <v>74.542558625368187</v>
      </c>
      <c r="AG3824" s="2">
        <f ca="1"/>
        <v>0.92430990661134471</v>
      </c>
      <c r="AH3824" s="2" t="str">
        <f ca="1"/>
        <v>Bad</v>
      </c>
    </row>
    <row r="3825" spans="2:34" x14ac:dyDescent="0.2">
      <c r="B3825" s="2">
        <f ca="1"/>
        <v>0.58051097680048591</v>
      </c>
      <c r="O3825" s="2">
        <f ca="1"/>
        <v>1.2661064014684746</v>
      </c>
      <c r="X3825" s="2">
        <f ca="1"/>
        <v>39.866948494065284</v>
      </c>
      <c r="AG3825" s="2">
        <f ca="1"/>
        <v>0.47770432940311913</v>
      </c>
      <c r="AH3825" s="2" t="str">
        <f ca="1"/>
        <v>Bad</v>
      </c>
    </row>
    <row r="3826" spans="2:34" x14ac:dyDescent="0.2">
      <c r="B3826" s="2">
        <f ca="1"/>
        <v>0.23229462639894205</v>
      </c>
      <c r="O3826" s="2">
        <f ca="1"/>
        <v>-0.51293213852053166</v>
      </c>
      <c r="X3826" s="2">
        <f ca="1"/>
        <v>35.926119586033359</v>
      </c>
      <c r="AG3826" s="2">
        <f ca="1"/>
        <v>0.4452365733191963</v>
      </c>
      <c r="AH3826" s="2" t="str">
        <f ca="1"/>
        <v>Bad</v>
      </c>
    </row>
    <row r="3827" spans="2:34" x14ac:dyDescent="0.2">
      <c r="B3827" s="2">
        <f ca="1"/>
        <v>4.5865755414109532E-2</v>
      </c>
      <c r="O3827" s="2">
        <f ca="1"/>
        <v>-0.53764744012236898</v>
      </c>
      <c r="X3827" s="2">
        <f ca="1"/>
        <v>53.472840417595307</v>
      </c>
      <c r="AG3827" s="2">
        <f ca="1"/>
        <v>0.69350853486828035</v>
      </c>
      <c r="AH3827" s="2" t="str">
        <f ca="1"/>
        <v>Bad</v>
      </c>
    </row>
    <row r="3828" spans="2:34" x14ac:dyDescent="0.2">
      <c r="B3828" s="2">
        <f ca="1"/>
        <v>0.89333892893746314</v>
      </c>
      <c r="O3828" s="2">
        <f ca="1"/>
        <v>0.10470119766721875</v>
      </c>
      <c r="X3828" s="2">
        <f ca="1"/>
        <v>64.71086348011886</v>
      </c>
      <c r="AG3828" s="2">
        <f ca="1"/>
        <v>0.81436487153050319</v>
      </c>
      <c r="AH3828" s="2" t="str">
        <f ca="1"/>
        <v>Bad</v>
      </c>
    </row>
    <row r="3829" spans="2:34" x14ac:dyDescent="0.2">
      <c r="B3829" s="2">
        <f ca="1"/>
        <v>0.3997695690287506</v>
      </c>
      <c r="O3829" s="2">
        <f ca="1"/>
        <v>-0.67388441512994279</v>
      </c>
      <c r="X3829" s="2">
        <f ca="1"/>
        <v>67.099151568667011</v>
      </c>
      <c r="AG3829" s="2">
        <f ca="1"/>
        <v>0.16057021468216282</v>
      </c>
      <c r="AH3829" s="2" t="str">
        <f ca="1"/>
        <v>OK</v>
      </c>
    </row>
    <row r="3830" spans="2:34" x14ac:dyDescent="0.2">
      <c r="B3830" s="2">
        <f ca="1"/>
        <v>0.81267225404977128</v>
      </c>
      <c r="O3830" s="2">
        <f ca="1"/>
        <v>-2.0357959969767085</v>
      </c>
      <c r="X3830" s="2">
        <f ca="1"/>
        <v>46.307147135665893</v>
      </c>
      <c r="AG3830" s="2">
        <f ca="1"/>
        <v>7.6450241727091139E-2</v>
      </c>
      <c r="AH3830" s="2" t="str">
        <f ca="1"/>
        <v>OK</v>
      </c>
    </row>
    <row r="3831" spans="2:34" x14ac:dyDescent="0.2">
      <c r="B3831" s="2">
        <f ca="1"/>
        <v>0.45394144998907482</v>
      </c>
      <c r="O3831" s="2">
        <f ca="1"/>
        <v>0.32016321253253943</v>
      </c>
      <c r="X3831" s="2">
        <f ca="1"/>
        <v>53.064887206533399</v>
      </c>
      <c r="AG3831" s="2">
        <f ca="1"/>
        <v>0.14234348664717045</v>
      </c>
      <c r="AH3831" s="2" t="str">
        <f ca="1"/>
        <v>OK</v>
      </c>
    </row>
    <row r="3832" spans="2:34" x14ac:dyDescent="0.2">
      <c r="B3832" s="2">
        <f ca="1"/>
        <v>0.18901510506670394</v>
      </c>
      <c r="O3832" s="2">
        <f ca="1"/>
        <v>-0.72293677852257521</v>
      </c>
      <c r="X3832" s="2">
        <f ca="1"/>
        <v>76.601165974123688</v>
      </c>
      <c r="AG3832" s="2">
        <f ca="1"/>
        <v>0.26896916199512666</v>
      </c>
      <c r="AH3832" s="2" t="str">
        <f ca="1"/>
        <v>OK</v>
      </c>
    </row>
    <row r="3833" spans="2:34" x14ac:dyDescent="0.2">
      <c r="B3833" s="2">
        <f ca="1"/>
        <v>0.27510108238869502</v>
      </c>
      <c r="O3833" s="2">
        <f ca="1"/>
        <v>0.51147739323742658</v>
      </c>
      <c r="X3833" s="2">
        <f ca="1"/>
        <v>25.493890463215735</v>
      </c>
      <c r="AG3833" s="2">
        <f ca="1"/>
        <v>0.86240887538774791</v>
      </c>
      <c r="AH3833" s="2" t="str">
        <f ca="1"/>
        <v>Bad</v>
      </c>
    </row>
    <row r="3834" spans="2:34" x14ac:dyDescent="0.2">
      <c r="B3834" s="2">
        <f ca="1"/>
        <v>0.10903546709313727</v>
      </c>
      <c r="O3834" s="2">
        <f ca="1"/>
        <v>0.32781064011145655</v>
      </c>
      <c r="X3834" s="2">
        <f ca="1"/>
        <v>39.507530146773647</v>
      </c>
      <c r="AG3834" s="2">
        <f ca="1"/>
        <v>0.95718428735533001</v>
      </c>
      <c r="AH3834" s="2" t="str">
        <f ca="1"/>
        <v>Bad</v>
      </c>
    </row>
    <row r="3835" spans="2:34" x14ac:dyDescent="0.2">
      <c r="B3835" s="2">
        <f ca="1"/>
        <v>0.745603096412633</v>
      </c>
      <c r="O3835" s="2">
        <f ca="1"/>
        <v>0.54387781881542618</v>
      </c>
      <c r="X3835" s="2">
        <f ca="1"/>
        <v>48.530252744010916</v>
      </c>
      <c r="AG3835" s="2">
        <f ca="1"/>
        <v>0.29111740003381636</v>
      </c>
      <c r="AH3835" s="2" t="str">
        <f ca="1"/>
        <v>OK</v>
      </c>
    </row>
    <row r="3836" spans="2:34" x14ac:dyDescent="0.2">
      <c r="B3836" s="2">
        <f ca="1"/>
        <v>0.92818447024035677</v>
      </c>
      <c r="O3836" s="2">
        <f ca="1"/>
        <v>-0.10567786031074888</v>
      </c>
      <c r="X3836" s="2">
        <f ca="1"/>
        <v>43.964154918688706</v>
      </c>
      <c r="AG3836" s="2">
        <f ca="1"/>
        <v>0.95032570058851862</v>
      </c>
      <c r="AH3836" s="2" t="str">
        <f ca="1"/>
        <v>Bad</v>
      </c>
    </row>
    <row r="3837" spans="2:34" x14ac:dyDescent="0.2">
      <c r="B3837" s="2">
        <f ca="1"/>
        <v>0.28482919911455418</v>
      </c>
      <c r="O3837" s="2">
        <f ca="1"/>
        <v>-0.46958192021716311</v>
      </c>
      <c r="X3837" s="2">
        <f ca="1"/>
        <v>34.125040434220047</v>
      </c>
      <c r="AG3837" s="2">
        <f ca="1"/>
        <v>0.59584156126926069</v>
      </c>
      <c r="AH3837" s="2" t="str">
        <f ca="1"/>
        <v>Bad</v>
      </c>
    </row>
    <row r="3838" spans="2:34" x14ac:dyDescent="0.2">
      <c r="B3838" s="2">
        <f ca="1"/>
        <v>0.81328635240013814</v>
      </c>
      <c r="O3838" s="2">
        <f ca="1"/>
        <v>9.4188242379843329E-2</v>
      </c>
      <c r="X3838" s="2">
        <f ca="1"/>
        <v>53.019419460924496</v>
      </c>
      <c r="AG3838" s="2">
        <f ca="1"/>
        <v>0.4972253179151449</v>
      </c>
      <c r="AH3838" s="2" t="str">
        <f ca="1"/>
        <v>Bad</v>
      </c>
    </row>
    <row r="3839" spans="2:34" x14ac:dyDescent="0.2">
      <c r="B3839" s="2">
        <f ca="1"/>
        <v>0.97057881464158902</v>
      </c>
      <c r="O3839" s="2">
        <f ca="1"/>
        <v>0.87141447096526747</v>
      </c>
      <c r="X3839" s="2">
        <f ca="1"/>
        <v>59.73846714425062</v>
      </c>
      <c r="AG3839" s="2">
        <f ca="1"/>
        <v>0.38796564296883562</v>
      </c>
      <c r="AH3839" s="2" t="str">
        <f ca="1"/>
        <v>OK</v>
      </c>
    </row>
    <row r="3840" spans="2:34" x14ac:dyDescent="0.2">
      <c r="B3840" s="2">
        <f ca="1"/>
        <v>0.36689122812570285</v>
      </c>
      <c r="O3840" s="2">
        <f ca="1"/>
        <v>-6.5581152359697428E-2</v>
      </c>
      <c r="X3840" s="2">
        <f ca="1"/>
        <v>25.583872023368471</v>
      </c>
      <c r="AG3840" s="2">
        <f ca="1"/>
        <v>0.62375749194288188</v>
      </c>
      <c r="AH3840" s="2" t="str">
        <f ca="1"/>
        <v>Bad</v>
      </c>
    </row>
    <row r="3841" spans="2:34" x14ac:dyDescent="0.2">
      <c r="B3841" s="2">
        <f ca="1"/>
        <v>0.93094650481494479</v>
      </c>
      <c r="O3841" s="2">
        <f ca="1"/>
        <v>-0.49965084550152933</v>
      </c>
      <c r="X3841" s="2">
        <f ca="1"/>
        <v>49.875881968399696</v>
      </c>
      <c r="AG3841" s="2">
        <f ca="1"/>
        <v>0.78720926267441782</v>
      </c>
      <c r="AH3841" s="2" t="str">
        <f ca="1"/>
        <v>Bad</v>
      </c>
    </row>
    <row r="3842" spans="2:34" x14ac:dyDescent="0.2">
      <c r="B3842" s="2">
        <f ca="1"/>
        <v>0.81998786279308722</v>
      </c>
      <c r="O3842" s="2">
        <f ca="1"/>
        <v>-7.9471789052848726E-2</v>
      </c>
      <c r="X3842" s="2">
        <f ca="1"/>
        <v>46.254477628215184</v>
      </c>
      <c r="AG3842" s="2">
        <f ca="1"/>
        <v>0.46920996063777576</v>
      </c>
      <c r="AH3842" s="2" t="str">
        <f ca="1"/>
        <v>Bad</v>
      </c>
    </row>
    <row r="3843" spans="2:34" x14ac:dyDescent="0.2">
      <c r="B3843" s="2">
        <f ca="1"/>
        <v>0.52336933392118912</v>
      </c>
      <c r="O3843" s="2">
        <f ca="1"/>
        <v>-3.0704348602965777E-2</v>
      </c>
      <c r="X3843" s="2">
        <f ca="1"/>
        <v>47.898044921907186</v>
      </c>
      <c r="AG3843" s="2">
        <f ca="1"/>
        <v>0.21036652688252389</v>
      </c>
      <c r="AH3843" s="2" t="str">
        <f ca="1"/>
        <v>OK</v>
      </c>
    </row>
    <row r="3844" spans="2:34" x14ac:dyDescent="0.2">
      <c r="B3844" s="2">
        <f ca="1"/>
        <v>9.333090819667178E-2</v>
      </c>
      <c r="O3844" s="2">
        <f ca="1"/>
        <v>0.55279196883514814</v>
      </c>
      <c r="X3844" s="2">
        <f ca="1"/>
        <v>59.169135082451405</v>
      </c>
      <c r="AG3844" s="2">
        <f ca="1"/>
        <v>0.49393016347486052</v>
      </c>
      <c r="AH3844" s="2" t="str">
        <f ca="1"/>
        <v>Bad</v>
      </c>
    </row>
    <row r="3845" spans="2:34" x14ac:dyDescent="0.2">
      <c r="B3845" s="2">
        <f ca="1"/>
        <v>0.40998896024140441</v>
      </c>
      <c r="O3845" s="2">
        <f ca="1"/>
        <v>0.39639760201289581</v>
      </c>
      <c r="X3845" s="2">
        <f ca="1"/>
        <v>22.176289934876827</v>
      </c>
      <c r="AG3845" s="2">
        <f ca="1"/>
        <v>0.49012205044025414</v>
      </c>
      <c r="AH3845" s="2" t="str">
        <f ca="1"/>
        <v>Bad</v>
      </c>
    </row>
    <row r="3846" spans="2:34" x14ac:dyDescent="0.2">
      <c r="B3846" s="2">
        <f ca="1"/>
        <v>0.32262954657563747</v>
      </c>
      <c r="O3846" s="2">
        <f ca="1"/>
        <v>0.62852899740317913</v>
      </c>
      <c r="X3846" s="2">
        <f ca="1"/>
        <v>36.358382617608683</v>
      </c>
      <c r="AG3846" s="2">
        <f ca="1"/>
        <v>0.69073603747821832</v>
      </c>
      <c r="AH3846" s="2" t="str">
        <f ca="1"/>
        <v>Bad</v>
      </c>
    </row>
    <row r="3847" spans="2:34" x14ac:dyDescent="0.2">
      <c r="B3847" s="2">
        <f ca="1"/>
        <v>0.54138144745106942</v>
      </c>
      <c r="O3847" s="2">
        <f ca="1"/>
        <v>-1.9972988362603901</v>
      </c>
      <c r="X3847" s="2">
        <f ca="1"/>
        <v>51.251576441744753</v>
      </c>
      <c r="AG3847" s="2">
        <f ca="1"/>
        <v>0.38270722837186621</v>
      </c>
      <c r="AH3847" s="2" t="str">
        <f ca="1"/>
        <v>OK</v>
      </c>
    </row>
    <row r="3848" spans="2:34" x14ac:dyDescent="0.2">
      <c r="B3848" s="2">
        <f ca="1"/>
        <v>0.5241527481401993</v>
      </c>
      <c r="O3848" s="2">
        <f ca="1"/>
        <v>-0.13098899837879013</v>
      </c>
      <c r="X3848" s="2">
        <f ca="1"/>
        <v>79.611254270572417</v>
      </c>
      <c r="AG3848" s="2">
        <f ca="1"/>
        <v>0.30329596963098537</v>
      </c>
      <c r="AH3848" s="2" t="str">
        <f ca="1"/>
        <v>OK</v>
      </c>
    </row>
    <row r="3849" spans="2:34" x14ac:dyDescent="0.2">
      <c r="B3849" s="2">
        <f ca="1"/>
        <v>0.42772381066914522</v>
      </c>
      <c r="O3849" s="2">
        <f ca="1"/>
        <v>-0.12946994383244595</v>
      </c>
      <c r="X3849" s="2">
        <f ca="1"/>
        <v>89.750426547066425</v>
      </c>
      <c r="AG3849" s="2">
        <f ca="1"/>
        <v>0.12683804543546473</v>
      </c>
      <c r="AH3849" s="2" t="str">
        <f ca="1"/>
        <v>OK</v>
      </c>
    </row>
    <row r="3850" spans="2:34" x14ac:dyDescent="0.2">
      <c r="B3850" s="2">
        <f ca="1"/>
        <v>0.27678157071758136</v>
      </c>
      <c r="O3850" s="2">
        <f ca="1"/>
        <v>-8.6425805900817554E-2</v>
      </c>
      <c r="X3850" s="2">
        <f ca="1"/>
        <v>76.912665042317414</v>
      </c>
      <c r="AG3850" s="2">
        <f ca="1"/>
        <v>0.53471889224250924</v>
      </c>
      <c r="AH3850" s="2" t="str">
        <f ca="1"/>
        <v>Bad</v>
      </c>
    </row>
    <row r="3851" spans="2:34" x14ac:dyDescent="0.2">
      <c r="B3851" s="2">
        <f ca="1"/>
        <v>0.95683313530300573</v>
      </c>
      <c r="O3851" s="2">
        <f ca="1"/>
        <v>-1.2993503395532167</v>
      </c>
      <c r="X3851" s="2">
        <f ca="1"/>
        <v>57.015561582035126</v>
      </c>
      <c r="AG3851" s="2">
        <f ca="1"/>
        <v>0.57786755074257989</v>
      </c>
      <c r="AH3851" s="2" t="str">
        <f ca="1"/>
        <v>Bad</v>
      </c>
    </row>
    <row r="3852" spans="2:34" x14ac:dyDescent="0.2">
      <c r="B3852" s="2">
        <f ca="1"/>
        <v>0.63478130664931398</v>
      </c>
      <c r="O3852" s="2">
        <f ca="1"/>
        <v>-0.950269432124909</v>
      </c>
      <c r="X3852" s="2">
        <f ca="1"/>
        <v>34.934453671042085</v>
      </c>
      <c r="AG3852" s="2">
        <f ca="1"/>
        <v>0.43510051836786667</v>
      </c>
      <c r="AH3852" s="2" t="str">
        <f ca="1"/>
        <v>Bad</v>
      </c>
    </row>
    <row r="3853" spans="2:34" x14ac:dyDescent="0.2">
      <c r="B3853" s="2">
        <f ca="1"/>
        <v>0.42527476045815349</v>
      </c>
      <c r="O3853" s="2">
        <f ca="1"/>
        <v>-1.0991115152762807</v>
      </c>
      <c r="X3853" s="2">
        <f ca="1"/>
        <v>68.588256180570582</v>
      </c>
      <c r="AG3853" s="2">
        <f ca="1"/>
        <v>0.73550066736318254</v>
      </c>
      <c r="AH3853" s="2" t="str">
        <f ca="1"/>
        <v>Bad</v>
      </c>
    </row>
    <row r="3854" spans="2:34" x14ac:dyDescent="0.2">
      <c r="B3854" s="2">
        <f ca="1"/>
        <v>0.32888687689697704</v>
      </c>
      <c r="O3854" s="2">
        <f ca="1"/>
        <v>-2.4323114149062959</v>
      </c>
      <c r="X3854" s="2">
        <f ca="1"/>
        <v>70.036811687934943</v>
      </c>
      <c r="AG3854" s="2">
        <f ca="1"/>
        <v>0.51409509304550216</v>
      </c>
      <c r="AH3854" s="2" t="str">
        <f ca="1"/>
        <v>Bad</v>
      </c>
    </row>
    <row r="3855" spans="2:34" x14ac:dyDescent="0.2">
      <c r="B3855" s="2">
        <f ca="1"/>
        <v>0.99367743728114233</v>
      </c>
      <c r="O3855" s="2">
        <f ca="1"/>
        <v>8.7412648281105385E-2</v>
      </c>
      <c r="X3855" s="2">
        <f ca="1"/>
        <v>35.154087485491708</v>
      </c>
      <c r="AG3855" s="2">
        <f ca="1"/>
        <v>0.41522249776105946</v>
      </c>
      <c r="AH3855" s="2" t="str">
        <f ca="1"/>
        <v>Bad</v>
      </c>
    </row>
    <row r="3856" spans="2:34" x14ac:dyDescent="0.2">
      <c r="B3856" s="2">
        <f ca="1"/>
        <v>0.98730669542784022</v>
      </c>
      <c r="O3856" s="2">
        <f ca="1"/>
        <v>0.95102107797527735</v>
      </c>
      <c r="X3856" s="2">
        <f ca="1"/>
        <v>30.351749272868314</v>
      </c>
      <c r="AG3856" s="2">
        <f ca="1"/>
        <v>0.6136252337230288</v>
      </c>
      <c r="AH3856" s="2" t="str">
        <f ca="1"/>
        <v>Bad</v>
      </c>
    </row>
    <row r="3857" spans="2:34" x14ac:dyDescent="0.2">
      <c r="B3857" s="2">
        <f ca="1"/>
        <v>0.53827315206422011</v>
      </c>
      <c r="O3857" s="2">
        <f ca="1"/>
        <v>0.89142150237219087</v>
      </c>
      <c r="X3857" s="2">
        <f ca="1"/>
        <v>18.824424884614672</v>
      </c>
      <c r="AG3857" s="2">
        <f ca="1"/>
        <v>0.4280478460003323</v>
      </c>
      <c r="AH3857" s="2" t="str">
        <f ca="1"/>
        <v>Bad</v>
      </c>
    </row>
    <row r="3858" spans="2:34" x14ac:dyDescent="0.2">
      <c r="B3858" s="2">
        <f ca="1"/>
        <v>5.024025598480053E-2</v>
      </c>
      <c r="O3858" s="2">
        <f ca="1"/>
        <v>-0.73405724024053687</v>
      </c>
      <c r="X3858" s="2">
        <f ca="1"/>
        <v>39.55526270382024</v>
      </c>
      <c r="AG3858" s="2">
        <f ca="1"/>
        <v>0.64075777393129085</v>
      </c>
      <c r="AH3858" s="2" t="str">
        <f ca="1"/>
        <v>Bad</v>
      </c>
    </row>
    <row r="3859" spans="2:34" x14ac:dyDescent="0.2">
      <c r="B3859" s="2">
        <f ca="1"/>
        <v>0.48470663623005583</v>
      </c>
      <c r="O3859" s="2">
        <f ca="1"/>
        <v>-2.0070212946626786</v>
      </c>
      <c r="X3859" s="2">
        <f ca="1"/>
        <v>53.771464226143863</v>
      </c>
      <c r="AG3859" s="2">
        <f ca="1"/>
        <v>0.77787944524166996</v>
      </c>
      <c r="AH3859" s="2" t="str">
        <f ca="1"/>
        <v>Bad</v>
      </c>
    </row>
    <row r="3860" spans="2:34" x14ac:dyDescent="0.2">
      <c r="B3860" s="2">
        <f ca="1"/>
        <v>0.44241074416733617</v>
      </c>
      <c r="O3860" s="2">
        <f ca="1"/>
        <v>0.41316615999522743</v>
      </c>
      <c r="X3860" s="2">
        <f ca="1"/>
        <v>54.340319157329674</v>
      </c>
      <c r="AG3860" s="2">
        <f ca="1"/>
        <v>0.35734900248450741</v>
      </c>
      <c r="AH3860" s="2" t="str">
        <f ca="1"/>
        <v>OK</v>
      </c>
    </row>
    <row r="3861" spans="2:34" x14ac:dyDescent="0.2">
      <c r="B3861" s="2">
        <f ca="1"/>
        <v>0.37594972648670577</v>
      </c>
      <c r="O3861" s="2">
        <f ca="1"/>
        <v>0.31181744770293907</v>
      </c>
      <c r="X3861" s="2">
        <f ca="1"/>
        <v>45.507669445851775</v>
      </c>
      <c r="AG3861" s="2">
        <f ca="1"/>
        <v>0.64601523803799021</v>
      </c>
      <c r="AH3861" s="2" t="str">
        <f ca="1"/>
        <v>Bad</v>
      </c>
    </row>
    <row r="3862" spans="2:34" x14ac:dyDescent="0.2">
      <c r="B3862" s="2">
        <f ca="1"/>
        <v>0.1646778542174907</v>
      </c>
      <c r="O3862" s="2">
        <f ca="1"/>
        <v>0.92380261299010047</v>
      </c>
      <c r="X3862" s="2">
        <f ca="1"/>
        <v>61.82685731676451</v>
      </c>
      <c r="AG3862" s="2">
        <f ca="1"/>
        <v>0.45105220984242389</v>
      </c>
      <c r="AH3862" s="2" t="str">
        <f ca="1"/>
        <v>Bad</v>
      </c>
    </row>
    <row r="3863" spans="2:34" x14ac:dyDescent="0.2">
      <c r="B3863" s="2">
        <f ca="1"/>
        <v>0.49556981729377791</v>
      </c>
      <c r="O3863" s="2">
        <f ca="1"/>
        <v>-0.98757483696707082</v>
      </c>
      <c r="X3863" s="2">
        <f ca="1"/>
        <v>51.805443721144158</v>
      </c>
      <c r="AG3863" s="2">
        <f ca="1"/>
        <v>0.23755756057549338</v>
      </c>
      <c r="AH3863" s="2" t="str">
        <f ca="1"/>
        <v>OK</v>
      </c>
    </row>
    <row r="3864" spans="2:34" x14ac:dyDescent="0.2">
      <c r="B3864" s="2">
        <f ca="1"/>
        <v>0.6897208159920607</v>
      </c>
      <c r="O3864" s="2">
        <f ca="1"/>
        <v>0.42100407952458024</v>
      </c>
      <c r="X3864" s="2">
        <f ca="1"/>
        <v>59.443293341325038</v>
      </c>
      <c r="AG3864" s="2">
        <f ca="1"/>
        <v>0.34031032670046746</v>
      </c>
      <c r="AH3864" s="2" t="str">
        <f ca="1"/>
        <v>OK</v>
      </c>
    </row>
    <row r="3865" spans="2:34" x14ac:dyDescent="0.2">
      <c r="B3865" s="2">
        <f ca="1"/>
        <v>0.31730137670715686</v>
      </c>
      <c r="O3865" s="2">
        <f ca="1"/>
        <v>1.4844773844354242</v>
      </c>
      <c r="X3865" s="2">
        <f ca="1"/>
        <v>22.845956433201113</v>
      </c>
      <c r="AG3865" s="2">
        <f ca="1"/>
        <v>0.36716301914815386</v>
      </c>
      <c r="AH3865" s="2" t="str">
        <f ca="1"/>
        <v>OK</v>
      </c>
    </row>
    <row r="3866" spans="2:34" x14ac:dyDescent="0.2">
      <c r="B3866" s="2">
        <f ca="1"/>
        <v>0.58250134239908857</v>
      </c>
      <c r="O3866" s="2">
        <f ca="1"/>
        <v>-0.51480214096006338</v>
      </c>
      <c r="X3866" s="2">
        <f ca="1"/>
        <v>45.748355252973013</v>
      </c>
      <c r="AG3866" s="2">
        <f ca="1"/>
        <v>0.87022056404134096</v>
      </c>
      <c r="AH3866" s="2" t="str">
        <f ca="1"/>
        <v>Bad</v>
      </c>
    </row>
    <row r="3867" spans="2:34" x14ac:dyDescent="0.2">
      <c r="B3867" s="2">
        <f ca="1"/>
        <v>0.59463635611661103</v>
      </c>
      <c r="O3867" s="2">
        <f ca="1"/>
        <v>1.0788726886703144</v>
      </c>
      <c r="X3867" s="2">
        <f ca="1"/>
        <v>62.985480786438004</v>
      </c>
      <c r="AG3867" s="2">
        <f ca="1"/>
        <v>0.30223225574674628</v>
      </c>
      <c r="AH3867" s="2" t="str">
        <f ca="1"/>
        <v>OK</v>
      </c>
    </row>
    <row r="3868" spans="2:34" x14ac:dyDescent="0.2">
      <c r="B3868" s="2">
        <f ca="1"/>
        <v>0.23030487994573079</v>
      </c>
      <c r="O3868" s="2">
        <f ca="1"/>
        <v>1.059929278553376</v>
      </c>
      <c r="X3868" s="2">
        <f ca="1"/>
        <v>65.182494857017389</v>
      </c>
      <c r="AG3868" s="2">
        <f ca="1"/>
        <v>0.67614248185586323</v>
      </c>
      <c r="AH3868" s="2" t="str">
        <f ca="1"/>
        <v>Bad</v>
      </c>
    </row>
    <row r="3869" spans="2:34" x14ac:dyDescent="0.2">
      <c r="B3869" s="2">
        <f ca="1"/>
        <v>4.6730768701060965E-2</v>
      </c>
      <c r="O3869" s="2">
        <f ca="1"/>
        <v>0.39802922603521146</v>
      </c>
      <c r="X3869" s="2">
        <f ca="1"/>
        <v>48.433420443438209</v>
      </c>
      <c r="AG3869" s="2">
        <f ca="1"/>
        <v>3.2387542856722185E-2</v>
      </c>
      <c r="AH3869" s="2" t="str">
        <f ca="1"/>
        <v>Good</v>
      </c>
    </row>
    <row r="3870" spans="2:34" x14ac:dyDescent="0.2">
      <c r="B3870" s="2">
        <f ca="1"/>
        <v>0.67598838981487019</v>
      </c>
      <c r="O3870" s="2">
        <f ca="1"/>
        <v>0.97991386604900399</v>
      </c>
      <c r="X3870" s="2">
        <f ca="1"/>
        <v>36.494525424371098</v>
      </c>
      <c r="AG3870" s="2">
        <f ca="1"/>
        <v>0.77298172184925051</v>
      </c>
      <c r="AH3870" s="2" t="str">
        <f ca="1"/>
        <v>Bad</v>
      </c>
    </row>
    <row r="3871" spans="2:34" x14ac:dyDescent="0.2">
      <c r="B3871" s="2">
        <f ca="1"/>
        <v>6.0389985321440687E-3</v>
      </c>
      <c r="O3871" s="2">
        <f ca="1"/>
        <v>-1.0904296612931681</v>
      </c>
      <c r="X3871" s="2">
        <f ca="1"/>
        <v>63.200242468295478</v>
      </c>
      <c r="AG3871" s="2">
        <f ca="1"/>
        <v>8.6839155142369284E-2</v>
      </c>
      <c r="AH3871" s="2" t="str">
        <f ca="1"/>
        <v>OK</v>
      </c>
    </row>
    <row r="3872" spans="2:34" x14ac:dyDescent="0.2">
      <c r="B3872" s="2">
        <f ca="1"/>
        <v>0.3883571822172307</v>
      </c>
      <c r="O3872" s="2">
        <f ca="1"/>
        <v>-0.3557710930984041</v>
      </c>
      <c r="X3872" s="2">
        <f ca="1"/>
        <v>59.093474455811844</v>
      </c>
      <c r="AG3872" s="2">
        <f ca="1"/>
        <v>0.23725899772610948</v>
      </c>
      <c r="AH3872" s="2" t="str">
        <f ca="1"/>
        <v>OK</v>
      </c>
    </row>
    <row r="3873" spans="2:34" x14ac:dyDescent="0.2">
      <c r="B3873" s="2">
        <f ca="1"/>
        <v>0.71224197045726201</v>
      </c>
      <c r="O3873" s="2">
        <f ca="1"/>
        <v>0.71942320829697315</v>
      </c>
      <c r="X3873" s="2">
        <f ca="1"/>
        <v>65.607310594783087</v>
      </c>
      <c r="AG3873" s="2">
        <f ca="1"/>
        <v>0.52847849214455622</v>
      </c>
      <c r="AH3873" s="2" t="str">
        <f ca="1"/>
        <v>Bad</v>
      </c>
    </row>
    <row r="3874" spans="2:34" x14ac:dyDescent="0.2">
      <c r="B3874" s="2">
        <f ca="1"/>
        <v>0.93440153080227284</v>
      </c>
      <c r="O3874" s="2">
        <f ca="1"/>
        <v>-0.7516075162810657</v>
      </c>
      <c r="X3874" s="2">
        <f ca="1"/>
        <v>65.412628147009556</v>
      </c>
      <c r="AG3874" s="2">
        <f ca="1"/>
        <v>0.62882840793078398</v>
      </c>
      <c r="AH3874" s="2" t="str">
        <f ca="1"/>
        <v>Bad</v>
      </c>
    </row>
    <row r="3875" spans="2:34" x14ac:dyDescent="0.2">
      <c r="B3875" s="2">
        <f ca="1"/>
        <v>0.89509534371979127</v>
      </c>
      <c r="O3875" s="2">
        <f ca="1"/>
        <v>-8.0097349459564524E-2</v>
      </c>
      <c r="X3875" s="2">
        <f ca="1"/>
        <v>52.517017070653012</v>
      </c>
      <c r="AG3875" s="2">
        <f ca="1"/>
        <v>0.27590901996230888</v>
      </c>
      <c r="AH3875" s="2" t="str">
        <f ca="1"/>
        <v>OK</v>
      </c>
    </row>
    <row r="3876" spans="2:34" x14ac:dyDescent="0.2">
      <c r="B3876" s="2">
        <f ca="1"/>
        <v>0.64558315630222718</v>
      </c>
      <c r="O3876" s="2">
        <f ca="1"/>
        <v>-0.39229393692561715</v>
      </c>
      <c r="X3876" s="2">
        <f ca="1"/>
        <v>31.10968334567529</v>
      </c>
      <c r="AG3876" s="2">
        <f ca="1"/>
        <v>0.83467490636016306</v>
      </c>
      <c r="AH3876" s="2" t="str">
        <f ca="1"/>
        <v>Bad</v>
      </c>
    </row>
    <row r="3877" spans="2:34" x14ac:dyDescent="0.2">
      <c r="B3877" s="2">
        <f ca="1"/>
        <v>0.47298340416270546</v>
      </c>
      <c r="O3877" s="2">
        <f ca="1"/>
        <v>1.6585808909033419</v>
      </c>
      <c r="X3877" s="2">
        <f ca="1"/>
        <v>58.58456276653483</v>
      </c>
      <c r="AG3877" s="2">
        <f ca="1"/>
        <v>0.50304466759426991</v>
      </c>
      <c r="AH3877" s="2" t="str">
        <f ca="1"/>
        <v>Bad</v>
      </c>
    </row>
    <row r="3878" spans="2:34" x14ac:dyDescent="0.2">
      <c r="B3878" s="2">
        <f ca="1"/>
        <v>0.95316218087607751</v>
      </c>
      <c r="O3878" s="2">
        <f ca="1"/>
        <v>0.83503424154226402</v>
      </c>
      <c r="X3878" s="2">
        <f ca="1"/>
        <v>31.95085427534287</v>
      </c>
      <c r="AG3878" s="2">
        <f ca="1"/>
        <v>0.21127818718026781</v>
      </c>
      <c r="AH3878" s="2" t="str">
        <f ca="1"/>
        <v>OK</v>
      </c>
    </row>
    <row r="3879" spans="2:34" x14ac:dyDescent="0.2">
      <c r="B3879" s="2">
        <f ca="1"/>
        <v>0.10382709299038906</v>
      </c>
      <c r="O3879" s="2">
        <f ca="1"/>
        <v>1.4019847411901476</v>
      </c>
      <c r="X3879" s="2">
        <f ca="1"/>
        <v>32.578570055678824</v>
      </c>
      <c r="AG3879" s="2">
        <f ca="1"/>
        <v>0.79928051053034843</v>
      </c>
      <c r="AH3879" s="2" t="str">
        <f ca="1"/>
        <v>Bad</v>
      </c>
    </row>
    <row r="3880" spans="2:34" x14ac:dyDescent="0.2">
      <c r="B3880" s="2">
        <f ca="1"/>
        <v>0.46541155685691926</v>
      </c>
      <c r="O3880" s="2">
        <f ca="1"/>
        <v>0.15481062775710286</v>
      </c>
      <c r="X3880" s="2">
        <f ca="1"/>
        <v>61.766773734958065</v>
      </c>
      <c r="AG3880" s="2">
        <f ca="1"/>
        <v>0.7162202506320845</v>
      </c>
      <c r="AH3880" s="2" t="str">
        <f ca="1"/>
        <v>Bad</v>
      </c>
    </row>
    <row r="3881" spans="2:34" x14ac:dyDescent="0.2">
      <c r="B3881" s="2">
        <f ca="1"/>
        <v>0.33189071455187147</v>
      </c>
      <c r="O3881" s="2">
        <f ca="1"/>
        <v>-1.1601554813763371</v>
      </c>
      <c r="X3881" s="2">
        <f ca="1"/>
        <v>55.699551467321996</v>
      </c>
      <c r="AG3881" s="2">
        <f ca="1"/>
        <v>0.5179149270909118</v>
      </c>
      <c r="AH3881" s="2" t="str">
        <f ca="1"/>
        <v>Bad</v>
      </c>
    </row>
    <row r="3882" spans="2:34" x14ac:dyDescent="0.2">
      <c r="B3882" s="2">
        <f ca="1"/>
        <v>0.55324521056772014</v>
      </c>
      <c r="O3882" s="2">
        <f ca="1"/>
        <v>1.1445254984462296</v>
      </c>
      <c r="X3882" s="2">
        <f ca="1"/>
        <v>83.946880181955379</v>
      </c>
      <c r="AG3882" s="2">
        <f ca="1"/>
        <v>0.15173516745552607</v>
      </c>
      <c r="AH3882" s="2" t="str">
        <f ca="1"/>
        <v>OK</v>
      </c>
    </row>
    <row r="3883" spans="2:34" x14ac:dyDescent="0.2">
      <c r="B3883" s="2">
        <f ca="1"/>
        <v>0.82579602240443561</v>
      </c>
      <c r="O3883" s="2">
        <f ca="1"/>
        <v>-0.24609315794352823</v>
      </c>
      <c r="X3883" s="2">
        <f ca="1"/>
        <v>27.237201977815779</v>
      </c>
      <c r="AG3883" s="2">
        <f ca="1"/>
        <v>0.65584665671830078</v>
      </c>
      <c r="AH3883" s="2" t="str">
        <f ca="1"/>
        <v>Bad</v>
      </c>
    </row>
    <row r="3884" spans="2:34" x14ac:dyDescent="0.2">
      <c r="B3884" s="2">
        <f ca="1"/>
        <v>0.51122032792393846</v>
      </c>
      <c r="O3884" s="2">
        <f ca="1"/>
        <v>0.83175763695568927</v>
      </c>
      <c r="X3884" s="2">
        <f ca="1"/>
        <v>49.226949173923614</v>
      </c>
      <c r="AG3884" s="2">
        <f ca="1"/>
        <v>0.96741112547573005</v>
      </c>
      <c r="AH3884" s="2" t="str">
        <f ca="1"/>
        <v>Bad</v>
      </c>
    </row>
    <row r="3885" spans="2:34" x14ac:dyDescent="0.2">
      <c r="B3885" s="2">
        <f ca="1"/>
        <v>0.59598125352337195</v>
      </c>
      <c r="O3885" s="2">
        <f ca="1"/>
        <v>-0.42957785000176701</v>
      </c>
      <c r="X3885" s="2">
        <f ca="1"/>
        <v>43.911559985563933</v>
      </c>
      <c r="AG3885" s="2">
        <f ca="1"/>
        <v>0.31866191198933502</v>
      </c>
      <c r="AH3885" s="2" t="str">
        <f ca="1"/>
        <v>OK</v>
      </c>
    </row>
    <row r="3886" spans="2:34" x14ac:dyDescent="0.2">
      <c r="B3886" s="2">
        <f ca="1"/>
        <v>0.82366445239433705</v>
      </c>
      <c r="O3886" s="2">
        <f ca="1"/>
        <v>0.62864152531197037</v>
      </c>
      <c r="X3886" s="2">
        <f ca="1"/>
        <v>36.633818157576449</v>
      </c>
      <c r="AG3886" s="2">
        <f ca="1"/>
        <v>0.39366074012704133</v>
      </c>
      <c r="AH3886" s="2" t="str">
        <f ca="1"/>
        <v>OK</v>
      </c>
    </row>
    <row r="3887" spans="2:34" x14ac:dyDescent="0.2">
      <c r="B3887" s="2">
        <f ca="1"/>
        <v>0.93050670740450925</v>
      </c>
      <c r="O3887" s="2">
        <f ca="1"/>
        <v>-1.199786459498035</v>
      </c>
      <c r="X3887" s="2">
        <f ca="1"/>
        <v>65.026377997241184</v>
      </c>
      <c r="AG3887" s="2">
        <f ca="1"/>
        <v>0.42355485789110947</v>
      </c>
      <c r="AH3887" s="2" t="str">
        <f ca="1"/>
        <v>Bad</v>
      </c>
    </row>
    <row r="3888" spans="2:34" x14ac:dyDescent="0.2">
      <c r="B3888" s="2">
        <f ca="1"/>
        <v>7.65938467523819E-4</v>
      </c>
      <c r="O3888" s="2">
        <f ca="1"/>
        <v>-1.6391370399432788</v>
      </c>
      <c r="X3888" s="2">
        <f ca="1"/>
        <v>44.224084667081634</v>
      </c>
      <c r="AG3888" s="2">
        <f ca="1"/>
        <v>0.22755324964184487</v>
      </c>
      <c r="AH3888" s="2" t="str">
        <f ca="1"/>
        <v>OK</v>
      </c>
    </row>
    <row r="3889" spans="2:34" x14ac:dyDescent="0.2">
      <c r="B3889" s="2">
        <f ca="1"/>
        <v>9.924756883776098E-2</v>
      </c>
      <c r="O3889" s="2">
        <f ca="1"/>
        <v>1.3868463484210061</v>
      </c>
      <c r="X3889" s="2">
        <f ca="1"/>
        <v>40.652067843603987</v>
      </c>
      <c r="AG3889" s="2">
        <f ca="1"/>
        <v>5.0299316412985906E-2</v>
      </c>
      <c r="AH3889" s="2" t="str">
        <f ca="1"/>
        <v>OK</v>
      </c>
    </row>
    <row r="3890" spans="2:34" x14ac:dyDescent="0.2">
      <c r="B3890" s="2">
        <f ca="1"/>
        <v>0.75403555573216541</v>
      </c>
      <c r="O3890" s="2">
        <f ca="1"/>
        <v>-0.15819829237235966</v>
      </c>
      <c r="X3890" s="2">
        <f ca="1"/>
        <v>36.127007000769893</v>
      </c>
      <c r="AG3890" s="2">
        <f ca="1"/>
        <v>0.64088610378142485</v>
      </c>
      <c r="AH3890" s="2" t="str">
        <f ca="1"/>
        <v>Bad</v>
      </c>
    </row>
    <row r="3891" spans="2:34" x14ac:dyDescent="0.2">
      <c r="B3891" s="2">
        <f ca="1"/>
        <v>0.14159241343036699</v>
      </c>
      <c r="O3891" s="2">
        <f ca="1"/>
        <v>0.99192747529887038</v>
      </c>
      <c r="X3891" s="2">
        <f ca="1"/>
        <v>51.302339395199105</v>
      </c>
      <c r="AG3891" s="2">
        <f ca="1"/>
        <v>5.8404005367740375E-4</v>
      </c>
      <c r="AH3891" s="2" t="str">
        <f ca="1"/>
        <v>Good</v>
      </c>
    </row>
    <row r="3892" spans="2:34" x14ac:dyDescent="0.2">
      <c r="B3892" s="2">
        <f ca="1"/>
        <v>0.71404893663820701</v>
      </c>
      <c r="O3892" s="2">
        <f ca="1"/>
        <v>-0.74190679063725562</v>
      </c>
      <c r="X3892" s="2">
        <f ca="1"/>
        <v>36.649872127216391</v>
      </c>
      <c r="AG3892" s="2">
        <f ca="1"/>
        <v>0.29391349382448073</v>
      </c>
      <c r="AH3892" s="2" t="str">
        <f ca="1"/>
        <v>OK</v>
      </c>
    </row>
    <row r="3893" spans="2:34" x14ac:dyDescent="0.2">
      <c r="B3893" s="2">
        <f ca="1"/>
        <v>0.33899474954716546</v>
      </c>
      <c r="O3893" s="2">
        <f ca="1"/>
        <v>0.26974535763383478</v>
      </c>
      <c r="X3893" s="2">
        <f ca="1"/>
        <v>70.147202651507584</v>
      </c>
      <c r="AG3893" s="2">
        <f ca="1"/>
        <v>0.79391956446143719</v>
      </c>
      <c r="AH3893" s="2" t="str">
        <f ca="1"/>
        <v>Bad</v>
      </c>
    </row>
    <row r="3894" spans="2:34" x14ac:dyDescent="0.2">
      <c r="B3894" s="2">
        <f ca="1"/>
        <v>0.56349258881816122</v>
      </c>
      <c r="O3894" s="2">
        <f ca="1"/>
        <v>0.4596737838928317</v>
      </c>
      <c r="X3894" s="2">
        <f ca="1"/>
        <v>45.158400514822262</v>
      </c>
      <c r="AG3894" s="2">
        <f ca="1"/>
        <v>0.23250534460435834</v>
      </c>
      <c r="AH3894" s="2" t="str">
        <f ca="1"/>
        <v>OK</v>
      </c>
    </row>
    <row r="3895" spans="2:34" x14ac:dyDescent="0.2">
      <c r="B3895" s="2">
        <f ca="1"/>
        <v>0.90430567729310019</v>
      </c>
      <c r="O3895" s="2">
        <f ca="1"/>
        <v>1.1744702304687282</v>
      </c>
      <c r="X3895" s="2">
        <f ca="1"/>
        <v>30.617395887918267</v>
      </c>
      <c r="AG3895" s="2">
        <f ca="1"/>
        <v>0.57203899576071837</v>
      </c>
      <c r="AH3895" s="2" t="str">
        <f ca="1"/>
        <v>Bad</v>
      </c>
    </row>
    <row r="3896" spans="2:34" x14ac:dyDescent="0.2">
      <c r="B3896" s="2">
        <f ca="1"/>
        <v>8.218726453955405E-2</v>
      </c>
      <c r="O3896" s="2">
        <f ca="1"/>
        <v>1.7675818559592003</v>
      </c>
      <c r="X3896" s="2">
        <f ca="1"/>
        <v>49.899266657719792</v>
      </c>
      <c r="AG3896" s="2">
        <f ca="1"/>
        <v>0.39488890796693399</v>
      </c>
      <c r="AH3896" s="2" t="str">
        <f ca="1"/>
        <v>OK</v>
      </c>
    </row>
    <row r="3897" spans="2:34" x14ac:dyDescent="0.2">
      <c r="B3897" s="2">
        <f ca="1"/>
        <v>1.4689854862862006E-2</v>
      </c>
      <c r="O3897" s="2">
        <f ca="1"/>
        <v>1.1369151601562626</v>
      </c>
      <c r="X3897" s="2">
        <f ca="1"/>
        <v>48.220265848343132</v>
      </c>
      <c r="AG3897" s="2">
        <f ca="1"/>
        <v>0.56062286979361842</v>
      </c>
      <c r="AH3897" s="2" t="str">
        <f ca="1"/>
        <v>Bad</v>
      </c>
    </row>
    <row r="3898" spans="2:34" x14ac:dyDescent="0.2">
      <c r="B3898" s="2">
        <f ca="1"/>
        <v>0.75549069763783816</v>
      </c>
      <c r="O3898" s="2">
        <f ca="1"/>
        <v>-8.2050856183953622E-2</v>
      </c>
      <c r="X3898" s="2">
        <f ca="1"/>
        <v>72.084298983780101</v>
      </c>
      <c r="AG3898" s="2">
        <f ca="1"/>
        <v>7.0250306127298101E-2</v>
      </c>
      <c r="AH3898" s="2" t="str">
        <f ca="1"/>
        <v>OK</v>
      </c>
    </row>
    <row r="3899" spans="2:34" x14ac:dyDescent="0.2">
      <c r="B3899" s="2">
        <f ca="1"/>
        <v>0.71013472271910061</v>
      </c>
      <c r="O3899" s="2">
        <f ca="1"/>
        <v>-0.88743539925091275</v>
      </c>
      <c r="X3899" s="2">
        <f ca="1"/>
        <v>48.026562273203204</v>
      </c>
      <c r="AG3899" s="2">
        <f ca="1"/>
        <v>0.99263523701659273</v>
      </c>
      <c r="AH3899" s="2" t="str">
        <f ca="1"/>
        <v>Bad</v>
      </c>
    </row>
    <row r="3900" spans="2:34" x14ac:dyDescent="0.2">
      <c r="B3900" s="2">
        <f ca="1"/>
        <v>0.31833516627871661</v>
      </c>
      <c r="O3900" s="2">
        <f ca="1"/>
        <v>-0.24026228261273475</v>
      </c>
      <c r="X3900" s="2">
        <f ca="1"/>
        <v>45.279168082078414</v>
      </c>
      <c r="AG3900" s="2">
        <f ca="1"/>
        <v>0.93198650078439504</v>
      </c>
      <c r="AH3900" s="2" t="str">
        <f ca="1"/>
        <v>Bad</v>
      </c>
    </row>
    <row r="3901" spans="2:34" x14ac:dyDescent="0.2">
      <c r="B3901" s="2">
        <f ca="1"/>
        <v>8.9420591643661895E-2</v>
      </c>
      <c r="O3901" s="2">
        <f ca="1"/>
        <v>-0.62535696997167767</v>
      </c>
      <c r="X3901" s="2">
        <f ca="1"/>
        <v>63.05487811703135</v>
      </c>
      <c r="AG3901" s="2">
        <f ca="1"/>
        <v>0.36784118592010273</v>
      </c>
      <c r="AH3901" s="2" t="str">
        <f ca="1"/>
        <v>OK</v>
      </c>
    </row>
    <row r="3902" spans="2:34" x14ac:dyDescent="0.2">
      <c r="B3902" s="2">
        <f ca="1"/>
        <v>0.19355501296343935</v>
      </c>
      <c r="O3902" s="2">
        <f ca="1"/>
        <v>-0.21179271553251497</v>
      </c>
      <c r="X3902" s="2">
        <f ca="1"/>
        <v>42.498807764325129</v>
      </c>
      <c r="AG3902" s="2">
        <f ca="1"/>
        <v>0.86583830561149089</v>
      </c>
      <c r="AH3902" s="2" t="str">
        <f ca="1"/>
        <v>Bad</v>
      </c>
    </row>
    <row r="3903" spans="2:34" x14ac:dyDescent="0.2">
      <c r="B3903" s="2">
        <f ca="1"/>
        <v>0.90109644562230984</v>
      </c>
      <c r="O3903" s="2">
        <f ca="1"/>
        <v>0.5487675254845501</v>
      </c>
      <c r="X3903" s="2">
        <f ca="1"/>
        <v>62.158891131400374</v>
      </c>
      <c r="AG3903" s="2">
        <f ca="1"/>
        <v>0.63180446667177748</v>
      </c>
      <c r="AH3903" s="2" t="str">
        <f ca="1"/>
        <v>Bad</v>
      </c>
    </row>
    <row r="3904" spans="2:34" x14ac:dyDescent="0.2">
      <c r="B3904" s="2">
        <f ca="1"/>
        <v>0.68555539188698011</v>
      </c>
      <c r="O3904" s="2">
        <f ca="1"/>
        <v>-3.3226456583103595E-2</v>
      </c>
      <c r="X3904" s="2">
        <f ca="1"/>
        <v>33.392198459758184</v>
      </c>
      <c r="AG3904" s="2">
        <f ca="1"/>
        <v>0.45396554194624827</v>
      </c>
      <c r="AH3904" s="2" t="str">
        <f ca="1"/>
        <v>Bad</v>
      </c>
    </row>
    <row r="3905" spans="2:34" x14ac:dyDescent="0.2">
      <c r="B3905" s="2">
        <f ca="1"/>
        <v>0.57640874775504236</v>
      </c>
      <c r="O3905" s="2">
        <f ca="1"/>
        <v>0.2834410674008464</v>
      </c>
      <c r="X3905" s="2">
        <f ca="1"/>
        <v>75.771293320383975</v>
      </c>
      <c r="AG3905" s="2">
        <f ca="1"/>
        <v>0.26468139634293664</v>
      </c>
      <c r="AH3905" s="2" t="str">
        <f ca="1"/>
        <v>OK</v>
      </c>
    </row>
    <row r="3906" spans="2:34" x14ac:dyDescent="0.2">
      <c r="B3906" s="2">
        <f ca="1"/>
        <v>0.79419429836315469</v>
      </c>
      <c r="O3906" s="2">
        <f ca="1"/>
        <v>0.80108304722351509</v>
      </c>
      <c r="X3906" s="2">
        <f ca="1"/>
        <v>47.194148093627035</v>
      </c>
      <c r="AG3906" s="2">
        <f ca="1"/>
        <v>0.22664534090619903</v>
      </c>
      <c r="AH3906" s="2" t="str">
        <f ca="1"/>
        <v>OK</v>
      </c>
    </row>
    <row r="3907" spans="2:34" x14ac:dyDescent="0.2">
      <c r="B3907" s="2">
        <f ca="1"/>
        <v>0.36001660723313855</v>
      </c>
      <c r="O3907" s="2">
        <f ca="1"/>
        <v>0.44882038925475742</v>
      </c>
      <c r="X3907" s="2">
        <f ca="1"/>
        <v>60.88114186587098</v>
      </c>
      <c r="AG3907" s="2">
        <f ca="1"/>
        <v>0.77616104717130163</v>
      </c>
      <c r="AH3907" s="2" t="str">
        <f ca="1"/>
        <v>Bad</v>
      </c>
    </row>
    <row r="3908" spans="2:34" x14ac:dyDescent="0.2">
      <c r="B3908" s="2">
        <f ca="1"/>
        <v>0.74863771023978498</v>
      </c>
      <c r="O3908" s="2">
        <f ca="1"/>
        <v>0.37612773653567927</v>
      </c>
      <c r="X3908" s="2">
        <f ca="1"/>
        <v>47.413556512243545</v>
      </c>
      <c r="AG3908" s="2">
        <f ca="1"/>
        <v>0.76983749126410639</v>
      </c>
      <c r="AH3908" s="2" t="str">
        <f ca="1"/>
        <v>Bad</v>
      </c>
    </row>
    <row r="3909" spans="2:34" x14ac:dyDescent="0.2">
      <c r="B3909" s="2">
        <f ca="1"/>
        <v>0.25497435894130271</v>
      </c>
      <c r="O3909" s="2">
        <f ca="1"/>
        <v>-0.29835949534686312</v>
      </c>
      <c r="X3909" s="2">
        <f ca="1"/>
        <v>49.019117659883619</v>
      </c>
      <c r="AG3909" s="2">
        <f ca="1"/>
        <v>0.16000657102040061</v>
      </c>
      <c r="AH3909" s="2" t="str">
        <f ca="1"/>
        <v>OK</v>
      </c>
    </row>
    <row r="3910" spans="2:34" x14ac:dyDescent="0.2">
      <c r="B3910" s="2">
        <f ca="1"/>
        <v>0.11108852529265945</v>
      </c>
      <c r="O3910" s="2">
        <f ca="1"/>
        <v>0.3494915258973878</v>
      </c>
      <c r="X3910" s="2">
        <f ca="1"/>
        <v>39.752403958012238</v>
      </c>
      <c r="AG3910" s="2">
        <f ca="1"/>
        <v>9.4153514170445263E-3</v>
      </c>
      <c r="AH3910" s="2" t="str">
        <f ca="1"/>
        <v>Good</v>
      </c>
    </row>
    <row r="3911" spans="2:34" x14ac:dyDescent="0.2">
      <c r="B3911" s="2">
        <f ca="1"/>
        <v>0.99818907232410026</v>
      </c>
      <c r="O3911" s="2">
        <f ca="1"/>
        <v>-0.50887088386781598</v>
      </c>
      <c r="X3911" s="2">
        <f ca="1"/>
        <v>36.159652869017236</v>
      </c>
      <c r="AG3911" s="2">
        <f ca="1"/>
        <v>0.40784074007203674</v>
      </c>
      <c r="AH3911" s="2" t="str">
        <f ca="1"/>
        <v>Bad</v>
      </c>
    </row>
    <row r="3912" spans="2:34" x14ac:dyDescent="0.2">
      <c r="B3912" s="2">
        <f ca="1"/>
        <v>0.72486406382703295</v>
      </c>
      <c r="O3912" s="2">
        <f ca="1"/>
        <v>1.3694341970930008</v>
      </c>
      <c r="X3912" s="2">
        <f ca="1"/>
        <v>65.280822153971641</v>
      </c>
      <c r="AG3912" s="2">
        <f ca="1"/>
        <v>0.32187817175791644</v>
      </c>
      <c r="AH3912" s="2" t="str">
        <f ca="1"/>
        <v>OK</v>
      </c>
    </row>
    <row r="3913" spans="2:34" x14ac:dyDescent="0.2">
      <c r="B3913" s="2">
        <f ca="1"/>
        <v>0.36185051007480529</v>
      </c>
      <c r="O3913" s="2">
        <f ca="1"/>
        <v>0.65741725555651898</v>
      </c>
      <c r="X3913" s="2">
        <f ca="1"/>
        <v>42.697473508374976</v>
      </c>
      <c r="AG3913" s="2">
        <f ca="1"/>
        <v>0.52060627989272201</v>
      </c>
      <c r="AH3913" s="2" t="str">
        <f ca="1"/>
        <v>Bad</v>
      </c>
    </row>
    <row r="3914" spans="2:34" x14ac:dyDescent="0.2">
      <c r="B3914" s="2">
        <f ca="1"/>
        <v>0.11645968128384721</v>
      </c>
      <c r="O3914" s="2">
        <f ca="1"/>
        <v>-0.16874229281861514</v>
      </c>
      <c r="X3914" s="2">
        <f ca="1"/>
        <v>56.515306203059197</v>
      </c>
      <c r="AG3914" s="2">
        <f ca="1"/>
        <v>0.10931975443572028</v>
      </c>
      <c r="AH3914" s="2" t="str">
        <f ca="1"/>
        <v>OK</v>
      </c>
    </row>
    <row r="3915" spans="2:34" x14ac:dyDescent="0.2">
      <c r="B3915" s="2">
        <f ca="1"/>
        <v>0.1072735321959557</v>
      </c>
      <c r="O3915" s="2">
        <f ca="1"/>
        <v>-0.69023555035414164</v>
      </c>
      <c r="X3915" s="2">
        <f ca="1"/>
        <v>33.766055329001226</v>
      </c>
      <c r="AG3915" s="2">
        <f ca="1"/>
        <v>0.5697410974777799</v>
      </c>
      <c r="AH3915" s="2" t="str">
        <f ca="1"/>
        <v>Bad</v>
      </c>
    </row>
    <row r="3916" spans="2:34" x14ac:dyDescent="0.2">
      <c r="B3916" s="2">
        <f ca="1"/>
        <v>0.15383278818907575</v>
      </c>
      <c r="O3916" s="2">
        <f ca="1"/>
        <v>0.37579680569174878</v>
      </c>
      <c r="X3916" s="2">
        <f ca="1"/>
        <v>30.983262239485725</v>
      </c>
      <c r="AG3916" s="2">
        <f ca="1"/>
        <v>0.22155406284031387</v>
      </c>
      <c r="AH3916" s="2" t="str">
        <f ca="1"/>
        <v>OK</v>
      </c>
    </row>
    <row r="3917" spans="2:34" x14ac:dyDescent="0.2">
      <c r="B3917" s="2">
        <f ca="1"/>
        <v>0.45231550440068791</v>
      </c>
      <c r="O3917" s="2">
        <f ca="1"/>
        <v>0.68715901410749658</v>
      </c>
      <c r="X3917" s="2">
        <f ca="1"/>
        <v>65.290736529144141</v>
      </c>
      <c r="AG3917" s="2">
        <f ca="1"/>
        <v>0.79110131713240728</v>
      </c>
      <c r="AH3917" s="2" t="str">
        <f ca="1"/>
        <v>Bad</v>
      </c>
    </row>
    <row r="3918" spans="2:34" x14ac:dyDescent="0.2">
      <c r="B3918" s="2">
        <f ca="1"/>
        <v>0.57121476986303898</v>
      </c>
      <c r="O3918" s="2">
        <f ca="1"/>
        <v>0.31506892172583112</v>
      </c>
      <c r="X3918" s="2">
        <f ca="1"/>
        <v>45.86500221495865</v>
      </c>
      <c r="AG3918" s="2">
        <f ca="1"/>
        <v>0.25006576995391994</v>
      </c>
      <c r="AH3918" s="2" t="str">
        <f ca="1"/>
        <v>OK</v>
      </c>
    </row>
    <row r="3919" spans="2:34" x14ac:dyDescent="0.2">
      <c r="B3919" s="2">
        <f ca="1"/>
        <v>0.88189614279671802</v>
      </c>
      <c r="O3919" s="2">
        <f ca="1"/>
        <v>-0.76451232851807904</v>
      </c>
      <c r="X3919" s="2">
        <f ca="1"/>
        <v>36.261652584873886</v>
      </c>
      <c r="AG3919" s="2">
        <f ca="1"/>
        <v>0.32590962327094219</v>
      </c>
      <c r="AH3919" s="2" t="str">
        <f ca="1"/>
        <v>OK</v>
      </c>
    </row>
    <row r="3920" spans="2:34" x14ac:dyDescent="0.2">
      <c r="B3920" s="2">
        <f ca="1"/>
        <v>0.77616839952452765</v>
      </c>
      <c r="O3920" s="2">
        <f ca="1"/>
        <v>2.2336562652647847</v>
      </c>
      <c r="X3920" s="2">
        <f ca="1"/>
        <v>51.686468245319439</v>
      </c>
      <c r="AG3920" s="2">
        <f ca="1"/>
        <v>0.53553020845881849</v>
      </c>
      <c r="AH3920" s="2" t="str">
        <f ca="1"/>
        <v>Bad</v>
      </c>
    </row>
    <row r="3921" spans="2:34" x14ac:dyDescent="0.2">
      <c r="B3921" s="2">
        <f ca="1"/>
        <v>0.10075054067352718</v>
      </c>
      <c r="O3921" s="2">
        <f ca="1"/>
        <v>0.79336537706945798</v>
      </c>
      <c r="X3921" s="2">
        <f ca="1"/>
        <v>18.993641854900801</v>
      </c>
      <c r="AG3921" s="2">
        <f ca="1"/>
        <v>0.63451622024675758</v>
      </c>
      <c r="AH3921" s="2" t="str">
        <f ca="1"/>
        <v>Bad</v>
      </c>
    </row>
    <row r="3922" spans="2:34" x14ac:dyDescent="0.2">
      <c r="B3922" s="2">
        <f ca="1"/>
        <v>0.9308161744834933</v>
      </c>
      <c r="O3922" s="2">
        <f ca="1"/>
        <v>0.36691329039847076</v>
      </c>
      <c r="X3922" s="2">
        <f ca="1"/>
        <v>87.659206188669074</v>
      </c>
      <c r="AG3922" s="2">
        <f ca="1"/>
        <v>0.74106188807247841</v>
      </c>
      <c r="AH3922" s="2" t="str">
        <f ca="1"/>
        <v>Bad</v>
      </c>
    </row>
    <row r="3923" spans="2:34" x14ac:dyDescent="0.2">
      <c r="B3923" s="2">
        <f ca="1"/>
        <v>0.2873344339292685</v>
      </c>
      <c r="O3923" s="2">
        <f ca="1"/>
        <v>-0.24374970947332991</v>
      </c>
      <c r="X3923" s="2">
        <f ca="1"/>
        <v>41.036361528893785</v>
      </c>
      <c r="AG3923" s="2">
        <f ca="1"/>
        <v>0.20170796441372452</v>
      </c>
      <c r="AH3923" s="2" t="str">
        <f ca="1"/>
        <v>OK</v>
      </c>
    </row>
    <row r="3924" spans="2:34" x14ac:dyDescent="0.2">
      <c r="B3924" s="2">
        <f ca="1"/>
        <v>0.47285299131211689</v>
      </c>
      <c r="O3924" s="2">
        <f ca="1"/>
        <v>0.42414598790269031</v>
      </c>
      <c r="X3924" s="2">
        <f ca="1"/>
        <v>46.851151367371465</v>
      </c>
      <c r="AG3924" s="2">
        <f ca="1"/>
        <v>0.73830280495580025</v>
      </c>
      <c r="AH3924" s="2" t="str">
        <f ca="1"/>
        <v>Bad</v>
      </c>
    </row>
    <row r="3925" spans="2:34" x14ac:dyDescent="0.2">
      <c r="B3925" s="2">
        <f ca="1"/>
        <v>9.8265822848135675E-2</v>
      </c>
      <c r="O3925" s="2">
        <f ca="1"/>
        <v>0.26814456207670523</v>
      </c>
      <c r="X3925" s="2">
        <f ca="1"/>
        <v>28.139423776257715</v>
      </c>
      <c r="AG3925" s="2">
        <f ca="1"/>
        <v>0.90641817534015345</v>
      </c>
      <c r="AH3925" s="2" t="str">
        <f ca="1"/>
        <v>Bad</v>
      </c>
    </row>
    <row r="3926" spans="2:34" x14ac:dyDescent="0.2">
      <c r="B3926" s="2">
        <f ca="1"/>
        <v>0.30124872698253147</v>
      </c>
      <c r="O3926" s="2">
        <f ca="1"/>
        <v>0.1553460099977623</v>
      </c>
      <c r="X3926" s="2">
        <f ca="1"/>
        <v>39.589847147966893</v>
      </c>
      <c r="AG3926" s="2">
        <f ca="1"/>
        <v>8.2779699746001301E-2</v>
      </c>
      <c r="AH3926" s="2" t="str">
        <f ca="1"/>
        <v>OK</v>
      </c>
    </row>
    <row r="3927" spans="2:34" x14ac:dyDescent="0.2">
      <c r="B3927" s="2">
        <f ca="1"/>
        <v>0.20112283148420862</v>
      </c>
      <c r="O3927" s="2">
        <f ca="1"/>
        <v>-1.9779236815873806</v>
      </c>
      <c r="X3927" s="2">
        <f ca="1"/>
        <v>84.588820558860959</v>
      </c>
      <c r="AG3927" s="2">
        <f ca="1"/>
        <v>0.6579663439899428</v>
      </c>
      <c r="AH3927" s="2" t="str">
        <f ca="1"/>
        <v>Bad</v>
      </c>
    </row>
    <row r="3928" spans="2:34" x14ac:dyDescent="0.2">
      <c r="B3928" s="2">
        <f ca="1"/>
        <v>0.82165109527148705</v>
      </c>
      <c r="O3928" s="2">
        <f ca="1"/>
        <v>-0.16509268661850687</v>
      </c>
      <c r="X3928" s="2">
        <f ca="1"/>
        <v>47.990348206043834</v>
      </c>
      <c r="AG3928" s="2">
        <f ca="1"/>
        <v>0.35205083714202878</v>
      </c>
      <c r="AH3928" s="2" t="str">
        <f ca="1"/>
        <v>OK</v>
      </c>
    </row>
    <row r="3929" spans="2:34" x14ac:dyDescent="0.2">
      <c r="B3929" s="2">
        <f ca="1"/>
        <v>0.2471609514814026</v>
      </c>
      <c r="O3929" s="2">
        <f ca="1"/>
        <v>-1.1908587430176518</v>
      </c>
      <c r="X3929" s="2">
        <f ca="1"/>
        <v>47.577904335171795</v>
      </c>
      <c r="AG3929" s="2">
        <f ca="1"/>
        <v>0.84859839610355903</v>
      </c>
      <c r="AH3929" s="2" t="str">
        <f ca="1"/>
        <v>Bad</v>
      </c>
    </row>
    <row r="3930" spans="2:34" x14ac:dyDescent="0.2">
      <c r="B3930" s="2">
        <f ca="1"/>
        <v>0.6640344694280198</v>
      </c>
      <c r="O3930" s="2">
        <f ca="1"/>
        <v>-0.15456409128126619</v>
      </c>
      <c r="X3930" s="2">
        <f ca="1"/>
        <v>54.63408386678887</v>
      </c>
      <c r="AG3930" s="2">
        <f ca="1"/>
        <v>0.47157959030317853</v>
      </c>
      <c r="AH3930" s="2" t="str">
        <f ca="1"/>
        <v>Bad</v>
      </c>
    </row>
    <row r="3931" spans="2:34" x14ac:dyDescent="0.2">
      <c r="B3931" s="2">
        <f ca="1"/>
        <v>0.55173841809878899</v>
      </c>
      <c r="O3931" s="2">
        <f ca="1"/>
        <v>3.0431015295546926</v>
      </c>
      <c r="X3931" s="2">
        <f ca="1"/>
        <v>47.660381420898297</v>
      </c>
      <c r="AG3931" s="2">
        <f ca="1"/>
        <v>0.12825120798124923</v>
      </c>
      <c r="AH3931" s="2" t="str">
        <f ca="1"/>
        <v>OK</v>
      </c>
    </row>
    <row r="3932" spans="2:34" x14ac:dyDescent="0.2">
      <c r="B3932" s="2">
        <f ca="1"/>
        <v>0.80977014745417608</v>
      </c>
      <c r="O3932" s="2">
        <f ca="1"/>
        <v>-0.99325990972589706</v>
      </c>
      <c r="X3932" s="2">
        <f ca="1"/>
        <v>18.325540823882019</v>
      </c>
      <c r="AG3932" s="2">
        <f ca="1"/>
        <v>0.5917670888563451</v>
      </c>
      <c r="AH3932" s="2" t="str">
        <f ca="1"/>
        <v>Bad</v>
      </c>
    </row>
    <row r="3933" spans="2:34" x14ac:dyDescent="0.2">
      <c r="B3933" s="2">
        <f ca="1"/>
        <v>0.21698891601856318</v>
      </c>
      <c r="O3933" s="2">
        <f ca="1"/>
        <v>0.17595312276693498</v>
      </c>
      <c r="X3933" s="2">
        <f ca="1"/>
        <v>41.237251011014337</v>
      </c>
      <c r="AG3933" s="2">
        <f ca="1"/>
        <v>0.74331202618546621</v>
      </c>
      <c r="AH3933" s="2" t="str">
        <f ca="1"/>
        <v>Bad</v>
      </c>
    </row>
    <row r="3934" spans="2:34" x14ac:dyDescent="0.2">
      <c r="B3934" s="2">
        <f ca="1"/>
        <v>0.25751123731464531</v>
      </c>
      <c r="O3934" s="2">
        <f ca="1"/>
        <v>0.26248156736600348</v>
      </c>
      <c r="X3934" s="2">
        <f ca="1"/>
        <v>40.45963361181721</v>
      </c>
      <c r="AG3934" s="2">
        <f ca="1"/>
        <v>0.14776276983977787</v>
      </c>
      <c r="AH3934" s="2" t="str">
        <f ca="1"/>
        <v>OK</v>
      </c>
    </row>
    <row r="3935" spans="2:34" x14ac:dyDescent="0.2">
      <c r="B3935" s="2">
        <f ca="1"/>
        <v>0.27889674510336193</v>
      </c>
      <c r="O3935" s="2">
        <f ca="1"/>
        <v>0.20362740598757015</v>
      </c>
      <c r="X3935" s="2">
        <f ca="1"/>
        <v>76.001379871740383</v>
      </c>
      <c r="AG3935" s="2">
        <f ca="1"/>
        <v>7.5807183216462848E-2</v>
      </c>
      <c r="AH3935" s="2" t="str">
        <f ca="1"/>
        <v>OK</v>
      </c>
    </row>
    <row r="3936" spans="2:34" x14ac:dyDescent="0.2">
      <c r="B3936" s="2">
        <f ca="1"/>
        <v>0.13928297521061173</v>
      </c>
      <c r="O3936" s="2">
        <f ca="1"/>
        <v>-0.85970711619074303</v>
      </c>
      <c r="X3936" s="2">
        <f ca="1"/>
        <v>31.655873157004912</v>
      </c>
      <c r="AG3936" s="2">
        <f ca="1"/>
        <v>0.7846232828656925</v>
      </c>
      <c r="AH3936" s="2" t="str">
        <f ca="1"/>
        <v>Bad</v>
      </c>
    </row>
    <row r="3937" spans="2:34" x14ac:dyDescent="0.2">
      <c r="B3937" s="2">
        <f ca="1"/>
        <v>0.17495432843195391</v>
      </c>
      <c r="O3937" s="2">
        <f ca="1"/>
        <v>-0.48876137929531505</v>
      </c>
      <c r="X3937" s="2">
        <f ca="1"/>
        <v>43.943333472597324</v>
      </c>
      <c r="AG3937" s="2">
        <f ca="1"/>
        <v>0.9867373841891498</v>
      </c>
      <c r="AH3937" s="2" t="str">
        <f ca="1"/>
        <v>Bad</v>
      </c>
    </row>
    <row r="3938" spans="2:34" x14ac:dyDescent="0.2">
      <c r="B3938" s="2">
        <f ca="1"/>
        <v>0.37404819038193571</v>
      </c>
      <c r="O3938" s="2">
        <f ca="1"/>
        <v>1.9615205007415151</v>
      </c>
      <c r="X3938" s="2">
        <f ca="1"/>
        <v>37.620992388112469</v>
      </c>
      <c r="AG3938" s="2">
        <f ca="1"/>
        <v>0.98110737081587751</v>
      </c>
      <c r="AH3938" s="2" t="str">
        <f ca="1"/>
        <v>Bad</v>
      </c>
    </row>
    <row r="3939" spans="2:34" x14ac:dyDescent="0.2">
      <c r="B3939" s="2">
        <f ca="1"/>
        <v>0.54807011275359807</v>
      </c>
      <c r="O3939" s="2">
        <f ca="1"/>
        <v>-0.33706486669962377</v>
      </c>
      <c r="X3939" s="2">
        <f ca="1"/>
        <v>53.084986737244705</v>
      </c>
      <c r="AG3939" s="2">
        <f ca="1"/>
        <v>0.21887548266870516</v>
      </c>
      <c r="AH3939" s="2" t="str">
        <f ca="1"/>
        <v>OK</v>
      </c>
    </row>
    <row r="3940" spans="2:34" x14ac:dyDescent="0.2">
      <c r="B3940" s="2">
        <f ca="1"/>
        <v>0.57140512765480778</v>
      </c>
      <c r="O3940" s="2">
        <f ca="1"/>
        <v>0.16237317522075467</v>
      </c>
      <c r="X3940" s="2">
        <f ca="1"/>
        <v>69.613560709396666</v>
      </c>
      <c r="AG3940" s="2">
        <f ca="1"/>
        <v>0.55164725062519215</v>
      </c>
      <c r="AH3940" s="2" t="str">
        <f ca="1"/>
        <v>Bad</v>
      </c>
    </row>
    <row r="3941" spans="2:34" x14ac:dyDescent="0.2">
      <c r="B3941" s="2">
        <f ca="1"/>
        <v>0.17700680323671292</v>
      </c>
      <c r="O3941" s="2">
        <f ca="1"/>
        <v>0.90216953590962379</v>
      </c>
      <c r="X3941" s="2">
        <f ca="1"/>
        <v>29.809539949553372</v>
      </c>
      <c r="AG3941" s="2">
        <f ca="1"/>
        <v>0.23175471604746489</v>
      </c>
      <c r="AH3941" s="2" t="str">
        <f ca="1"/>
        <v>OK</v>
      </c>
    </row>
    <row r="3942" spans="2:34" x14ac:dyDescent="0.2">
      <c r="B3942" s="2">
        <f ca="1"/>
        <v>0.19400864550810115</v>
      </c>
      <c r="O3942" s="2">
        <f ca="1"/>
        <v>0.21161828411181066</v>
      </c>
      <c r="X3942" s="2">
        <f ca="1"/>
        <v>62.874394532643535</v>
      </c>
      <c r="AG3942" s="2">
        <f ca="1"/>
        <v>0.11049864954394728</v>
      </c>
      <c r="AH3942" s="2" t="str">
        <f ca="1"/>
        <v>OK</v>
      </c>
    </row>
    <row r="3943" spans="2:34" x14ac:dyDescent="0.2">
      <c r="B3943" s="2">
        <f ca="1"/>
        <v>0.93430252553222615</v>
      </c>
      <c r="O3943" s="2">
        <f ca="1"/>
        <v>0.8175529970966201</v>
      </c>
      <c r="X3943" s="2">
        <f ca="1"/>
        <v>39.670321337307918</v>
      </c>
      <c r="AG3943" s="2">
        <f ca="1"/>
        <v>0.14056552292257729</v>
      </c>
      <c r="AH3943" s="2" t="str">
        <f ca="1"/>
        <v>OK</v>
      </c>
    </row>
    <row r="3944" spans="2:34" x14ac:dyDescent="0.2">
      <c r="B3944" s="2">
        <f ca="1"/>
        <v>0.12574396505534713</v>
      </c>
      <c r="O3944" s="2">
        <f ca="1"/>
        <v>1.2400506788267935</v>
      </c>
      <c r="X3944" s="2">
        <f ca="1"/>
        <v>54.483265259912734</v>
      </c>
      <c r="AG3944" s="2">
        <f ca="1"/>
        <v>0.13692333834638926</v>
      </c>
      <c r="AH3944" s="2" t="str">
        <f ca="1"/>
        <v>OK</v>
      </c>
    </row>
    <row r="3945" spans="2:34" x14ac:dyDescent="0.2">
      <c r="B3945" s="2">
        <f ca="1"/>
        <v>0.89067315028136762</v>
      </c>
      <c r="O3945" s="2">
        <f ca="1"/>
        <v>-0.39825569879147227</v>
      </c>
      <c r="X3945" s="2">
        <f ca="1"/>
        <v>36.58518980273012</v>
      </c>
      <c r="AG3945" s="2">
        <f ca="1"/>
        <v>0.19799339248997017</v>
      </c>
      <c r="AH3945" s="2" t="str">
        <f ca="1"/>
        <v>OK</v>
      </c>
    </row>
    <row r="3946" spans="2:34" x14ac:dyDescent="0.2">
      <c r="B3946" s="2">
        <f ca="1"/>
        <v>0.7572264937244364</v>
      </c>
      <c r="O3946" s="2">
        <f ca="1"/>
        <v>-0.72061918712974893</v>
      </c>
      <c r="X3946" s="2">
        <f ca="1"/>
        <v>79.538665791820819</v>
      </c>
      <c r="AG3946" s="2">
        <f ca="1"/>
        <v>0.64226845273984234</v>
      </c>
      <c r="AH3946" s="2" t="str">
        <f ca="1"/>
        <v>Bad</v>
      </c>
    </row>
    <row r="3947" spans="2:34" x14ac:dyDescent="0.2">
      <c r="B3947" s="2">
        <f ca="1"/>
        <v>0.65882057916894121</v>
      </c>
      <c r="O3947" s="2">
        <f ca="1"/>
        <v>0.46907015157766424</v>
      </c>
      <c r="X3947" s="2">
        <f ca="1"/>
        <v>57.986658747170139</v>
      </c>
      <c r="AG3947" s="2">
        <f ca="1"/>
        <v>0.47436406575928447</v>
      </c>
      <c r="AH3947" s="2" t="str">
        <f ca="1"/>
        <v>Bad</v>
      </c>
    </row>
    <row r="3948" spans="2:34" x14ac:dyDescent="0.2">
      <c r="B3948" s="2">
        <f ca="1"/>
        <v>0.84288489517787824</v>
      </c>
      <c r="O3948" s="2">
        <f ca="1"/>
        <v>-0.67435899912076236</v>
      </c>
      <c r="X3948" s="2">
        <f ca="1"/>
        <v>50.215051414692638</v>
      </c>
      <c r="AG3948" s="2">
        <f ca="1"/>
        <v>0.42754031957729377</v>
      </c>
      <c r="AH3948" s="2" t="str">
        <f ca="1"/>
        <v>Bad</v>
      </c>
    </row>
    <row r="3949" spans="2:34" x14ac:dyDescent="0.2">
      <c r="B3949" s="2">
        <f ca="1"/>
        <v>0.73089430699880142</v>
      </c>
      <c r="O3949" s="2">
        <f ca="1"/>
        <v>-0.42745198824822012</v>
      </c>
      <c r="X3949" s="2">
        <f ca="1"/>
        <v>42.965037601908051</v>
      </c>
      <c r="AG3949" s="2">
        <f ca="1"/>
        <v>0.81945128842851878</v>
      </c>
      <c r="AH3949" s="2" t="str">
        <f ca="1"/>
        <v>Bad</v>
      </c>
    </row>
    <row r="3950" spans="2:34" x14ac:dyDescent="0.2">
      <c r="B3950" s="2">
        <f ca="1"/>
        <v>0.53078813902732724</v>
      </c>
      <c r="O3950" s="2">
        <f ca="1"/>
        <v>-0.18774747148643345</v>
      </c>
      <c r="X3950" s="2">
        <f ca="1"/>
        <v>24.408337857335582</v>
      </c>
      <c r="AG3950" s="2">
        <f ca="1"/>
        <v>0.57613234705533167</v>
      </c>
      <c r="AH3950" s="2" t="str">
        <f ca="1"/>
        <v>Bad</v>
      </c>
    </row>
    <row r="3951" spans="2:34" x14ac:dyDescent="0.2">
      <c r="B3951" s="2">
        <f ca="1"/>
        <v>0.73270396144468752</v>
      </c>
      <c r="O3951" s="2">
        <f ca="1"/>
        <v>-1.0872839924487463</v>
      </c>
      <c r="X3951" s="2">
        <f ca="1"/>
        <v>63.781265277107089</v>
      </c>
      <c r="AG3951" s="2">
        <f ca="1"/>
        <v>0.85462762974960849</v>
      </c>
      <c r="AH3951" s="2" t="str">
        <f ca="1"/>
        <v>Bad</v>
      </c>
    </row>
    <row r="3952" spans="2:34" x14ac:dyDescent="0.2">
      <c r="B3952" s="2">
        <f ca="1"/>
        <v>0.40336562586636004</v>
      </c>
      <c r="O3952" s="2">
        <f ca="1"/>
        <v>-0.3364857162819912</v>
      </c>
      <c r="X3952" s="2">
        <f ca="1"/>
        <v>44.244254979335096</v>
      </c>
      <c r="AG3952" s="2">
        <f ca="1"/>
        <v>0.9032754115043331</v>
      </c>
      <c r="AH3952" s="2" t="str">
        <f ca="1"/>
        <v>Bad</v>
      </c>
    </row>
    <row r="3953" spans="2:34" x14ac:dyDescent="0.2">
      <c r="B3953" s="2">
        <f ca="1"/>
        <v>7.8831516406932645E-2</v>
      </c>
      <c r="O3953" s="2">
        <f ca="1"/>
        <v>-0.19939105101480362</v>
      </c>
      <c r="X3953" s="2">
        <f ca="1"/>
        <v>67.997764764723016</v>
      </c>
      <c r="AG3953" s="2">
        <f ca="1"/>
        <v>0.34330097214478461</v>
      </c>
      <c r="AH3953" s="2" t="str">
        <f ca="1"/>
        <v>OK</v>
      </c>
    </row>
    <row r="3954" spans="2:34" x14ac:dyDescent="0.2">
      <c r="B3954" s="2">
        <f ca="1"/>
        <v>0.53638495394022789</v>
      </c>
      <c r="O3954" s="2">
        <f ca="1"/>
        <v>-2.4451425907506243E-2</v>
      </c>
      <c r="X3954" s="2">
        <f ca="1"/>
        <v>120.59020046304452</v>
      </c>
      <c r="AG3954" s="2">
        <f ca="1"/>
        <v>0.78196269114332928</v>
      </c>
      <c r="AH3954" s="2" t="str">
        <f ca="1"/>
        <v>Bad</v>
      </c>
    </row>
    <row r="3955" spans="2:34" x14ac:dyDescent="0.2">
      <c r="B3955" s="2">
        <f ca="1"/>
        <v>3.2974071139415972E-2</v>
      </c>
      <c r="O3955" s="2">
        <f ca="1"/>
        <v>-0.65833775456931465</v>
      </c>
      <c r="X3955" s="2">
        <f ca="1"/>
        <v>42.756134874471101</v>
      </c>
      <c r="AG3955" s="2">
        <f ca="1"/>
        <v>0.92290367542797691</v>
      </c>
      <c r="AH3955" s="2" t="str">
        <f ca="1"/>
        <v>Bad</v>
      </c>
    </row>
    <row r="3956" spans="2:34" x14ac:dyDescent="0.2">
      <c r="B3956" s="2">
        <f ca="1"/>
        <v>0.50421165452440975</v>
      </c>
      <c r="O3956" s="2">
        <f ca="1"/>
        <v>-0.79452098121273995</v>
      </c>
      <c r="X3956" s="2">
        <f ca="1"/>
        <v>63.197846752287994</v>
      </c>
      <c r="AG3956" s="2">
        <f ca="1"/>
        <v>0.10251728960899142</v>
      </c>
      <c r="AH3956" s="2" t="str">
        <f ca="1"/>
        <v>OK</v>
      </c>
    </row>
    <row r="3957" spans="2:34" x14ac:dyDescent="0.2">
      <c r="B3957" s="2">
        <f ca="1"/>
        <v>0.9213967716678344</v>
      </c>
      <c r="O3957" s="2">
        <f ca="1"/>
        <v>-0.36014755839123341</v>
      </c>
      <c r="X3957" s="2">
        <f ca="1"/>
        <v>62.872460301401915</v>
      </c>
      <c r="AG3957" s="2">
        <f ca="1"/>
        <v>0.20117003364438957</v>
      </c>
      <c r="AH3957" s="2" t="str">
        <f ca="1"/>
        <v>OK</v>
      </c>
    </row>
    <row r="3958" spans="2:34" x14ac:dyDescent="0.2">
      <c r="B3958" s="2">
        <f ca="1"/>
        <v>0.10911129086688232</v>
      </c>
      <c r="O3958" s="2">
        <f ca="1"/>
        <v>-0.36221926528678949</v>
      </c>
      <c r="X3958" s="2">
        <f ca="1"/>
        <v>102.28742351662697</v>
      </c>
      <c r="AG3958" s="2">
        <f ca="1"/>
        <v>0.4094424990291361</v>
      </c>
      <c r="AH3958" s="2" t="str">
        <f ca="1"/>
        <v>Bad</v>
      </c>
    </row>
    <row r="3959" spans="2:34" x14ac:dyDescent="0.2">
      <c r="B3959" s="2">
        <f ca="1"/>
        <v>0.67916310324248541</v>
      </c>
      <c r="O3959" s="2">
        <f ca="1"/>
        <v>-0.93350701742253928</v>
      </c>
      <c r="X3959" s="2">
        <f ca="1"/>
        <v>44.579959495081418</v>
      </c>
      <c r="AG3959" s="2">
        <f ca="1"/>
        <v>0.87181663504234397</v>
      </c>
      <c r="AH3959" s="2" t="str">
        <f ca="1"/>
        <v>Bad</v>
      </c>
    </row>
    <row r="3960" spans="2:34" x14ac:dyDescent="0.2">
      <c r="B3960" s="2">
        <f ca="1"/>
        <v>0.57216666638278224</v>
      </c>
      <c r="O3960" s="2">
        <f ca="1"/>
        <v>-0.84953849148220495</v>
      </c>
      <c r="X3960" s="2">
        <f ca="1"/>
        <v>81.159694067859249</v>
      </c>
      <c r="AG3960" s="2">
        <f ca="1"/>
        <v>0.69767290160163209</v>
      </c>
      <c r="AH3960" s="2" t="str">
        <f ca="1"/>
        <v>Bad</v>
      </c>
    </row>
    <row r="3961" spans="2:34" x14ac:dyDescent="0.2">
      <c r="B3961" s="2">
        <f ca="1"/>
        <v>0.79765447166912318</v>
      </c>
      <c r="O3961" s="2">
        <f ca="1"/>
        <v>0.84467795664775258</v>
      </c>
      <c r="X3961" s="2">
        <f ca="1"/>
        <v>62.768429892383885</v>
      </c>
      <c r="AG3961" s="2">
        <f ca="1"/>
        <v>9.422517129445529E-3</v>
      </c>
      <c r="AH3961" s="2" t="str">
        <f ca="1"/>
        <v>Good</v>
      </c>
    </row>
    <row r="3962" spans="2:34" x14ac:dyDescent="0.2">
      <c r="B3962" s="2">
        <f ca="1"/>
        <v>2.8923033745629434E-2</v>
      </c>
      <c r="O3962" s="2">
        <f ca="1"/>
        <v>1.5435263519520894E-2</v>
      </c>
      <c r="X3962" s="2">
        <f ca="1"/>
        <v>60.182019422738193</v>
      </c>
      <c r="AG3962" s="2">
        <f ca="1"/>
        <v>0.84211264539526165</v>
      </c>
      <c r="AH3962" s="2" t="str">
        <f ca="1"/>
        <v>Bad</v>
      </c>
    </row>
    <row r="3963" spans="2:34" x14ac:dyDescent="0.2">
      <c r="B3963" s="2">
        <f ca="1"/>
        <v>0.24026347908488543</v>
      </c>
      <c r="O3963" s="2">
        <f ca="1"/>
        <v>1.6380515008809162</v>
      </c>
      <c r="X3963" s="2">
        <f ca="1"/>
        <v>32.169736858694399</v>
      </c>
      <c r="AG3963" s="2">
        <f ca="1"/>
        <v>2.0439520903132058E-2</v>
      </c>
      <c r="AH3963" s="2" t="str">
        <f ca="1"/>
        <v>Good</v>
      </c>
    </row>
    <row r="3964" spans="2:34" x14ac:dyDescent="0.2">
      <c r="B3964" s="2">
        <f ca="1"/>
        <v>0.26729300859695027</v>
      </c>
      <c r="O3964" s="2">
        <f ca="1"/>
        <v>1.7488188590154562E-2</v>
      </c>
      <c r="X3964" s="2">
        <f ca="1"/>
        <v>64.615177855527605</v>
      </c>
      <c r="AG3964" s="2">
        <f ca="1"/>
        <v>0.11915768641637703</v>
      </c>
      <c r="AH3964" s="2" t="str">
        <f ca="1"/>
        <v>OK</v>
      </c>
    </row>
    <row r="3965" spans="2:34" x14ac:dyDescent="0.2">
      <c r="B3965" s="2">
        <f ca="1"/>
        <v>0.96937643219537772</v>
      </c>
      <c r="O3965" s="2">
        <f ca="1"/>
        <v>1.9074931191126062E-3</v>
      </c>
      <c r="X3965" s="2">
        <f ca="1"/>
        <v>27.024952763207967</v>
      </c>
      <c r="AG3965" s="2">
        <f ca="1"/>
        <v>0.38195623191617001</v>
      </c>
      <c r="AH3965" s="2" t="str">
        <f ca="1"/>
        <v>OK</v>
      </c>
    </row>
    <row r="3966" spans="2:34" x14ac:dyDescent="0.2">
      <c r="B3966" s="2">
        <f ca="1"/>
        <v>0.48504368803085329</v>
      </c>
      <c r="O3966" s="2">
        <f ca="1"/>
        <v>-0.39847117054342718</v>
      </c>
      <c r="X3966" s="2">
        <f ca="1"/>
        <v>63.474934466002964</v>
      </c>
      <c r="AG3966" s="2">
        <f ca="1"/>
        <v>0.47595928096959339</v>
      </c>
      <c r="AH3966" s="2" t="str">
        <f ca="1"/>
        <v>Bad</v>
      </c>
    </row>
    <row r="3967" spans="2:34" x14ac:dyDescent="0.2">
      <c r="B3967" s="2">
        <f ca="1"/>
        <v>0.54763293961543424</v>
      </c>
      <c r="O3967" s="2">
        <f ca="1"/>
        <v>7.9328996613664826E-2</v>
      </c>
      <c r="X3967" s="2">
        <f ca="1"/>
        <v>64.227342123202135</v>
      </c>
      <c r="AG3967" s="2">
        <f ca="1"/>
        <v>0.92390189335616024</v>
      </c>
      <c r="AH3967" s="2" t="str">
        <f ca="1"/>
        <v>Bad</v>
      </c>
    </row>
    <row r="3968" spans="2:34" x14ac:dyDescent="0.2">
      <c r="B3968" s="2">
        <f ca="1"/>
        <v>0.9490390898084915</v>
      </c>
      <c r="O3968" s="2">
        <f ca="1"/>
        <v>0.99532400370817153</v>
      </c>
      <c r="X3968" s="2">
        <f ca="1"/>
        <v>58.955047181313951</v>
      </c>
      <c r="AG3968" s="2">
        <f ca="1"/>
        <v>0.70121630961429116</v>
      </c>
      <c r="AH3968" s="2" t="str">
        <f ca="1"/>
        <v>Bad</v>
      </c>
    </row>
    <row r="3969" spans="2:34" x14ac:dyDescent="0.2">
      <c r="B3969" s="2">
        <f ca="1"/>
        <v>0.27572440236675888</v>
      </c>
      <c r="O3969" s="2">
        <f ca="1"/>
        <v>-1.2182052316629604</v>
      </c>
      <c r="X3969" s="2">
        <f ca="1"/>
        <v>20.462366190037923</v>
      </c>
      <c r="AG3969" s="2">
        <f ca="1"/>
        <v>6.1979133641627993E-2</v>
      </c>
      <c r="AH3969" s="2" t="str">
        <f ca="1"/>
        <v>OK</v>
      </c>
    </row>
    <row r="3970" spans="2:34" x14ac:dyDescent="0.2">
      <c r="B3970" s="2">
        <f ca="1"/>
        <v>0.22969690565727929</v>
      </c>
      <c r="O3970" s="2">
        <f ca="1"/>
        <v>0.3484743850574748</v>
      </c>
      <c r="X3970" s="2">
        <f ca="1"/>
        <v>94.997356473355211</v>
      </c>
      <c r="AG3970" s="2">
        <f ca="1"/>
        <v>0.53789895579553693</v>
      </c>
      <c r="AH3970" s="2" t="str">
        <f ca="1"/>
        <v>Bad</v>
      </c>
    </row>
    <row r="3971" spans="2:34" x14ac:dyDescent="0.2">
      <c r="B3971" s="2">
        <f ca="1"/>
        <v>0.18365033560154487</v>
      </c>
      <c r="O3971" s="2">
        <f ca="1"/>
        <v>1.3452808204606377</v>
      </c>
      <c r="X3971" s="2">
        <f ca="1"/>
        <v>43.160739744723216</v>
      </c>
      <c r="AG3971" s="2">
        <f ca="1"/>
        <v>0.72902676386459309</v>
      </c>
      <c r="AH3971" s="2" t="str">
        <f ca="1"/>
        <v>Bad</v>
      </c>
    </row>
    <row r="3972" spans="2:34" x14ac:dyDescent="0.2">
      <c r="B3972" s="2">
        <f ca="1"/>
        <v>0.93839990342383683</v>
      </c>
      <c r="O3972" s="2">
        <f ca="1"/>
        <v>0.47083121773157888</v>
      </c>
      <c r="X3972" s="2">
        <f ca="1"/>
        <v>67.919195128940231</v>
      </c>
      <c r="AG3972" s="2">
        <f ca="1"/>
        <v>0.49462386881372433</v>
      </c>
      <c r="AH3972" s="2" t="str">
        <f ca="1"/>
        <v>Bad</v>
      </c>
    </row>
    <row r="3973" spans="2:34" x14ac:dyDescent="0.2">
      <c r="B3973" s="2">
        <f ca="1"/>
        <v>0.61038517275826809</v>
      </c>
      <c r="O3973" s="2">
        <f ca="1"/>
        <v>1.5943166826970006</v>
      </c>
      <c r="X3973" s="2">
        <f ca="1"/>
        <v>42.262695704803342</v>
      </c>
      <c r="AG3973" s="2">
        <f ca="1"/>
        <v>0.10730187573292249</v>
      </c>
      <c r="AH3973" s="2" t="str">
        <f ca="1"/>
        <v>OK</v>
      </c>
    </row>
    <row r="3974" spans="2:34" x14ac:dyDescent="0.2">
      <c r="B3974" s="2">
        <f ca="1"/>
        <v>0.85069368868761908</v>
      </c>
      <c r="O3974" s="2">
        <f ca="1"/>
        <v>1.215555118771148</v>
      </c>
      <c r="X3974" s="2">
        <f ca="1"/>
        <v>27.087678759607222</v>
      </c>
      <c r="AG3974" s="2">
        <f ca="1"/>
        <v>0.96981872677746805</v>
      </c>
      <c r="AH3974" s="2" t="str">
        <f ca="1"/>
        <v>Bad</v>
      </c>
    </row>
    <row r="3975" spans="2:34" x14ac:dyDescent="0.2">
      <c r="B3975" s="2">
        <f ca="1"/>
        <v>7.393083784998411E-2</v>
      </c>
      <c r="O3975" s="2">
        <f ca="1"/>
        <v>-5.8899924843027966E-2</v>
      </c>
      <c r="X3975" s="2">
        <f ca="1"/>
        <v>52.46910795783198</v>
      </c>
      <c r="AG3975" s="2">
        <f ca="1"/>
        <v>0.23329689971461298</v>
      </c>
      <c r="AH3975" s="2" t="str">
        <f ca="1"/>
        <v>OK</v>
      </c>
    </row>
    <row r="3976" spans="2:34" x14ac:dyDescent="0.2">
      <c r="B3976" s="2">
        <f ca="1"/>
        <v>0.87344660253133433</v>
      </c>
      <c r="O3976" s="2">
        <f ca="1"/>
        <v>-0.48069871268988146</v>
      </c>
      <c r="X3976" s="2">
        <f ca="1"/>
        <v>48.530553349197262</v>
      </c>
      <c r="AG3976" s="2">
        <f ca="1"/>
        <v>0.47375304643411509</v>
      </c>
      <c r="AH3976" s="2" t="str">
        <f ca="1"/>
        <v>Bad</v>
      </c>
    </row>
    <row r="3977" spans="2:34" x14ac:dyDescent="0.2">
      <c r="B3977" s="2">
        <f ca="1"/>
        <v>0.7461593431311464</v>
      </c>
      <c r="O3977" s="2">
        <f ca="1"/>
        <v>7.3788582141019771E-2</v>
      </c>
      <c r="X3977" s="2">
        <f ca="1"/>
        <v>37.309747773263318</v>
      </c>
      <c r="AG3977" s="2">
        <f ca="1"/>
        <v>0.2746821436141611</v>
      </c>
      <c r="AH3977" s="2" t="str">
        <f ca="1"/>
        <v>OK</v>
      </c>
    </row>
    <row r="3978" spans="2:34" x14ac:dyDescent="0.2">
      <c r="B3978" s="2">
        <f ca="1"/>
        <v>0.27580181517234781</v>
      </c>
      <c r="O3978" s="2">
        <f ca="1"/>
        <v>-0.58044868099276314</v>
      </c>
      <c r="X3978" s="2">
        <f ca="1"/>
        <v>48.340329008247416</v>
      </c>
      <c r="AG3978" s="2">
        <f ca="1"/>
        <v>0.12846742294479152</v>
      </c>
      <c r="AH3978" s="2" t="str">
        <f ca="1"/>
        <v>OK</v>
      </c>
    </row>
    <row r="3979" spans="2:34" x14ac:dyDescent="0.2">
      <c r="B3979" s="2">
        <f ca="1"/>
        <v>0.10220140252636556</v>
      </c>
      <c r="O3979" s="2">
        <f ca="1"/>
        <v>1.029480389331604</v>
      </c>
      <c r="X3979" s="2">
        <f ca="1"/>
        <v>44.379604564080744</v>
      </c>
      <c r="AG3979" s="2">
        <f ca="1"/>
        <v>0.77560691956722261</v>
      </c>
      <c r="AH3979" s="2" t="str">
        <f ca="1"/>
        <v>Bad</v>
      </c>
    </row>
    <row r="3980" spans="2:34" x14ac:dyDescent="0.2">
      <c r="B3980" s="2">
        <f ca="1"/>
        <v>0.82869929010763999</v>
      </c>
      <c r="O3980" s="2">
        <f ca="1"/>
        <v>-0.38216937181686939</v>
      </c>
      <c r="X3980" s="2">
        <f ca="1"/>
        <v>36.539992294088229</v>
      </c>
      <c r="AG3980" s="2">
        <f ca="1"/>
        <v>0.90460488458931487</v>
      </c>
      <c r="AH3980" s="2" t="str">
        <f ca="1"/>
        <v>Bad</v>
      </c>
    </row>
    <row r="3981" spans="2:34" x14ac:dyDescent="0.2">
      <c r="B3981" s="2">
        <f ca="1"/>
        <v>0.17537575688247631</v>
      </c>
      <c r="O3981" s="2">
        <f ca="1"/>
        <v>1.0169333626518529</v>
      </c>
      <c r="X3981" s="2">
        <f ca="1"/>
        <v>48.89098841876784</v>
      </c>
      <c r="AG3981" s="2">
        <f ca="1"/>
        <v>0.54102337136620426</v>
      </c>
      <c r="AH3981" s="2" t="str">
        <f ca="1"/>
        <v>Bad</v>
      </c>
    </row>
    <row r="3982" spans="2:34" x14ac:dyDescent="0.2">
      <c r="B3982" s="2">
        <f ca="1"/>
        <v>0.8995426831715656</v>
      </c>
      <c r="O3982" s="2">
        <f ca="1"/>
        <v>-9.6264350092380505E-2</v>
      </c>
      <c r="X3982" s="2">
        <f ca="1"/>
        <v>51.316835128260536</v>
      </c>
      <c r="AG3982" s="2">
        <f ca="1"/>
        <v>0.25447263715550061</v>
      </c>
      <c r="AH3982" s="2" t="str">
        <f ca="1"/>
        <v>OK</v>
      </c>
    </row>
    <row r="3983" spans="2:34" x14ac:dyDescent="0.2">
      <c r="B3983" s="2">
        <f ca="1"/>
        <v>0.5928096243060399</v>
      </c>
      <c r="O3983" s="2">
        <f ca="1"/>
        <v>-1.5477986589452337</v>
      </c>
      <c r="X3983" s="2">
        <f ca="1"/>
        <v>41.254151916055413</v>
      </c>
      <c r="AG3983" s="2">
        <f ca="1"/>
        <v>2.9086896209547408E-2</v>
      </c>
      <c r="AH3983" s="2" t="str">
        <f ca="1"/>
        <v>Good</v>
      </c>
    </row>
    <row r="3984" spans="2:34" x14ac:dyDescent="0.2">
      <c r="B3984" s="2">
        <f ca="1"/>
        <v>0.35326256259981159</v>
      </c>
      <c r="O3984" s="2">
        <f ca="1"/>
        <v>0.6178157463040348</v>
      </c>
      <c r="X3984" s="2">
        <f ca="1"/>
        <v>36.930701519693869</v>
      </c>
      <c r="AG3984" s="2">
        <f ca="1"/>
        <v>0.88055696773804559</v>
      </c>
      <c r="AH3984" s="2" t="str">
        <f ca="1"/>
        <v>Bad</v>
      </c>
    </row>
    <row r="3985" spans="2:34" x14ac:dyDescent="0.2">
      <c r="B3985" s="2">
        <f ca="1"/>
        <v>0.15424973845176759</v>
      </c>
      <c r="O3985" s="2">
        <f ca="1"/>
        <v>0.52319532972020266</v>
      </c>
      <c r="X3985" s="2">
        <f ca="1"/>
        <v>57.781394747255455</v>
      </c>
      <c r="AG3985" s="2">
        <f ca="1"/>
        <v>0.1588896099464534</v>
      </c>
      <c r="AH3985" s="2" t="str">
        <f ca="1"/>
        <v>OK</v>
      </c>
    </row>
    <row r="3986" spans="2:34" x14ac:dyDescent="0.2">
      <c r="B3986" s="2">
        <f ca="1"/>
        <v>0.75640340932052252</v>
      </c>
      <c r="O3986" s="2">
        <f ca="1"/>
        <v>-0.11095530598438676</v>
      </c>
      <c r="X3986" s="2">
        <f ca="1"/>
        <v>37.558093933387049</v>
      </c>
      <c r="AG3986" s="2">
        <f ca="1"/>
        <v>0.71469472941272394</v>
      </c>
      <c r="AH3986" s="2" t="str">
        <f ca="1"/>
        <v>Bad</v>
      </c>
    </row>
    <row r="3987" spans="2:34" x14ac:dyDescent="0.2">
      <c r="B3987" s="2">
        <f ca="1"/>
        <v>0.19483779635937792</v>
      </c>
      <c r="O3987" s="2">
        <f ca="1"/>
        <v>0.84368566246281518</v>
      </c>
      <c r="X3987" s="2">
        <f ca="1"/>
        <v>74.557494778351327</v>
      </c>
      <c r="AG3987" s="2">
        <f ca="1"/>
        <v>0.63552819723118481</v>
      </c>
      <c r="AH3987" s="2" t="str">
        <f ca="1"/>
        <v>Bad</v>
      </c>
    </row>
    <row r="3988" spans="2:34" x14ac:dyDescent="0.2">
      <c r="B3988" s="2">
        <f ca="1"/>
        <v>0.59155294528358304</v>
      </c>
      <c r="O3988" s="2">
        <f ca="1"/>
        <v>2.5281757559929483</v>
      </c>
      <c r="X3988" s="2">
        <f ca="1"/>
        <v>50.546371455377532</v>
      </c>
      <c r="AG3988" s="2">
        <f ca="1"/>
        <v>0.56754332783131822</v>
      </c>
      <c r="AH3988" s="2" t="str">
        <f ca="1"/>
        <v>Bad</v>
      </c>
    </row>
    <row r="3989" spans="2:34" x14ac:dyDescent="0.2">
      <c r="B3989" s="2">
        <f ca="1"/>
        <v>0.52915171377056058</v>
      </c>
      <c r="O3989" s="2">
        <f ca="1"/>
        <v>-1.8125127151758239E-2</v>
      </c>
      <c r="X3989" s="2">
        <f ca="1"/>
        <v>59.488071362696658</v>
      </c>
      <c r="AG3989" s="2">
        <f ca="1"/>
        <v>8.4185359332380694E-2</v>
      </c>
      <c r="AH3989" s="2" t="str">
        <f ca="1"/>
        <v>OK</v>
      </c>
    </row>
    <row r="3990" spans="2:34" x14ac:dyDescent="0.2">
      <c r="B3990" s="2">
        <f ca="1"/>
        <v>0.25665757430711</v>
      </c>
      <c r="O3990" s="2">
        <f ca="1"/>
        <v>2.0266805721930679</v>
      </c>
      <c r="X3990" s="2">
        <f ca="1"/>
        <v>44.017208831364989</v>
      </c>
      <c r="AG3990" s="2">
        <f ca="1"/>
        <v>0.4683325000976668</v>
      </c>
      <c r="AH3990" s="2" t="str">
        <f ca="1"/>
        <v>Bad</v>
      </c>
    </row>
    <row r="3991" spans="2:34" x14ac:dyDescent="0.2">
      <c r="B3991" s="2">
        <f ca="1"/>
        <v>0.68838422187565818</v>
      </c>
      <c r="O3991" s="2">
        <f ca="1"/>
        <v>0.30488794451638929</v>
      </c>
      <c r="X3991" s="2">
        <f ca="1"/>
        <v>56.027180866739698</v>
      </c>
      <c r="AG3991" s="2">
        <f ca="1"/>
        <v>0.88965585301385985</v>
      </c>
      <c r="AH3991" s="2" t="str">
        <f ca="1"/>
        <v>Bad</v>
      </c>
    </row>
    <row r="3992" spans="2:34" x14ac:dyDescent="0.2">
      <c r="B3992" s="2">
        <f ca="1"/>
        <v>0.35821375511336062</v>
      </c>
      <c r="O3992" s="2">
        <f ca="1"/>
        <v>-0.66030723028635219</v>
      </c>
      <c r="X3992" s="2">
        <f ca="1"/>
        <v>54.029620780661141</v>
      </c>
      <c r="AG3992" s="2">
        <f ca="1"/>
        <v>0.17974294480136388</v>
      </c>
      <c r="AH3992" s="2" t="str">
        <f ca="1"/>
        <v>OK</v>
      </c>
    </row>
    <row r="3993" spans="2:34" x14ac:dyDescent="0.2">
      <c r="B3993" s="2">
        <f ca="1"/>
        <v>0.94644559250615257</v>
      </c>
      <c r="O3993" s="2">
        <f ca="1"/>
        <v>0.42569429923161167</v>
      </c>
      <c r="X3993" s="2">
        <f ca="1"/>
        <v>68.779632589075391</v>
      </c>
      <c r="AG3993" s="2">
        <f ca="1"/>
        <v>0.7377156885365892</v>
      </c>
      <c r="AH3993" s="2" t="str">
        <f ca="1"/>
        <v>Bad</v>
      </c>
    </row>
    <row r="3994" spans="2:34" x14ac:dyDescent="0.2">
      <c r="B3994" s="2">
        <f ca="1"/>
        <v>0.54054479683573842</v>
      </c>
      <c r="O3994" s="2">
        <f ca="1"/>
        <v>-0.96708586723743706</v>
      </c>
      <c r="X3994" s="2">
        <f ca="1"/>
        <v>46.81279549098187</v>
      </c>
      <c r="AG3994" s="2">
        <f ca="1"/>
        <v>0.99650899626424971</v>
      </c>
      <c r="AH3994" s="2" t="str">
        <f ca="1"/>
        <v>Bad</v>
      </c>
    </row>
    <row r="3995" spans="2:34" x14ac:dyDescent="0.2">
      <c r="B3995" s="2">
        <f ca="1"/>
        <v>0.31867817818408017</v>
      </c>
      <c r="O3995" s="2">
        <f ca="1"/>
        <v>0.21871875956864748</v>
      </c>
      <c r="X3995" s="2">
        <f ca="1"/>
        <v>40.685218454318544</v>
      </c>
      <c r="AG3995" s="2">
        <f ca="1"/>
        <v>0.7178293717059081</v>
      </c>
      <c r="AH3995" s="2" t="str">
        <f ca="1"/>
        <v>Bad</v>
      </c>
    </row>
    <row r="3996" spans="2:34" x14ac:dyDescent="0.2">
      <c r="B3996" s="2">
        <f ca="1"/>
        <v>0.98505300512570071</v>
      </c>
      <c r="O3996" s="2">
        <f ca="1"/>
        <v>-0.22133881067975425</v>
      </c>
      <c r="X3996" s="2">
        <f ca="1"/>
        <v>37.568196446892927</v>
      </c>
      <c r="AG3996" s="2">
        <f ca="1"/>
        <v>0.28836808773621381</v>
      </c>
      <c r="AH3996" s="2" t="str">
        <f ca="1"/>
        <v>OK</v>
      </c>
    </row>
    <row r="3997" spans="2:34" x14ac:dyDescent="0.2">
      <c r="B3997" s="2">
        <f ca="1"/>
        <v>0.92778604570045098</v>
      </c>
      <c r="O3997" s="2">
        <f ca="1"/>
        <v>0.26169744642682402</v>
      </c>
      <c r="X3997" s="2">
        <f ca="1"/>
        <v>86.522876750743322</v>
      </c>
      <c r="AG3997" s="2">
        <f ca="1"/>
        <v>0.92204051777493978</v>
      </c>
      <c r="AH3997" s="2" t="str">
        <f ca="1"/>
        <v>Bad</v>
      </c>
    </row>
    <row r="3998" spans="2:34" x14ac:dyDescent="0.2">
      <c r="B3998" s="2">
        <f ca="1"/>
        <v>0.28294122280684442</v>
      </c>
      <c r="O3998" s="2">
        <f ca="1"/>
        <v>-0.67916526378603803</v>
      </c>
      <c r="X3998" s="2">
        <f ca="1"/>
        <v>65.415568083516476</v>
      </c>
      <c r="AG3998" s="2">
        <f ca="1"/>
        <v>9.0411830262258297E-2</v>
      </c>
      <c r="AH3998" s="2" t="str">
        <f ca="1"/>
        <v>OK</v>
      </c>
    </row>
    <row r="3999" spans="2:34" x14ac:dyDescent="0.2">
      <c r="B3999" s="2">
        <f ca="1"/>
        <v>0.25104242573470748</v>
      </c>
      <c r="O3999" s="2">
        <f ca="1"/>
        <v>-0.76958286317886337</v>
      </c>
      <c r="X3999" s="2">
        <f ca="1"/>
        <v>38.613560106415378</v>
      </c>
      <c r="AG3999" s="2">
        <f ca="1"/>
        <v>0.97175537210297991</v>
      </c>
      <c r="AH3999" s="2" t="str">
        <f ca="1"/>
        <v>Bad</v>
      </c>
    </row>
    <row r="4000" spans="2:34" x14ac:dyDescent="0.2">
      <c r="B4000" s="2">
        <f ca="1"/>
        <v>4.3616958181523335E-2</v>
      </c>
      <c r="O4000" s="2">
        <f ca="1"/>
        <v>0.25664468067276924</v>
      </c>
      <c r="X4000" s="2">
        <f ca="1"/>
        <v>66.667570887998266</v>
      </c>
      <c r="AG4000" s="2">
        <f ca="1"/>
        <v>0.80838233190328657</v>
      </c>
      <c r="AH4000" s="2" t="str">
        <f ca="1"/>
        <v>Bad</v>
      </c>
    </row>
    <row r="4001" spans="2:34" x14ac:dyDescent="0.2">
      <c r="B4001" s="2">
        <f ca="1"/>
        <v>0.39914570197855626</v>
      </c>
      <c r="O4001" s="2">
        <f ca="1"/>
        <v>-3.3731676134233522E-2</v>
      </c>
      <c r="X4001" s="2">
        <f ca="1"/>
        <v>62.290756576565023</v>
      </c>
      <c r="AG4001" s="2">
        <f ca="1"/>
        <v>0.92665153081640361</v>
      </c>
      <c r="AH4001" s="2" t="str">
        <f ca="1"/>
        <v>Bad</v>
      </c>
    </row>
    <row r="4002" spans="2:34" x14ac:dyDescent="0.2">
      <c r="B4002" s="2">
        <f ca="1"/>
        <v>0.40657991015450645</v>
      </c>
      <c r="O4002" s="2">
        <f ca="1"/>
        <v>-0.97716574923036603</v>
      </c>
      <c r="X4002" s="2">
        <f ca="1"/>
        <v>40.215973088449985</v>
      </c>
      <c r="AG4002" s="2">
        <f ca="1"/>
        <v>0.9781626375781407</v>
      </c>
      <c r="AH4002" s="2" t="str">
        <f ca="1"/>
        <v>Bad</v>
      </c>
    </row>
    <row r="4003" spans="2:34" x14ac:dyDescent="0.2">
      <c r="B4003" s="2">
        <f ca="1"/>
        <v>8.7881671001134087E-2</v>
      </c>
      <c r="O4003" s="2">
        <f ca="1"/>
        <v>-0.30590151530818926</v>
      </c>
      <c r="X4003" s="2">
        <f ca="1"/>
        <v>53.659769802469256</v>
      </c>
      <c r="AG4003" s="2">
        <f ca="1"/>
        <v>0.36148760862842555</v>
      </c>
      <c r="AH4003" s="2" t="str">
        <f ca="1"/>
        <v>OK</v>
      </c>
    </row>
    <row r="4004" spans="2:34" x14ac:dyDescent="0.2">
      <c r="B4004" s="2">
        <f ca="1"/>
        <v>0.8183718269546274</v>
      </c>
      <c r="O4004" s="2">
        <f ca="1"/>
        <v>-0.74200326064530964</v>
      </c>
      <c r="X4004" s="2">
        <f ca="1"/>
        <v>80.612705610779983</v>
      </c>
      <c r="AG4004" s="2">
        <f ca="1"/>
        <v>4.2670664013973791E-2</v>
      </c>
      <c r="AH4004" s="2" t="str">
        <f ca="1"/>
        <v>Good</v>
      </c>
    </row>
    <row r="4005" spans="2:34" x14ac:dyDescent="0.2">
      <c r="B4005" s="2">
        <f ca="1"/>
        <v>0.46739376315683168</v>
      </c>
      <c r="O4005" s="2">
        <f ca="1"/>
        <v>-0.27125200866973087</v>
      </c>
      <c r="X4005" s="2">
        <f ca="1"/>
        <v>28.521597212621884</v>
      </c>
      <c r="AG4005" s="2">
        <f ca="1"/>
        <v>0.90134420471436161</v>
      </c>
      <c r="AH4005" s="2" t="str">
        <f ca="1"/>
        <v>Bad</v>
      </c>
    </row>
    <row r="4006" spans="2:34" x14ac:dyDescent="0.2">
      <c r="B4006" s="2">
        <f ca="1"/>
        <v>0.9419830671099072</v>
      </c>
      <c r="O4006" s="2">
        <f ca="1"/>
        <v>-0.86294946313328469</v>
      </c>
      <c r="X4006" s="2">
        <f ca="1"/>
        <v>50.70928899023496</v>
      </c>
      <c r="AG4006" s="2">
        <f ca="1"/>
        <v>0.87177555945891094</v>
      </c>
      <c r="AH4006" s="2" t="str">
        <f ca="1"/>
        <v>Bad</v>
      </c>
    </row>
    <row r="4007" spans="2:34" x14ac:dyDescent="0.2">
      <c r="B4007" s="2">
        <f ca="1"/>
        <v>0.85090207274681462</v>
      </c>
      <c r="O4007" s="2">
        <f ca="1"/>
        <v>-1.2827459484381971</v>
      </c>
      <c r="X4007" s="2">
        <f ca="1"/>
        <v>40.301997538158389</v>
      </c>
      <c r="AG4007" s="2">
        <f ca="1"/>
        <v>0.35330285752716528</v>
      </c>
      <c r="AH4007" s="2" t="str">
        <f ca="1"/>
        <v>OK</v>
      </c>
    </row>
    <row r="4008" spans="2:34" x14ac:dyDescent="0.2">
      <c r="B4008" s="2">
        <f ca="1"/>
        <v>0.71550168900774769</v>
      </c>
      <c r="O4008" s="2">
        <f ca="1"/>
        <v>-1.5863239425398319</v>
      </c>
      <c r="X4008" s="2">
        <f ca="1"/>
        <v>34.032768516309609</v>
      </c>
      <c r="AG4008" s="2">
        <f ca="1"/>
        <v>0.32310526201165857</v>
      </c>
      <c r="AH4008" s="2" t="str">
        <f ca="1"/>
        <v>OK</v>
      </c>
    </row>
    <row r="4009" spans="2:34" x14ac:dyDescent="0.2">
      <c r="B4009" s="2">
        <f ca="1"/>
        <v>8.2489477089116026E-2</v>
      </c>
      <c r="O4009" s="2">
        <f ca="1"/>
        <v>-0.37175478019320318</v>
      </c>
      <c r="X4009" s="2">
        <f ca="1"/>
        <v>66.71697735206871</v>
      </c>
      <c r="AG4009" s="2">
        <f ca="1"/>
        <v>0.42443628688152457</v>
      </c>
      <c r="AH4009" s="2" t="str">
        <f ca="1"/>
        <v>Bad</v>
      </c>
    </row>
    <row r="4010" spans="2:34" x14ac:dyDescent="0.2">
      <c r="B4010" s="2">
        <f ca="1"/>
        <v>0.67660219099067653</v>
      </c>
      <c r="O4010" s="2">
        <f ca="1"/>
        <v>-0.59611690194285127</v>
      </c>
      <c r="X4010" s="2">
        <f ca="1"/>
        <v>37.383026201183604</v>
      </c>
      <c r="AG4010" s="2">
        <f ca="1"/>
        <v>0.13025823784296264</v>
      </c>
      <c r="AH4010" s="2" t="str">
        <f ca="1"/>
        <v>OK</v>
      </c>
    </row>
    <row r="4011" spans="2:34" x14ac:dyDescent="0.2">
      <c r="B4011" s="2">
        <f ca="1"/>
        <v>0.41921146303078349</v>
      </c>
      <c r="O4011" s="2">
        <f ca="1"/>
        <v>0.41766357520230463</v>
      </c>
      <c r="X4011" s="2">
        <f ca="1"/>
        <v>67.820635220866365</v>
      </c>
      <c r="AG4011" s="2">
        <f ca="1"/>
        <v>0.76358080331045319</v>
      </c>
      <c r="AH4011" s="2" t="str">
        <f ca="1"/>
        <v>Bad</v>
      </c>
    </row>
    <row r="4012" spans="2:34" x14ac:dyDescent="0.2">
      <c r="B4012" s="2">
        <f ca="1"/>
        <v>0.33304787255115342</v>
      </c>
      <c r="O4012" s="2">
        <f ca="1"/>
        <v>0.18082156766557567</v>
      </c>
      <c r="X4012" s="2">
        <f ca="1"/>
        <v>81.254581866208525</v>
      </c>
      <c r="AG4012" s="2">
        <f ca="1"/>
        <v>0.92225260734352843</v>
      </c>
      <c r="AH4012" s="2" t="str">
        <f ca="1"/>
        <v>Bad</v>
      </c>
    </row>
    <row r="4013" spans="2:34" x14ac:dyDescent="0.2">
      <c r="B4013" s="2">
        <f ca="1"/>
        <v>0.18613689489369412</v>
      </c>
      <c r="O4013" s="2">
        <f ca="1"/>
        <v>-0.38819602947456072</v>
      </c>
      <c r="X4013" s="2">
        <f ca="1"/>
        <v>56.91332151567245</v>
      </c>
      <c r="AG4013" s="2">
        <f ca="1"/>
        <v>0.78614040517194628</v>
      </c>
      <c r="AH4013" s="2" t="str">
        <f ca="1"/>
        <v>Bad</v>
      </c>
    </row>
    <row r="4014" spans="2:34" x14ac:dyDescent="0.2">
      <c r="B4014" s="2">
        <f ca="1"/>
        <v>0.73295599806735701</v>
      </c>
      <c r="O4014" s="2">
        <f ca="1"/>
        <v>1.2957352831804607</v>
      </c>
      <c r="X4014" s="2">
        <f ca="1"/>
        <v>50.185070980186133</v>
      </c>
      <c r="AG4014" s="2">
        <f ca="1"/>
        <v>0.81942482913496084</v>
      </c>
      <c r="AH4014" s="2" t="str">
        <f ca="1"/>
        <v>Bad</v>
      </c>
    </row>
    <row r="4015" spans="2:34" x14ac:dyDescent="0.2">
      <c r="B4015" s="2">
        <f ca="1"/>
        <v>0.88726811917712389</v>
      </c>
      <c r="O4015" s="2">
        <f ca="1"/>
        <v>2.6771233481859178</v>
      </c>
      <c r="X4015" s="2">
        <f ca="1"/>
        <v>42.423574727183258</v>
      </c>
      <c r="AG4015" s="2">
        <f ca="1"/>
        <v>0.49500608215229946</v>
      </c>
      <c r="AH4015" s="2" t="str">
        <f ca="1"/>
        <v>Bad</v>
      </c>
    </row>
    <row r="4016" spans="2:34" x14ac:dyDescent="0.2">
      <c r="B4016" s="2">
        <f ca="1"/>
        <v>0.19186573928390849</v>
      </c>
      <c r="O4016" s="2">
        <f ca="1"/>
        <v>-0.72007695597329902</v>
      </c>
      <c r="X4016" s="2">
        <f ca="1"/>
        <v>56.577942273303137</v>
      </c>
      <c r="AG4016" s="2">
        <f ca="1"/>
        <v>0.91776278270185263</v>
      </c>
      <c r="AH4016" s="2" t="str">
        <f ca="1"/>
        <v>Bad</v>
      </c>
    </row>
    <row r="4017" spans="2:34" x14ac:dyDescent="0.2">
      <c r="B4017" s="2">
        <f ca="1"/>
        <v>0.22758824818320966</v>
      </c>
      <c r="O4017" s="2">
        <f ca="1"/>
        <v>0.47253107052512422</v>
      </c>
      <c r="X4017" s="2">
        <f ca="1"/>
        <v>47.981238001238097</v>
      </c>
      <c r="AG4017" s="2">
        <f ca="1"/>
        <v>0.89074627771336501</v>
      </c>
      <c r="AH4017" s="2" t="str">
        <f ca="1"/>
        <v>Bad</v>
      </c>
    </row>
    <row r="4018" spans="2:34" x14ac:dyDescent="0.2">
      <c r="B4018" s="2">
        <f ca="1"/>
        <v>0.47546761856536324</v>
      </c>
      <c r="O4018" s="2">
        <f ca="1"/>
        <v>0.12813663787434723</v>
      </c>
      <c r="X4018" s="2">
        <f ca="1"/>
        <v>51.55487626800489</v>
      </c>
      <c r="AG4018" s="2">
        <f ca="1"/>
        <v>0.69337051006470052</v>
      </c>
      <c r="AH4018" s="2" t="str">
        <f ca="1"/>
        <v>Bad</v>
      </c>
    </row>
    <row r="4019" spans="2:34" x14ac:dyDescent="0.2">
      <c r="B4019" s="2">
        <f ca="1"/>
        <v>0.38484862456006086</v>
      </c>
      <c r="O4019" s="2">
        <f ca="1"/>
        <v>-2.6957608048633572</v>
      </c>
      <c r="X4019" s="2">
        <f ca="1"/>
        <v>30.234488332678428</v>
      </c>
      <c r="AG4019" s="2">
        <f ca="1"/>
        <v>0.35794698444769835</v>
      </c>
      <c r="AH4019" s="2" t="str">
        <f ca="1"/>
        <v>OK</v>
      </c>
    </row>
    <row r="4020" spans="2:34" x14ac:dyDescent="0.2">
      <c r="B4020" s="2">
        <f ca="1"/>
        <v>0.84644211430069394</v>
      </c>
      <c r="O4020" s="2">
        <f ca="1"/>
        <v>0.95836124554470048</v>
      </c>
      <c r="X4020" s="2">
        <f ca="1"/>
        <v>68.125979790462026</v>
      </c>
      <c r="AG4020" s="2">
        <f ca="1"/>
        <v>0.53131194484319733</v>
      </c>
      <c r="AH4020" s="2" t="str">
        <f ca="1"/>
        <v>Bad</v>
      </c>
    </row>
    <row r="4021" spans="2:34" x14ac:dyDescent="0.2">
      <c r="B4021" s="2">
        <f ca="1"/>
        <v>0.71250293654214669</v>
      </c>
      <c r="O4021" s="2">
        <f ca="1"/>
        <v>-0.3071112870040707</v>
      </c>
      <c r="X4021" s="2">
        <f ca="1"/>
        <v>30.659830109868246</v>
      </c>
      <c r="AG4021" s="2">
        <f ca="1"/>
        <v>5.350486645981789E-2</v>
      </c>
      <c r="AH4021" s="2" t="str">
        <f ca="1"/>
        <v>OK</v>
      </c>
    </row>
    <row r="4022" spans="2:34" x14ac:dyDescent="0.2">
      <c r="B4022" s="2">
        <f ca="1"/>
        <v>0.35353535870267461</v>
      </c>
      <c r="O4022" s="2">
        <f ca="1"/>
        <v>0.88064900614517561</v>
      </c>
      <c r="X4022" s="2">
        <f ca="1"/>
        <v>30.15664701381251</v>
      </c>
      <c r="AG4022" s="2">
        <f ca="1"/>
        <v>0.41210108800931433</v>
      </c>
      <c r="AH4022" s="2" t="str">
        <f ca="1"/>
        <v>Bad</v>
      </c>
    </row>
    <row r="4023" spans="2:34" x14ac:dyDescent="0.2">
      <c r="B4023" s="2">
        <f ca="1"/>
        <v>0.99514377974818324</v>
      </c>
      <c r="O4023" s="2">
        <f ca="1"/>
        <v>3.416275566631178E-2</v>
      </c>
      <c r="X4023" s="2">
        <f ca="1"/>
        <v>38.02022836271513</v>
      </c>
      <c r="AG4023" s="2">
        <f ca="1"/>
        <v>0.78695328785480334</v>
      </c>
      <c r="AH4023" s="2" t="str">
        <f ca="1"/>
        <v>Bad</v>
      </c>
    </row>
    <row r="4024" spans="2:34" x14ac:dyDescent="0.2">
      <c r="B4024" s="2">
        <f ca="1"/>
        <v>0.12994219380776673</v>
      </c>
      <c r="O4024" s="2">
        <f ca="1"/>
        <v>0.80394978090185187</v>
      </c>
      <c r="X4024" s="2">
        <f ca="1"/>
        <v>44.44121866500118</v>
      </c>
      <c r="AG4024" s="2">
        <f ca="1"/>
        <v>0.49847331713751775</v>
      </c>
      <c r="AH4024" s="2" t="str">
        <f ca="1"/>
        <v>Bad</v>
      </c>
    </row>
    <row r="4025" spans="2:34" x14ac:dyDescent="0.2">
      <c r="B4025" s="2">
        <f ca="1"/>
        <v>0.21373485348081633</v>
      </c>
      <c r="O4025" s="2">
        <f ca="1"/>
        <v>0.31022366247665611</v>
      </c>
      <c r="X4025" s="2">
        <f ca="1"/>
        <v>55.360205167285983</v>
      </c>
      <c r="AG4025" s="2">
        <f ca="1"/>
        <v>0.98398578438757567</v>
      </c>
      <c r="AH4025" s="2" t="str">
        <f ca="1"/>
        <v>Bad</v>
      </c>
    </row>
    <row r="4026" spans="2:34" x14ac:dyDescent="0.2">
      <c r="B4026" s="2">
        <f ca="1"/>
        <v>0.26375603086416999</v>
      </c>
      <c r="O4026" s="2">
        <f ca="1"/>
        <v>-1.1673903881550898</v>
      </c>
      <c r="X4026" s="2">
        <f ca="1"/>
        <v>33.973303258449469</v>
      </c>
      <c r="AG4026" s="2">
        <f ca="1"/>
        <v>0.92498397679095579</v>
      </c>
      <c r="AH4026" s="2" t="str">
        <f ca="1"/>
        <v>Bad</v>
      </c>
    </row>
    <row r="4027" spans="2:34" x14ac:dyDescent="0.2">
      <c r="B4027" s="2">
        <f ca="1"/>
        <v>0.69239599898315962</v>
      </c>
      <c r="O4027" s="2">
        <f ca="1"/>
        <v>0.29199012015349385</v>
      </c>
      <c r="X4027" s="2">
        <f ca="1"/>
        <v>24.680290713037998</v>
      </c>
      <c r="AG4027" s="2">
        <f ca="1"/>
        <v>0.25433028139915947</v>
      </c>
      <c r="AH4027" s="2" t="str">
        <f ca="1"/>
        <v>OK</v>
      </c>
    </row>
    <row r="4028" spans="2:34" x14ac:dyDescent="0.2">
      <c r="B4028" s="2">
        <f ca="1"/>
        <v>0.29483223883014431</v>
      </c>
      <c r="O4028" s="2">
        <f ca="1"/>
        <v>0.74672489096014139</v>
      </c>
      <c r="X4028" s="2">
        <f ca="1"/>
        <v>45.277326215990719</v>
      </c>
      <c r="AG4028" s="2">
        <f ca="1"/>
        <v>6.3025907102548961E-2</v>
      </c>
      <c r="AH4028" s="2" t="str">
        <f ca="1"/>
        <v>OK</v>
      </c>
    </row>
    <row r="4029" spans="2:34" x14ac:dyDescent="0.2">
      <c r="B4029" s="2">
        <f ca="1"/>
        <v>4.0707922709877886E-2</v>
      </c>
      <c r="O4029" s="2">
        <f ca="1"/>
        <v>0.46166940781354765</v>
      </c>
      <c r="X4029" s="2">
        <f ca="1"/>
        <v>70.405345596972225</v>
      </c>
      <c r="AG4029" s="2">
        <f ca="1"/>
        <v>0.99153571535939933</v>
      </c>
      <c r="AH4029" s="2" t="str">
        <f ca="1"/>
        <v>Bad</v>
      </c>
    </row>
    <row r="4030" spans="2:34" x14ac:dyDescent="0.2">
      <c r="B4030" s="2">
        <f ca="1"/>
        <v>0.42277594386770145</v>
      </c>
      <c r="O4030" s="2">
        <f ca="1"/>
        <v>-0.11557477202736581</v>
      </c>
      <c r="X4030" s="2">
        <f ca="1"/>
        <v>60.389391422337575</v>
      </c>
      <c r="AG4030" s="2">
        <f ca="1"/>
        <v>0.43911865541290696</v>
      </c>
      <c r="AH4030" s="2" t="str">
        <f ca="1"/>
        <v>Bad</v>
      </c>
    </row>
    <row r="4031" spans="2:34" x14ac:dyDescent="0.2">
      <c r="B4031" s="2">
        <f ca="1"/>
        <v>0.56743584315288209</v>
      </c>
      <c r="O4031" s="2">
        <f ca="1"/>
        <v>7.5513099021295091E-2</v>
      </c>
      <c r="X4031" s="2">
        <f ca="1"/>
        <v>59.01722789487706</v>
      </c>
      <c r="AG4031" s="2">
        <f ca="1"/>
        <v>0.75348594038208372</v>
      </c>
      <c r="AH4031" s="2" t="str">
        <f ca="1"/>
        <v>Bad</v>
      </c>
    </row>
    <row r="4032" spans="2:34" x14ac:dyDescent="0.2">
      <c r="B4032" s="2">
        <f ca="1"/>
        <v>0.9131189998746474</v>
      </c>
      <c r="O4032" s="2">
        <f ca="1"/>
        <v>0.4515776175888635</v>
      </c>
      <c r="X4032" s="2">
        <f ca="1"/>
        <v>97.79376576220335</v>
      </c>
      <c r="AG4032" s="2">
        <f ca="1"/>
        <v>0.98315426672107242</v>
      </c>
      <c r="AH4032" s="2" t="str">
        <f ca="1"/>
        <v>Bad</v>
      </c>
    </row>
    <row r="4033" spans="2:34" x14ac:dyDescent="0.2">
      <c r="B4033" s="2">
        <f ca="1"/>
        <v>4.5889637272868322E-2</v>
      </c>
      <c r="O4033" s="2">
        <f ca="1"/>
        <v>-0.30217000190193904</v>
      </c>
      <c r="X4033" s="2">
        <f ca="1"/>
        <v>54.230223798780308</v>
      </c>
      <c r="AG4033" s="2">
        <f ca="1"/>
        <v>0.73481070213437261</v>
      </c>
      <c r="AH4033" s="2" t="str">
        <f ca="1"/>
        <v>Bad</v>
      </c>
    </row>
    <row r="4034" spans="2:34" x14ac:dyDescent="0.2">
      <c r="B4034" s="2">
        <f ca="1"/>
        <v>0.60423505432987268</v>
      </c>
      <c r="O4034" s="2">
        <f ca="1"/>
        <v>0.81021087658867508</v>
      </c>
      <c r="X4034" s="2">
        <f ca="1"/>
        <v>45.325426098911088</v>
      </c>
      <c r="AG4034" s="2">
        <f ca="1"/>
        <v>0.13145187089640697</v>
      </c>
      <c r="AH4034" s="2" t="str">
        <f ca="1"/>
        <v>OK</v>
      </c>
    </row>
    <row r="4035" spans="2:34" x14ac:dyDescent="0.2">
      <c r="B4035" s="2">
        <f ca="1"/>
        <v>9.621653354418136E-2</v>
      </c>
      <c r="O4035" s="2">
        <f ca="1"/>
        <v>0.32558596549470542</v>
      </c>
      <c r="X4035" s="2">
        <f ca="1"/>
        <v>39.90432141820073</v>
      </c>
      <c r="AG4035" s="2">
        <f ca="1"/>
        <v>0.92245400625451723</v>
      </c>
      <c r="AH4035" s="2" t="str">
        <f ca="1"/>
        <v>Bad</v>
      </c>
    </row>
    <row r="4036" spans="2:34" x14ac:dyDescent="0.2">
      <c r="B4036" s="2">
        <f ca="1"/>
        <v>0.49124173146427719</v>
      </c>
      <c r="O4036" s="2">
        <f ca="1"/>
        <v>0.86138574664427525</v>
      </c>
      <c r="X4036" s="2">
        <f ca="1"/>
        <v>42.229114857263632</v>
      </c>
      <c r="AG4036" s="2">
        <f ca="1"/>
        <v>1.9224059804012983E-2</v>
      </c>
      <c r="AH4036" s="2" t="str">
        <f ca="1"/>
        <v>Good</v>
      </c>
    </row>
    <row r="4037" spans="2:34" x14ac:dyDescent="0.2">
      <c r="B4037" s="2">
        <f ca="1"/>
        <v>0.58432876138787604</v>
      </c>
      <c r="O4037" s="2">
        <f ca="1"/>
        <v>-0.33848761812222306</v>
      </c>
      <c r="X4037" s="2">
        <f ca="1"/>
        <v>35.498559351701175</v>
      </c>
      <c r="AG4037" s="2">
        <f ca="1"/>
        <v>7.0589581970687876E-2</v>
      </c>
      <c r="AH4037" s="2" t="str">
        <f ca="1"/>
        <v>OK</v>
      </c>
    </row>
    <row r="4038" spans="2:34" x14ac:dyDescent="0.2">
      <c r="B4038" s="2">
        <f ca="1"/>
        <v>0.81419908137700125</v>
      </c>
      <c r="O4038" s="2">
        <f ca="1"/>
        <v>1.6665546112978551</v>
      </c>
      <c r="X4038" s="2">
        <f ca="1"/>
        <v>61.713136572187672</v>
      </c>
      <c r="AG4038" s="2">
        <f ca="1"/>
        <v>0.42773241279928431</v>
      </c>
      <c r="AH4038" s="2" t="str">
        <f ca="1"/>
        <v>Bad</v>
      </c>
    </row>
    <row r="4039" spans="2:34" x14ac:dyDescent="0.2">
      <c r="B4039" s="2">
        <f ca="1"/>
        <v>0.33519871597838469</v>
      </c>
      <c r="O4039" s="2">
        <f ca="1"/>
        <v>1.2616141746678766</v>
      </c>
      <c r="X4039" s="2">
        <f ca="1"/>
        <v>35.558757598702122</v>
      </c>
      <c r="AG4039" s="2">
        <f ca="1"/>
        <v>0.18690695011655833</v>
      </c>
      <c r="AH4039" s="2" t="str">
        <f ca="1"/>
        <v>OK</v>
      </c>
    </row>
    <row r="4040" spans="2:34" x14ac:dyDescent="0.2">
      <c r="B4040" s="2">
        <f ca="1"/>
        <v>1.4694244286325375E-2</v>
      </c>
      <c r="O4040" s="2">
        <f ca="1"/>
        <v>-3.2469992966601176</v>
      </c>
      <c r="X4040" s="2">
        <f ca="1"/>
        <v>58.974187990137814</v>
      </c>
      <c r="AG4040" s="2">
        <f ca="1"/>
        <v>0.62950785697893519</v>
      </c>
      <c r="AH4040" s="2" t="str">
        <f ca="1"/>
        <v>Bad</v>
      </c>
    </row>
    <row r="4041" spans="2:34" x14ac:dyDescent="0.2">
      <c r="B4041" s="2">
        <f ca="1"/>
        <v>0.47003326244154997</v>
      </c>
      <c r="O4041" s="2">
        <f ca="1"/>
        <v>0.30172064563750395</v>
      </c>
      <c r="X4041" s="2">
        <f ca="1"/>
        <v>64.8801671056884</v>
      </c>
      <c r="AG4041" s="2">
        <f ca="1"/>
        <v>0.53446110745310071</v>
      </c>
      <c r="AH4041" s="2" t="str">
        <f ca="1"/>
        <v>Bad</v>
      </c>
    </row>
    <row r="4042" spans="2:34" x14ac:dyDescent="0.2">
      <c r="B4042" s="2">
        <f ca="1"/>
        <v>0.63693122978713035</v>
      </c>
      <c r="O4042" s="2">
        <f ca="1"/>
        <v>0.86894301654333239</v>
      </c>
      <c r="X4042" s="2">
        <f ca="1"/>
        <v>34.635008099050538</v>
      </c>
      <c r="AG4042" s="2">
        <f ca="1"/>
        <v>0.34150157087960142</v>
      </c>
      <c r="AH4042" s="2" t="str">
        <f ca="1"/>
        <v>OK</v>
      </c>
    </row>
    <row r="4043" spans="2:34" x14ac:dyDescent="0.2">
      <c r="B4043" s="2">
        <f ca="1"/>
        <v>0.33074672893771839</v>
      </c>
      <c r="O4043" s="2">
        <f ca="1"/>
        <v>-0.12710131605990294</v>
      </c>
      <c r="X4043" s="2">
        <f ca="1"/>
        <v>29.030658694399897</v>
      </c>
      <c r="AG4043" s="2">
        <f ca="1"/>
        <v>0.88233628655240848</v>
      </c>
      <c r="AH4043" s="2" t="str">
        <f ca="1"/>
        <v>Bad</v>
      </c>
    </row>
    <row r="4044" spans="2:34" x14ac:dyDescent="0.2">
      <c r="B4044" s="2">
        <f ca="1"/>
        <v>0.82164352614771308</v>
      </c>
      <c r="O4044" s="2">
        <f ca="1"/>
        <v>0.25154431927449755</v>
      </c>
      <c r="X4044" s="2">
        <f ca="1"/>
        <v>50.558347342758125</v>
      </c>
      <c r="AG4044" s="2">
        <f ca="1"/>
        <v>0.93500635809039512</v>
      </c>
      <c r="AH4044" s="2" t="str">
        <f ca="1"/>
        <v>Bad</v>
      </c>
    </row>
    <row r="4045" spans="2:34" x14ac:dyDescent="0.2">
      <c r="B4045" s="2">
        <f ca="1"/>
        <v>0.6440843753889276</v>
      </c>
      <c r="O4045" s="2">
        <f ca="1"/>
        <v>-1.5211020818644736</v>
      </c>
      <c r="X4045" s="2">
        <f ca="1"/>
        <v>61.931431442688947</v>
      </c>
      <c r="AG4045" s="2">
        <f ca="1"/>
        <v>0.23829321337871812</v>
      </c>
      <c r="AH4045" s="2" t="str">
        <f ca="1"/>
        <v>OK</v>
      </c>
    </row>
    <row r="4046" spans="2:34" x14ac:dyDescent="0.2">
      <c r="B4046" s="2">
        <f ca="1"/>
        <v>0.26131943777495414</v>
      </c>
      <c r="O4046" s="2">
        <f ca="1"/>
        <v>0.35771862798525739</v>
      </c>
      <c r="X4046" s="2">
        <f ca="1"/>
        <v>53.353275982339206</v>
      </c>
      <c r="AG4046" s="2">
        <f ca="1"/>
        <v>0.90731510636726176</v>
      </c>
      <c r="AH4046" s="2" t="str">
        <f ca="1"/>
        <v>Bad</v>
      </c>
    </row>
    <row r="4047" spans="2:34" x14ac:dyDescent="0.2">
      <c r="B4047" s="2">
        <f ca="1"/>
        <v>0.56768596309480279</v>
      </c>
      <c r="O4047" s="2">
        <f ca="1"/>
        <v>-0.50059376404773082</v>
      </c>
      <c r="X4047" s="2">
        <f ca="1"/>
        <v>36.993499625387393</v>
      </c>
      <c r="AG4047" s="2">
        <f ca="1"/>
        <v>0.78410142211824319</v>
      </c>
      <c r="AH4047" s="2" t="str">
        <f ca="1"/>
        <v>Bad</v>
      </c>
    </row>
    <row r="4048" spans="2:34" x14ac:dyDescent="0.2">
      <c r="B4048" s="2">
        <f ca="1"/>
        <v>0.87630278183263322</v>
      </c>
      <c r="O4048" s="2">
        <f ca="1"/>
        <v>0.31743293188006039</v>
      </c>
      <c r="X4048" s="2">
        <f ca="1"/>
        <v>99.323883687553916</v>
      </c>
      <c r="AG4048" s="2">
        <f ca="1"/>
        <v>0.44659852047695203</v>
      </c>
      <c r="AH4048" s="2" t="str">
        <f ca="1"/>
        <v>Bad</v>
      </c>
    </row>
    <row r="4049" spans="2:34" x14ac:dyDescent="0.2">
      <c r="B4049" s="2">
        <f ca="1"/>
        <v>0.64602161783069367</v>
      </c>
      <c r="O4049" s="2">
        <f ca="1"/>
        <v>0.18468819816824353</v>
      </c>
      <c r="X4049" s="2">
        <f ca="1"/>
        <v>48.368574202648269</v>
      </c>
      <c r="AG4049" s="2">
        <f ca="1"/>
        <v>0.9351795366759954</v>
      </c>
      <c r="AH4049" s="2" t="str">
        <f ca="1"/>
        <v>Bad</v>
      </c>
    </row>
    <row r="4050" spans="2:34" x14ac:dyDescent="0.2">
      <c r="B4050" s="2">
        <f ca="1"/>
        <v>0.58924940965809025</v>
      </c>
      <c r="O4050" s="2">
        <f ca="1"/>
        <v>-1.2455467245501246</v>
      </c>
      <c r="X4050" s="2">
        <f ca="1"/>
        <v>55.048040867181015</v>
      </c>
      <c r="AG4050" s="2">
        <f ca="1"/>
        <v>0.9165992813404098</v>
      </c>
      <c r="AH4050" s="2" t="str">
        <f ca="1"/>
        <v>Bad</v>
      </c>
    </row>
    <row r="4051" spans="2:34" x14ac:dyDescent="0.2">
      <c r="B4051" s="2">
        <f ca="1"/>
        <v>0.31185114424389382</v>
      </c>
      <c r="O4051" s="2">
        <f ca="1"/>
        <v>-0.56910593826648381</v>
      </c>
      <c r="X4051" s="2">
        <f ca="1"/>
        <v>52.915912129275497</v>
      </c>
      <c r="AG4051" s="2">
        <f ca="1"/>
        <v>0.84207109760865695</v>
      </c>
      <c r="AH4051" s="2" t="str">
        <f ca="1"/>
        <v>Bad</v>
      </c>
    </row>
    <row r="4052" spans="2:34" x14ac:dyDescent="0.2">
      <c r="B4052" s="2">
        <f ca="1"/>
        <v>0.81235110184028092</v>
      </c>
      <c r="O4052" s="2">
        <f ca="1"/>
        <v>-0.82001396171089902</v>
      </c>
      <c r="X4052" s="2">
        <f ca="1"/>
        <v>67.061225678377838</v>
      </c>
      <c r="AG4052" s="2">
        <f ca="1"/>
        <v>0.53429565508224441</v>
      </c>
      <c r="AH4052" s="2" t="str">
        <f ca="1"/>
        <v>Bad</v>
      </c>
    </row>
    <row r="4053" spans="2:34" x14ac:dyDescent="0.2">
      <c r="B4053" s="2">
        <f ca="1"/>
        <v>0.56777888340239668</v>
      </c>
      <c r="O4053" s="2">
        <f ca="1"/>
        <v>0.26644571063567773</v>
      </c>
      <c r="X4053" s="2">
        <f ca="1"/>
        <v>61.822155549721948</v>
      </c>
      <c r="AG4053" s="2">
        <f ca="1"/>
        <v>0.26180044220916732</v>
      </c>
      <c r="AH4053" s="2" t="str">
        <f ca="1"/>
        <v>OK</v>
      </c>
    </row>
    <row r="4054" spans="2:34" x14ac:dyDescent="0.2">
      <c r="B4054" s="2">
        <f ca="1"/>
        <v>0.94045186373707024</v>
      </c>
      <c r="O4054" s="2">
        <f ca="1"/>
        <v>0.8550035793780103</v>
      </c>
      <c r="X4054" s="2">
        <f ca="1"/>
        <v>29.51051493291628</v>
      </c>
      <c r="AG4054" s="2">
        <f ca="1"/>
        <v>0.40637809368448008</v>
      </c>
      <c r="AH4054" s="2" t="str">
        <f ca="1"/>
        <v>Bad</v>
      </c>
    </row>
    <row r="4055" spans="2:34" x14ac:dyDescent="0.2">
      <c r="B4055" s="2">
        <f ca="1"/>
        <v>0.70978964450526338</v>
      </c>
      <c r="O4055" s="2">
        <f ca="1"/>
        <v>8.2095814105110063E-2</v>
      </c>
      <c r="X4055" s="2">
        <f ca="1"/>
        <v>81.949895912133499</v>
      </c>
      <c r="AG4055" s="2">
        <f ca="1"/>
        <v>0.95963728863372522</v>
      </c>
      <c r="AH4055" s="2" t="str">
        <f ca="1"/>
        <v>Bad</v>
      </c>
    </row>
    <row r="4056" spans="2:34" x14ac:dyDescent="0.2">
      <c r="B4056" s="2">
        <f ca="1"/>
        <v>0.49419208549571336</v>
      </c>
      <c r="O4056" s="2">
        <f ca="1"/>
        <v>-1.7759795013350039</v>
      </c>
      <c r="X4056" s="2">
        <f ca="1"/>
        <v>46.073118957427354</v>
      </c>
      <c r="AG4056" s="2">
        <f ca="1"/>
        <v>5.8635470596346106E-2</v>
      </c>
      <c r="AH4056" s="2" t="str">
        <f ca="1"/>
        <v>OK</v>
      </c>
    </row>
    <row r="4057" spans="2:34" x14ac:dyDescent="0.2">
      <c r="B4057" s="2">
        <f ca="1"/>
        <v>6.9379250071591514E-2</v>
      </c>
      <c r="O4057" s="2">
        <f ca="1"/>
        <v>0.92413252921445699</v>
      </c>
      <c r="X4057" s="2">
        <f ca="1"/>
        <v>42.42383676926481</v>
      </c>
      <c r="AG4057" s="2">
        <f ca="1"/>
        <v>0.10000581846561207</v>
      </c>
      <c r="AH4057" s="2" t="str">
        <f ca="1"/>
        <v>OK</v>
      </c>
    </row>
    <row r="4058" spans="2:34" x14ac:dyDescent="0.2">
      <c r="B4058" s="2">
        <f ca="1"/>
        <v>0.40007791702027196</v>
      </c>
      <c r="O4058" s="2">
        <f ca="1"/>
        <v>-0.21838400092898988</v>
      </c>
      <c r="X4058" s="2">
        <f ca="1"/>
        <v>39.963765689646806</v>
      </c>
      <c r="AG4058" s="2">
        <f ca="1"/>
        <v>8.8613969995754882E-2</v>
      </c>
      <c r="AH4058" s="2" t="str">
        <f ca="1"/>
        <v>OK</v>
      </c>
    </row>
    <row r="4059" spans="2:34" x14ac:dyDescent="0.2">
      <c r="B4059" s="2">
        <f ca="1"/>
        <v>0.27016056615018846</v>
      </c>
      <c r="O4059" s="2">
        <f ca="1"/>
        <v>-0.34959991258274764</v>
      </c>
      <c r="X4059" s="2">
        <f ca="1"/>
        <v>45.79252266010311</v>
      </c>
      <c r="AG4059" s="2">
        <f ca="1"/>
        <v>0.32552615108747607</v>
      </c>
      <c r="AH4059" s="2" t="str">
        <f ca="1"/>
        <v>OK</v>
      </c>
    </row>
    <row r="4060" spans="2:34" x14ac:dyDescent="0.2">
      <c r="B4060" s="2">
        <f ca="1"/>
        <v>0.78072889253731215</v>
      </c>
      <c r="O4060" s="2">
        <f ca="1"/>
        <v>0.42301884249526361</v>
      </c>
      <c r="X4060" s="2">
        <f ca="1"/>
        <v>38.818402424693836</v>
      </c>
      <c r="AG4060" s="2">
        <f ca="1"/>
        <v>0.93264473076226184</v>
      </c>
      <c r="AH4060" s="2" t="str">
        <f ca="1"/>
        <v>Bad</v>
      </c>
    </row>
    <row r="4061" spans="2:34" x14ac:dyDescent="0.2">
      <c r="B4061" s="2">
        <f ca="1"/>
        <v>0.48543921637497722</v>
      </c>
      <c r="O4061" s="2">
        <f ca="1"/>
        <v>-0.22340013831544353</v>
      </c>
      <c r="X4061" s="2">
        <f ca="1"/>
        <v>49.288857666630278</v>
      </c>
      <c r="AG4061" s="2">
        <f ca="1"/>
        <v>0.65904906420358578</v>
      </c>
      <c r="AH4061" s="2" t="str">
        <f ca="1"/>
        <v>Bad</v>
      </c>
    </row>
    <row r="4062" spans="2:34" x14ac:dyDescent="0.2">
      <c r="B4062" s="2">
        <f ca="1"/>
        <v>0.98562270725118939</v>
      </c>
      <c r="O4062" s="2">
        <f ca="1"/>
        <v>-2.1691283118641276</v>
      </c>
      <c r="X4062" s="2">
        <f ca="1"/>
        <v>31.783336167866171</v>
      </c>
      <c r="AG4062" s="2">
        <f ca="1"/>
        <v>0.80339485075064609</v>
      </c>
      <c r="AH4062" s="2" t="str">
        <f ca="1"/>
        <v>Bad</v>
      </c>
    </row>
    <row r="4063" spans="2:34" x14ac:dyDescent="0.2">
      <c r="B4063" s="2">
        <f ca="1"/>
        <v>0.28873441826339064</v>
      </c>
      <c r="O4063" s="2">
        <f ca="1"/>
        <v>0.16761250658666388</v>
      </c>
      <c r="X4063" s="2">
        <f ca="1"/>
        <v>59.389714831321569</v>
      </c>
      <c r="AG4063" s="2">
        <f ca="1"/>
        <v>0.11349149943581005</v>
      </c>
      <c r="AH4063" s="2" t="str">
        <f ca="1"/>
        <v>OK</v>
      </c>
    </row>
    <row r="4064" spans="2:34" x14ac:dyDescent="0.2">
      <c r="B4064" s="2">
        <f ca="1"/>
        <v>0.22479178957451196</v>
      </c>
      <c r="O4064" s="2">
        <f ca="1"/>
        <v>0.24933469824342611</v>
      </c>
      <c r="X4064" s="2">
        <f ca="1"/>
        <v>36.194205765888967</v>
      </c>
      <c r="AG4064" s="2">
        <f ca="1"/>
        <v>0.66270057165679752</v>
      </c>
      <c r="AH4064" s="2" t="str">
        <f ca="1"/>
        <v>Bad</v>
      </c>
    </row>
    <row r="4065" spans="2:34" x14ac:dyDescent="0.2">
      <c r="B4065" s="2">
        <f ca="1"/>
        <v>0.78875794854602521</v>
      </c>
      <c r="O4065" s="2">
        <f ca="1"/>
        <v>-0.72388950249146011</v>
      </c>
      <c r="X4065" s="2">
        <f ca="1"/>
        <v>62.352265293331179</v>
      </c>
      <c r="AG4065" s="2">
        <f ca="1"/>
        <v>0.84695445000780989</v>
      </c>
      <c r="AH4065" s="2" t="str">
        <f ca="1"/>
        <v>Bad</v>
      </c>
    </row>
    <row r="4066" spans="2:34" x14ac:dyDescent="0.2">
      <c r="B4066" s="2">
        <f ca="1"/>
        <v>4.5768135681470312E-2</v>
      </c>
      <c r="O4066" s="2">
        <f ca="1"/>
        <v>-0.33002749923379154</v>
      </c>
      <c r="X4066" s="2">
        <f ca="1"/>
        <v>55.0663820049488</v>
      </c>
      <c r="AG4066" s="2">
        <f ca="1"/>
        <v>0.90024512228049147</v>
      </c>
      <c r="AH4066" s="2" t="str">
        <f ca="1"/>
        <v>Bad</v>
      </c>
    </row>
    <row r="4067" spans="2:34" x14ac:dyDescent="0.2">
      <c r="B4067" s="2">
        <f ca="1"/>
        <v>0.18141674901301319</v>
      </c>
      <c r="O4067" s="2">
        <f ca="1"/>
        <v>-0.60906370844169944</v>
      </c>
      <c r="X4067" s="2">
        <f ca="1"/>
        <v>38.723787811005238</v>
      </c>
      <c r="AG4067" s="2">
        <f ca="1"/>
        <v>0.71253897846388781</v>
      </c>
      <c r="AH4067" s="2" t="str">
        <f ca="1"/>
        <v>Bad</v>
      </c>
    </row>
    <row r="4068" spans="2:34" x14ac:dyDescent="0.2">
      <c r="B4068" s="2">
        <f ca="1"/>
        <v>0.37681004967297227</v>
      </c>
      <c r="O4068" s="2">
        <f ca="1"/>
        <v>-5.3583040677613106E-4</v>
      </c>
      <c r="X4068" s="2">
        <f ca="1"/>
        <v>44.38498230723183</v>
      </c>
      <c r="AG4068" s="2">
        <f ca="1"/>
        <v>0.50776120582145801</v>
      </c>
      <c r="AH4068" s="2" t="str">
        <f ca="1"/>
        <v>Bad</v>
      </c>
    </row>
    <row r="4069" spans="2:34" x14ac:dyDescent="0.2">
      <c r="B4069" s="2">
        <f ca="1"/>
        <v>0.56431447390267042</v>
      </c>
      <c r="O4069" s="2">
        <f ca="1"/>
        <v>-0.67271518676174691</v>
      </c>
      <c r="X4069" s="2">
        <f ca="1"/>
        <v>56.156243829991482</v>
      </c>
      <c r="AG4069" s="2">
        <f ca="1"/>
        <v>0.78867906529315457</v>
      </c>
      <c r="AH4069" s="2" t="str">
        <f ca="1"/>
        <v>Bad</v>
      </c>
    </row>
    <row r="4070" spans="2:34" x14ac:dyDescent="0.2">
      <c r="B4070" s="2">
        <f ca="1"/>
        <v>0.1590046914382659</v>
      </c>
      <c r="O4070" s="2">
        <f ca="1"/>
        <v>-1.9492780913672851</v>
      </c>
      <c r="X4070" s="2">
        <f ca="1"/>
        <v>43.597702744799889</v>
      </c>
      <c r="AG4070" s="2">
        <f ca="1"/>
        <v>0.67150605459448354</v>
      </c>
      <c r="AH4070" s="2" t="str">
        <f ca="1"/>
        <v>Bad</v>
      </c>
    </row>
    <row r="4071" spans="2:34" x14ac:dyDescent="0.2">
      <c r="B4071" s="2">
        <f ca="1"/>
        <v>0.79604909563761117</v>
      </c>
      <c r="O4071" s="2">
        <f ca="1"/>
        <v>-0.61097393284585078</v>
      </c>
      <c r="X4071" s="2">
        <f ca="1"/>
        <v>46.009281059858004</v>
      </c>
      <c r="AG4071" s="2">
        <f ca="1"/>
        <v>0.12752518114283751</v>
      </c>
      <c r="AH4071" s="2" t="str">
        <f ca="1"/>
        <v>OK</v>
      </c>
    </row>
    <row r="4072" spans="2:34" x14ac:dyDescent="0.2">
      <c r="B4072" s="2">
        <f ca="1"/>
        <v>0.32853609164418796</v>
      </c>
      <c r="O4072" s="2">
        <f ca="1"/>
        <v>1.4782507355288785</v>
      </c>
      <c r="X4072" s="2">
        <f ca="1"/>
        <v>39.841808754764159</v>
      </c>
      <c r="AG4072" s="2">
        <f ca="1"/>
        <v>0.18393215426680243</v>
      </c>
      <c r="AH4072" s="2" t="str">
        <f ca="1"/>
        <v>OK</v>
      </c>
    </row>
    <row r="4073" spans="2:34" x14ac:dyDescent="0.2">
      <c r="B4073" s="2">
        <f ca="1"/>
        <v>0.15537564857262232</v>
      </c>
      <c r="O4073" s="2">
        <f ca="1"/>
        <v>-0.46825898707128821</v>
      </c>
      <c r="X4073" s="2">
        <f ca="1"/>
        <v>52.590234715189183</v>
      </c>
      <c r="AG4073" s="2">
        <f ca="1"/>
        <v>0.34981344751750232</v>
      </c>
      <c r="AH4073" s="2" t="str">
        <f ca="1"/>
        <v>OK</v>
      </c>
    </row>
    <row r="4074" spans="2:34" x14ac:dyDescent="0.2">
      <c r="B4074" s="2">
        <f ca="1"/>
        <v>0.13394388041421723</v>
      </c>
      <c r="O4074" s="2">
        <f ca="1"/>
        <v>1.8206729910724342</v>
      </c>
      <c r="X4074" s="2">
        <f ca="1"/>
        <v>62.868422560107916</v>
      </c>
      <c r="AG4074" s="2">
        <f ca="1"/>
        <v>0.89729626481339686</v>
      </c>
      <c r="AH4074" s="2" t="str">
        <f ca="1"/>
        <v>Bad</v>
      </c>
    </row>
    <row r="4075" spans="2:34" x14ac:dyDescent="0.2">
      <c r="B4075" s="2">
        <f ca="1"/>
        <v>0.15377999744237836</v>
      </c>
      <c r="O4075" s="2">
        <f ca="1"/>
        <v>1.1429148766427473</v>
      </c>
      <c r="X4075" s="2">
        <f ca="1"/>
        <v>50.627627010016013</v>
      </c>
      <c r="AG4075" s="2">
        <f ca="1"/>
        <v>6.3186021755978983E-2</v>
      </c>
      <c r="AH4075" s="2" t="str">
        <f ca="1"/>
        <v>OK</v>
      </c>
    </row>
    <row r="4076" spans="2:34" x14ac:dyDescent="0.2">
      <c r="B4076" s="2">
        <f ca="1"/>
        <v>0.72195620356061663</v>
      </c>
      <c r="O4076" s="2">
        <f ca="1"/>
        <v>-0.14736621094127772</v>
      </c>
      <c r="X4076" s="2">
        <f ca="1"/>
        <v>46.780277901088134</v>
      </c>
      <c r="AG4076" s="2">
        <f ca="1"/>
        <v>0.52360689469519106</v>
      </c>
      <c r="AH4076" s="2" t="str">
        <f ca="1"/>
        <v>Bad</v>
      </c>
    </row>
    <row r="4077" spans="2:34" x14ac:dyDescent="0.2">
      <c r="B4077" s="2">
        <f ca="1"/>
        <v>0.64128615688344248</v>
      </c>
      <c r="O4077" s="2">
        <f ca="1"/>
        <v>-0.57914758908514985</v>
      </c>
      <c r="X4077" s="2">
        <f ca="1"/>
        <v>46.394798603197707</v>
      </c>
      <c r="AG4077" s="2">
        <f ca="1"/>
        <v>0.60648322229980445</v>
      </c>
      <c r="AH4077" s="2" t="str">
        <f ca="1"/>
        <v>Bad</v>
      </c>
    </row>
    <row r="4078" spans="2:34" x14ac:dyDescent="0.2">
      <c r="B4078" s="2">
        <f ca="1"/>
        <v>0.62645224276135503</v>
      </c>
      <c r="O4078" s="2">
        <f ca="1"/>
        <v>0.22775636819699849</v>
      </c>
      <c r="X4078" s="2">
        <f ca="1"/>
        <v>26.697962018146729</v>
      </c>
      <c r="AG4078" s="2">
        <f ca="1"/>
        <v>0.62059415436272314</v>
      </c>
      <c r="AH4078" s="2" t="str">
        <f ca="1"/>
        <v>Bad</v>
      </c>
    </row>
    <row r="4079" spans="2:34" x14ac:dyDescent="0.2">
      <c r="B4079" s="2">
        <f ca="1"/>
        <v>0.14035900919476196</v>
      </c>
      <c r="O4079" s="2">
        <f ca="1"/>
        <v>-0.89180772371906225</v>
      </c>
      <c r="X4079" s="2">
        <f ca="1"/>
        <v>31.847652220963436</v>
      </c>
      <c r="AG4079" s="2">
        <f ca="1"/>
        <v>0.32305029246371464</v>
      </c>
      <c r="AH4079" s="2" t="str">
        <f ca="1"/>
        <v>OK</v>
      </c>
    </row>
    <row r="4080" spans="2:34" x14ac:dyDescent="0.2">
      <c r="B4080" s="2">
        <f ca="1"/>
        <v>0.49139021075324862</v>
      </c>
      <c r="O4080" s="2">
        <f ca="1"/>
        <v>-1.4383131088761694</v>
      </c>
      <c r="X4080" s="2">
        <f ca="1"/>
        <v>37.649713604267504</v>
      </c>
      <c r="AG4080" s="2">
        <f ca="1"/>
        <v>0.77782747492546678</v>
      </c>
      <c r="AH4080" s="2" t="str">
        <f ca="1"/>
        <v>Bad</v>
      </c>
    </row>
    <row r="4081" spans="2:34" x14ac:dyDescent="0.2">
      <c r="B4081" s="2">
        <f ca="1"/>
        <v>0.63880859108591337</v>
      </c>
      <c r="O4081" s="2">
        <f ca="1"/>
        <v>-1.6857231888310313</v>
      </c>
      <c r="X4081" s="2">
        <f ca="1"/>
        <v>68.762241966263858</v>
      </c>
      <c r="AG4081" s="2">
        <f ca="1"/>
        <v>0.45919354219316366</v>
      </c>
      <c r="AH4081" s="2" t="str">
        <f ca="1"/>
        <v>Bad</v>
      </c>
    </row>
    <row r="4082" spans="2:34" x14ac:dyDescent="0.2">
      <c r="B4082" s="2">
        <f ca="1"/>
        <v>2.2284336659668558E-2</v>
      </c>
      <c r="O4082" s="2">
        <f ca="1"/>
        <v>0.3435784713854414</v>
      </c>
      <c r="X4082" s="2">
        <f ca="1"/>
        <v>35.806146733819844</v>
      </c>
      <c r="AG4082" s="2">
        <f ca="1"/>
        <v>0.12341465541365837</v>
      </c>
      <c r="AH4082" s="2" t="str">
        <f ca="1"/>
        <v>OK</v>
      </c>
    </row>
    <row r="4083" spans="2:34" x14ac:dyDescent="0.2">
      <c r="B4083" s="2">
        <f ca="1"/>
        <v>0.19050293726885337</v>
      </c>
      <c r="O4083" s="2">
        <f ca="1"/>
        <v>1.5450105256188063</v>
      </c>
      <c r="X4083" s="2">
        <f ca="1"/>
        <v>50.35382117201393</v>
      </c>
      <c r="AG4083" s="2">
        <f ca="1"/>
        <v>0.49333753049177131</v>
      </c>
      <c r="AH4083" s="2" t="str">
        <f ca="1"/>
        <v>Bad</v>
      </c>
    </row>
    <row r="4084" spans="2:34" x14ac:dyDescent="0.2">
      <c r="B4084" s="2">
        <f ca="1"/>
        <v>0.20138048091347915</v>
      </c>
      <c r="O4084" s="2">
        <f ca="1"/>
        <v>-1.0028428400565945</v>
      </c>
      <c r="X4084" s="2">
        <f ca="1"/>
        <v>50.015031027082834</v>
      </c>
      <c r="AG4084" s="2">
        <f ca="1"/>
        <v>0.79303453948529268</v>
      </c>
      <c r="AH4084" s="2" t="str">
        <f ca="1"/>
        <v>Bad</v>
      </c>
    </row>
    <row r="4085" spans="2:34" x14ac:dyDescent="0.2">
      <c r="B4085" s="2">
        <f ca="1"/>
        <v>0.32008732133835083</v>
      </c>
      <c r="O4085" s="2">
        <f ca="1"/>
        <v>-0.40746653199405219</v>
      </c>
      <c r="X4085" s="2">
        <f ca="1"/>
        <v>75.920861087336093</v>
      </c>
      <c r="AG4085" s="2">
        <f ca="1"/>
        <v>0.48208700846042363</v>
      </c>
      <c r="AH4085" s="2" t="str">
        <f ca="1"/>
        <v>Bad</v>
      </c>
    </row>
    <row r="4086" spans="2:34" x14ac:dyDescent="0.2">
      <c r="B4086" s="2">
        <f ca="1"/>
        <v>0.30741456222894326</v>
      </c>
      <c r="O4086" s="2">
        <f ca="1"/>
        <v>1.1989640248111411</v>
      </c>
      <c r="X4086" s="2">
        <f ca="1"/>
        <v>76.417033131791953</v>
      </c>
      <c r="AG4086" s="2">
        <f ca="1"/>
        <v>0.71387015108786178</v>
      </c>
      <c r="AH4086" s="2" t="str">
        <f ca="1"/>
        <v>Bad</v>
      </c>
    </row>
    <row r="4087" spans="2:34" x14ac:dyDescent="0.2">
      <c r="B4087" s="2">
        <f ca="1"/>
        <v>0.25917858095586954</v>
      </c>
      <c r="O4087" s="2">
        <f ca="1"/>
        <v>-1.2841908642176683</v>
      </c>
      <c r="X4087" s="2">
        <f ca="1"/>
        <v>51.573598689758128</v>
      </c>
      <c r="AG4087" s="2">
        <f ca="1"/>
        <v>0.46646729658816999</v>
      </c>
      <c r="AH4087" s="2" t="str">
        <f ca="1"/>
        <v>Bad</v>
      </c>
    </row>
    <row r="4088" spans="2:34" x14ac:dyDescent="0.2">
      <c r="B4088" s="2">
        <f ca="1"/>
        <v>0.81565084035395374</v>
      </c>
      <c r="O4088" s="2">
        <f ca="1"/>
        <v>-0.17696632911872984</v>
      </c>
      <c r="X4088" s="2">
        <f ca="1"/>
        <v>41.175527682145628</v>
      </c>
      <c r="AG4088" s="2">
        <f ca="1"/>
        <v>0.39265002116209402</v>
      </c>
      <c r="AH4088" s="2" t="str">
        <f ca="1"/>
        <v>OK</v>
      </c>
    </row>
    <row r="4089" spans="2:34" x14ac:dyDescent="0.2">
      <c r="B4089" s="2">
        <f ca="1"/>
        <v>0.95214562347848153</v>
      </c>
      <c r="O4089" s="2">
        <f ca="1"/>
        <v>1.0123512324596569</v>
      </c>
      <c r="X4089" s="2">
        <f ca="1"/>
        <v>50.878362744067928</v>
      </c>
      <c r="AG4089" s="2">
        <f ca="1"/>
        <v>0.81302555369839591</v>
      </c>
      <c r="AH4089" s="2" t="str">
        <f ca="1"/>
        <v>Bad</v>
      </c>
    </row>
    <row r="4090" spans="2:34" x14ac:dyDescent="0.2">
      <c r="B4090" s="2">
        <f ca="1"/>
        <v>0.73599814592279289</v>
      </c>
      <c r="O4090" s="2">
        <f ca="1"/>
        <v>-0.72304944340384614</v>
      </c>
      <c r="X4090" s="2">
        <f ca="1"/>
        <v>33.215766527152475</v>
      </c>
      <c r="AG4090" s="2">
        <f ca="1"/>
        <v>0.84090571997731711</v>
      </c>
      <c r="AH4090" s="2" t="str">
        <f ca="1"/>
        <v>Bad</v>
      </c>
    </row>
    <row r="4091" spans="2:34" x14ac:dyDescent="0.2">
      <c r="B4091" s="2">
        <f ca="1"/>
        <v>0.41765674471741865</v>
      </c>
      <c r="O4091" s="2">
        <f ca="1"/>
        <v>-1.5166665183544537</v>
      </c>
      <c r="X4091" s="2">
        <f ca="1"/>
        <v>51.449959704050727</v>
      </c>
      <c r="AG4091" s="2">
        <f ca="1"/>
        <v>0.46053187931757145</v>
      </c>
      <c r="AH4091" s="2" t="str">
        <f ca="1"/>
        <v>Bad</v>
      </c>
    </row>
    <row r="4092" spans="2:34" x14ac:dyDescent="0.2">
      <c r="B4092" s="2">
        <f ca="1"/>
        <v>0.86850842903342129</v>
      </c>
      <c r="O4092" s="2">
        <f ca="1"/>
        <v>0.49274336634885341</v>
      </c>
      <c r="X4092" s="2">
        <f ca="1"/>
        <v>55.478185484893068</v>
      </c>
      <c r="AG4092" s="2">
        <f ca="1"/>
        <v>0.30392970688859067</v>
      </c>
      <c r="AH4092" s="2" t="str">
        <f ca="1"/>
        <v>OK</v>
      </c>
    </row>
    <row r="4093" spans="2:34" x14ac:dyDescent="0.2">
      <c r="B4093" s="2">
        <f ca="1"/>
        <v>0.32561530055015431</v>
      </c>
      <c r="O4093" s="2">
        <f ca="1"/>
        <v>0.86762497475164713</v>
      </c>
      <c r="X4093" s="2">
        <f ca="1"/>
        <v>52.13182479583952</v>
      </c>
      <c r="AG4093" s="2">
        <f ca="1"/>
        <v>0.86935823111462485</v>
      </c>
      <c r="AH4093" s="2" t="str">
        <f ca="1"/>
        <v>Bad</v>
      </c>
    </row>
    <row r="4094" spans="2:34" x14ac:dyDescent="0.2">
      <c r="B4094" s="2">
        <f ca="1"/>
        <v>0.96206379375998674</v>
      </c>
      <c r="O4094" s="2">
        <f ca="1"/>
        <v>1.1994235766091916</v>
      </c>
      <c r="X4094" s="2">
        <f ca="1"/>
        <v>56.094476204683332</v>
      </c>
      <c r="AG4094" s="2">
        <f ca="1"/>
        <v>0.23959920748162733</v>
      </c>
      <c r="AH4094" s="2" t="str">
        <f ca="1"/>
        <v>OK</v>
      </c>
    </row>
    <row r="4095" spans="2:34" x14ac:dyDescent="0.2">
      <c r="B4095" s="2">
        <f ca="1"/>
        <v>0.16098469523450731</v>
      </c>
      <c r="O4095" s="2">
        <f ca="1"/>
        <v>1.474495294899081</v>
      </c>
      <c r="X4095" s="2">
        <f ca="1"/>
        <v>61.32788321256767</v>
      </c>
      <c r="AG4095" s="2">
        <f ca="1"/>
        <v>0.22140160721223023</v>
      </c>
      <c r="AH4095" s="2" t="str">
        <f ca="1"/>
        <v>OK</v>
      </c>
    </row>
    <row r="4096" spans="2:34" x14ac:dyDescent="0.2">
      <c r="B4096" s="2">
        <f ca="1"/>
        <v>0.90909962721338644</v>
      </c>
      <c r="O4096" s="2">
        <f ca="1"/>
        <v>-0.7132210524928565</v>
      </c>
      <c r="X4096" s="2">
        <f ca="1"/>
        <v>46.942532092788099</v>
      </c>
      <c r="AG4096" s="2">
        <f ca="1"/>
        <v>0.15242541142777211</v>
      </c>
      <c r="AH4096" s="2" t="str">
        <f ca="1"/>
        <v>OK</v>
      </c>
    </row>
    <row r="4097" spans="2:34" x14ac:dyDescent="0.2">
      <c r="B4097" s="2">
        <f ca="1"/>
        <v>0.54749342639640797</v>
      </c>
      <c r="O4097" s="2">
        <f ca="1"/>
        <v>0.34135608208814772</v>
      </c>
      <c r="X4097" s="2">
        <f ca="1"/>
        <v>78.938281776631442</v>
      </c>
      <c r="AG4097" s="2">
        <f ca="1"/>
        <v>0.77477799294104388</v>
      </c>
      <c r="AH4097" s="2" t="str">
        <f ca="1"/>
        <v>Bad</v>
      </c>
    </row>
    <row r="4098" spans="2:34" x14ac:dyDescent="0.2">
      <c r="B4098" s="2">
        <f ca="1"/>
        <v>0.6105444951217458</v>
      </c>
      <c r="O4098" s="2">
        <f ca="1"/>
        <v>-1.3225034551804158</v>
      </c>
      <c r="X4098" s="2">
        <f ca="1"/>
        <v>46.647297076542159</v>
      </c>
      <c r="AG4098" s="2">
        <f ca="1"/>
        <v>0.50912107706941012</v>
      </c>
      <c r="AH4098" s="2" t="str">
        <f ca="1"/>
        <v>Bad</v>
      </c>
    </row>
    <row r="4099" spans="2:34" x14ac:dyDescent="0.2">
      <c r="B4099" s="2">
        <f ca="1"/>
        <v>0.3324496787459208</v>
      </c>
      <c r="O4099" s="2">
        <f ca="1"/>
        <v>1.0042317923709423</v>
      </c>
      <c r="X4099" s="2">
        <f ca="1"/>
        <v>50.259369949191417</v>
      </c>
      <c r="AG4099" s="2">
        <f ca="1"/>
        <v>0.99682862822456686</v>
      </c>
      <c r="AH4099" s="2" t="str">
        <f ca="1"/>
        <v>Bad</v>
      </c>
    </row>
    <row r="4100" spans="2:34" x14ac:dyDescent="0.2">
      <c r="B4100" s="2">
        <f ca="1"/>
        <v>0.46342686379765596</v>
      </c>
      <c r="O4100" s="2">
        <f ca="1"/>
        <v>1.1855977486028184</v>
      </c>
      <c r="X4100" s="2">
        <f ca="1"/>
        <v>44.601183179150127</v>
      </c>
      <c r="AG4100" s="2">
        <f ca="1"/>
        <v>0.66776927732372449</v>
      </c>
      <c r="AH4100" s="2" t="str">
        <f ca="1"/>
        <v>Bad</v>
      </c>
    </row>
    <row r="4101" spans="2:34" x14ac:dyDescent="0.2">
      <c r="B4101" s="2">
        <f ca="1"/>
        <v>0.63078226704805007</v>
      </c>
      <c r="O4101" s="2">
        <f ca="1"/>
        <v>0.56739411923997185</v>
      </c>
      <c r="X4101" s="2">
        <f ca="1"/>
        <v>53.678329333183463</v>
      </c>
      <c r="AG4101" s="2">
        <f ca="1"/>
        <v>0.64943265162998487</v>
      </c>
      <c r="AH4101" s="2" t="str">
        <f ca="1"/>
        <v>Bad</v>
      </c>
    </row>
    <row r="4102" spans="2:34" x14ac:dyDescent="0.2">
      <c r="B4102" s="2">
        <f ca="1"/>
        <v>0.52605373432458813</v>
      </c>
      <c r="O4102" s="2">
        <f ca="1"/>
        <v>-3.9443811154651585E-2</v>
      </c>
      <c r="X4102" s="2">
        <f ca="1"/>
        <v>55.534586976357055</v>
      </c>
      <c r="AG4102" s="2">
        <f ca="1"/>
        <v>0.83131393052832059</v>
      </c>
      <c r="AH4102" s="2" t="str">
        <f ca="1"/>
        <v>Bad</v>
      </c>
    </row>
    <row r="4103" spans="2:34" x14ac:dyDescent="0.2">
      <c r="B4103" s="2">
        <f ca="1"/>
        <v>0.47227150563656428</v>
      </c>
      <c r="O4103" s="2">
        <f ca="1"/>
        <v>-0.70173062306622003</v>
      </c>
      <c r="X4103" s="2">
        <f ca="1"/>
        <v>69.638290859262199</v>
      </c>
      <c r="AG4103" s="2">
        <f ca="1"/>
        <v>0.52264739051006148</v>
      </c>
      <c r="AH4103" s="2" t="str">
        <f ca="1"/>
        <v>Bad</v>
      </c>
    </row>
    <row r="4104" spans="2:34" x14ac:dyDescent="0.2">
      <c r="B4104" s="2">
        <f ca="1"/>
        <v>0.57919032818476013</v>
      </c>
      <c r="O4104" s="2">
        <f ca="1"/>
        <v>0.97878254379061602</v>
      </c>
      <c r="X4104" s="2">
        <f ca="1"/>
        <v>50.692653125993985</v>
      </c>
      <c r="AG4104" s="2">
        <f ca="1"/>
        <v>0.44182519645879115</v>
      </c>
      <c r="AH4104" s="2" t="str">
        <f ca="1"/>
        <v>Bad</v>
      </c>
    </row>
    <row r="4105" spans="2:34" x14ac:dyDescent="0.2">
      <c r="B4105" s="2">
        <f ca="1"/>
        <v>0.74724321975103725</v>
      </c>
      <c r="O4105" s="2">
        <f ca="1"/>
        <v>1.2923882219696159</v>
      </c>
      <c r="X4105" s="2">
        <f ca="1"/>
        <v>36.506050907523942</v>
      </c>
      <c r="AG4105" s="2">
        <f ca="1"/>
        <v>0.68790479362095458</v>
      </c>
      <c r="AH4105" s="2" t="str">
        <f ca="1"/>
        <v>Bad</v>
      </c>
    </row>
    <row r="4106" spans="2:34" x14ac:dyDescent="0.2">
      <c r="B4106" s="2">
        <f ca="1"/>
        <v>0.38086885798283743</v>
      </c>
      <c r="O4106" s="2">
        <f ca="1"/>
        <v>-0.7207774195367177</v>
      </c>
      <c r="X4106" s="2">
        <f ca="1"/>
        <v>56.196859615855629</v>
      </c>
      <c r="AG4106" s="2">
        <f ca="1"/>
        <v>0.93635963087087193</v>
      </c>
      <c r="AH4106" s="2" t="str">
        <f ca="1"/>
        <v>Bad</v>
      </c>
    </row>
    <row r="4107" spans="2:34" x14ac:dyDescent="0.2">
      <c r="B4107" s="2">
        <f ca="1"/>
        <v>0.29105346025641898</v>
      </c>
      <c r="O4107" s="2">
        <f ca="1"/>
        <v>0.8464000645626889</v>
      </c>
      <c r="X4107" s="2">
        <f ca="1"/>
        <v>51.333446860360581</v>
      </c>
      <c r="AG4107" s="2">
        <f ca="1"/>
        <v>6.0980808360982408E-2</v>
      </c>
      <c r="AH4107" s="2" t="str">
        <f ca="1"/>
        <v>OK</v>
      </c>
    </row>
    <row r="4108" spans="2:34" x14ac:dyDescent="0.2">
      <c r="B4108" s="2">
        <f ca="1"/>
        <v>0.5421941308580307</v>
      </c>
      <c r="O4108" s="2">
        <f ca="1"/>
        <v>-1.3129499967067577</v>
      </c>
      <c r="X4108" s="2">
        <f ca="1"/>
        <v>49.915483952747344</v>
      </c>
      <c r="AG4108" s="2">
        <f ca="1"/>
        <v>0.3336423102197017</v>
      </c>
      <c r="AH4108" s="2" t="str">
        <f ca="1"/>
        <v>OK</v>
      </c>
    </row>
    <row r="4109" spans="2:34" x14ac:dyDescent="0.2">
      <c r="B4109" s="2">
        <f ca="1"/>
        <v>0.69544845467518335</v>
      </c>
      <c r="O4109" s="2">
        <f ca="1"/>
        <v>-0.74224687951790891</v>
      </c>
      <c r="X4109" s="2">
        <f ca="1"/>
        <v>39.672244272280793</v>
      </c>
      <c r="AG4109" s="2">
        <f ca="1"/>
        <v>0.44924661773949204</v>
      </c>
      <c r="AH4109" s="2" t="str">
        <f ca="1"/>
        <v>Bad</v>
      </c>
    </row>
    <row r="4110" spans="2:34" x14ac:dyDescent="0.2">
      <c r="B4110" s="2">
        <f ca="1"/>
        <v>0.86082337723907343</v>
      </c>
      <c r="O4110" s="2">
        <f ca="1"/>
        <v>-0.78511914656078496</v>
      </c>
      <c r="X4110" s="2">
        <f ca="1"/>
        <v>37.793089921574811</v>
      </c>
      <c r="AG4110" s="2">
        <f ca="1"/>
        <v>0.12414813689848558</v>
      </c>
      <c r="AH4110" s="2" t="str">
        <f ca="1"/>
        <v>OK</v>
      </c>
    </row>
    <row r="4111" spans="2:34" x14ac:dyDescent="0.2">
      <c r="B4111" s="2">
        <f ca="1"/>
        <v>0.50286234073232139</v>
      </c>
      <c r="O4111" s="2">
        <f ca="1"/>
        <v>-0.44372057240052543</v>
      </c>
      <c r="X4111" s="2">
        <f ca="1"/>
        <v>59.135224367150485</v>
      </c>
      <c r="AG4111" s="2">
        <f ca="1"/>
        <v>0.54305280655963029</v>
      </c>
      <c r="AH4111" s="2" t="str">
        <f ca="1"/>
        <v>Bad</v>
      </c>
    </row>
    <row r="4112" spans="2:34" x14ac:dyDescent="0.2">
      <c r="B4112" s="2">
        <f ca="1"/>
        <v>0.25235732898222163</v>
      </c>
      <c r="O4112" s="2">
        <f ca="1"/>
        <v>0.95965239854463114</v>
      </c>
      <c r="X4112" s="2">
        <f ca="1"/>
        <v>86.915720212710013</v>
      </c>
      <c r="AG4112" s="2">
        <f ca="1"/>
        <v>0.3078639392536795</v>
      </c>
      <c r="AH4112" s="2" t="str">
        <f ca="1"/>
        <v>OK</v>
      </c>
    </row>
    <row r="4113" spans="2:34" x14ac:dyDescent="0.2">
      <c r="B4113" s="2">
        <f ca="1"/>
        <v>0.71850359566475097</v>
      </c>
      <c r="O4113" s="2">
        <f ca="1"/>
        <v>-0.64520900490828093</v>
      </c>
      <c r="X4113" s="2">
        <f ca="1"/>
        <v>65.15876136063514</v>
      </c>
      <c r="AG4113" s="2">
        <f ca="1"/>
        <v>0.29700693112907084</v>
      </c>
      <c r="AH4113" s="2" t="str">
        <f ca="1"/>
        <v>OK</v>
      </c>
    </row>
    <row r="4114" spans="2:34" x14ac:dyDescent="0.2">
      <c r="B4114" s="2">
        <f ca="1"/>
        <v>0.24514548224838184</v>
      </c>
      <c r="O4114" s="2">
        <f ca="1"/>
        <v>-0.63070690700692211</v>
      </c>
      <c r="X4114" s="2">
        <f ca="1"/>
        <v>58.329123587688642</v>
      </c>
      <c r="AG4114" s="2">
        <f ca="1"/>
        <v>0.23621076980452771</v>
      </c>
      <c r="AH4114" s="2" t="str">
        <f ca="1"/>
        <v>OK</v>
      </c>
    </row>
    <row r="4115" spans="2:34" x14ac:dyDescent="0.2">
      <c r="B4115" s="2">
        <f ca="1"/>
        <v>0.4757074358304032</v>
      </c>
      <c r="O4115" s="2">
        <f ca="1"/>
        <v>-0.70350784604276151</v>
      </c>
      <c r="X4115" s="2">
        <f ca="1"/>
        <v>58.114792667787782</v>
      </c>
      <c r="AG4115" s="2">
        <f ca="1"/>
        <v>0.56236255563848259</v>
      </c>
      <c r="AH4115" s="2" t="str">
        <f ca="1"/>
        <v>Bad</v>
      </c>
    </row>
    <row r="4116" spans="2:34" x14ac:dyDescent="0.2">
      <c r="B4116" s="2">
        <f ca="1"/>
        <v>0.66910195438986886</v>
      </c>
      <c r="O4116" s="2">
        <f ca="1"/>
        <v>0.57120463080028328</v>
      </c>
      <c r="X4116" s="2">
        <f ca="1"/>
        <v>42.491162576150785</v>
      </c>
      <c r="AG4116" s="2">
        <f ca="1"/>
        <v>0.54376752208788104</v>
      </c>
      <c r="AH4116" s="2" t="str">
        <f ca="1"/>
        <v>Bad</v>
      </c>
    </row>
    <row r="4117" spans="2:34" x14ac:dyDescent="0.2">
      <c r="B4117" s="2">
        <f ca="1"/>
        <v>0.68781172617720387</v>
      </c>
      <c r="O4117" s="2">
        <f ca="1"/>
        <v>-0.93716390956667561</v>
      </c>
      <c r="X4117" s="2">
        <f ca="1"/>
        <v>42.217474009488207</v>
      </c>
      <c r="AG4117" s="2">
        <f ca="1"/>
        <v>0.80148222181429207</v>
      </c>
      <c r="AH4117" s="2" t="str">
        <f ca="1"/>
        <v>Bad</v>
      </c>
    </row>
    <row r="4118" spans="2:34" x14ac:dyDescent="0.2">
      <c r="B4118" s="2">
        <f ca="1"/>
        <v>3.7494724712898719E-2</v>
      </c>
      <c r="O4118" s="2">
        <f ca="1"/>
        <v>1.0533804064646297</v>
      </c>
      <c r="X4118" s="2">
        <f ca="1"/>
        <v>75.913690633893793</v>
      </c>
      <c r="AG4118" s="2">
        <f ca="1"/>
        <v>0.58037145620764519</v>
      </c>
      <c r="AH4118" s="2" t="str">
        <f ca="1"/>
        <v>Bad</v>
      </c>
    </row>
    <row r="4119" spans="2:34" x14ac:dyDescent="0.2">
      <c r="B4119" s="2">
        <f ca="1"/>
        <v>0.16207266432563827</v>
      </c>
      <c r="O4119" s="2">
        <f ca="1"/>
        <v>-0.29283880504202303</v>
      </c>
      <c r="X4119" s="2">
        <f ca="1"/>
        <v>37.858135847761709</v>
      </c>
      <c r="AG4119" s="2">
        <f ca="1"/>
        <v>0.37744068832821664</v>
      </c>
      <c r="AH4119" s="2" t="str">
        <f ca="1"/>
        <v>OK</v>
      </c>
    </row>
    <row r="4120" spans="2:34" x14ac:dyDescent="0.2">
      <c r="B4120" s="2">
        <f ca="1"/>
        <v>0.99754152610620239</v>
      </c>
      <c r="O4120" s="2">
        <f ca="1"/>
        <v>1.7159830387076049</v>
      </c>
      <c r="X4120" s="2">
        <f ca="1"/>
        <v>32.795521842206369</v>
      </c>
      <c r="AG4120" s="2">
        <f ca="1"/>
        <v>0.36280352308884289</v>
      </c>
      <c r="AH4120" s="2" t="str">
        <f ca="1"/>
        <v>OK</v>
      </c>
    </row>
    <row r="4121" spans="2:34" x14ac:dyDescent="0.2">
      <c r="B4121" s="2">
        <f ca="1"/>
        <v>0.44981693306563697</v>
      </c>
      <c r="O4121" s="2">
        <f ca="1"/>
        <v>1.0798317684606591</v>
      </c>
      <c r="X4121" s="2">
        <f ca="1"/>
        <v>41.289681626036632</v>
      </c>
      <c r="AG4121" s="2">
        <f ca="1"/>
        <v>0.30617299652651853</v>
      </c>
      <c r="AH4121" s="2" t="str">
        <f ca="1"/>
        <v>OK</v>
      </c>
    </row>
    <row r="4122" spans="2:34" x14ac:dyDescent="0.2">
      <c r="B4122" s="2">
        <f ca="1"/>
        <v>0.23568214614630301</v>
      </c>
      <c r="O4122" s="2">
        <f ca="1"/>
        <v>1.0583482252517737</v>
      </c>
      <c r="X4122" s="2">
        <f ca="1"/>
        <v>43.460566881869305</v>
      </c>
      <c r="AG4122" s="2">
        <f ca="1"/>
        <v>0.63849551327277565</v>
      </c>
      <c r="AH4122" s="2" t="str">
        <f ca="1"/>
        <v>Bad</v>
      </c>
    </row>
    <row r="4123" spans="2:34" x14ac:dyDescent="0.2">
      <c r="B4123" s="2">
        <f ca="1"/>
        <v>0.29422835581416162</v>
      </c>
      <c r="O4123" s="2">
        <f ca="1"/>
        <v>1.2843617058828971</v>
      </c>
      <c r="X4123" s="2">
        <f ca="1"/>
        <v>39.388217847673985</v>
      </c>
      <c r="AG4123" s="2">
        <f ca="1"/>
        <v>0.48720038258794029</v>
      </c>
      <c r="AH4123" s="2" t="str">
        <f ca="1"/>
        <v>Bad</v>
      </c>
    </row>
    <row r="4124" spans="2:34" x14ac:dyDescent="0.2">
      <c r="B4124" s="2">
        <f ca="1"/>
        <v>0.95742451659605021</v>
      </c>
      <c r="O4124" s="2">
        <f ca="1"/>
        <v>0.11075947805435543</v>
      </c>
      <c r="X4124" s="2">
        <f ca="1"/>
        <v>61.406392364002123</v>
      </c>
      <c r="AG4124" s="2">
        <f ca="1"/>
        <v>5.8050984929766347E-2</v>
      </c>
      <c r="AH4124" s="2" t="str">
        <f ca="1"/>
        <v>OK</v>
      </c>
    </row>
    <row r="4125" spans="2:34" x14ac:dyDescent="0.2">
      <c r="B4125" s="2">
        <f ca="1"/>
        <v>0.78919876953862</v>
      </c>
      <c r="O4125" s="2">
        <f ca="1"/>
        <v>1.311726899279408</v>
      </c>
      <c r="X4125" s="2">
        <f ca="1"/>
        <v>68.094330200151902</v>
      </c>
      <c r="AG4125" s="2">
        <f ca="1"/>
        <v>0.62160407692707986</v>
      </c>
      <c r="AH4125" s="2" t="str">
        <f ca="1"/>
        <v>Bad</v>
      </c>
    </row>
    <row r="4126" spans="2:34" x14ac:dyDescent="0.2">
      <c r="B4126" s="2">
        <f ca="1"/>
        <v>0.3565300493251351</v>
      </c>
      <c r="O4126" s="2">
        <f ca="1"/>
        <v>8.7380691512215572E-2</v>
      </c>
      <c r="X4126" s="2">
        <f ca="1"/>
        <v>66.604641210369238</v>
      </c>
      <c r="AG4126" s="2">
        <f ca="1"/>
        <v>5.8078282251964097E-2</v>
      </c>
      <c r="AH4126" s="2" t="str">
        <f ca="1"/>
        <v>OK</v>
      </c>
    </row>
    <row r="4127" spans="2:34" x14ac:dyDescent="0.2">
      <c r="B4127" s="2">
        <f ca="1"/>
        <v>0.34693556901141465</v>
      </c>
      <c r="O4127" s="2">
        <f ca="1"/>
        <v>-1.3331082799919507</v>
      </c>
      <c r="X4127" s="2">
        <f ca="1"/>
        <v>56.673374096529798</v>
      </c>
      <c r="AG4127" s="2">
        <f ca="1"/>
        <v>0.61619875997996676</v>
      </c>
      <c r="AH4127" s="2" t="str">
        <f ca="1"/>
        <v>Bad</v>
      </c>
    </row>
    <row r="4128" spans="2:34" x14ac:dyDescent="0.2">
      <c r="B4128" s="2">
        <f ca="1"/>
        <v>5.4473044505449764E-2</v>
      </c>
      <c r="O4128" s="2">
        <f ca="1"/>
        <v>-9.5315705508090598E-2</v>
      </c>
      <c r="X4128" s="2">
        <f ca="1"/>
        <v>38.15417186826533</v>
      </c>
      <c r="AG4128" s="2">
        <f ca="1"/>
        <v>4.54085760400742E-2</v>
      </c>
      <c r="AH4128" s="2" t="str">
        <f ca="1"/>
        <v>Good</v>
      </c>
    </row>
    <row r="4129" spans="2:34" x14ac:dyDescent="0.2">
      <c r="B4129" s="2">
        <f ca="1"/>
        <v>0.64757836101276167</v>
      </c>
      <c r="O4129" s="2">
        <f ca="1"/>
        <v>-0.2561580360352701</v>
      </c>
      <c r="X4129" s="2">
        <f ca="1"/>
        <v>35.560522765634033</v>
      </c>
      <c r="AG4129" s="2">
        <f ca="1"/>
        <v>0.39687295725833294</v>
      </c>
      <c r="AH4129" s="2" t="str">
        <f ca="1"/>
        <v>OK</v>
      </c>
    </row>
    <row r="4130" spans="2:34" x14ac:dyDescent="0.2">
      <c r="B4130" s="2">
        <f ca="1"/>
        <v>0.80609733084826996</v>
      </c>
      <c r="O4130" s="2">
        <f ca="1"/>
        <v>0.75165856429072209</v>
      </c>
      <c r="X4130" s="2">
        <f ca="1"/>
        <v>44.509429476477891</v>
      </c>
      <c r="AG4130" s="2">
        <f ca="1"/>
        <v>2.0241133889627339E-2</v>
      </c>
      <c r="AH4130" s="2" t="str">
        <f ca="1"/>
        <v>Good</v>
      </c>
    </row>
    <row r="4131" spans="2:34" x14ac:dyDescent="0.2">
      <c r="B4131" s="2">
        <f ca="1"/>
        <v>0.29687427067016725</v>
      </c>
      <c r="O4131" s="2">
        <f ca="1"/>
        <v>0.95204982568573648</v>
      </c>
      <c r="X4131" s="2">
        <f ca="1"/>
        <v>46.12966722055171</v>
      </c>
      <c r="AG4131" s="2">
        <f ca="1"/>
        <v>0.36162697430163115</v>
      </c>
      <c r="AH4131" s="2" t="str">
        <f ca="1"/>
        <v>OK</v>
      </c>
    </row>
    <row r="4132" spans="2:34" x14ac:dyDescent="0.2">
      <c r="B4132" s="2">
        <f ca="1"/>
        <v>0.26341680090170416</v>
      </c>
      <c r="O4132" s="2">
        <f ca="1"/>
        <v>-0.76383052575103116</v>
      </c>
      <c r="X4132" s="2">
        <f ca="1"/>
        <v>39.188385592113136</v>
      </c>
      <c r="AG4132" s="2">
        <f ca="1"/>
        <v>0.71875685210715101</v>
      </c>
      <c r="AH4132" s="2" t="str">
        <f ca="1"/>
        <v>Bad</v>
      </c>
    </row>
    <row r="4133" spans="2:34" x14ac:dyDescent="0.2">
      <c r="B4133" s="2">
        <f ca="1"/>
        <v>0.67191301677699888</v>
      </c>
      <c r="O4133" s="2">
        <f ca="1"/>
        <v>0.2446013512056428</v>
      </c>
      <c r="X4133" s="2">
        <f ca="1"/>
        <v>29.558277938914337</v>
      </c>
      <c r="AG4133" s="2">
        <f ca="1"/>
        <v>0.13734158132587582</v>
      </c>
      <c r="AH4133" s="2" t="str">
        <f ca="1"/>
        <v>OK</v>
      </c>
    </row>
    <row r="4134" spans="2:34" x14ac:dyDescent="0.2">
      <c r="B4134" s="2">
        <f ca="1"/>
        <v>0.79048284801797575</v>
      </c>
      <c r="O4134" s="2">
        <f ca="1"/>
        <v>1.1749940433682997</v>
      </c>
      <c r="X4134" s="2">
        <f ca="1"/>
        <v>26.674988066095125</v>
      </c>
      <c r="AG4134" s="2">
        <f ca="1"/>
        <v>0.14164533092168496</v>
      </c>
      <c r="AH4134" s="2" t="str">
        <f ca="1"/>
        <v>OK</v>
      </c>
    </row>
    <row r="4135" spans="2:34" x14ac:dyDescent="0.2">
      <c r="B4135" s="2">
        <f ca="1"/>
        <v>0.62789754233686135</v>
      </c>
      <c r="O4135" s="2">
        <f ca="1"/>
        <v>1.9585447076857716</v>
      </c>
      <c r="X4135" s="2">
        <f ca="1"/>
        <v>45.224240212127242</v>
      </c>
      <c r="AG4135" s="2">
        <f ca="1"/>
        <v>0.34229734676518464</v>
      </c>
      <c r="AH4135" s="2" t="str">
        <f ca="1"/>
        <v>OK</v>
      </c>
    </row>
    <row r="4136" spans="2:34" x14ac:dyDescent="0.2">
      <c r="B4136" s="2">
        <f ca="1"/>
        <v>0.66652980384072102</v>
      </c>
      <c r="O4136" s="2">
        <f ca="1"/>
        <v>1.8506939757572578</v>
      </c>
      <c r="X4136" s="2">
        <f ca="1"/>
        <v>64.545252685562218</v>
      </c>
      <c r="AG4136" s="2">
        <f ca="1"/>
        <v>0.65289321236479325</v>
      </c>
      <c r="AH4136" s="2" t="str">
        <f ca="1"/>
        <v>Bad</v>
      </c>
    </row>
    <row r="4137" spans="2:34" x14ac:dyDescent="0.2">
      <c r="B4137" s="2">
        <f ca="1"/>
        <v>0.93260040935611443</v>
      </c>
      <c r="O4137" s="2">
        <f ca="1"/>
        <v>-0.18911321846585985</v>
      </c>
      <c r="X4137" s="2">
        <f ca="1"/>
        <v>51.903006154148997</v>
      </c>
      <c r="AG4137" s="2">
        <f ca="1"/>
        <v>0.43525688934698792</v>
      </c>
      <c r="AH4137" s="2" t="str">
        <f ca="1"/>
        <v>Bad</v>
      </c>
    </row>
    <row r="4138" spans="2:34" x14ac:dyDescent="0.2">
      <c r="B4138" s="2">
        <f ca="1"/>
        <v>0.10399012448724432</v>
      </c>
      <c r="O4138" s="2">
        <f ca="1"/>
        <v>-1.1650485595824027</v>
      </c>
      <c r="X4138" s="2">
        <f ca="1"/>
        <v>33.279630409551089</v>
      </c>
      <c r="AG4138" s="2">
        <f ca="1"/>
        <v>0.88858156844690228</v>
      </c>
      <c r="AH4138" s="2" t="str">
        <f ca="1"/>
        <v>Bad</v>
      </c>
    </row>
    <row r="4139" spans="2:34" x14ac:dyDescent="0.2">
      <c r="B4139" s="2">
        <f ca="1"/>
        <v>0.8455641221021879</v>
      </c>
      <c r="O4139" s="2">
        <f ca="1"/>
        <v>-0.22950203460986895</v>
      </c>
      <c r="X4139" s="2">
        <f ca="1"/>
        <v>47.389726234348124</v>
      </c>
      <c r="AG4139" s="2">
        <f ca="1"/>
        <v>4.5380093725674531E-2</v>
      </c>
      <c r="AH4139" s="2" t="str">
        <f ca="1"/>
        <v>Good</v>
      </c>
    </row>
    <row r="4140" spans="2:34" x14ac:dyDescent="0.2">
      <c r="B4140" s="2">
        <f ca="1"/>
        <v>0.96163189318959064</v>
      </c>
      <c r="O4140" s="2">
        <f ca="1"/>
        <v>1.1956427364013109</v>
      </c>
      <c r="X4140" s="2">
        <f ca="1"/>
        <v>38.179503650977452</v>
      </c>
      <c r="AG4140" s="2">
        <f ca="1"/>
        <v>6.4988534500856954E-2</v>
      </c>
      <c r="AH4140" s="2" t="str">
        <f ca="1"/>
        <v>OK</v>
      </c>
    </row>
    <row r="4141" spans="2:34" x14ac:dyDescent="0.2">
      <c r="B4141" s="2">
        <f ca="1"/>
        <v>0.85975402797712341</v>
      </c>
      <c r="O4141" s="2">
        <f ca="1"/>
        <v>1.4898732017286287</v>
      </c>
      <c r="X4141" s="2">
        <f ca="1"/>
        <v>28.554244160032653</v>
      </c>
      <c r="AG4141" s="2">
        <f ca="1"/>
        <v>0.98340009498466396</v>
      </c>
      <c r="AH4141" s="2" t="str">
        <f ca="1"/>
        <v>Bad</v>
      </c>
    </row>
    <row r="4142" spans="2:34" x14ac:dyDescent="0.2">
      <c r="B4142" s="2">
        <f ca="1"/>
        <v>0.33560321438681107</v>
      </c>
      <c r="O4142" s="2">
        <f ca="1"/>
        <v>0.51676841617833824</v>
      </c>
      <c r="X4142" s="2">
        <f ca="1"/>
        <v>36.870945606288323</v>
      </c>
      <c r="AG4142" s="2">
        <f ca="1"/>
        <v>0.55799855543865862</v>
      </c>
      <c r="AH4142" s="2" t="str">
        <f ca="1"/>
        <v>Bad</v>
      </c>
    </row>
    <row r="4143" spans="2:34" x14ac:dyDescent="0.2">
      <c r="B4143" s="2">
        <f ca="1"/>
        <v>0.28922148382423174</v>
      </c>
      <c r="O4143" s="2">
        <f ca="1"/>
        <v>-0.69923039618083704</v>
      </c>
      <c r="X4143" s="2">
        <f ca="1"/>
        <v>45.464988713799045</v>
      </c>
      <c r="AG4143" s="2">
        <f ca="1"/>
        <v>0.43860446611563164</v>
      </c>
      <c r="AH4143" s="2" t="str">
        <f ca="1"/>
        <v>Bad</v>
      </c>
    </row>
    <row r="4144" spans="2:34" x14ac:dyDescent="0.2">
      <c r="B4144" s="2">
        <f ca="1"/>
        <v>0.39135299721557226</v>
      </c>
      <c r="O4144" s="2">
        <f ca="1"/>
        <v>9.3017271905712462E-2</v>
      </c>
      <c r="X4144" s="2">
        <f ca="1"/>
        <v>64.959033525117121</v>
      </c>
      <c r="AG4144" s="2">
        <f ca="1"/>
        <v>0.23861159679138888</v>
      </c>
      <c r="AH4144" s="2" t="str">
        <f ca="1"/>
        <v>OK</v>
      </c>
    </row>
    <row r="4145" spans="2:34" x14ac:dyDescent="0.2">
      <c r="B4145" s="2">
        <f ca="1"/>
        <v>0.80037639952626094</v>
      </c>
      <c r="O4145" s="2">
        <f ca="1"/>
        <v>0.5380005563518343</v>
      </c>
      <c r="X4145" s="2">
        <f ca="1"/>
        <v>25.61294722008078</v>
      </c>
      <c r="AG4145" s="2">
        <f ca="1"/>
        <v>0.1009082528194114</v>
      </c>
      <c r="AH4145" s="2" t="str">
        <f ca="1"/>
        <v>OK</v>
      </c>
    </row>
    <row r="4146" spans="2:34" x14ac:dyDescent="0.2">
      <c r="B4146" s="2">
        <f ca="1"/>
        <v>0.83924546059022398</v>
      </c>
      <c r="O4146" s="2">
        <f ca="1"/>
        <v>-1.2191993687844229</v>
      </c>
      <c r="X4146" s="2">
        <f ca="1"/>
        <v>49.847183260208432</v>
      </c>
      <c r="AG4146" s="2">
        <f ca="1"/>
        <v>0.70645508593631923</v>
      </c>
      <c r="AH4146" s="2" t="str">
        <f ca="1"/>
        <v>Bad</v>
      </c>
    </row>
    <row r="4147" spans="2:34" x14ac:dyDescent="0.2">
      <c r="B4147" s="2">
        <f ca="1"/>
        <v>0.73660822181352326</v>
      </c>
      <c r="O4147" s="2">
        <f ca="1"/>
        <v>0.29410351930230028</v>
      </c>
      <c r="X4147" s="2">
        <f ca="1"/>
        <v>35.84965995462013</v>
      </c>
      <c r="AG4147" s="2">
        <f ca="1"/>
        <v>7.4215182447499028E-2</v>
      </c>
      <c r="AH4147" s="2" t="str">
        <f ca="1"/>
        <v>OK</v>
      </c>
    </row>
    <row r="4148" spans="2:34" x14ac:dyDescent="0.2">
      <c r="B4148" s="2">
        <f ca="1"/>
        <v>0.85575244203958611</v>
      </c>
      <c r="O4148" s="2">
        <f ca="1"/>
        <v>0.49953837557154107</v>
      </c>
      <c r="X4148" s="2">
        <f ca="1"/>
        <v>52.654102877656044</v>
      </c>
      <c r="AG4148" s="2">
        <f ca="1"/>
        <v>0.61683635643227741</v>
      </c>
      <c r="AH4148" s="2" t="str">
        <f ca="1"/>
        <v>Bad</v>
      </c>
    </row>
    <row r="4149" spans="2:34" x14ac:dyDescent="0.2">
      <c r="B4149" s="2">
        <f ca="1"/>
        <v>2.9346953188807312E-2</v>
      </c>
      <c r="O4149" s="2">
        <f ca="1"/>
        <v>-0.28374752647571444</v>
      </c>
      <c r="X4149" s="2">
        <f ca="1"/>
        <v>27.908607291330846</v>
      </c>
      <c r="AG4149" s="2">
        <f ca="1"/>
        <v>0.22578902306475856</v>
      </c>
      <c r="AH4149" s="2" t="str">
        <f ca="1"/>
        <v>OK</v>
      </c>
    </row>
    <row r="4150" spans="2:34" x14ac:dyDescent="0.2">
      <c r="B4150" s="2">
        <f ca="1"/>
        <v>0.82485237861060168</v>
      </c>
      <c r="O4150" s="2">
        <f ca="1"/>
        <v>-1.0703105993815487</v>
      </c>
      <c r="X4150" s="2">
        <f ca="1"/>
        <v>37.006083308517496</v>
      </c>
      <c r="AG4150" s="2">
        <f ca="1"/>
        <v>0.24233325640694869</v>
      </c>
      <c r="AH4150" s="2" t="str">
        <f ca="1"/>
        <v>OK</v>
      </c>
    </row>
    <row r="4151" spans="2:34" x14ac:dyDescent="0.2">
      <c r="B4151" s="2">
        <f ca="1"/>
        <v>0.61241194248313824</v>
      </c>
      <c r="O4151" s="2">
        <f ca="1"/>
        <v>-0.14479876909689821</v>
      </c>
      <c r="X4151" s="2">
        <f ca="1"/>
        <v>64.422895286111498</v>
      </c>
      <c r="AG4151" s="2">
        <f ca="1"/>
        <v>0.73584097834157003</v>
      </c>
      <c r="AH4151" s="2" t="str">
        <f ca="1"/>
        <v>Bad</v>
      </c>
    </row>
    <row r="4152" spans="2:34" x14ac:dyDescent="0.2">
      <c r="B4152" s="2">
        <f ca="1"/>
        <v>0.42644154518447808</v>
      </c>
      <c r="O4152" s="2">
        <f ca="1"/>
        <v>0.24277319953715071</v>
      </c>
      <c r="X4152" s="2">
        <f ca="1"/>
        <v>29.423986565515289</v>
      </c>
      <c r="AG4152" s="2">
        <f ca="1"/>
        <v>5.7047317685785304E-2</v>
      </c>
      <c r="AH4152" s="2" t="str">
        <f ca="1"/>
        <v>OK</v>
      </c>
    </row>
    <row r="4153" spans="2:34" x14ac:dyDescent="0.2">
      <c r="B4153" s="2">
        <f ca="1"/>
        <v>0.55462200270238604</v>
      </c>
      <c r="O4153" s="2">
        <f ca="1"/>
        <v>-8.9027033461175589E-2</v>
      </c>
      <c r="X4153" s="2">
        <f ca="1"/>
        <v>48.560473495571578</v>
      </c>
      <c r="AG4153" s="2">
        <f ca="1"/>
        <v>0.6545288808792098</v>
      </c>
      <c r="AH4153" s="2" t="str">
        <f ca="1"/>
        <v>Bad</v>
      </c>
    </row>
    <row r="4154" spans="2:34" x14ac:dyDescent="0.2">
      <c r="B4154" s="2">
        <f ca="1"/>
        <v>0.20048233778954705</v>
      </c>
      <c r="O4154" s="2">
        <f ca="1"/>
        <v>-0.26678617979614833</v>
      </c>
      <c r="X4154" s="2">
        <f ca="1"/>
        <v>59.599026269699806</v>
      </c>
      <c r="AG4154" s="2">
        <f ca="1"/>
        <v>2.1192144399980961E-2</v>
      </c>
      <c r="AH4154" s="2" t="str">
        <f ca="1"/>
        <v>Good</v>
      </c>
    </row>
    <row r="4155" spans="2:34" x14ac:dyDescent="0.2">
      <c r="B4155" s="2">
        <f ca="1"/>
        <v>0.19151636411006701</v>
      </c>
      <c r="O4155" s="2">
        <f ca="1"/>
        <v>-0.60295880397026291</v>
      </c>
      <c r="X4155" s="2">
        <f ca="1"/>
        <v>38.870821056158633</v>
      </c>
      <c r="AG4155" s="2">
        <f ca="1"/>
        <v>0.59287831446212591</v>
      </c>
      <c r="AH4155" s="2" t="str">
        <f ca="1"/>
        <v>Bad</v>
      </c>
    </row>
    <row r="4156" spans="2:34" x14ac:dyDescent="0.2">
      <c r="B4156" s="2">
        <f ca="1"/>
        <v>0.44824838132158318</v>
      </c>
      <c r="O4156" s="2">
        <f ca="1"/>
        <v>0.35389259230729786</v>
      </c>
      <c r="X4156" s="2">
        <f ca="1"/>
        <v>45.972421598364207</v>
      </c>
      <c r="AG4156" s="2">
        <f ca="1"/>
        <v>0.49888568764299168</v>
      </c>
      <c r="AH4156" s="2" t="str">
        <f ca="1"/>
        <v>Bad</v>
      </c>
    </row>
    <row r="4157" spans="2:34" x14ac:dyDescent="0.2">
      <c r="B4157" s="2">
        <f ca="1"/>
        <v>4.4919233142186155E-2</v>
      </c>
      <c r="O4157" s="2">
        <f ca="1"/>
        <v>-0.37996810543827292</v>
      </c>
      <c r="X4157" s="2">
        <f ca="1"/>
        <v>37.210906694770962</v>
      </c>
      <c r="AG4157" s="2">
        <f ca="1"/>
        <v>0.72245848714947125</v>
      </c>
      <c r="AH4157" s="2" t="str">
        <f ca="1"/>
        <v>Bad</v>
      </c>
    </row>
    <row r="4158" spans="2:34" x14ac:dyDescent="0.2">
      <c r="B4158" s="2">
        <f ca="1"/>
        <v>9.6686072625928654E-2</v>
      </c>
      <c r="O4158" s="2">
        <f ca="1"/>
        <v>-0.489450567786547</v>
      </c>
      <c r="X4158" s="2">
        <f ca="1"/>
        <v>65.694115886650451</v>
      </c>
      <c r="AG4158" s="2">
        <f ca="1"/>
        <v>0.31820766700030756</v>
      </c>
      <c r="AH4158" s="2" t="str">
        <f ca="1"/>
        <v>OK</v>
      </c>
    </row>
    <row r="4159" spans="2:34" x14ac:dyDescent="0.2">
      <c r="B4159" s="2">
        <f ca="1"/>
        <v>9.7346925582298294E-2</v>
      </c>
      <c r="O4159" s="2">
        <f ca="1"/>
        <v>-0.6982986875095134</v>
      </c>
      <c r="X4159" s="2">
        <f ca="1"/>
        <v>65.6763313184521</v>
      </c>
      <c r="AG4159" s="2">
        <f ca="1"/>
        <v>2.9592377932056602E-2</v>
      </c>
      <c r="AH4159" s="2" t="str">
        <f ca="1"/>
        <v>Good</v>
      </c>
    </row>
    <row r="4160" spans="2:34" x14ac:dyDescent="0.2">
      <c r="B4160" s="2">
        <f ca="1"/>
        <v>0.5090702412649839</v>
      </c>
      <c r="O4160" s="2">
        <f ca="1"/>
        <v>0.15468597368526707</v>
      </c>
      <c r="X4160" s="2">
        <f ca="1"/>
        <v>81.141778308329592</v>
      </c>
      <c r="AG4160" s="2">
        <f ca="1"/>
        <v>0.9383603477782323</v>
      </c>
      <c r="AH4160" s="2" t="str">
        <f ca="1"/>
        <v>Bad</v>
      </c>
    </row>
    <row r="4161" spans="2:34" x14ac:dyDescent="0.2">
      <c r="B4161" s="2">
        <f ca="1"/>
        <v>0.45887406374935202</v>
      </c>
      <c r="O4161" s="2">
        <f ca="1"/>
        <v>-0.81621131455434781</v>
      </c>
      <c r="X4161" s="2">
        <f ca="1"/>
        <v>57.635800324869486</v>
      </c>
      <c r="AG4161" s="2">
        <f ca="1"/>
        <v>0.59646666211096155</v>
      </c>
      <c r="AH4161" s="2" t="str">
        <f ca="1"/>
        <v>Bad</v>
      </c>
    </row>
    <row r="4162" spans="2:34" x14ac:dyDescent="0.2">
      <c r="B4162" s="2">
        <f ca="1"/>
        <v>0.58288371282855822</v>
      </c>
      <c r="O4162" s="2">
        <f ca="1"/>
        <v>1.8117862448044939</v>
      </c>
      <c r="X4162" s="2">
        <f ca="1"/>
        <v>52.59397202180299</v>
      </c>
      <c r="AG4162" s="2">
        <f ca="1"/>
        <v>0.71183818403914811</v>
      </c>
      <c r="AH4162" s="2" t="str">
        <f ca="1"/>
        <v>Bad</v>
      </c>
    </row>
    <row r="4163" spans="2:34" x14ac:dyDescent="0.2">
      <c r="B4163" s="2">
        <f ca="1"/>
        <v>0.57517086552284957</v>
      </c>
      <c r="O4163" s="2">
        <f ca="1"/>
        <v>-0.74772277919837427</v>
      </c>
      <c r="X4163" s="2">
        <f ca="1"/>
        <v>57.513030784039827</v>
      </c>
      <c r="AG4163" s="2">
        <f ca="1"/>
        <v>0.78444543643174725</v>
      </c>
      <c r="AH4163" s="2" t="str">
        <f ca="1"/>
        <v>Bad</v>
      </c>
    </row>
    <row r="4164" spans="2:34" x14ac:dyDescent="0.2">
      <c r="B4164" s="2">
        <f ca="1"/>
        <v>0.55600452546082235</v>
      </c>
      <c r="O4164" s="2">
        <f ca="1"/>
        <v>1.4690523657771963</v>
      </c>
      <c r="X4164" s="2">
        <f ca="1"/>
        <v>33.748750268044816</v>
      </c>
      <c r="AG4164" s="2">
        <f ca="1"/>
        <v>0.91942340699634739</v>
      </c>
      <c r="AH4164" s="2" t="str">
        <f ca="1"/>
        <v>Bad</v>
      </c>
    </row>
    <row r="4165" spans="2:34" x14ac:dyDescent="0.2">
      <c r="B4165" s="2">
        <f ca="1"/>
        <v>0.20676152825548555</v>
      </c>
      <c r="O4165" s="2">
        <f ca="1"/>
        <v>1.0589202565410829</v>
      </c>
      <c r="X4165" s="2">
        <f ca="1"/>
        <v>43.630230152470503</v>
      </c>
      <c r="AG4165" s="2">
        <f ca="1"/>
        <v>0.42551106820305096</v>
      </c>
      <c r="AH4165" s="2" t="str">
        <f ca="1"/>
        <v>Bad</v>
      </c>
    </row>
    <row r="4166" spans="2:34" x14ac:dyDescent="0.2">
      <c r="B4166" s="2">
        <f ca="1"/>
        <v>0.5970037334621916</v>
      </c>
      <c r="O4166" s="2">
        <f ca="1"/>
        <v>-0.41434132254110662</v>
      </c>
      <c r="X4166" s="2">
        <f ca="1"/>
        <v>28.419323395241559</v>
      </c>
      <c r="AG4166" s="2">
        <f ca="1"/>
        <v>0.8876063729046777</v>
      </c>
      <c r="AH4166" s="2" t="str">
        <f ca="1"/>
        <v>Bad</v>
      </c>
    </row>
    <row r="4167" spans="2:34" x14ac:dyDescent="0.2">
      <c r="B4167" s="2">
        <f ca="1"/>
        <v>0.10374185566182081</v>
      </c>
      <c r="O4167" s="2">
        <f ca="1"/>
        <v>-1.1167416028044532</v>
      </c>
      <c r="X4167" s="2">
        <f ca="1"/>
        <v>37.120510870274742</v>
      </c>
      <c r="AG4167" s="2">
        <f ca="1"/>
        <v>0.19337785714969757</v>
      </c>
      <c r="AH4167" s="2" t="str">
        <f ca="1"/>
        <v>OK</v>
      </c>
    </row>
    <row r="4168" spans="2:34" x14ac:dyDescent="0.2">
      <c r="B4168" s="2">
        <f ca="1"/>
        <v>0.65857358776135655</v>
      </c>
      <c r="O4168" s="2">
        <f ca="1"/>
        <v>9.0235002443095458E-2</v>
      </c>
      <c r="X4168" s="2">
        <f ca="1"/>
        <v>46.900164819935235</v>
      </c>
      <c r="AG4168" s="2">
        <f ca="1"/>
        <v>0.52998059167025535</v>
      </c>
      <c r="AH4168" s="2" t="str">
        <f ca="1"/>
        <v>Bad</v>
      </c>
    </row>
    <row r="4169" spans="2:34" x14ac:dyDescent="0.2">
      <c r="B4169" s="2">
        <f ca="1"/>
        <v>0.67248653711378159</v>
      </c>
      <c r="O4169" s="2">
        <f ca="1"/>
        <v>6.9536006908025139E-2</v>
      </c>
      <c r="X4169" s="2">
        <f ca="1"/>
        <v>38.762568078114391</v>
      </c>
      <c r="AG4169" s="2">
        <f ca="1"/>
        <v>0.84846366034037923</v>
      </c>
      <c r="AH4169" s="2" t="str">
        <f ca="1"/>
        <v>Bad</v>
      </c>
    </row>
    <row r="4170" spans="2:34" x14ac:dyDescent="0.2">
      <c r="B4170" s="2">
        <f ca="1"/>
        <v>0.25819688169517385</v>
      </c>
      <c r="O4170" s="2">
        <f ca="1"/>
        <v>0.40142720850526431</v>
      </c>
      <c r="X4170" s="2">
        <f ca="1"/>
        <v>48.409754280827428</v>
      </c>
      <c r="AG4170" s="2">
        <f ca="1"/>
        <v>3.8316096473373973E-2</v>
      </c>
      <c r="AH4170" s="2" t="str">
        <f ca="1"/>
        <v>Good</v>
      </c>
    </row>
    <row r="4171" spans="2:34" x14ac:dyDescent="0.2">
      <c r="B4171" s="2">
        <f ca="1"/>
        <v>0.48135874235364806</v>
      </c>
      <c r="O4171" s="2">
        <f ca="1"/>
        <v>-0.40886459900618433</v>
      </c>
      <c r="X4171" s="2">
        <f ca="1"/>
        <v>85.595528500184344</v>
      </c>
      <c r="AG4171" s="2">
        <f ca="1"/>
        <v>0.37962043635795961</v>
      </c>
      <c r="AH4171" s="2" t="str">
        <f ca="1"/>
        <v>OK</v>
      </c>
    </row>
    <row r="4172" spans="2:34" x14ac:dyDescent="0.2">
      <c r="B4172" s="2">
        <f ca="1"/>
        <v>0.17313724126628682</v>
      </c>
      <c r="O4172" s="2">
        <f ca="1"/>
        <v>0.39686993705580631</v>
      </c>
      <c r="X4172" s="2">
        <f ca="1"/>
        <v>29.192050601066089</v>
      </c>
      <c r="AG4172" s="2">
        <f ca="1"/>
        <v>0.88057009549116305</v>
      </c>
      <c r="AH4172" s="2" t="str">
        <f ca="1"/>
        <v>Bad</v>
      </c>
    </row>
    <row r="4173" spans="2:34" x14ac:dyDescent="0.2">
      <c r="B4173" s="2">
        <f ca="1"/>
        <v>0.24417810292215281</v>
      </c>
      <c r="O4173" s="2">
        <f ca="1"/>
        <v>2.1150055990755661</v>
      </c>
      <c r="X4173" s="2">
        <f ca="1"/>
        <v>25.601090531236714</v>
      </c>
      <c r="AG4173" s="2">
        <f ca="1"/>
        <v>0.71391349437335272</v>
      </c>
      <c r="AH4173" s="2" t="str">
        <f ca="1"/>
        <v>Bad</v>
      </c>
    </row>
    <row r="4174" spans="2:34" x14ac:dyDescent="0.2">
      <c r="B4174" s="2">
        <f ca="1"/>
        <v>0.82154964501569006</v>
      </c>
      <c r="O4174" s="2">
        <f ca="1"/>
        <v>-0.90161628012835693</v>
      </c>
      <c r="X4174" s="2">
        <f ca="1"/>
        <v>56.408806560749497</v>
      </c>
      <c r="AG4174" s="2">
        <f ca="1"/>
        <v>0.77772584701608016</v>
      </c>
      <c r="AH4174" s="2" t="str">
        <f ca="1"/>
        <v>Bad</v>
      </c>
    </row>
    <row r="4175" spans="2:34" x14ac:dyDescent="0.2">
      <c r="B4175" s="2">
        <f ca="1"/>
        <v>0.89048747035960552</v>
      </c>
      <c r="O4175" s="2">
        <f ca="1"/>
        <v>-0.40605640970307633</v>
      </c>
      <c r="X4175" s="2">
        <f ca="1"/>
        <v>37.965027274144617</v>
      </c>
      <c r="AG4175" s="2">
        <f ca="1"/>
        <v>0.44778675446002425</v>
      </c>
      <c r="AH4175" s="2" t="str">
        <f ca="1"/>
        <v>Bad</v>
      </c>
    </row>
    <row r="4176" spans="2:34" x14ac:dyDescent="0.2">
      <c r="B4176" s="2">
        <f ca="1"/>
        <v>0.58045320927579835</v>
      </c>
      <c r="O4176" s="2">
        <f ca="1"/>
        <v>-0.88585587346974781</v>
      </c>
      <c r="X4176" s="2">
        <f ca="1"/>
        <v>49.747673051697433</v>
      </c>
      <c r="AG4176" s="2">
        <f ca="1"/>
        <v>0.15963422409549355</v>
      </c>
      <c r="AH4176" s="2" t="str">
        <f ca="1"/>
        <v>OK</v>
      </c>
    </row>
    <row r="4177" spans="2:34" x14ac:dyDescent="0.2">
      <c r="B4177" s="2">
        <f ca="1"/>
        <v>0.10248695222902371</v>
      </c>
      <c r="O4177" s="2">
        <f ca="1"/>
        <v>1.3432461322046053E-2</v>
      </c>
      <c r="X4177" s="2">
        <f ca="1"/>
        <v>104.60745244134289</v>
      </c>
      <c r="AG4177" s="2">
        <f ca="1"/>
        <v>0.32807824119271078</v>
      </c>
      <c r="AH4177" s="2" t="str">
        <f ca="1"/>
        <v>OK</v>
      </c>
    </row>
    <row r="4178" spans="2:34" x14ac:dyDescent="0.2">
      <c r="B4178" s="2">
        <f ca="1"/>
        <v>0.40590931825826693</v>
      </c>
      <c r="O4178" s="2">
        <f ca="1"/>
        <v>1.1645613442681384</v>
      </c>
      <c r="X4178" s="2">
        <f ca="1"/>
        <v>31.673884522417989</v>
      </c>
      <c r="AG4178" s="2">
        <f ca="1"/>
        <v>0.7065302350110878</v>
      </c>
      <c r="AH4178" s="2" t="str">
        <f ca="1"/>
        <v>Bad</v>
      </c>
    </row>
    <row r="4179" spans="2:34" x14ac:dyDescent="0.2">
      <c r="B4179" s="2">
        <f ca="1"/>
        <v>0.62697456962460829</v>
      </c>
      <c r="O4179" s="2">
        <f ca="1"/>
        <v>-0.1310081331560573</v>
      </c>
      <c r="X4179" s="2">
        <f ca="1"/>
        <v>55.937353825772149</v>
      </c>
      <c r="AG4179" s="2">
        <f ca="1"/>
        <v>0.95659036404130915</v>
      </c>
      <c r="AH4179" s="2" t="str">
        <f ca="1"/>
        <v>Bad</v>
      </c>
    </row>
    <row r="4180" spans="2:34" x14ac:dyDescent="0.2">
      <c r="B4180" s="2">
        <f ca="1"/>
        <v>0.60679073383623239</v>
      </c>
      <c r="O4180" s="2">
        <f ca="1"/>
        <v>-0.76099857685793915</v>
      </c>
      <c r="X4180" s="2">
        <f ca="1"/>
        <v>33.165301213611002</v>
      </c>
      <c r="AG4180" s="2">
        <f ca="1"/>
        <v>0.95697763086322651</v>
      </c>
      <c r="AH4180" s="2" t="str">
        <f ca="1"/>
        <v>Bad</v>
      </c>
    </row>
    <row r="4181" spans="2:34" x14ac:dyDescent="0.2">
      <c r="B4181" s="2">
        <f ca="1"/>
        <v>0.70341232897075101</v>
      </c>
      <c r="O4181" s="2">
        <f ca="1"/>
        <v>-1.0836699108329799</v>
      </c>
      <c r="X4181" s="2">
        <f ca="1"/>
        <v>60.85665229425743</v>
      </c>
      <c r="AG4181" s="2">
        <f ca="1"/>
        <v>0.9955534712579206</v>
      </c>
      <c r="AH4181" s="2" t="str">
        <f ca="1"/>
        <v>Bad</v>
      </c>
    </row>
    <row r="4182" spans="2:34" x14ac:dyDescent="0.2">
      <c r="B4182" s="2">
        <f ca="1"/>
        <v>0.79859014937652684</v>
      </c>
      <c r="O4182" s="2">
        <f ca="1"/>
        <v>0.12721343433309837</v>
      </c>
      <c r="X4182" s="2">
        <f ca="1"/>
        <v>52.922382286885323</v>
      </c>
      <c r="AG4182" s="2">
        <f ca="1"/>
        <v>0.8052412141463261</v>
      </c>
      <c r="AH4182" s="2" t="str">
        <f ca="1"/>
        <v>Bad</v>
      </c>
    </row>
    <row r="4183" spans="2:34" x14ac:dyDescent="0.2">
      <c r="B4183" s="2">
        <f ca="1"/>
        <v>0.73823154326265339</v>
      </c>
      <c r="O4183" s="2">
        <f ca="1"/>
        <v>-0.3595708101161289</v>
      </c>
      <c r="X4183" s="2">
        <f ca="1"/>
        <v>53.611112527175599</v>
      </c>
      <c r="AG4183" s="2">
        <f ca="1"/>
        <v>0.97379702493267795</v>
      </c>
      <c r="AH4183" s="2" t="str">
        <f ca="1"/>
        <v>Bad</v>
      </c>
    </row>
    <row r="4184" spans="2:34" x14ac:dyDescent="0.2">
      <c r="B4184" s="2">
        <f ca="1"/>
        <v>0.69559228654532901</v>
      </c>
      <c r="O4184" s="2">
        <f ca="1"/>
        <v>-0.92432666266214414</v>
      </c>
      <c r="X4184" s="2">
        <f ca="1"/>
        <v>55.132684888091589</v>
      </c>
      <c r="AG4184" s="2">
        <f ca="1"/>
        <v>0.11492863451938518</v>
      </c>
      <c r="AH4184" s="2" t="str">
        <f ca="1"/>
        <v>OK</v>
      </c>
    </row>
    <row r="4185" spans="2:34" x14ac:dyDescent="0.2">
      <c r="B4185" s="2">
        <f ca="1"/>
        <v>0.62579654331389367</v>
      </c>
      <c r="O4185" s="2">
        <f ca="1"/>
        <v>-0.93562487428253005</v>
      </c>
      <c r="X4185" s="2">
        <f ca="1"/>
        <v>50.852644505871311</v>
      </c>
      <c r="AG4185" s="2">
        <f ca="1"/>
        <v>1.837846159536749E-3</v>
      </c>
      <c r="AH4185" s="2" t="str">
        <f ca="1"/>
        <v>Good</v>
      </c>
    </row>
    <row r="4186" spans="2:34" x14ac:dyDescent="0.2">
      <c r="B4186" s="2">
        <f ca="1"/>
        <v>0.19901801310605749</v>
      </c>
      <c r="O4186" s="2">
        <f ca="1"/>
        <v>-0.93512113972585598</v>
      </c>
      <c r="X4186" s="2">
        <f ca="1"/>
        <v>28.594664942378529</v>
      </c>
      <c r="AG4186" s="2">
        <f ca="1"/>
        <v>0.85709055933587752</v>
      </c>
      <c r="AH4186" s="2" t="str">
        <f ca="1"/>
        <v>Bad</v>
      </c>
    </row>
    <row r="4187" spans="2:34" x14ac:dyDescent="0.2">
      <c r="B4187" s="2">
        <f ca="1"/>
        <v>0.72178658163038478</v>
      </c>
      <c r="O4187" s="2">
        <f ca="1"/>
        <v>-0.19442871852870447</v>
      </c>
      <c r="X4187" s="2">
        <f ca="1"/>
        <v>46.474279168499137</v>
      </c>
      <c r="AG4187" s="2">
        <f ca="1"/>
        <v>0.10385137747941542</v>
      </c>
      <c r="AH4187" s="2" t="str">
        <f ca="1"/>
        <v>OK</v>
      </c>
    </row>
    <row r="4188" spans="2:34" x14ac:dyDescent="0.2">
      <c r="B4188" s="2">
        <f ca="1"/>
        <v>3.4254113561120292E-2</v>
      </c>
      <c r="O4188" s="2">
        <f ca="1"/>
        <v>-1.4083964698538618</v>
      </c>
      <c r="X4188" s="2">
        <f ca="1"/>
        <v>37.052443606145587</v>
      </c>
      <c r="AG4188" s="2">
        <f ca="1"/>
        <v>2.0767192877508611E-2</v>
      </c>
      <c r="AH4188" s="2" t="str">
        <f ca="1"/>
        <v>Good</v>
      </c>
    </row>
    <row r="4189" spans="2:34" x14ac:dyDescent="0.2">
      <c r="B4189" s="2">
        <f ca="1"/>
        <v>0.24193487607879316</v>
      </c>
      <c r="O4189" s="2">
        <f ca="1"/>
        <v>0.6475507596257003</v>
      </c>
      <c r="X4189" s="2">
        <f ca="1"/>
        <v>32.180557168435477</v>
      </c>
      <c r="AG4189" s="2">
        <f ca="1"/>
        <v>0.43168161281180373</v>
      </c>
      <c r="AH4189" s="2" t="str">
        <f ca="1"/>
        <v>Bad</v>
      </c>
    </row>
    <row r="4190" spans="2:34" x14ac:dyDescent="0.2">
      <c r="B4190" s="2">
        <f ca="1"/>
        <v>0.30877175139068647</v>
      </c>
      <c r="O4190" s="2">
        <f ca="1"/>
        <v>-1.0599950196302057</v>
      </c>
      <c r="X4190" s="2">
        <f ca="1"/>
        <v>45.692842417821083</v>
      </c>
      <c r="AG4190" s="2">
        <f ca="1"/>
        <v>0.92646532640888113</v>
      </c>
      <c r="AH4190" s="2" t="str">
        <f ca="1"/>
        <v>Bad</v>
      </c>
    </row>
    <row r="4191" spans="2:34" x14ac:dyDescent="0.2">
      <c r="B4191" s="2">
        <f ca="1"/>
        <v>0.71365609189129042</v>
      </c>
      <c r="O4191" s="2">
        <f ca="1"/>
        <v>1.1273214313483337</v>
      </c>
      <c r="X4191" s="2">
        <f ca="1"/>
        <v>32.540625241179427</v>
      </c>
      <c r="AG4191" s="2">
        <f ca="1"/>
        <v>0.27421158973868409</v>
      </c>
      <c r="AH4191" s="2" t="str">
        <f ca="1"/>
        <v>OK</v>
      </c>
    </row>
    <row r="4192" spans="2:34" x14ac:dyDescent="0.2">
      <c r="B4192" s="2">
        <f ca="1"/>
        <v>0.36081153540734401</v>
      </c>
      <c r="O4192" s="2">
        <f ca="1"/>
        <v>1.3312917904480217</v>
      </c>
      <c r="X4192" s="2">
        <f ca="1"/>
        <v>39.487248155090874</v>
      </c>
      <c r="AG4192" s="2">
        <f ca="1"/>
        <v>7.962467283979402E-2</v>
      </c>
      <c r="AH4192" s="2" t="str">
        <f ca="1"/>
        <v>OK</v>
      </c>
    </row>
    <row r="4193" spans="2:34" x14ac:dyDescent="0.2">
      <c r="B4193" s="2">
        <f ca="1"/>
        <v>0.27283762360991304</v>
      </c>
      <c r="O4193" s="2">
        <f ca="1"/>
        <v>-0.1950506069038741</v>
      </c>
      <c r="X4193" s="2">
        <f ca="1"/>
        <v>48.63492903632099</v>
      </c>
      <c r="AG4193" s="2">
        <f ca="1"/>
        <v>0.62159892990703525</v>
      </c>
      <c r="AH4193" s="2" t="str">
        <f ca="1"/>
        <v>Bad</v>
      </c>
    </row>
    <row r="4194" spans="2:34" x14ac:dyDescent="0.2">
      <c r="B4194" s="2">
        <f ca="1"/>
        <v>0.41041874422336155</v>
      </c>
      <c r="O4194" s="2">
        <f ca="1"/>
        <v>-1.8300442002681874</v>
      </c>
      <c r="X4194" s="2">
        <f ca="1"/>
        <v>74.615896866460304</v>
      </c>
      <c r="AG4194" s="2">
        <f ca="1"/>
        <v>0.97453718441868431</v>
      </c>
      <c r="AH4194" s="2" t="str">
        <f ca="1"/>
        <v>Bad</v>
      </c>
    </row>
    <row r="4195" spans="2:34" x14ac:dyDescent="0.2">
      <c r="B4195" s="2">
        <f ca="1"/>
        <v>0.10722112151268171</v>
      </c>
      <c r="O4195" s="2">
        <f ca="1"/>
        <v>0.78784183233318861</v>
      </c>
      <c r="X4195" s="2">
        <f ca="1"/>
        <v>73.491733070857308</v>
      </c>
      <c r="AG4195" s="2">
        <f ca="1"/>
        <v>8.3988080689154199E-2</v>
      </c>
      <c r="AH4195" s="2" t="str">
        <f ca="1"/>
        <v>OK</v>
      </c>
    </row>
    <row r="4196" spans="2:34" x14ac:dyDescent="0.2">
      <c r="B4196" s="2">
        <f ca="1"/>
        <v>0.5538808011622669</v>
      </c>
      <c r="O4196" s="2">
        <f ca="1"/>
        <v>-0.78748847887663653</v>
      </c>
      <c r="X4196" s="2">
        <f ca="1"/>
        <v>41.316678874419893</v>
      </c>
      <c r="AG4196" s="2">
        <f ca="1"/>
        <v>0.14004368888450069</v>
      </c>
      <c r="AH4196" s="2" t="str">
        <f ca="1"/>
        <v>OK</v>
      </c>
    </row>
    <row r="4197" spans="2:34" x14ac:dyDescent="0.2">
      <c r="B4197" s="2">
        <f ca="1"/>
        <v>0.60293605451336085</v>
      </c>
      <c r="O4197" s="2">
        <f ca="1"/>
        <v>1.7915960002583516E-3</v>
      </c>
      <c r="X4197" s="2">
        <f ca="1"/>
        <v>51.372628730396286</v>
      </c>
      <c r="AG4197" s="2">
        <f ca="1"/>
        <v>0.72623509167751865</v>
      </c>
      <c r="AH4197" s="2" t="str">
        <f ca="1"/>
        <v>Bad</v>
      </c>
    </row>
    <row r="4198" spans="2:34" x14ac:dyDescent="0.2">
      <c r="B4198" s="2">
        <f ca="1"/>
        <v>0.34423103059286619</v>
      </c>
      <c r="O4198" s="2">
        <f ca="1"/>
        <v>0.37556723586687768</v>
      </c>
      <c r="X4198" s="2">
        <f ca="1"/>
        <v>50.254078615509059</v>
      </c>
      <c r="AG4198" s="2">
        <f ca="1"/>
        <v>0.72891786252646695</v>
      </c>
      <c r="AH4198" s="2" t="str">
        <f ca="1"/>
        <v>Bad</v>
      </c>
    </row>
    <row r="4199" spans="2:34" x14ac:dyDescent="0.2">
      <c r="B4199" s="2">
        <f ca="1"/>
        <v>0.88607335458740932</v>
      </c>
      <c r="O4199" s="2">
        <f ca="1"/>
        <v>-1.0176844492714099</v>
      </c>
      <c r="X4199" s="2">
        <f ca="1"/>
        <v>57.959750901910255</v>
      </c>
      <c r="AG4199" s="2">
        <f ca="1"/>
        <v>0.78056526519474256</v>
      </c>
      <c r="AH4199" s="2" t="str">
        <f ca="1"/>
        <v>Bad</v>
      </c>
    </row>
    <row r="4200" spans="2:34" x14ac:dyDescent="0.2">
      <c r="B4200" s="2">
        <f ca="1"/>
        <v>0.20652871225641456</v>
      </c>
      <c r="O4200" s="2">
        <f ca="1"/>
        <v>0.49025810893428567</v>
      </c>
      <c r="X4200" s="2">
        <f ca="1"/>
        <v>74.550196896798496</v>
      </c>
      <c r="AG4200" s="2">
        <f ca="1"/>
        <v>0.20488580262355027</v>
      </c>
      <c r="AH4200" s="2" t="str">
        <f ca="1"/>
        <v>OK</v>
      </c>
    </row>
    <row r="4201" spans="2:34" x14ac:dyDescent="0.2">
      <c r="B4201" s="2">
        <f ca="1"/>
        <v>0.44912335318528962</v>
      </c>
      <c r="O4201" s="2">
        <f ca="1"/>
        <v>1.0084367971537904</v>
      </c>
      <c r="X4201" s="2">
        <f ca="1"/>
        <v>38.65794113329023</v>
      </c>
      <c r="AG4201" s="2">
        <f ca="1"/>
        <v>0.83705157450334</v>
      </c>
      <c r="AH4201" s="2" t="str">
        <f ca="1"/>
        <v>Bad</v>
      </c>
    </row>
    <row r="4202" spans="2:34" x14ac:dyDescent="0.2">
      <c r="B4202" s="2">
        <f ca="1"/>
        <v>0.20761451668142539</v>
      </c>
      <c r="O4202" s="2">
        <f ca="1"/>
        <v>-2.1009181636477626E-2</v>
      </c>
      <c r="X4202" s="2">
        <f ca="1"/>
        <v>55.597448765974477</v>
      </c>
      <c r="AG4202" s="2">
        <f ca="1"/>
        <v>0.19695186551293986</v>
      </c>
      <c r="AH4202" s="2" t="str">
        <f ca="1"/>
        <v>OK</v>
      </c>
    </row>
    <row r="4203" spans="2:34" x14ac:dyDescent="0.2">
      <c r="B4203" s="2">
        <f ca="1"/>
        <v>0.5362502627028185</v>
      </c>
      <c r="O4203" s="2">
        <f ca="1"/>
        <v>-1.282835705367823</v>
      </c>
      <c r="X4203" s="2">
        <f ca="1"/>
        <v>44.113600145127947</v>
      </c>
      <c r="AG4203" s="2">
        <f ca="1"/>
        <v>0.35542809318571944</v>
      </c>
      <c r="AH4203" s="2" t="str">
        <f ca="1"/>
        <v>OK</v>
      </c>
    </row>
    <row r="4204" spans="2:34" x14ac:dyDescent="0.2">
      <c r="B4204" s="2">
        <f ca="1"/>
        <v>0.67836444085008862</v>
      </c>
      <c r="O4204" s="2">
        <f ca="1"/>
        <v>-0.61433220108334985</v>
      </c>
      <c r="X4204" s="2">
        <f ca="1"/>
        <v>27.528758889757782</v>
      </c>
      <c r="AG4204" s="2">
        <f ca="1"/>
        <v>0.9710009305786409</v>
      </c>
      <c r="AH4204" s="2" t="str">
        <f ca="1"/>
        <v>Bad</v>
      </c>
    </row>
    <row r="4205" spans="2:34" x14ac:dyDescent="0.2">
      <c r="B4205" s="2">
        <f ca="1"/>
        <v>0.51882471150292897</v>
      </c>
      <c r="O4205" s="2">
        <f ca="1"/>
        <v>0.55004291344898271</v>
      </c>
      <c r="X4205" s="2">
        <f ca="1"/>
        <v>26.125600390501887</v>
      </c>
      <c r="AG4205" s="2">
        <f ca="1"/>
        <v>0.3938463951317217</v>
      </c>
      <c r="AH4205" s="2" t="str">
        <f ca="1"/>
        <v>OK</v>
      </c>
    </row>
    <row r="4206" spans="2:34" x14ac:dyDescent="0.2">
      <c r="B4206" s="2">
        <f ca="1"/>
        <v>0.8040072572341892</v>
      </c>
      <c r="O4206" s="2">
        <f ca="1"/>
        <v>0.95650594561674251</v>
      </c>
      <c r="X4206" s="2">
        <f ca="1"/>
        <v>40.414282029641235</v>
      </c>
      <c r="AG4206" s="2">
        <f ca="1"/>
        <v>0.8862067713061319</v>
      </c>
      <c r="AH4206" s="2" t="str">
        <f ca="1"/>
        <v>Bad</v>
      </c>
    </row>
    <row r="4207" spans="2:34" x14ac:dyDescent="0.2">
      <c r="B4207" s="2">
        <f ca="1"/>
        <v>0.12018808164911277</v>
      </c>
      <c r="O4207" s="2">
        <f ca="1"/>
        <v>-1.2424264935134348</v>
      </c>
      <c r="X4207" s="2">
        <f ca="1"/>
        <v>47.046264618937535</v>
      </c>
      <c r="AG4207" s="2">
        <f ca="1"/>
        <v>0.20721153577559259</v>
      </c>
      <c r="AH4207" s="2" t="str">
        <f ca="1"/>
        <v>OK</v>
      </c>
    </row>
    <row r="4208" spans="2:34" x14ac:dyDescent="0.2">
      <c r="B4208" s="2">
        <f ca="1"/>
        <v>0.96243520902314095</v>
      </c>
      <c r="O4208" s="2">
        <f ca="1"/>
        <v>0.77927992700510929</v>
      </c>
      <c r="X4208" s="2">
        <f ca="1"/>
        <v>77.633804180090436</v>
      </c>
      <c r="AG4208" s="2">
        <f ca="1"/>
        <v>0.30920511434750697</v>
      </c>
      <c r="AH4208" s="2" t="str">
        <f ca="1"/>
        <v>OK</v>
      </c>
    </row>
    <row r="4209" spans="2:34" x14ac:dyDescent="0.2">
      <c r="B4209" s="2">
        <f ca="1"/>
        <v>2.604351220803558E-2</v>
      </c>
      <c r="O4209" s="2">
        <f ca="1"/>
        <v>0.86761580142989247</v>
      </c>
      <c r="X4209" s="2">
        <f ca="1"/>
        <v>44.40692288678818</v>
      </c>
      <c r="AG4209" s="2">
        <f ca="1"/>
        <v>0.7836159531581397</v>
      </c>
      <c r="AH4209" s="2" t="str">
        <f ca="1"/>
        <v>Bad</v>
      </c>
    </row>
    <row r="4210" spans="2:34" x14ac:dyDescent="0.2">
      <c r="B4210" s="2">
        <f ca="1"/>
        <v>0.26227591686955809</v>
      </c>
      <c r="O4210" s="2">
        <f ca="1"/>
        <v>-0.15461522294168911</v>
      </c>
      <c r="X4210" s="2">
        <f ca="1"/>
        <v>38.53571660326908</v>
      </c>
      <c r="AG4210" s="2">
        <f ca="1"/>
        <v>0.23284085801507159</v>
      </c>
      <c r="AH4210" s="2" t="str">
        <f ca="1"/>
        <v>OK</v>
      </c>
    </row>
    <row r="4211" spans="2:34" x14ac:dyDescent="0.2">
      <c r="B4211" s="2">
        <f ca="1"/>
        <v>0.4009802016503321</v>
      </c>
      <c r="O4211" s="2">
        <f ca="1"/>
        <v>-0.86565347827501449</v>
      </c>
      <c r="X4211" s="2">
        <f ca="1"/>
        <v>53.571003749752023</v>
      </c>
      <c r="AG4211" s="2">
        <f ca="1"/>
        <v>0.86437700435935616</v>
      </c>
      <c r="AH4211" s="2" t="str">
        <f ca="1"/>
        <v>Bad</v>
      </c>
    </row>
    <row r="4212" spans="2:34" x14ac:dyDescent="0.2">
      <c r="B4212" s="2">
        <f ca="1"/>
        <v>0.58118954634110787</v>
      </c>
      <c r="O4212" s="2">
        <f ca="1"/>
        <v>1.3437993658601053E-2</v>
      </c>
      <c r="X4212" s="2">
        <f ca="1"/>
        <v>55.436625700458322</v>
      </c>
      <c r="AG4212" s="2">
        <f ca="1"/>
        <v>7.9268451558472952E-2</v>
      </c>
      <c r="AH4212" s="2" t="str">
        <f ca="1"/>
        <v>OK</v>
      </c>
    </row>
    <row r="4213" spans="2:34" x14ac:dyDescent="0.2">
      <c r="B4213" s="2">
        <f ca="1"/>
        <v>0.6379556693160704</v>
      </c>
      <c r="O4213" s="2">
        <f ca="1"/>
        <v>-0.14932203600615032</v>
      </c>
      <c r="X4213" s="2">
        <f ca="1"/>
        <v>30.532342492379168</v>
      </c>
      <c r="AG4213" s="2">
        <f ca="1"/>
        <v>5.4233982283376836E-2</v>
      </c>
      <c r="AH4213" s="2" t="str">
        <f ca="1"/>
        <v>OK</v>
      </c>
    </row>
    <row r="4214" spans="2:34" x14ac:dyDescent="0.2">
      <c r="B4214" s="2">
        <f ca="1"/>
        <v>0.35677799418402079</v>
      </c>
      <c r="O4214" s="2">
        <f ca="1"/>
        <v>-1.6546093109561886</v>
      </c>
      <c r="X4214" s="2">
        <f ca="1"/>
        <v>46.675336485092657</v>
      </c>
      <c r="AG4214" s="2">
        <f ca="1"/>
        <v>5.1628694636587147E-2</v>
      </c>
      <c r="AH4214" s="2" t="str">
        <f ca="1"/>
        <v>OK</v>
      </c>
    </row>
    <row r="4215" spans="2:34" x14ac:dyDescent="0.2">
      <c r="B4215" s="2">
        <f ca="1"/>
        <v>0.9006845041499576</v>
      </c>
      <c r="O4215" s="2">
        <f ca="1"/>
        <v>-0.27255814153868996</v>
      </c>
      <c r="X4215" s="2">
        <f ca="1"/>
        <v>48.832406874731049</v>
      </c>
      <c r="AG4215" s="2">
        <f ca="1"/>
        <v>0.35538741474795632</v>
      </c>
      <c r="AH4215" s="2" t="str">
        <f ca="1"/>
        <v>OK</v>
      </c>
    </row>
    <row r="4216" spans="2:34" x14ac:dyDescent="0.2">
      <c r="B4216" s="2">
        <f ca="1"/>
        <v>0.11173568874811934</v>
      </c>
      <c r="O4216" s="2">
        <f ca="1"/>
        <v>1.3115835093812642</v>
      </c>
      <c r="X4216" s="2">
        <f ca="1"/>
        <v>52.232636597976878</v>
      </c>
      <c r="AG4216" s="2">
        <f ca="1"/>
        <v>0.18509110595024625</v>
      </c>
      <c r="AH4216" s="2" t="str">
        <f ca="1"/>
        <v>OK</v>
      </c>
    </row>
    <row r="4217" spans="2:34" x14ac:dyDescent="0.2">
      <c r="B4217" s="2">
        <f ca="1"/>
        <v>0.91910110180625537</v>
      </c>
      <c r="O4217" s="2">
        <f ca="1"/>
        <v>1.4966212487379151</v>
      </c>
      <c r="X4217" s="2">
        <f ca="1"/>
        <v>23.597346247196342</v>
      </c>
      <c r="AG4217" s="2">
        <f ca="1"/>
        <v>0.46150624263526741</v>
      </c>
      <c r="AH4217" s="2" t="str">
        <f ca="1"/>
        <v>Bad</v>
      </c>
    </row>
    <row r="4218" spans="2:34" x14ac:dyDescent="0.2">
      <c r="B4218" s="2">
        <f ca="1"/>
        <v>0.30680300016695994</v>
      </c>
      <c r="O4218" s="2">
        <f ca="1"/>
        <v>-1.7275005937418961</v>
      </c>
      <c r="X4218" s="2">
        <f ca="1"/>
        <v>47.179937400228226</v>
      </c>
      <c r="AG4218" s="2">
        <f ca="1"/>
        <v>1.4009289172123518E-2</v>
      </c>
      <c r="AH4218" s="2" t="str">
        <f ca="1"/>
        <v>Good</v>
      </c>
    </row>
    <row r="4219" spans="2:34" x14ac:dyDescent="0.2">
      <c r="B4219" s="2">
        <f ca="1"/>
        <v>0.545202172154859</v>
      </c>
      <c r="O4219" s="2">
        <f ca="1"/>
        <v>0.64325679396225666</v>
      </c>
      <c r="X4219" s="2">
        <f ca="1"/>
        <v>50.643998695512039</v>
      </c>
      <c r="AG4219" s="2">
        <f ca="1"/>
        <v>0.37315502933616052</v>
      </c>
      <c r="AH4219" s="2" t="str">
        <f ca="1"/>
        <v>OK</v>
      </c>
    </row>
    <row r="4220" spans="2:34" x14ac:dyDescent="0.2">
      <c r="B4220" s="2">
        <f ca="1"/>
        <v>0.18993307950428351</v>
      </c>
      <c r="O4220" s="2">
        <f ca="1"/>
        <v>0.79949916199003523</v>
      </c>
      <c r="X4220" s="2">
        <f ca="1"/>
        <v>47.299591023351219</v>
      </c>
      <c r="AG4220" s="2">
        <f ca="1"/>
        <v>0.63433392426533475</v>
      </c>
      <c r="AH4220" s="2" t="str">
        <f ca="1"/>
        <v>Bad</v>
      </c>
    </row>
    <row r="4221" spans="2:34" x14ac:dyDescent="0.2">
      <c r="B4221" s="2">
        <f ca="1"/>
        <v>0.45705210604174074</v>
      </c>
      <c r="O4221" s="2">
        <f ca="1"/>
        <v>6.2113400648034098E-2</v>
      </c>
      <c r="X4221" s="2">
        <f ca="1"/>
        <v>52.002653712878853</v>
      </c>
      <c r="AG4221" s="2">
        <f ca="1"/>
        <v>0.58123378294890093</v>
      </c>
      <c r="AH4221" s="2" t="str">
        <f ca="1"/>
        <v>Bad</v>
      </c>
    </row>
    <row r="4222" spans="2:34" x14ac:dyDescent="0.2">
      <c r="B4222" s="2">
        <f ca="1"/>
        <v>0.38208224462486795</v>
      </c>
      <c r="O4222" s="2">
        <f ca="1"/>
        <v>0.84346704604310996</v>
      </c>
      <c r="X4222" s="2">
        <f ca="1"/>
        <v>41.329969924101306</v>
      </c>
      <c r="AG4222" s="2">
        <f ca="1"/>
        <v>0.76726641944884388</v>
      </c>
      <c r="AH4222" s="2" t="str">
        <f ca="1"/>
        <v>Bad</v>
      </c>
    </row>
    <row r="4223" spans="2:34" x14ac:dyDescent="0.2">
      <c r="B4223" s="2">
        <f ca="1"/>
        <v>0.17465228273977007</v>
      </c>
      <c r="O4223" s="2">
        <f ca="1"/>
        <v>-0.14964073236736594</v>
      </c>
      <c r="X4223" s="2">
        <f ca="1"/>
        <v>53.657326624469476</v>
      </c>
      <c r="AG4223" s="2">
        <f ca="1"/>
        <v>0.19420498109296291</v>
      </c>
      <c r="AH4223" s="2" t="str">
        <f ca="1"/>
        <v>OK</v>
      </c>
    </row>
    <row r="4224" spans="2:34" x14ac:dyDescent="0.2">
      <c r="B4224" s="2">
        <f ca="1"/>
        <v>0.99770040511108382</v>
      </c>
      <c r="O4224" s="2">
        <f ca="1"/>
        <v>0.82274252893208555</v>
      </c>
      <c r="X4224" s="2">
        <f ca="1"/>
        <v>84.336289560157738</v>
      </c>
      <c r="AG4224" s="2">
        <f ca="1"/>
        <v>5.3861042527932446E-2</v>
      </c>
      <c r="AH4224" s="2" t="str">
        <f ca="1"/>
        <v>OK</v>
      </c>
    </row>
    <row r="4225" spans="2:34" x14ac:dyDescent="0.2">
      <c r="B4225" s="2">
        <f ca="1"/>
        <v>0.84870595182043362</v>
      </c>
      <c r="O4225" s="2">
        <f ca="1"/>
        <v>-0.10408800423559604</v>
      </c>
      <c r="X4225" s="2">
        <f ca="1"/>
        <v>24.353011060777803</v>
      </c>
      <c r="AG4225" s="2">
        <f ca="1"/>
        <v>0.35987407006755712</v>
      </c>
      <c r="AH4225" s="2" t="str">
        <f ca="1"/>
        <v>OK</v>
      </c>
    </row>
    <row r="4226" spans="2:34" x14ac:dyDescent="0.2">
      <c r="B4226" s="2">
        <f ca="1"/>
        <v>0.50569513773685282</v>
      </c>
      <c r="O4226" s="2">
        <f ca="1"/>
        <v>-7.526202179438421E-2</v>
      </c>
      <c r="X4226" s="2">
        <f ca="1"/>
        <v>63.753992079452942</v>
      </c>
      <c r="AG4226" s="2">
        <f ca="1"/>
        <v>0.67152328674105388</v>
      </c>
      <c r="AH4226" s="2" t="str">
        <f ca="1"/>
        <v>Bad</v>
      </c>
    </row>
    <row r="4227" spans="2:34" x14ac:dyDescent="0.2">
      <c r="B4227" s="2">
        <f ca="1"/>
        <v>0.99328391658660098</v>
      </c>
      <c r="O4227" s="2">
        <f ca="1"/>
        <v>-0.67195024028314021</v>
      </c>
      <c r="X4227" s="2">
        <f ca="1"/>
        <v>26.862467716884204</v>
      </c>
      <c r="AG4227" s="2">
        <f ca="1"/>
        <v>0.75017368966075093</v>
      </c>
      <c r="AH4227" s="2" t="str">
        <f ca="1"/>
        <v>Bad</v>
      </c>
    </row>
    <row r="4228" spans="2:34" x14ac:dyDescent="0.2">
      <c r="B4228" s="2">
        <f ca="1"/>
        <v>0.37118231345514063</v>
      </c>
      <c r="O4228" s="2">
        <f ca="1"/>
        <v>1.1149188808201023</v>
      </c>
      <c r="X4228" s="2">
        <f ca="1"/>
        <v>46.683408679554162</v>
      </c>
      <c r="AG4228" s="2">
        <f ca="1"/>
        <v>0.35993696892290128</v>
      </c>
      <c r="AH4228" s="2" t="str">
        <f ca="1"/>
        <v>OK</v>
      </c>
    </row>
    <row r="4229" spans="2:34" x14ac:dyDescent="0.2">
      <c r="B4229" s="2">
        <f ca="1"/>
        <v>0.99176287069102442</v>
      </c>
      <c r="O4229" s="2">
        <f ca="1"/>
        <v>0.6092886808364657</v>
      </c>
      <c r="X4229" s="2">
        <f ca="1"/>
        <v>44.487080484752688</v>
      </c>
      <c r="AG4229" s="2">
        <f ca="1"/>
        <v>0.72398189444723959</v>
      </c>
      <c r="AH4229" s="2" t="str">
        <f ca="1"/>
        <v>Bad</v>
      </c>
    </row>
    <row r="4230" spans="2:34" x14ac:dyDescent="0.2">
      <c r="B4230" s="2">
        <f ca="1"/>
        <v>0.94534527051609185</v>
      </c>
      <c r="O4230" s="2">
        <f ca="1"/>
        <v>0.14296633930411812</v>
      </c>
      <c r="X4230" s="2">
        <f ca="1"/>
        <v>28.544438832652666</v>
      </c>
      <c r="AG4230" s="2">
        <f ca="1"/>
        <v>0.6274740075914762</v>
      </c>
      <c r="AH4230" s="2" t="str">
        <f ca="1"/>
        <v>Bad</v>
      </c>
    </row>
    <row r="4231" spans="2:34" x14ac:dyDescent="0.2">
      <c r="B4231" s="2">
        <f ca="1"/>
        <v>0.36391726534819768</v>
      </c>
      <c r="O4231" s="2">
        <f ca="1"/>
        <v>0.33037948446490001</v>
      </c>
      <c r="X4231" s="2">
        <f ca="1"/>
        <v>66.464069727493793</v>
      </c>
      <c r="AG4231" s="2">
        <f ca="1"/>
        <v>0.92081116964461041</v>
      </c>
      <c r="AH4231" s="2" t="str">
        <f ca="1"/>
        <v>Bad</v>
      </c>
    </row>
    <row r="4232" spans="2:34" x14ac:dyDescent="0.2">
      <c r="B4232" s="2">
        <f ca="1"/>
        <v>0.84268447821181702</v>
      </c>
      <c r="O4232" s="2">
        <f ca="1"/>
        <v>-0.88807604612971014</v>
      </c>
      <c r="X4232" s="2">
        <f ca="1"/>
        <v>45.849718625986988</v>
      </c>
      <c r="AG4232" s="2">
        <f ca="1"/>
        <v>0.81588064187353648</v>
      </c>
      <c r="AH4232" s="2" t="str">
        <f ca="1"/>
        <v>Bad</v>
      </c>
    </row>
    <row r="4233" spans="2:34" x14ac:dyDescent="0.2">
      <c r="B4233" s="2">
        <f ca="1"/>
        <v>0.45248743129667535</v>
      </c>
      <c r="O4233" s="2">
        <f ca="1"/>
        <v>-0.16531016759063236</v>
      </c>
      <c r="X4233" s="2">
        <f ca="1"/>
        <v>54.51052354187695</v>
      </c>
      <c r="AG4233" s="2">
        <f ca="1"/>
        <v>0.44875494155911611</v>
      </c>
      <c r="AH4233" s="2" t="str">
        <f ca="1"/>
        <v>Bad</v>
      </c>
    </row>
    <row r="4234" spans="2:34" x14ac:dyDescent="0.2">
      <c r="B4234" s="2">
        <f ca="1"/>
        <v>0.24395618997658652</v>
      </c>
      <c r="O4234" s="2">
        <f ca="1"/>
        <v>-1.1043614600468776</v>
      </c>
      <c r="X4234" s="2">
        <f ca="1"/>
        <v>51.439136614144687</v>
      </c>
      <c r="AG4234" s="2">
        <f ca="1"/>
        <v>6.8845286397731575E-2</v>
      </c>
      <c r="AH4234" s="2" t="str">
        <f ca="1"/>
        <v>OK</v>
      </c>
    </row>
    <row r="4235" spans="2:34" x14ac:dyDescent="0.2">
      <c r="B4235" s="2">
        <f ca="1"/>
        <v>0.11019694355310516</v>
      </c>
      <c r="O4235" s="2">
        <f ca="1"/>
        <v>-1.000824279735733</v>
      </c>
      <c r="X4235" s="2">
        <f ca="1"/>
        <v>33.750110232617928</v>
      </c>
      <c r="AG4235" s="2">
        <f ca="1"/>
        <v>0.18499975584809358</v>
      </c>
      <c r="AH4235" s="2" t="str">
        <f ca="1"/>
        <v>OK</v>
      </c>
    </row>
    <row r="4236" spans="2:34" x14ac:dyDescent="0.2">
      <c r="B4236" s="2">
        <f ca="1"/>
        <v>0.22360425124681949</v>
      </c>
      <c r="O4236" s="2">
        <f ca="1"/>
        <v>-0.59978244487077037</v>
      </c>
      <c r="X4236" s="2">
        <f ca="1"/>
        <v>65.589339285821907</v>
      </c>
      <c r="AG4236" s="2">
        <f ca="1"/>
        <v>0.29099936297424733</v>
      </c>
      <c r="AH4236" s="2" t="str">
        <f ca="1"/>
        <v>OK</v>
      </c>
    </row>
    <row r="4237" spans="2:34" x14ac:dyDescent="0.2">
      <c r="B4237" s="2">
        <f ca="1"/>
        <v>6.1823525871598006E-2</v>
      </c>
      <c r="O4237" s="2">
        <f ca="1"/>
        <v>0.72429634628088002</v>
      </c>
      <c r="X4237" s="2">
        <f ca="1"/>
        <v>52.411915607370155</v>
      </c>
      <c r="AG4237" s="2">
        <f ca="1"/>
        <v>0.78162752532214808</v>
      </c>
      <c r="AH4237" s="2" t="str">
        <f ca="1"/>
        <v>Bad</v>
      </c>
    </row>
    <row r="4238" spans="2:34" x14ac:dyDescent="0.2">
      <c r="B4238" s="2">
        <f ca="1"/>
        <v>0.1600519000547076</v>
      </c>
      <c r="O4238" s="2">
        <f ca="1"/>
        <v>-0.19815043475830302</v>
      </c>
      <c r="X4238" s="2">
        <f ca="1"/>
        <v>44.955283968823736</v>
      </c>
      <c r="AG4238" s="2">
        <f ca="1"/>
        <v>0.61131998230175255</v>
      </c>
      <c r="AH4238" s="2" t="str">
        <f ca="1"/>
        <v>Bad</v>
      </c>
    </row>
    <row r="4239" spans="2:34" x14ac:dyDescent="0.2">
      <c r="B4239" s="2">
        <f ca="1"/>
        <v>0.10445677918593876</v>
      </c>
      <c r="O4239" s="2">
        <f ca="1"/>
        <v>1.1285266920598971</v>
      </c>
      <c r="X4239" s="2">
        <f ca="1"/>
        <v>60.499954294817883</v>
      </c>
      <c r="AG4239" s="2">
        <f ca="1"/>
        <v>0.98454822378529494</v>
      </c>
      <c r="AH4239" s="2" t="str">
        <f ca="1"/>
        <v>Bad</v>
      </c>
    </row>
    <row r="4240" spans="2:34" x14ac:dyDescent="0.2">
      <c r="B4240" s="2">
        <f ca="1"/>
        <v>0.39972749371446037</v>
      </c>
      <c r="O4240" s="2">
        <f ca="1"/>
        <v>-0.93171836569931044</v>
      </c>
      <c r="X4240" s="2">
        <f ca="1"/>
        <v>33.087651157027594</v>
      </c>
      <c r="AG4240" s="2">
        <f ca="1"/>
        <v>0.27532241883355368</v>
      </c>
      <c r="AH4240" s="2" t="str">
        <f ca="1"/>
        <v>OK</v>
      </c>
    </row>
    <row r="4241" spans="2:34" x14ac:dyDescent="0.2">
      <c r="B4241" s="2">
        <f ca="1"/>
        <v>4.4221348436088048E-2</v>
      </c>
      <c r="O4241" s="2">
        <f ca="1"/>
        <v>-0.78501922932652946</v>
      </c>
      <c r="X4241" s="2">
        <f ca="1"/>
        <v>75.08313427346539</v>
      </c>
      <c r="AG4241" s="2">
        <f ca="1"/>
        <v>0.39154695550227547</v>
      </c>
      <c r="AH4241" s="2" t="str">
        <f ca="1"/>
        <v>OK</v>
      </c>
    </row>
    <row r="4242" spans="2:34" x14ac:dyDescent="0.2">
      <c r="B4242" s="2">
        <f ca="1"/>
        <v>9.0667108288871479E-2</v>
      </c>
      <c r="O4242" s="2">
        <f ca="1"/>
        <v>-0.11598023745908437</v>
      </c>
      <c r="X4242" s="2">
        <f ca="1"/>
        <v>34.623052613033735</v>
      </c>
      <c r="AG4242" s="2">
        <f ca="1"/>
        <v>0.5236798098800961</v>
      </c>
      <c r="AH4242" s="2" t="str">
        <f ca="1"/>
        <v>Bad</v>
      </c>
    </row>
    <row r="4243" spans="2:34" x14ac:dyDescent="0.2">
      <c r="B4243" s="2">
        <f ca="1"/>
        <v>0.28384858384245115</v>
      </c>
      <c r="O4243" s="2">
        <f ca="1"/>
        <v>-0.42720212573888122</v>
      </c>
      <c r="X4243" s="2">
        <f ca="1"/>
        <v>58.309942299927897</v>
      </c>
      <c r="AG4243" s="2">
        <f ca="1"/>
        <v>0.79305724758317564</v>
      </c>
      <c r="AH4243" s="2" t="str">
        <f ca="1"/>
        <v>Bad</v>
      </c>
    </row>
    <row r="4244" spans="2:34" x14ac:dyDescent="0.2">
      <c r="B4244" s="2">
        <f ca="1"/>
        <v>0.4651185237347939</v>
      </c>
      <c r="O4244" s="2">
        <f ca="1"/>
        <v>-0.60454392199203433</v>
      </c>
      <c r="X4244" s="2">
        <f ca="1"/>
        <v>58.811461386864252</v>
      </c>
      <c r="AG4244" s="2">
        <f ca="1"/>
        <v>0.45825152240738731</v>
      </c>
      <c r="AH4244" s="2" t="str">
        <f ca="1"/>
        <v>Bad</v>
      </c>
    </row>
    <row r="4245" spans="2:34" x14ac:dyDescent="0.2">
      <c r="B4245" s="2">
        <f ca="1"/>
        <v>0.61498275305461059</v>
      </c>
      <c r="O4245" s="2">
        <f ca="1"/>
        <v>-2.3040560680235611</v>
      </c>
      <c r="X4245" s="2">
        <f ca="1"/>
        <v>54.21750744184272</v>
      </c>
      <c r="AG4245" s="2">
        <f ca="1"/>
        <v>0.56223445634368496</v>
      </c>
      <c r="AH4245" s="2" t="str">
        <f ca="1"/>
        <v>Bad</v>
      </c>
    </row>
    <row r="4246" spans="2:34" x14ac:dyDescent="0.2">
      <c r="B4246" s="2">
        <f ca="1"/>
        <v>0.19087979659311216</v>
      </c>
      <c r="O4246" s="2">
        <f ca="1"/>
        <v>9.8936097978817167E-2</v>
      </c>
      <c r="X4246" s="2">
        <f ca="1"/>
        <v>70.589013980226625</v>
      </c>
      <c r="AG4246" s="2">
        <f ca="1"/>
        <v>0.85842136712362471</v>
      </c>
      <c r="AH4246" s="2" t="str">
        <f ca="1"/>
        <v>Bad</v>
      </c>
    </row>
    <row r="4247" spans="2:34" x14ac:dyDescent="0.2">
      <c r="B4247" s="2">
        <f ca="1"/>
        <v>0.49329003092991375</v>
      </c>
      <c r="O4247" s="2">
        <f ca="1"/>
        <v>1.1811479614456513</v>
      </c>
      <c r="X4247" s="2">
        <f ca="1"/>
        <v>62.321216509115878</v>
      </c>
      <c r="AG4247" s="2">
        <f ca="1"/>
        <v>0.527780672792306</v>
      </c>
      <c r="AH4247" s="2" t="str">
        <f ca="1"/>
        <v>Bad</v>
      </c>
    </row>
    <row r="4248" spans="2:34" x14ac:dyDescent="0.2">
      <c r="B4248" s="2">
        <f ca="1"/>
        <v>0.15567161756515868</v>
      </c>
      <c r="O4248" s="2">
        <f ca="1"/>
        <v>0.68677439619146585</v>
      </c>
      <c r="X4248" s="2">
        <f ca="1"/>
        <v>34.980163557459434</v>
      </c>
      <c r="AG4248" s="2">
        <f ca="1"/>
        <v>0.43300402795307424</v>
      </c>
      <c r="AH4248" s="2" t="str">
        <f ca="1"/>
        <v>Bad</v>
      </c>
    </row>
    <row r="4249" spans="2:34" x14ac:dyDescent="0.2">
      <c r="B4249" s="2">
        <f ca="1"/>
        <v>0.81235513415145233</v>
      </c>
      <c r="O4249" s="2">
        <f ca="1"/>
        <v>-4.9038591857657444E-2</v>
      </c>
      <c r="X4249" s="2">
        <f ca="1"/>
        <v>31.832840540726458</v>
      </c>
      <c r="AG4249" s="2">
        <f ca="1"/>
        <v>0.54413859016892863</v>
      </c>
      <c r="AH4249" s="2" t="str">
        <f ca="1"/>
        <v>Bad</v>
      </c>
    </row>
    <row r="4250" spans="2:34" x14ac:dyDescent="0.2">
      <c r="B4250" s="2">
        <f ca="1"/>
        <v>7.8271133103049007E-2</v>
      </c>
      <c r="O4250" s="2">
        <f ca="1"/>
        <v>-3.0317224417633324</v>
      </c>
      <c r="X4250" s="2">
        <f ca="1"/>
        <v>58.661013540800582</v>
      </c>
      <c r="AG4250" s="2">
        <f ca="1"/>
        <v>0.6032974200097585</v>
      </c>
      <c r="AH4250" s="2" t="str">
        <f ca="1"/>
        <v>Bad</v>
      </c>
    </row>
    <row r="4251" spans="2:34" x14ac:dyDescent="0.2">
      <c r="B4251" s="2">
        <f ca="1"/>
        <v>4.216826723853262E-2</v>
      </c>
      <c r="O4251" s="2">
        <f ca="1"/>
        <v>-4.9595525267408368E-2</v>
      </c>
      <c r="X4251" s="2">
        <f ca="1"/>
        <v>28.372758919216878</v>
      </c>
      <c r="AG4251" s="2">
        <f ca="1"/>
        <v>5.5392775984832054E-2</v>
      </c>
      <c r="AH4251" s="2" t="str">
        <f ca="1"/>
        <v>OK</v>
      </c>
    </row>
    <row r="4252" spans="2:34" x14ac:dyDescent="0.2">
      <c r="B4252" s="2">
        <f ca="1"/>
        <v>0.42841333603897636</v>
      </c>
      <c r="O4252" s="2">
        <f ca="1"/>
        <v>0.11988077852963366</v>
      </c>
      <c r="X4252" s="2">
        <f ca="1"/>
        <v>55.795699121633355</v>
      </c>
      <c r="AG4252" s="2">
        <f ca="1"/>
        <v>5.9235042736558441E-2</v>
      </c>
      <c r="AH4252" s="2" t="str">
        <f ca="1"/>
        <v>OK</v>
      </c>
    </row>
    <row r="4253" spans="2:34" x14ac:dyDescent="0.2">
      <c r="B4253" s="2">
        <f ca="1"/>
        <v>0.66630948888975405</v>
      </c>
      <c r="O4253" s="2">
        <f ca="1"/>
        <v>1.3466190081684297</v>
      </c>
      <c r="X4253" s="2">
        <f ca="1"/>
        <v>33.434032823717587</v>
      </c>
      <c r="AG4253" s="2">
        <f ca="1"/>
        <v>0.4204425992146974</v>
      </c>
      <c r="AH4253" s="2" t="str">
        <f ca="1"/>
        <v>Bad</v>
      </c>
    </row>
    <row r="4254" spans="2:34" x14ac:dyDescent="0.2">
      <c r="B4254" s="2">
        <f ca="1"/>
        <v>0.99210385540246238</v>
      </c>
      <c r="O4254" s="2">
        <f ca="1"/>
        <v>-0.4534819681006419</v>
      </c>
      <c r="X4254" s="2">
        <f ca="1"/>
        <v>58.331736256174445</v>
      </c>
      <c r="AG4254" s="2">
        <f ca="1"/>
        <v>0.53846903645705457</v>
      </c>
      <c r="AH4254" s="2" t="str">
        <f ca="1"/>
        <v>Bad</v>
      </c>
    </row>
    <row r="4255" spans="2:34" x14ac:dyDescent="0.2">
      <c r="B4255" s="2">
        <f ca="1"/>
        <v>0.30949695127144783</v>
      </c>
      <c r="O4255" s="2">
        <f ca="1"/>
        <v>1.1705319173363311</v>
      </c>
      <c r="X4255" s="2">
        <f ca="1"/>
        <v>25.345399846067608</v>
      </c>
      <c r="AG4255" s="2">
        <f ca="1"/>
        <v>0.17154870604677197</v>
      </c>
      <c r="AH4255" s="2" t="str">
        <f ca="1"/>
        <v>OK</v>
      </c>
    </row>
    <row r="4256" spans="2:34" x14ac:dyDescent="0.2">
      <c r="B4256" s="2">
        <f ca="1"/>
        <v>7.6715790022327868E-2</v>
      </c>
      <c r="O4256" s="2">
        <f ca="1"/>
        <v>-0.31889871867921288</v>
      </c>
      <c r="X4256" s="2">
        <f ca="1"/>
        <v>35.242233166093911</v>
      </c>
      <c r="AG4256" s="2">
        <f ca="1"/>
        <v>0.34522918227749133</v>
      </c>
      <c r="AH4256" s="2" t="str">
        <f ca="1"/>
        <v>OK</v>
      </c>
    </row>
    <row r="4257" spans="2:34" x14ac:dyDescent="0.2">
      <c r="B4257" s="2">
        <f ca="1"/>
        <v>0.44912368545151704</v>
      </c>
      <c r="O4257" s="2">
        <f ca="1"/>
        <v>0.933595436490819</v>
      </c>
      <c r="X4257" s="2">
        <f ca="1"/>
        <v>42.57826162693064</v>
      </c>
      <c r="AG4257" s="2">
        <f ca="1"/>
        <v>9.8756791996105431E-2</v>
      </c>
      <c r="AH4257" s="2" t="str">
        <f ca="1"/>
        <v>OK</v>
      </c>
    </row>
    <row r="4258" spans="2:34" x14ac:dyDescent="0.2">
      <c r="B4258" s="2">
        <f ca="1"/>
        <v>0.4780501966982782</v>
      </c>
      <c r="O4258" s="2">
        <f ca="1"/>
        <v>0.16187578398433958</v>
      </c>
      <c r="X4258" s="2">
        <f ca="1"/>
        <v>49.830258512609305</v>
      </c>
      <c r="AG4258" s="2">
        <f ca="1"/>
        <v>0.56569040376391122</v>
      </c>
      <c r="AH4258" s="2" t="str">
        <f ca="1"/>
        <v>Bad</v>
      </c>
    </row>
    <row r="4259" spans="2:34" x14ac:dyDescent="0.2">
      <c r="B4259" s="2">
        <f ca="1"/>
        <v>0.95396643739105058</v>
      </c>
      <c r="O4259" s="2">
        <f ca="1"/>
        <v>-1.8622884145326233</v>
      </c>
      <c r="X4259" s="2">
        <f ca="1"/>
        <v>58.866979097801931</v>
      </c>
      <c r="AG4259" s="2">
        <f ca="1"/>
        <v>0.67810949225698991</v>
      </c>
      <c r="AH4259" s="2" t="str">
        <f ca="1"/>
        <v>Bad</v>
      </c>
    </row>
    <row r="4260" spans="2:34" x14ac:dyDescent="0.2">
      <c r="B4260" s="2">
        <f ca="1"/>
        <v>0.63201587762147926</v>
      </c>
      <c r="O4260" s="2">
        <f ca="1"/>
        <v>0.97061461047485953</v>
      </c>
      <c r="X4260" s="2">
        <f ca="1"/>
        <v>66.051438640793933</v>
      </c>
      <c r="AG4260" s="2">
        <f ca="1"/>
        <v>0.21560688037081088</v>
      </c>
      <c r="AH4260" s="2" t="str">
        <f ca="1"/>
        <v>OK</v>
      </c>
    </row>
    <row r="4261" spans="2:34" x14ac:dyDescent="0.2">
      <c r="B4261" s="2">
        <f ca="1"/>
        <v>0.11069371012284202</v>
      </c>
      <c r="O4261" s="2">
        <f ca="1"/>
        <v>0.89806419639534807</v>
      </c>
      <c r="X4261" s="2">
        <f ca="1"/>
        <v>56.361190084444807</v>
      </c>
      <c r="AG4261" s="2">
        <f ca="1"/>
        <v>0.25691332395449828</v>
      </c>
      <c r="AH4261" s="2" t="str">
        <f ca="1"/>
        <v>OK</v>
      </c>
    </row>
    <row r="4262" spans="2:34" x14ac:dyDescent="0.2">
      <c r="B4262" s="2">
        <f ca="1"/>
        <v>0.61689029030103026</v>
      </c>
      <c r="O4262" s="2">
        <f ca="1"/>
        <v>-0.35065512246381036</v>
      </c>
      <c r="X4262" s="2">
        <f ca="1"/>
        <v>62.489995647128055</v>
      </c>
      <c r="AG4262" s="2">
        <f ca="1"/>
        <v>0.62662752807045274</v>
      </c>
      <c r="AH4262" s="2" t="str">
        <f ca="1"/>
        <v>Bad</v>
      </c>
    </row>
    <row r="4263" spans="2:34" x14ac:dyDescent="0.2">
      <c r="B4263" s="2">
        <f ca="1"/>
        <v>0.60835840729806478</v>
      </c>
      <c r="O4263" s="2">
        <f ca="1"/>
        <v>-0.7971159950924579</v>
      </c>
      <c r="X4263" s="2">
        <f ca="1"/>
        <v>72.104125055299136</v>
      </c>
      <c r="AG4263" s="2">
        <f ca="1"/>
        <v>0.22638499081461916</v>
      </c>
      <c r="AH4263" s="2" t="str">
        <f ca="1"/>
        <v>OK</v>
      </c>
    </row>
    <row r="4264" spans="2:34" x14ac:dyDescent="0.2">
      <c r="B4264" s="2">
        <f ca="1"/>
        <v>0.67627551867981395</v>
      </c>
      <c r="O4264" s="2">
        <f ca="1"/>
        <v>-0.73544022387344843</v>
      </c>
      <c r="X4264" s="2">
        <f ca="1"/>
        <v>67.252513212462205</v>
      </c>
      <c r="AG4264" s="2">
        <f ca="1"/>
        <v>0.59766429747462979</v>
      </c>
      <c r="AH4264" s="2" t="str">
        <f ca="1"/>
        <v>Bad</v>
      </c>
    </row>
    <row r="4265" spans="2:34" x14ac:dyDescent="0.2">
      <c r="B4265" s="2">
        <f ca="1"/>
        <v>0.25838370788101872</v>
      </c>
      <c r="O4265" s="2">
        <f ca="1"/>
        <v>-1.2864651352985927</v>
      </c>
      <c r="X4265" s="2">
        <f ca="1"/>
        <v>50.407724013966842</v>
      </c>
      <c r="AG4265" s="2">
        <f ca="1"/>
        <v>0.28602382937615944</v>
      </c>
      <c r="AH4265" s="2" t="str">
        <f ca="1"/>
        <v>OK</v>
      </c>
    </row>
    <row r="4266" spans="2:34" x14ac:dyDescent="0.2">
      <c r="B4266" s="2">
        <f ca="1"/>
        <v>0.85533585557791514</v>
      </c>
      <c r="O4266" s="2">
        <f ca="1"/>
        <v>0.77436953228625349</v>
      </c>
      <c r="X4266" s="2">
        <f ca="1"/>
        <v>34.02183037767314</v>
      </c>
      <c r="AG4266" s="2">
        <f ca="1"/>
        <v>0.5364796516748005</v>
      </c>
      <c r="AH4266" s="2" t="str">
        <f ca="1"/>
        <v>Bad</v>
      </c>
    </row>
    <row r="4267" spans="2:34" x14ac:dyDescent="0.2">
      <c r="B4267" s="2">
        <f ca="1"/>
        <v>0.4821110480520574</v>
      </c>
      <c r="O4267" s="2">
        <f ca="1"/>
        <v>-0.33677820270945452</v>
      </c>
      <c r="X4267" s="2">
        <f ca="1"/>
        <v>41.143912067621173</v>
      </c>
      <c r="AG4267" s="2">
        <f ca="1"/>
        <v>0.24056116919826165</v>
      </c>
      <c r="AH4267" s="2" t="str">
        <f ca="1"/>
        <v>OK</v>
      </c>
    </row>
    <row r="4268" spans="2:34" x14ac:dyDescent="0.2">
      <c r="B4268" s="2">
        <f ca="1"/>
        <v>0.15978203022571003</v>
      </c>
      <c r="O4268" s="2">
        <f ca="1"/>
        <v>1.148267833087951</v>
      </c>
      <c r="X4268" s="2">
        <f ca="1"/>
        <v>52.189745510571186</v>
      </c>
      <c r="AG4268" s="2">
        <f ca="1"/>
        <v>0.86924462556496573</v>
      </c>
      <c r="AH4268" s="2" t="str">
        <f ca="1"/>
        <v>Bad</v>
      </c>
    </row>
    <row r="4269" spans="2:34" x14ac:dyDescent="0.2">
      <c r="B4269" s="2">
        <f ca="1"/>
        <v>0.93777589612277756</v>
      </c>
      <c r="O4269" s="2">
        <f ca="1"/>
        <v>-9.8166318647756046E-3</v>
      </c>
      <c r="X4269" s="2">
        <f ca="1"/>
        <v>65.234955721873234</v>
      </c>
      <c r="AG4269" s="2">
        <f ca="1"/>
        <v>1.3114468269507018E-2</v>
      </c>
      <c r="AH4269" s="2" t="str">
        <f ca="1"/>
        <v>Good</v>
      </c>
    </row>
    <row r="4270" spans="2:34" x14ac:dyDescent="0.2">
      <c r="B4270" s="2">
        <f ca="1"/>
        <v>0.22429989961519237</v>
      </c>
      <c r="O4270" s="2">
        <f ca="1"/>
        <v>-5.4066727550312069E-2</v>
      </c>
      <c r="X4270" s="2">
        <f ca="1"/>
        <v>31.188393165035727</v>
      </c>
      <c r="AG4270" s="2">
        <f ca="1"/>
        <v>0.96269321228536286</v>
      </c>
      <c r="AH4270" s="2" t="str">
        <f ca="1"/>
        <v>Bad</v>
      </c>
    </row>
    <row r="4271" spans="2:34" x14ac:dyDescent="0.2">
      <c r="B4271" s="2">
        <f ca="1"/>
        <v>6.7489088748366122E-2</v>
      </c>
      <c r="O4271" s="2">
        <f ca="1"/>
        <v>1.3157783875787969</v>
      </c>
      <c r="X4271" s="2">
        <f ca="1"/>
        <v>49.491731306735367</v>
      </c>
      <c r="AG4271" s="2">
        <f ca="1"/>
        <v>0.63087186487495961</v>
      </c>
      <c r="AH4271" s="2" t="str">
        <f ca="1"/>
        <v>Bad</v>
      </c>
    </row>
    <row r="4272" spans="2:34" x14ac:dyDescent="0.2">
      <c r="B4272" s="2">
        <f ca="1"/>
        <v>0.84377678625079144</v>
      </c>
      <c r="O4272" s="2">
        <f ca="1"/>
        <v>-1.3602177828396538</v>
      </c>
      <c r="X4272" s="2">
        <f ca="1"/>
        <v>68.533366439946974</v>
      </c>
      <c r="AG4272" s="2">
        <f ca="1"/>
        <v>0.44844302672538494</v>
      </c>
      <c r="AH4272" s="2" t="str">
        <f ca="1"/>
        <v>Bad</v>
      </c>
    </row>
    <row r="4273" spans="2:34" x14ac:dyDescent="0.2">
      <c r="B4273" s="2">
        <f ca="1"/>
        <v>0.6427603376548956</v>
      </c>
      <c r="O4273" s="2">
        <f ca="1"/>
        <v>0.28071068797485588</v>
      </c>
      <c r="X4273" s="2">
        <f ca="1"/>
        <v>74.91811254943751</v>
      </c>
      <c r="AG4273" s="2">
        <f ca="1"/>
        <v>1.3656721348472622E-2</v>
      </c>
      <c r="AH4273" s="2" t="str">
        <f ca="1"/>
        <v>Good</v>
      </c>
    </row>
    <row r="4274" spans="2:34" x14ac:dyDescent="0.2">
      <c r="B4274" s="2">
        <f ca="1"/>
        <v>0.36006629019930636</v>
      </c>
      <c r="O4274" s="2">
        <f ca="1"/>
        <v>0.77083806016394729</v>
      </c>
      <c r="X4274" s="2">
        <f ca="1"/>
        <v>34.67999459177318</v>
      </c>
      <c r="AG4274" s="2">
        <f ca="1"/>
        <v>0.21608592999787546</v>
      </c>
      <c r="AH4274" s="2" t="str">
        <f ca="1"/>
        <v>OK</v>
      </c>
    </row>
    <row r="4275" spans="2:34" x14ac:dyDescent="0.2">
      <c r="B4275" s="2">
        <f ca="1"/>
        <v>0.63406906669349827</v>
      </c>
      <c r="O4275" s="2">
        <f ca="1"/>
        <v>-1.0803092955098423</v>
      </c>
      <c r="X4275" s="2">
        <f ca="1"/>
        <v>69.69771331480014</v>
      </c>
      <c r="AG4275" s="2">
        <f ca="1"/>
        <v>0.95363223977183376</v>
      </c>
      <c r="AH4275" s="2" t="str">
        <f ca="1"/>
        <v>Bad</v>
      </c>
    </row>
    <row r="4276" spans="2:34" x14ac:dyDescent="0.2">
      <c r="B4276" s="2">
        <f ca="1"/>
        <v>0.30689231149830842</v>
      </c>
      <c r="O4276" s="2">
        <f ca="1"/>
        <v>-1.4875277961406903</v>
      </c>
      <c r="X4276" s="2">
        <f ca="1"/>
        <v>39.753765332595343</v>
      </c>
      <c r="AG4276" s="2">
        <f ca="1"/>
        <v>0.97001295164528023</v>
      </c>
      <c r="AH4276" s="2" t="str">
        <f ca="1"/>
        <v>Bad</v>
      </c>
    </row>
    <row r="4277" spans="2:34" x14ac:dyDescent="0.2">
      <c r="B4277" s="2">
        <f ca="1"/>
        <v>0.15595564919653215</v>
      </c>
      <c r="O4277" s="2">
        <f ca="1"/>
        <v>-0.32016862846877908</v>
      </c>
      <c r="X4277" s="2">
        <f ca="1"/>
        <v>34.537548347357117</v>
      </c>
      <c r="AG4277" s="2">
        <f ca="1"/>
        <v>0.74580127836848153</v>
      </c>
      <c r="AH4277" s="2" t="str">
        <f ca="1"/>
        <v>Bad</v>
      </c>
    </row>
    <row r="4278" spans="2:34" x14ac:dyDescent="0.2">
      <c r="B4278" s="2">
        <f ca="1"/>
        <v>0.73412234368893592</v>
      </c>
      <c r="O4278" s="2">
        <f ca="1"/>
        <v>1.0196525869577975</v>
      </c>
      <c r="X4278" s="2">
        <f ca="1"/>
        <v>79.097360745680177</v>
      </c>
      <c r="AG4278" s="2">
        <f ca="1"/>
        <v>0.16910546792816517</v>
      </c>
      <c r="AH4278" s="2" t="str">
        <f ca="1"/>
        <v>OK</v>
      </c>
    </row>
    <row r="4279" spans="2:34" x14ac:dyDescent="0.2">
      <c r="B4279" s="2">
        <f ca="1"/>
        <v>0.59800504667283971</v>
      </c>
      <c r="O4279" s="2">
        <f ca="1"/>
        <v>3.186619947459738E-2</v>
      </c>
      <c r="X4279" s="2">
        <f ca="1"/>
        <v>66.269204642182075</v>
      </c>
      <c r="AG4279" s="2">
        <f ca="1"/>
        <v>0.51287826814640147</v>
      </c>
      <c r="AH4279" s="2" t="str">
        <f ca="1"/>
        <v>Bad</v>
      </c>
    </row>
    <row r="4280" spans="2:34" x14ac:dyDescent="0.2">
      <c r="B4280" s="2">
        <f ca="1"/>
        <v>0.5991779366708665</v>
      </c>
      <c r="O4280" s="2">
        <f ca="1"/>
        <v>-1.0577049894824317</v>
      </c>
      <c r="X4280" s="2">
        <f ca="1"/>
        <v>44.592586074390333</v>
      </c>
      <c r="AG4280" s="2">
        <f ca="1"/>
        <v>0.9177736409645818</v>
      </c>
      <c r="AH4280" s="2" t="str">
        <f ca="1"/>
        <v>Bad</v>
      </c>
    </row>
    <row r="4281" spans="2:34" x14ac:dyDescent="0.2">
      <c r="B4281" s="2">
        <f ca="1"/>
        <v>0.69374793899958065</v>
      </c>
      <c r="O4281" s="2">
        <f ca="1"/>
        <v>-1.8462535646272638</v>
      </c>
      <c r="X4281" s="2">
        <f ca="1"/>
        <v>57.220257479777331</v>
      </c>
      <c r="AG4281" s="2">
        <f ca="1"/>
        <v>0.86373617337850428</v>
      </c>
      <c r="AH4281" s="2" t="str">
        <f ca="1"/>
        <v>Bad</v>
      </c>
    </row>
    <row r="4282" spans="2:34" x14ac:dyDescent="0.2">
      <c r="B4282" s="2">
        <f ca="1"/>
        <v>0.30211574943816322</v>
      </c>
      <c r="O4282" s="2">
        <f ca="1"/>
        <v>0.40464054441194441</v>
      </c>
      <c r="X4282" s="2">
        <f ca="1"/>
        <v>53.132984175946461</v>
      </c>
      <c r="AG4282" s="2">
        <f ca="1"/>
        <v>7.581900823159704E-2</v>
      </c>
      <c r="AH4282" s="2" t="str">
        <f ca="1"/>
        <v>OK</v>
      </c>
    </row>
    <row r="4283" spans="2:34" x14ac:dyDescent="0.2">
      <c r="B4283" s="2">
        <f ca="1"/>
        <v>0.5908128348633086</v>
      </c>
      <c r="O4283" s="2">
        <f ca="1"/>
        <v>0.73379109788191343</v>
      </c>
      <c r="X4283" s="2">
        <f ca="1"/>
        <v>29.899227618486677</v>
      </c>
      <c r="AG4283" s="2">
        <f ca="1"/>
        <v>0.17635221512726851</v>
      </c>
      <c r="AH4283" s="2" t="str">
        <f ca="1"/>
        <v>OK</v>
      </c>
    </row>
    <row r="4284" spans="2:34" x14ac:dyDescent="0.2">
      <c r="B4284" s="2">
        <f ca="1"/>
        <v>0.13274735430560169</v>
      </c>
      <c r="O4284" s="2">
        <f ca="1"/>
        <v>0.39407550595877372</v>
      </c>
      <c r="X4284" s="2">
        <f ca="1"/>
        <v>37.317509334121326</v>
      </c>
      <c r="AG4284" s="2">
        <f ca="1"/>
        <v>0.16572129681918391</v>
      </c>
      <c r="AH4284" s="2" t="str">
        <f ca="1"/>
        <v>OK</v>
      </c>
    </row>
    <row r="4285" spans="2:34" x14ac:dyDescent="0.2">
      <c r="B4285" s="2">
        <f ca="1"/>
        <v>0.68898360140332127</v>
      </c>
      <c r="O4285" s="2">
        <f ca="1"/>
        <v>-1.2665356774199921</v>
      </c>
      <c r="X4285" s="2">
        <f ca="1"/>
        <v>57.053087692609132</v>
      </c>
      <c r="AG4285" s="2">
        <f ca="1"/>
        <v>0.56584824797263655</v>
      </c>
      <c r="AH4285" s="2" t="str">
        <f ca="1"/>
        <v>Bad</v>
      </c>
    </row>
    <row r="4286" spans="2:34" x14ac:dyDescent="0.2">
      <c r="B4286" s="2">
        <f ca="1"/>
        <v>0.43014466765577053</v>
      </c>
      <c r="O4286" s="2">
        <f ca="1"/>
        <v>-0.4351089682661729</v>
      </c>
      <c r="X4286" s="2">
        <f ca="1"/>
        <v>58.442891464477157</v>
      </c>
      <c r="AG4286" s="2">
        <f ca="1"/>
        <v>0.18566619314358612</v>
      </c>
      <c r="AH4286" s="2" t="str">
        <f ca="1"/>
        <v>OK</v>
      </c>
    </row>
    <row r="4287" spans="2:34" x14ac:dyDescent="0.2">
      <c r="B4287" s="2">
        <f ca="1"/>
        <v>0.87025530686375774</v>
      </c>
      <c r="O4287" s="2">
        <f ca="1"/>
        <v>1.1267781859211967</v>
      </c>
      <c r="X4287" s="2">
        <f ca="1"/>
        <v>35.956497172481974</v>
      </c>
      <c r="AG4287" s="2">
        <f ca="1"/>
        <v>0.92908425218721402</v>
      </c>
      <c r="AH4287" s="2" t="str">
        <f ca="1"/>
        <v>Bad</v>
      </c>
    </row>
    <row r="4288" spans="2:34" x14ac:dyDescent="0.2">
      <c r="B4288" s="2">
        <f ca="1"/>
        <v>0.71747683779555893</v>
      </c>
      <c r="O4288" s="2">
        <f ca="1"/>
        <v>1.0763895284230283</v>
      </c>
      <c r="X4288" s="2">
        <f ca="1"/>
        <v>50.462786035213924</v>
      </c>
      <c r="AG4288" s="2">
        <f ca="1"/>
        <v>0.35416576445622616</v>
      </c>
      <c r="AH4288" s="2" t="str">
        <f ca="1"/>
        <v>OK</v>
      </c>
    </row>
    <row r="4289" spans="2:34" x14ac:dyDescent="0.2">
      <c r="B4289" s="2">
        <f ca="1"/>
        <v>0.18897620074811439</v>
      </c>
      <c r="O4289" s="2">
        <f ca="1"/>
        <v>0.87048814440971956</v>
      </c>
      <c r="X4289" s="2">
        <f ca="1"/>
        <v>59.121240437994174</v>
      </c>
      <c r="AG4289" s="2">
        <f ca="1"/>
        <v>0.64093261082757147</v>
      </c>
      <c r="AH4289" s="2" t="str">
        <f ca="1"/>
        <v>Bad</v>
      </c>
    </row>
    <row r="4290" spans="2:34" x14ac:dyDescent="0.2">
      <c r="B4290" s="2">
        <f ca="1"/>
        <v>7.2017663631678275E-3</v>
      </c>
      <c r="O4290" s="2">
        <f ca="1"/>
        <v>1.2603414907567088</v>
      </c>
      <c r="X4290" s="2">
        <f ca="1"/>
        <v>25.567427429249566</v>
      </c>
      <c r="AG4290" s="2">
        <f ca="1"/>
        <v>0.6179990025330151</v>
      </c>
      <c r="AH4290" s="2" t="str">
        <f ca="1"/>
        <v>Bad</v>
      </c>
    </row>
    <row r="4291" spans="2:34" x14ac:dyDescent="0.2">
      <c r="B4291" s="2">
        <f ca="1"/>
        <v>0.36423946769096571</v>
      </c>
      <c r="O4291" s="2">
        <f ca="1"/>
        <v>0.61769592751930158</v>
      </c>
      <c r="X4291" s="2">
        <f ca="1"/>
        <v>18.714585633374149</v>
      </c>
      <c r="AG4291" s="2">
        <f ca="1"/>
        <v>0.86751686329387145</v>
      </c>
      <c r="AH4291" s="2" t="str">
        <f ca="1"/>
        <v>Bad</v>
      </c>
    </row>
    <row r="4292" spans="2:34" x14ac:dyDescent="0.2">
      <c r="B4292" s="2">
        <f ca="1"/>
        <v>0.89498496760879087</v>
      </c>
      <c r="O4292" s="2">
        <f ca="1"/>
        <v>-1.0816929923024386E-2</v>
      </c>
      <c r="X4292" s="2">
        <f ca="1"/>
        <v>31.418623414161214</v>
      </c>
      <c r="AG4292" s="2">
        <f ca="1"/>
        <v>1.7136815143406592E-2</v>
      </c>
      <c r="AH4292" s="2" t="str">
        <f ca="1"/>
        <v>Good</v>
      </c>
    </row>
    <row r="4293" spans="2:34" x14ac:dyDescent="0.2">
      <c r="B4293" s="2">
        <f ca="1"/>
        <v>0.23598452257667502</v>
      </c>
      <c r="O4293" s="2">
        <f ca="1"/>
        <v>0.961668984632437</v>
      </c>
      <c r="X4293" s="2">
        <f ca="1"/>
        <v>64.524218381752547</v>
      </c>
      <c r="AG4293" s="2">
        <f ca="1"/>
        <v>0.38554358967782654</v>
      </c>
      <c r="AH4293" s="2" t="str">
        <f ca="1"/>
        <v>OK</v>
      </c>
    </row>
    <row r="4294" spans="2:34" x14ac:dyDescent="0.2">
      <c r="B4294" s="2">
        <f ca="1"/>
        <v>0.27665808426271465</v>
      </c>
      <c r="O4294" s="2">
        <f ca="1"/>
        <v>0.22629965255627557</v>
      </c>
      <c r="X4294" s="2">
        <f ca="1"/>
        <v>46.634887695847674</v>
      </c>
      <c r="AG4294" s="2">
        <f ca="1"/>
        <v>0.67573464135814998</v>
      </c>
      <c r="AH4294" s="2" t="str">
        <f ca="1"/>
        <v>Bad</v>
      </c>
    </row>
    <row r="4295" spans="2:34" x14ac:dyDescent="0.2">
      <c r="B4295" s="2">
        <f ca="1"/>
        <v>0.9205997923523157</v>
      </c>
      <c r="O4295" s="2">
        <f ca="1"/>
        <v>0.9110657638912858</v>
      </c>
      <c r="X4295" s="2">
        <f ca="1"/>
        <v>62.702967792969019</v>
      </c>
      <c r="AG4295" s="2">
        <f ca="1"/>
        <v>0.71777742996063543</v>
      </c>
      <c r="AH4295" s="2" t="str">
        <f ca="1"/>
        <v>Bad</v>
      </c>
    </row>
    <row r="4296" spans="2:34" x14ac:dyDescent="0.2">
      <c r="B4296" s="2">
        <f ca="1"/>
        <v>2.5777287833707918E-2</v>
      </c>
      <c r="O4296" s="2">
        <f ca="1"/>
        <v>-0.66357655471385557</v>
      </c>
      <c r="X4296" s="2">
        <f ca="1"/>
        <v>48.272078466061458</v>
      </c>
      <c r="AG4296" s="2">
        <f ca="1"/>
        <v>0.42986264585930489</v>
      </c>
      <c r="AH4296" s="2" t="str">
        <f ca="1"/>
        <v>Bad</v>
      </c>
    </row>
    <row r="4297" spans="2:34" x14ac:dyDescent="0.2">
      <c r="B4297" s="2">
        <f ca="1"/>
        <v>0.37809971092234651</v>
      </c>
      <c r="O4297" s="2">
        <f ca="1"/>
        <v>-1.9302517386430036</v>
      </c>
      <c r="X4297" s="2">
        <f ca="1"/>
        <v>26.987285157167769</v>
      </c>
      <c r="AG4297" s="2">
        <f ca="1"/>
        <v>0.80219669642122571</v>
      </c>
      <c r="AH4297" s="2" t="str">
        <f ca="1"/>
        <v>Bad</v>
      </c>
    </row>
    <row r="4298" spans="2:34" x14ac:dyDescent="0.2">
      <c r="B4298" s="2">
        <f ca="1"/>
        <v>0.82139849942441523</v>
      </c>
      <c r="O4298" s="2">
        <f ca="1"/>
        <v>0.14796045188637133</v>
      </c>
      <c r="X4298" s="2">
        <f ca="1"/>
        <v>51.24717921169686</v>
      </c>
      <c r="AG4298" s="2">
        <f ca="1"/>
        <v>0.92287261688960931</v>
      </c>
      <c r="AH4298" s="2" t="str">
        <f ca="1"/>
        <v>Bad</v>
      </c>
    </row>
    <row r="4299" spans="2:34" x14ac:dyDescent="0.2">
      <c r="B4299" s="2">
        <f ca="1"/>
        <v>0.76118826140770834</v>
      </c>
      <c r="O4299" s="2">
        <f ca="1"/>
        <v>0.59063714005334444</v>
      </c>
      <c r="X4299" s="2">
        <f ca="1"/>
        <v>33.671880836962302</v>
      </c>
      <c r="AG4299" s="2">
        <f ca="1"/>
        <v>0.47319882146799874</v>
      </c>
      <c r="AH4299" s="2" t="str">
        <f ca="1"/>
        <v>Bad</v>
      </c>
    </row>
    <row r="4300" spans="2:34" x14ac:dyDescent="0.2">
      <c r="B4300" s="2">
        <f ca="1"/>
        <v>0.57703149548868859</v>
      </c>
      <c r="O4300" s="2">
        <f ca="1"/>
        <v>1.4470192109769684</v>
      </c>
      <c r="X4300" s="2">
        <f ca="1"/>
        <v>50.805608741466905</v>
      </c>
      <c r="AG4300" s="2">
        <f ca="1"/>
        <v>0.53266491031601526</v>
      </c>
      <c r="AH4300" s="2" t="str">
        <f ca="1"/>
        <v>Bad</v>
      </c>
    </row>
    <row r="4301" spans="2:34" x14ac:dyDescent="0.2">
      <c r="B4301" s="2">
        <f ca="1"/>
        <v>0.31384335527970397</v>
      </c>
      <c r="O4301" s="2">
        <f ca="1"/>
        <v>0.16686740715060783</v>
      </c>
      <c r="X4301" s="2">
        <f ca="1"/>
        <v>38.016208144982087</v>
      </c>
      <c r="AG4301" s="2">
        <f ca="1"/>
        <v>0.90446465568875989</v>
      </c>
      <c r="AH4301" s="2" t="str">
        <f ca="1"/>
        <v>Bad</v>
      </c>
    </row>
    <row r="4302" spans="2:34" x14ac:dyDescent="0.2">
      <c r="B4302" s="2">
        <f ca="1"/>
        <v>0.1747135050839741</v>
      </c>
      <c r="O4302" s="2">
        <f ca="1"/>
        <v>-0.30209305037306772</v>
      </c>
      <c r="X4302" s="2">
        <f ca="1"/>
        <v>40.659905288696493</v>
      </c>
      <c r="AG4302" s="2">
        <f ca="1"/>
        <v>0.94884069047149722</v>
      </c>
      <c r="AH4302" s="2" t="str">
        <f ca="1"/>
        <v>Bad</v>
      </c>
    </row>
    <row r="4303" spans="2:34" x14ac:dyDescent="0.2">
      <c r="B4303" s="2">
        <f ca="1"/>
        <v>1.5772345084148043E-2</v>
      </c>
      <c r="O4303" s="2">
        <f ca="1"/>
        <v>1.0606166250186275</v>
      </c>
      <c r="X4303" s="2">
        <f ca="1"/>
        <v>37.659274533552946</v>
      </c>
      <c r="AG4303" s="2">
        <f ca="1"/>
        <v>0.67453016016644973</v>
      </c>
      <c r="AH4303" s="2" t="str">
        <f ca="1"/>
        <v>Bad</v>
      </c>
    </row>
    <row r="4304" spans="2:34" x14ac:dyDescent="0.2">
      <c r="B4304" s="2">
        <f ca="1"/>
        <v>0.90186894641313731</v>
      </c>
      <c r="O4304" s="2">
        <f ca="1"/>
        <v>-1.222806319476079</v>
      </c>
      <c r="X4304" s="2">
        <f ca="1"/>
        <v>39.903235234158075</v>
      </c>
      <c r="AG4304" s="2">
        <f ca="1"/>
        <v>0.84634232996300085</v>
      </c>
      <c r="AH4304" s="2" t="str">
        <f ca="1"/>
        <v>Bad</v>
      </c>
    </row>
    <row r="4305" spans="2:34" x14ac:dyDescent="0.2">
      <c r="B4305" s="2">
        <f ca="1"/>
        <v>0.36130426451779263</v>
      </c>
      <c r="O4305" s="2">
        <f ca="1"/>
        <v>0.42903584940276707</v>
      </c>
      <c r="X4305" s="2">
        <f ca="1"/>
        <v>49.110851908862124</v>
      </c>
      <c r="AG4305" s="2">
        <f ca="1"/>
        <v>0.98893598086738832</v>
      </c>
      <c r="AH4305" s="2" t="str">
        <f ca="1"/>
        <v>Bad</v>
      </c>
    </row>
    <row r="4306" spans="2:34" x14ac:dyDescent="0.2">
      <c r="B4306" s="2">
        <f ca="1"/>
        <v>0.26098842396703814</v>
      </c>
      <c r="O4306" s="2">
        <f ca="1"/>
        <v>-0.7977746376462862</v>
      </c>
      <c r="X4306" s="2">
        <f ca="1"/>
        <v>75.293685666590093</v>
      </c>
      <c r="AG4306" s="2">
        <f ca="1"/>
        <v>0.86920201647981754</v>
      </c>
      <c r="AH4306" s="2" t="str">
        <f ca="1"/>
        <v>Bad</v>
      </c>
    </row>
    <row r="4307" spans="2:34" x14ac:dyDescent="0.2">
      <c r="B4307" s="2">
        <f ca="1"/>
        <v>0.68633732867379926</v>
      </c>
      <c r="O4307" s="2">
        <f ca="1"/>
        <v>-1.877101449320528</v>
      </c>
      <c r="X4307" s="2">
        <f ca="1"/>
        <v>51.235450283296124</v>
      </c>
      <c r="AG4307" s="2">
        <f ca="1"/>
        <v>0.43368299200502025</v>
      </c>
      <c r="AH4307" s="2" t="str">
        <f ca="1"/>
        <v>Bad</v>
      </c>
    </row>
    <row r="4308" spans="2:34" x14ac:dyDescent="0.2">
      <c r="B4308" s="2">
        <f ca="1"/>
        <v>0.75645065868288475</v>
      </c>
      <c r="O4308" s="2">
        <f ca="1"/>
        <v>1.7981144034542909</v>
      </c>
      <c r="X4308" s="2">
        <f ca="1"/>
        <v>70.635046274341647</v>
      </c>
      <c r="AG4308" s="2">
        <f ca="1"/>
        <v>0.36448306822388021</v>
      </c>
      <c r="AH4308" s="2" t="str">
        <f ca="1"/>
        <v>OK</v>
      </c>
    </row>
    <row r="4309" spans="2:34" x14ac:dyDescent="0.2">
      <c r="B4309" s="2">
        <f ca="1"/>
        <v>7.6555426713482255E-2</v>
      </c>
      <c r="O4309" s="2">
        <f ca="1"/>
        <v>-0.50521279514023354</v>
      </c>
      <c r="X4309" s="2">
        <f ca="1"/>
        <v>64.947659928311168</v>
      </c>
      <c r="AG4309" s="2">
        <f ca="1"/>
        <v>0.98023015179732376</v>
      </c>
      <c r="AH4309" s="2" t="str">
        <f ca="1"/>
        <v>Bad</v>
      </c>
    </row>
    <row r="4310" spans="2:34" x14ac:dyDescent="0.2">
      <c r="B4310" s="2">
        <f ca="1"/>
        <v>0.13948216566511529</v>
      </c>
      <c r="O4310" s="2">
        <f ca="1"/>
        <v>-1.0720901737261921</v>
      </c>
      <c r="X4310" s="2">
        <f ca="1"/>
        <v>55.532521378621233</v>
      </c>
      <c r="AG4310" s="2">
        <f ca="1"/>
        <v>9.186094946863399E-3</v>
      </c>
      <c r="AH4310" s="2" t="str">
        <f ca="1"/>
        <v>Good</v>
      </c>
    </row>
    <row r="4311" spans="2:34" x14ac:dyDescent="0.2">
      <c r="B4311" s="2">
        <f ca="1"/>
        <v>0.50013356087030636</v>
      </c>
      <c r="O4311" s="2">
        <f ca="1"/>
        <v>-0.3022876805846525</v>
      </c>
      <c r="X4311" s="2">
        <f ca="1"/>
        <v>61.774761469401554</v>
      </c>
      <c r="AG4311" s="2">
        <f ca="1"/>
        <v>5.9661984653113231E-2</v>
      </c>
      <c r="AH4311" s="2" t="str">
        <f ca="1"/>
        <v>OK</v>
      </c>
    </row>
    <row r="4312" spans="2:34" x14ac:dyDescent="0.2">
      <c r="B4312" s="2">
        <f ca="1"/>
        <v>0.37551510070619365</v>
      </c>
      <c r="O4312" s="2">
        <f ca="1"/>
        <v>-0.15983026279076828</v>
      </c>
      <c r="X4312" s="2">
        <f ca="1"/>
        <v>37.384020803807168</v>
      </c>
      <c r="AG4312" s="2">
        <f ca="1"/>
        <v>0.20708738431240126</v>
      </c>
      <c r="AH4312" s="2" t="str">
        <f ca="1"/>
        <v>OK</v>
      </c>
    </row>
    <row r="4313" spans="2:34" x14ac:dyDescent="0.2">
      <c r="B4313" s="2">
        <f ca="1"/>
        <v>0.86866495296915236</v>
      </c>
      <c r="O4313" s="2">
        <f ca="1"/>
        <v>1.3905877832365896</v>
      </c>
      <c r="X4313" s="2">
        <f ca="1"/>
        <v>60.65965898302818</v>
      </c>
      <c r="AG4313" s="2">
        <f ca="1"/>
        <v>0.14697753794129698</v>
      </c>
      <c r="AH4313" s="2" t="str">
        <f ca="1"/>
        <v>OK</v>
      </c>
    </row>
    <row r="4314" spans="2:34" x14ac:dyDescent="0.2">
      <c r="B4314" s="2">
        <f ca="1"/>
        <v>0.20862439117167231</v>
      </c>
      <c r="O4314" s="2">
        <f ca="1"/>
        <v>0.16865011090827217</v>
      </c>
      <c r="X4314" s="2">
        <f ca="1"/>
        <v>43.101193077732077</v>
      </c>
      <c r="AG4314" s="2">
        <f ca="1"/>
        <v>0.60874546765471638</v>
      </c>
      <c r="AH4314" s="2" t="str">
        <f ca="1"/>
        <v>Bad</v>
      </c>
    </row>
    <row r="4315" spans="2:34" x14ac:dyDescent="0.2">
      <c r="B4315" s="2">
        <f ca="1"/>
        <v>0.72854734458012049</v>
      </c>
      <c r="O4315" s="2">
        <f ca="1"/>
        <v>-0.7869227128070847</v>
      </c>
      <c r="X4315" s="2">
        <f ca="1"/>
        <v>61.842223946481376</v>
      </c>
      <c r="AG4315" s="2">
        <f ca="1"/>
        <v>0.61898357557726436</v>
      </c>
      <c r="AH4315" s="2" t="str">
        <f ca="1"/>
        <v>Bad</v>
      </c>
    </row>
    <row r="4316" spans="2:34" x14ac:dyDescent="0.2">
      <c r="B4316" s="2">
        <f ca="1"/>
        <v>0.65301757456528153</v>
      </c>
      <c r="O4316" s="2">
        <f ca="1"/>
        <v>0.21365177702667856</v>
      </c>
      <c r="X4316" s="2">
        <f ca="1"/>
        <v>36.664669194671319</v>
      </c>
      <c r="AG4316" s="2">
        <f ca="1"/>
        <v>0.78651086856454344</v>
      </c>
      <c r="AH4316" s="2" t="str">
        <f ca="1"/>
        <v>Bad</v>
      </c>
    </row>
    <row r="4317" spans="2:34" x14ac:dyDescent="0.2">
      <c r="B4317" s="2">
        <f ca="1"/>
        <v>0.65074378215923279</v>
      </c>
      <c r="O4317" s="2">
        <f ca="1"/>
        <v>-0.82035452825414201</v>
      </c>
      <c r="X4317" s="2">
        <f ca="1"/>
        <v>33.678729300361297</v>
      </c>
      <c r="AG4317" s="2">
        <f ca="1"/>
        <v>0.89770644730807003</v>
      </c>
      <c r="AH4317" s="2" t="str">
        <f ca="1"/>
        <v>Bad</v>
      </c>
    </row>
    <row r="4318" spans="2:34" x14ac:dyDescent="0.2">
      <c r="B4318" s="2">
        <f ca="1"/>
        <v>0.76604404181182462</v>
      </c>
      <c r="O4318" s="2">
        <f ca="1"/>
        <v>-1.9330481154793335</v>
      </c>
      <c r="X4318" s="2">
        <f ca="1"/>
        <v>32.596226376506962</v>
      </c>
      <c r="AG4318" s="2">
        <f ca="1"/>
        <v>0.16887701193101434</v>
      </c>
      <c r="AH4318" s="2" t="str">
        <f ca="1"/>
        <v>OK</v>
      </c>
    </row>
    <row r="4319" spans="2:34" x14ac:dyDescent="0.2">
      <c r="B4319" s="2">
        <f ca="1"/>
        <v>0.60305356865550919</v>
      </c>
      <c r="O4319" s="2">
        <f ca="1"/>
        <v>0.55567648487122834</v>
      </c>
      <c r="X4319" s="2">
        <f ca="1"/>
        <v>36.005834258009486</v>
      </c>
      <c r="AG4319" s="2">
        <f ca="1"/>
        <v>0.53355703197674398</v>
      </c>
      <c r="AH4319" s="2" t="str">
        <f ca="1"/>
        <v>Bad</v>
      </c>
    </row>
    <row r="4320" spans="2:34" x14ac:dyDescent="0.2">
      <c r="B4320" s="2">
        <f ca="1"/>
        <v>0.65498809634390565</v>
      </c>
      <c r="O4320" s="2">
        <f ca="1"/>
        <v>0.87770230741407473</v>
      </c>
      <c r="X4320" s="2">
        <f ca="1"/>
        <v>38.231731584234318</v>
      </c>
      <c r="AG4320" s="2">
        <f ca="1"/>
        <v>0.58066764678070903</v>
      </c>
      <c r="AH4320" s="2" t="str">
        <f ca="1"/>
        <v>Bad</v>
      </c>
    </row>
    <row r="4321" spans="2:34" x14ac:dyDescent="0.2">
      <c r="B4321" s="2">
        <f ca="1"/>
        <v>0.52547495879454664</v>
      </c>
      <c r="O4321" s="2">
        <f ca="1"/>
        <v>1.6852614310295899</v>
      </c>
      <c r="X4321" s="2">
        <f ca="1"/>
        <v>32.09084658711221</v>
      </c>
      <c r="AG4321" s="2">
        <f ca="1"/>
        <v>0.26132256847053603</v>
      </c>
      <c r="AH4321" s="2" t="str">
        <f ca="1"/>
        <v>OK</v>
      </c>
    </row>
    <row r="4322" spans="2:34" x14ac:dyDescent="0.2">
      <c r="B4322" s="2">
        <f ca="1"/>
        <v>0.61382249715280968</v>
      </c>
      <c r="O4322" s="2">
        <f ca="1"/>
        <v>-1.8134411487630095</v>
      </c>
      <c r="X4322" s="2">
        <f ca="1"/>
        <v>55.171232198274112</v>
      </c>
      <c r="AG4322" s="2">
        <f ca="1"/>
        <v>0.3350765836675158</v>
      </c>
      <c r="AH4322" s="2" t="str">
        <f ca="1"/>
        <v>OK</v>
      </c>
    </row>
    <row r="4323" spans="2:34" x14ac:dyDescent="0.2">
      <c r="B4323" s="2">
        <f ca="1"/>
        <v>0.90005669058061932</v>
      </c>
      <c r="O4323" s="2">
        <f ca="1"/>
        <v>0.67946117728077304</v>
      </c>
      <c r="X4323" s="2">
        <f ca="1"/>
        <v>38.843423212209508</v>
      </c>
      <c r="AG4323" s="2">
        <f ca="1"/>
        <v>1.6028794058916773E-2</v>
      </c>
      <c r="AH4323" s="2" t="str">
        <f ca="1"/>
        <v>Good</v>
      </c>
    </row>
    <row r="4324" spans="2:34" x14ac:dyDescent="0.2">
      <c r="B4324" s="2">
        <f ca="1"/>
        <v>0.81901394459624366</v>
      </c>
      <c r="O4324" s="2">
        <f ca="1"/>
        <v>0.59414414012655514</v>
      </c>
      <c r="X4324" s="2">
        <f ca="1"/>
        <v>35.740709449755244</v>
      </c>
      <c r="AG4324" s="2">
        <f ca="1"/>
        <v>0.55313099427102141</v>
      </c>
      <c r="AH4324" s="2" t="str">
        <f ca="1"/>
        <v>Bad</v>
      </c>
    </row>
    <row r="4325" spans="2:34" x14ac:dyDescent="0.2">
      <c r="B4325" s="2">
        <f ca="1"/>
        <v>0.27022239484038835</v>
      </c>
      <c r="O4325" s="2">
        <f ca="1"/>
        <v>-0.97637947783473411</v>
      </c>
      <c r="X4325" s="2">
        <f ca="1"/>
        <v>35.259613996222271</v>
      </c>
      <c r="AG4325" s="2">
        <f ca="1"/>
        <v>7.3402809864544505E-2</v>
      </c>
      <c r="AH4325" s="2" t="str">
        <f ca="1"/>
        <v>OK</v>
      </c>
    </row>
    <row r="4326" spans="2:34" x14ac:dyDescent="0.2">
      <c r="B4326" s="2">
        <f ca="1"/>
        <v>0.17637486103765432</v>
      </c>
      <c r="O4326" s="2">
        <f ca="1"/>
        <v>1.1617000659095362</v>
      </c>
      <c r="X4326" s="2">
        <f ca="1"/>
        <v>65.429764246649057</v>
      </c>
      <c r="AG4326" s="2">
        <f ca="1"/>
        <v>0.94119722618427892</v>
      </c>
      <c r="AH4326" s="2" t="str">
        <f ca="1"/>
        <v>Bad</v>
      </c>
    </row>
    <row r="4327" spans="2:34" x14ac:dyDescent="0.2">
      <c r="B4327" s="2">
        <f ca="1"/>
        <v>0.78658379970192494</v>
      </c>
      <c r="O4327" s="2">
        <f ca="1"/>
        <v>1.1576359329297572</v>
      </c>
      <c r="X4327" s="2">
        <f ca="1"/>
        <v>46.598046595756031</v>
      </c>
      <c r="AG4327" s="2">
        <f ca="1"/>
        <v>0.26592814943699916</v>
      </c>
      <c r="AH4327" s="2" t="str">
        <f ca="1"/>
        <v>OK</v>
      </c>
    </row>
    <row r="4328" spans="2:34" x14ac:dyDescent="0.2">
      <c r="B4328" s="2">
        <f ca="1"/>
        <v>0.18462340914087028</v>
      </c>
      <c r="O4328" s="2">
        <f ca="1"/>
        <v>-1.8143116370099572</v>
      </c>
      <c r="X4328" s="2">
        <f ca="1"/>
        <v>36.610559779884092</v>
      </c>
      <c r="AG4328" s="2">
        <f ca="1"/>
        <v>0.95391596289594527</v>
      </c>
      <c r="AH4328" s="2" t="str">
        <f ca="1"/>
        <v>Bad</v>
      </c>
    </row>
    <row r="4329" spans="2:34" x14ac:dyDescent="0.2">
      <c r="B4329" s="2">
        <f ca="1"/>
        <v>0.49434633093223068</v>
      </c>
      <c r="O4329" s="2">
        <f ca="1"/>
        <v>0.85828812352504891</v>
      </c>
      <c r="X4329" s="2">
        <f ca="1"/>
        <v>39.894344519165784</v>
      </c>
      <c r="AG4329" s="2">
        <f ca="1"/>
        <v>0.98386550126627692</v>
      </c>
      <c r="AH4329" s="2" t="str">
        <f ca="1"/>
        <v>Bad</v>
      </c>
    </row>
    <row r="4330" spans="2:34" x14ac:dyDescent="0.2">
      <c r="B4330" s="2">
        <f ca="1"/>
        <v>0.96182720186378301</v>
      </c>
      <c r="O4330" s="2">
        <f ca="1"/>
        <v>1.880052892191548</v>
      </c>
      <c r="X4330" s="2">
        <f ca="1"/>
        <v>42.583679419450775</v>
      </c>
      <c r="AG4330" s="2">
        <f ca="1"/>
        <v>0.66865094010700021</v>
      </c>
      <c r="AH4330" s="2" t="str">
        <f ca="1"/>
        <v>Bad</v>
      </c>
    </row>
    <row r="4331" spans="2:34" x14ac:dyDescent="0.2">
      <c r="B4331" s="2">
        <f ca="1"/>
        <v>0.66943596887460055</v>
      </c>
      <c r="O4331" s="2">
        <f ca="1"/>
        <v>-1.0753563268869681</v>
      </c>
      <c r="X4331" s="2">
        <f ca="1"/>
        <v>35.745467975905079</v>
      </c>
      <c r="AG4331" s="2">
        <f ca="1"/>
        <v>0.97857792841022295</v>
      </c>
      <c r="AH4331" s="2" t="str">
        <f ca="1"/>
        <v>Bad</v>
      </c>
    </row>
    <row r="4332" spans="2:34" x14ac:dyDescent="0.2">
      <c r="B4332" s="2">
        <f ca="1"/>
        <v>0.93397213772841936</v>
      </c>
      <c r="O4332" s="2">
        <f ca="1"/>
        <v>-0.3275078326479246</v>
      </c>
      <c r="X4332" s="2">
        <f ca="1"/>
        <v>30.565298033391993</v>
      </c>
      <c r="AG4332" s="2">
        <f ca="1"/>
        <v>0.3370797296436383</v>
      </c>
      <c r="AH4332" s="2" t="str">
        <f ca="1"/>
        <v>OK</v>
      </c>
    </row>
    <row r="4333" spans="2:34" x14ac:dyDescent="0.2">
      <c r="B4333" s="2">
        <f ca="1"/>
        <v>0.83378069715023484</v>
      </c>
      <c r="O4333" s="2">
        <f ca="1"/>
        <v>5.9052501290921537E-2</v>
      </c>
      <c r="X4333" s="2">
        <f ca="1"/>
        <v>78.12888230864138</v>
      </c>
      <c r="AG4333" s="2">
        <f ca="1"/>
        <v>0.63219152759596864</v>
      </c>
      <c r="AH4333" s="2" t="str">
        <f ca="1"/>
        <v>Bad</v>
      </c>
    </row>
    <row r="4334" spans="2:34" x14ac:dyDescent="0.2">
      <c r="B4334" s="2">
        <f ca="1"/>
        <v>0.45695651593095143</v>
      </c>
      <c r="O4334" s="2">
        <f ca="1"/>
        <v>-0.45216152245116825</v>
      </c>
      <c r="X4334" s="2">
        <f ca="1"/>
        <v>55.778233605564125</v>
      </c>
      <c r="AG4334" s="2">
        <f ca="1"/>
        <v>0.26832332563332395</v>
      </c>
      <c r="AH4334" s="2" t="str">
        <f ca="1"/>
        <v>OK</v>
      </c>
    </row>
    <row r="4335" spans="2:34" x14ac:dyDescent="0.2">
      <c r="B4335" s="2">
        <f ca="1"/>
        <v>0.59100149889544196</v>
      </c>
      <c r="O4335" s="2">
        <f ca="1"/>
        <v>-0.4084985234561464</v>
      </c>
      <c r="X4335" s="2">
        <f ca="1"/>
        <v>86.402001137025493</v>
      </c>
      <c r="AG4335" s="2">
        <f ca="1"/>
        <v>0.36255528014685878</v>
      </c>
      <c r="AH4335" s="2" t="str">
        <f ca="1"/>
        <v>OK</v>
      </c>
    </row>
    <row r="4336" spans="2:34" x14ac:dyDescent="0.2">
      <c r="B4336" s="2">
        <f ca="1"/>
        <v>0.29264512302725953</v>
      </c>
      <c r="O4336" s="2">
        <f ca="1"/>
        <v>1.5798937442887808</v>
      </c>
      <c r="X4336" s="2">
        <f ca="1"/>
        <v>60.894836653280848</v>
      </c>
      <c r="AG4336" s="2">
        <f ca="1"/>
        <v>0.29646324256273604</v>
      </c>
      <c r="AH4336" s="2" t="str">
        <f ca="1"/>
        <v>OK</v>
      </c>
    </row>
    <row r="4337" spans="2:34" x14ac:dyDescent="0.2">
      <c r="B4337" s="2">
        <f ca="1"/>
        <v>0.8087256993890346</v>
      </c>
      <c r="O4337" s="2">
        <f ca="1"/>
        <v>1.1123823300334648</v>
      </c>
      <c r="X4337" s="2">
        <f ca="1"/>
        <v>38.174228694763521</v>
      </c>
      <c r="AG4337" s="2">
        <f ca="1"/>
        <v>0.84638755351259998</v>
      </c>
      <c r="AH4337" s="2" t="str">
        <f ca="1"/>
        <v>Bad</v>
      </c>
    </row>
    <row r="4338" spans="2:34" x14ac:dyDescent="0.2">
      <c r="B4338" s="2">
        <f ca="1"/>
        <v>0.10526026726995186</v>
      </c>
      <c r="O4338" s="2">
        <f ca="1"/>
        <v>-0.48887188444666552</v>
      </c>
      <c r="X4338" s="2">
        <f ca="1"/>
        <v>59.822434000484051</v>
      </c>
      <c r="AG4338" s="2">
        <f ca="1"/>
        <v>0.12677497985613018</v>
      </c>
      <c r="AH4338" s="2" t="str">
        <f ca="1"/>
        <v>OK</v>
      </c>
    </row>
    <row r="4339" spans="2:34" x14ac:dyDescent="0.2">
      <c r="B4339" s="2">
        <f ca="1"/>
        <v>0.75065372278500675</v>
      </c>
      <c r="O4339" s="2">
        <f ca="1"/>
        <v>-0.56586374579745058</v>
      </c>
      <c r="X4339" s="2">
        <f ca="1"/>
        <v>76.384598326576338</v>
      </c>
      <c r="AG4339" s="2">
        <f ca="1"/>
        <v>0.94933612677542478</v>
      </c>
      <c r="AH4339" s="2" t="str">
        <f ca="1"/>
        <v>Bad</v>
      </c>
    </row>
    <row r="4340" spans="2:34" x14ac:dyDescent="0.2">
      <c r="B4340" s="2">
        <f ca="1"/>
        <v>0.52972798196804116</v>
      </c>
      <c r="O4340" s="2">
        <f ca="1"/>
        <v>-0.29413333888436571</v>
      </c>
      <c r="X4340" s="2">
        <f ca="1"/>
        <v>29.852736282302736</v>
      </c>
      <c r="AG4340" s="2">
        <f ca="1"/>
        <v>0.8206360266498669</v>
      </c>
      <c r="AH4340" s="2" t="str">
        <f ca="1"/>
        <v>Bad</v>
      </c>
    </row>
    <row r="4341" spans="2:34" x14ac:dyDescent="0.2">
      <c r="B4341" s="2">
        <f ca="1"/>
        <v>0.78428856780957612</v>
      </c>
      <c r="O4341" s="2">
        <f ca="1"/>
        <v>-0.3313098164091508</v>
      </c>
      <c r="X4341" s="2">
        <f ca="1"/>
        <v>52.393443799231854</v>
      </c>
      <c r="AG4341" s="2">
        <f ca="1"/>
        <v>0.47988891934243738</v>
      </c>
      <c r="AH4341" s="2" t="str">
        <f ca="1"/>
        <v>Bad</v>
      </c>
    </row>
    <row r="4342" spans="2:34" x14ac:dyDescent="0.2">
      <c r="B4342" s="2">
        <f ca="1"/>
        <v>0.36281378742944148</v>
      </c>
      <c r="O4342" s="2">
        <f ca="1"/>
        <v>-0.4728117262744243</v>
      </c>
      <c r="X4342" s="2">
        <f ca="1"/>
        <v>36.871842744090422</v>
      </c>
      <c r="AG4342" s="2">
        <f ca="1"/>
        <v>0.6560506469305234</v>
      </c>
      <c r="AH4342" s="2" t="str">
        <f ca="1"/>
        <v>Bad</v>
      </c>
    </row>
    <row r="4343" spans="2:34" x14ac:dyDescent="0.2">
      <c r="B4343" s="2">
        <f ca="1"/>
        <v>0.27043611248642185</v>
      </c>
      <c r="O4343" s="2">
        <f ca="1"/>
        <v>0.38026846194265207</v>
      </c>
      <c r="X4343" s="2">
        <f ca="1"/>
        <v>54.001840191436187</v>
      </c>
      <c r="AG4343" s="2">
        <f ca="1"/>
        <v>0.78123454165942996</v>
      </c>
      <c r="AH4343" s="2" t="str">
        <f ca="1"/>
        <v>Bad</v>
      </c>
    </row>
    <row r="4344" spans="2:34" x14ac:dyDescent="0.2">
      <c r="B4344" s="2">
        <f ca="1"/>
        <v>0.71574457432209138</v>
      </c>
      <c r="O4344" s="2">
        <f ca="1"/>
        <v>0.53605315959902233</v>
      </c>
      <c r="X4344" s="2">
        <f ca="1"/>
        <v>76.437651837054361</v>
      </c>
      <c r="AG4344" s="2">
        <f ca="1"/>
        <v>0.5742596057485061</v>
      </c>
      <c r="AH4344" s="2" t="str">
        <f ca="1"/>
        <v>Bad</v>
      </c>
    </row>
    <row r="4345" spans="2:34" x14ac:dyDescent="0.2">
      <c r="B4345" s="2">
        <f ca="1"/>
        <v>0.75672215704277113</v>
      </c>
      <c r="O4345" s="2">
        <f ca="1"/>
        <v>-0.26156508555697694</v>
      </c>
      <c r="X4345" s="2">
        <f ca="1"/>
        <v>51.57076807702402</v>
      </c>
      <c r="AG4345" s="2">
        <f ca="1"/>
        <v>0.49043592300368433</v>
      </c>
      <c r="AH4345" s="2" t="str">
        <f ca="1"/>
        <v>Bad</v>
      </c>
    </row>
    <row r="4346" spans="2:34" x14ac:dyDescent="0.2">
      <c r="B4346" s="2">
        <f ca="1"/>
        <v>0.80348416636120068</v>
      </c>
      <c r="O4346" s="2">
        <f ca="1"/>
        <v>-0.38121283895034591</v>
      </c>
      <c r="X4346" s="2">
        <f ca="1"/>
        <v>37.696192684660502</v>
      </c>
      <c r="AG4346" s="2">
        <f ca="1"/>
        <v>0.23445370332924531</v>
      </c>
      <c r="AH4346" s="2" t="str">
        <f ca="1"/>
        <v>OK</v>
      </c>
    </row>
    <row r="4347" spans="2:34" x14ac:dyDescent="0.2">
      <c r="B4347" s="2">
        <f ca="1"/>
        <v>4.770149945143376E-2</v>
      </c>
      <c r="O4347" s="2">
        <f ca="1"/>
        <v>0.6663692415127459</v>
      </c>
      <c r="X4347" s="2">
        <f ca="1"/>
        <v>66.03861488308462</v>
      </c>
      <c r="AG4347" s="2">
        <f ca="1"/>
        <v>0.70548258065269742</v>
      </c>
      <c r="AH4347" s="2" t="str">
        <f ca="1"/>
        <v>Bad</v>
      </c>
    </row>
    <row r="4348" spans="2:34" x14ac:dyDescent="0.2">
      <c r="B4348" s="2">
        <f ca="1"/>
        <v>0.77309716540676221</v>
      </c>
      <c r="O4348" s="2">
        <f ca="1"/>
        <v>0.21931568705672866</v>
      </c>
      <c r="X4348" s="2">
        <f ca="1"/>
        <v>54.443003333407418</v>
      </c>
      <c r="AG4348" s="2">
        <f ca="1"/>
        <v>7.9960887977488238E-2</v>
      </c>
      <c r="AH4348" s="2" t="str">
        <f ca="1"/>
        <v>OK</v>
      </c>
    </row>
    <row r="4349" spans="2:34" x14ac:dyDescent="0.2">
      <c r="B4349" s="2">
        <f ca="1"/>
        <v>8.9882484696671261E-2</v>
      </c>
      <c r="O4349" s="2">
        <f ca="1"/>
        <v>-0.76377722023485706</v>
      </c>
      <c r="X4349" s="2">
        <f ca="1"/>
        <v>60.214270217638024</v>
      </c>
      <c r="AG4349" s="2">
        <f ca="1"/>
        <v>0.62905157105445397</v>
      </c>
      <c r="AH4349" s="2" t="str">
        <f ca="1"/>
        <v>Bad</v>
      </c>
    </row>
    <row r="4350" spans="2:34" x14ac:dyDescent="0.2">
      <c r="B4350" s="2">
        <f ca="1"/>
        <v>0.22782272627330413</v>
      </c>
      <c r="O4350" s="2">
        <f ca="1"/>
        <v>0.2561192709707556</v>
      </c>
      <c r="X4350" s="2">
        <f ca="1"/>
        <v>50.454441724122603</v>
      </c>
      <c r="AG4350" s="2">
        <f ca="1"/>
        <v>0.38415746024579511</v>
      </c>
      <c r="AH4350" s="2" t="str">
        <f ca="1"/>
        <v>OK</v>
      </c>
    </row>
    <row r="4351" spans="2:34" x14ac:dyDescent="0.2">
      <c r="B4351" s="2">
        <f ca="1"/>
        <v>0.69391487764815762</v>
      </c>
      <c r="O4351" s="2">
        <f ca="1"/>
        <v>1.3506375687311289</v>
      </c>
      <c r="X4351" s="2">
        <f ca="1"/>
        <v>39.090516239580239</v>
      </c>
      <c r="AG4351" s="2">
        <f ca="1"/>
        <v>0.45783416868360316</v>
      </c>
      <c r="AH4351" s="2" t="str">
        <f ca="1"/>
        <v>Bad</v>
      </c>
    </row>
    <row r="4352" spans="2:34" x14ac:dyDescent="0.2">
      <c r="B4352" s="2">
        <f ca="1"/>
        <v>0.63295096934435136</v>
      </c>
      <c r="O4352" s="2">
        <f ca="1"/>
        <v>0.73986027346199779</v>
      </c>
      <c r="X4352" s="2">
        <f ca="1"/>
        <v>59.359789124701138</v>
      </c>
      <c r="AG4352" s="2">
        <f ca="1"/>
        <v>0.11570653835895706</v>
      </c>
      <c r="AH4352" s="2" t="str">
        <f ca="1"/>
        <v>OK</v>
      </c>
    </row>
    <row r="4353" spans="2:34" x14ac:dyDescent="0.2">
      <c r="B4353" s="2">
        <f ca="1"/>
        <v>0.7349631965353105</v>
      </c>
      <c r="O4353" s="2">
        <f ca="1"/>
        <v>0.76019248535700823</v>
      </c>
      <c r="X4353" s="2">
        <f ca="1"/>
        <v>66.282727808130886</v>
      </c>
      <c r="AG4353" s="2">
        <f ca="1"/>
        <v>0.53697129125609555</v>
      </c>
      <c r="AH4353" s="2" t="str">
        <f ca="1"/>
        <v>Bad</v>
      </c>
    </row>
    <row r="4354" spans="2:34" x14ac:dyDescent="0.2">
      <c r="B4354" s="2">
        <f ca="1"/>
        <v>0.63047336420589994</v>
      </c>
      <c r="O4354" s="2">
        <f ca="1"/>
        <v>-0.70823629815971101</v>
      </c>
      <c r="X4354" s="2">
        <f ca="1"/>
        <v>54.80431883275827</v>
      </c>
      <c r="AG4354" s="2">
        <f ca="1"/>
        <v>0.88878232884616493</v>
      </c>
      <c r="AH4354" s="2" t="str">
        <f ca="1"/>
        <v>Bad</v>
      </c>
    </row>
    <row r="4355" spans="2:34" x14ac:dyDescent="0.2">
      <c r="B4355" s="2">
        <f ca="1"/>
        <v>0.33067763555849172</v>
      </c>
      <c r="O4355" s="2">
        <f ca="1"/>
        <v>0.23223111510959493</v>
      </c>
      <c r="X4355" s="2">
        <f ca="1"/>
        <v>40.391129400085447</v>
      </c>
      <c r="AG4355" s="2">
        <f ca="1"/>
        <v>0.97716738769184053</v>
      </c>
      <c r="AH4355" s="2" t="str">
        <f ca="1"/>
        <v>Bad</v>
      </c>
    </row>
    <row r="4356" spans="2:34" x14ac:dyDescent="0.2">
      <c r="B4356" s="2">
        <f ca="1"/>
        <v>0.87486805970365222</v>
      </c>
      <c r="O4356" s="2">
        <f ca="1"/>
        <v>0.40033497265176027</v>
      </c>
      <c r="X4356" s="2">
        <f ca="1"/>
        <v>62.665986477711201</v>
      </c>
      <c r="AG4356" s="2">
        <f ca="1"/>
        <v>0.31754379601889005</v>
      </c>
      <c r="AH4356" s="2" t="str">
        <f ca="1"/>
        <v>OK</v>
      </c>
    </row>
    <row r="4357" spans="2:34" x14ac:dyDescent="0.2">
      <c r="B4357" s="2">
        <f ca="1"/>
        <v>3.6912636550457734E-2</v>
      </c>
      <c r="O4357" s="2">
        <f ca="1"/>
        <v>-1.8534115595448359</v>
      </c>
      <c r="X4357" s="2">
        <f ca="1"/>
        <v>41.840603452075413</v>
      </c>
      <c r="AG4357" s="2">
        <f ca="1"/>
        <v>0.3075960256055954</v>
      </c>
      <c r="AH4357" s="2" t="str">
        <f ca="1"/>
        <v>OK</v>
      </c>
    </row>
    <row r="4358" spans="2:34" x14ac:dyDescent="0.2">
      <c r="B4358" s="2">
        <f ca="1"/>
        <v>0.44617563358937273</v>
      </c>
      <c r="O4358" s="2">
        <f ca="1"/>
        <v>-1.136144674658075</v>
      </c>
      <c r="X4358" s="2">
        <f ca="1"/>
        <v>35.93328084086955</v>
      </c>
      <c r="AG4358" s="2">
        <f ca="1"/>
        <v>0.62802789240558377</v>
      </c>
      <c r="AH4358" s="2" t="str">
        <f ca="1"/>
        <v>Bad</v>
      </c>
    </row>
    <row r="4359" spans="2:34" x14ac:dyDescent="0.2">
      <c r="B4359" s="2">
        <f ca="1"/>
        <v>8.8871641072187479E-2</v>
      </c>
      <c r="O4359" s="2">
        <f ca="1"/>
        <v>-0.97370355235293649</v>
      </c>
      <c r="X4359" s="2">
        <f ca="1"/>
        <v>35.377972737728584</v>
      </c>
      <c r="AG4359" s="2">
        <f ca="1"/>
        <v>0.60100413449856105</v>
      </c>
      <c r="AH4359" s="2" t="str">
        <f ca="1"/>
        <v>Bad</v>
      </c>
    </row>
    <row r="4360" spans="2:34" x14ac:dyDescent="0.2">
      <c r="B4360" s="2">
        <f ca="1"/>
        <v>0.12193359019931038</v>
      </c>
      <c r="O4360" s="2">
        <f ca="1"/>
        <v>-1.2334009838738258</v>
      </c>
      <c r="X4360" s="2">
        <f ca="1"/>
        <v>44.360624509067151</v>
      </c>
      <c r="AG4360" s="2">
        <f ca="1"/>
        <v>0.57303645732850517</v>
      </c>
      <c r="AH4360" s="2" t="str">
        <f ca="1"/>
        <v>Bad</v>
      </c>
    </row>
    <row r="4361" spans="2:34" x14ac:dyDescent="0.2">
      <c r="B4361" s="2">
        <f ca="1"/>
        <v>0.21571565662725622</v>
      </c>
      <c r="O4361" s="2">
        <f ca="1"/>
        <v>0.54246948491627145</v>
      </c>
      <c r="X4361" s="2">
        <f ca="1"/>
        <v>35.199851742025423</v>
      </c>
      <c r="AG4361" s="2">
        <f ca="1"/>
        <v>0.8948990349749899</v>
      </c>
      <c r="AH4361" s="2" t="str">
        <f ca="1"/>
        <v>Bad</v>
      </c>
    </row>
    <row r="4362" spans="2:34" x14ac:dyDescent="0.2">
      <c r="B4362" s="2">
        <f ca="1"/>
        <v>0.66915785266133909</v>
      </c>
      <c r="O4362" s="2">
        <f ca="1"/>
        <v>2.4343837501974686</v>
      </c>
      <c r="X4362" s="2">
        <f ca="1"/>
        <v>53.73608893718427</v>
      </c>
      <c r="AG4362" s="2">
        <f ca="1"/>
        <v>0.1902806451796597</v>
      </c>
      <c r="AH4362" s="2" t="str">
        <f ca="1"/>
        <v>OK</v>
      </c>
    </row>
    <row r="4363" spans="2:34" x14ac:dyDescent="0.2">
      <c r="B4363" s="2">
        <f ca="1"/>
        <v>0.4938905679395198</v>
      </c>
      <c r="O4363" s="2">
        <f ca="1"/>
        <v>-0.96669050558247538</v>
      </c>
      <c r="X4363" s="2">
        <f ca="1"/>
        <v>32.418609863539587</v>
      </c>
      <c r="AG4363" s="2">
        <f ca="1"/>
        <v>0.35846708630496238</v>
      </c>
      <c r="AH4363" s="2" t="str">
        <f ca="1"/>
        <v>OK</v>
      </c>
    </row>
    <row r="4364" spans="2:34" x14ac:dyDescent="0.2">
      <c r="B4364" s="2">
        <f ca="1"/>
        <v>0.36107257263970038</v>
      </c>
      <c r="O4364" s="2">
        <f ca="1"/>
        <v>0.76611567584717322</v>
      </c>
      <c r="X4364" s="2">
        <f ca="1"/>
        <v>38.578169788587992</v>
      </c>
      <c r="AG4364" s="2">
        <f ca="1"/>
        <v>0.40096634296052813</v>
      </c>
      <c r="AH4364" s="2" t="str">
        <f ca="1"/>
        <v>Bad</v>
      </c>
    </row>
    <row r="4365" spans="2:34" x14ac:dyDescent="0.2">
      <c r="B4365" s="2">
        <f ca="1"/>
        <v>0.12006309719620045</v>
      </c>
      <c r="O4365" s="2">
        <f ca="1"/>
        <v>1.0052730235981406</v>
      </c>
      <c r="X4365" s="2">
        <f ca="1"/>
        <v>34.458576274459411</v>
      </c>
      <c r="AG4365" s="2">
        <f ca="1"/>
        <v>5.3835179157645907E-2</v>
      </c>
      <c r="AH4365" s="2" t="str">
        <f ca="1"/>
        <v>OK</v>
      </c>
    </row>
    <row r="4366" spans="2:34" x14ac:dyDescent="0.2">
      <c r="B4366" s="2">
        <f ca="1"/>
        <v>0.74253927596427194</v>
      </c>
      <c r="O4366" s="2">
        <f ca="1"/>
        <v>-1.9316207256924607</v>
      </c>
      <c r="X4366" s="2">
        <f ca="1"/>
        <v>72.591594308765096</v>
      </c>
      <c r="AG4366" s="2">
        <f ca="1"/>
        <v>0.41087840864094427</v>
      </c>
      <c r="AH4366" s="2" t="str">
        <f ca="1"/>
        <v>Bad</v>
      </c>
    </row>
    <row r="4367" spans="2:34" x14ac:dyDescent="0.2">
      <c r="B4367" s="2">
        <f ca="1"/>
        <v>0.7728236166214737</v>
      </c>
      <c r="O4367" s="2">
        <f ca="1"/>
        <v>-1.8781293717319409</v>
      </c>
      <c r="X4367" s="2">
        <f ca="1"/>
        <v>56.868772475819185</v>
      </c>
      <c r="AG4367" s="2">
        <f ca="1"/>
        <v>0.10819966453088159</v>
      </c>
      <c r="AH4367" s="2" t="str">
        <f ca="1"/>
        <v>OK</v>
      </c>
    </row>
    <row r="4368" spans="2:34" x14ac:dyDescent="0.2">
      <c r="B4368" s="2">
        <f ca="1"/>
        <v>0.74950175301780253</v>
      </c>
      <c r="O4368" s="2">
        <f ca="1"/>
        <v>0.65919635907055141</v>
      </c>
      <c r="X4368" s="2">
        <f ca="1"/>
        <v>52.299584136866734</v>
      </c>
      <c r="AG4368" s="2">
        <f ca="1"/>
        <v>0.38572375832970307</v>
      </c>
      <c r="AH4368" s="2" t="str">
        <f ca="1"/>
        <v>OK</v>
      </c>
    </row>
    <row r="4369" spans="2:34" x14ac:dyDescent="0.2">
      <c r="B4369" s="2">
        <f ca="1"/>
        <v>0.97910231214794474</v>
      </c>
      <c r="O4369" s="2">
        <f ca="1"/>
        <v>-0.22368471299967513</v>
      </c>
      <c r="X4369" s="2">
        <f ca="1"/>
        <v>31.343107955450439</v>
      </c>
      <c r="AG4369" s="2">
        <f ca="1"/>
        <v>0.46545504604104115</v>
      </c>
      <c r="AH4369" s="2" t="str">
        <f ca="1"/>
        <v>Bad</v>
      </c>
    </row>
    <row r="4370" spans="2:34" x14ac:dyDescent="0.2">
      <c r="B4370" s="2">
        <f ca="1"/>
        <v>0.58466338302304321</v>
      </c>
      <c r="O4370" s="2">
        <f ca="1"/>
        <v>-0.53891874767484049</v>
      </c>
      <c r="X4370" s="2">
        <f ca="1"/>
        <v>30.751947599323724</v>
      </c>
      <c r="AG4370" s="2">
        <f ca="1"/>
        <v>0.75411738699573072</v>
      </c>
      <c r="AH4370" s="2" t="str">
        <f ca="1"/>
        <v>Bad</v>
      </c>
    </row>
    <row r="4371" spans="2:34" x14ac:dyDescent="0.2">
      <c r="B4371" s="2">
        <f ca="1"/>
        <v>0.16026771331319889</v>
      </c>
      <c r="O4371" s="2">
        <f ca="1"/>
        <v>-0.11384720859679394</v>
      </c>
      <c r="X4371" s="2">
        <f ca="1"/>
        <v>86.330556194276383</v>
      </c>
      <c r="AG4371" s="2">
        <f ca="1"/>
        <v>6.8603801949107979E-2</v>
      </c>
      <c r="AH4371" s="2" t="str">
        <f ca="1"/>
        <v>OK</v>
      </c>
    </row>
    <row r="4372" spans="2:34" x14ac:dyDescent="0.2">
      <c r="B4372" s="2">
        <f ca="1"/>
        <v>0.76484273622053234</v>
      </c>
      <c r="O4372" s="2">
        <f ca="1"/>
        <v>-0.27355670571556334</v>
      </c>
      <c r="X4372" s="2">
        <f ca="1"/>
        <v>48.51603181463004</v>
      </c>
      <c r="AG4372" s="2">
        <f ca="1"/>
        <v>0.85272073030403805</v>
      </c>
      <c r="AH4372" s="2" t="str">
        <f ca="1"/>
        <v>Bad</v>
      </c>
    </row>
    <row r="4373" spans="2:34" x14ac:dyDescent="0.2">
      <c r="B4373" s="2">
        <f ca="1"/>
        <v>0.88288020233255371</v>
      </c>
      <c r="O4373" s="2">
        <f ca="1"/>
        <v>-0.50183102811129487</v>
      </c>
      <c r="X4373" s="2">
        <f ca="1"/>
        <v>39.302634483672385</v>
      </c>
      <c r="AG4373" s="2">
        <f ca="1"/>
        <v>0.18620508189724894</v>
      </c>
      <c r="AH4373" s="2" t="str">
        <f ca="1"/>
        <v>OK</v>
      </c>
    </row>
    <row r="4374" spans="2:34" x14ac:dyDescent="0.2">
      <c r="B4374" s="2">
        <f ca="1"/>
        <v>0.39583290436925167</v>
      </c>
      <c r="O4374" s="2">
        <f ca="1"/>
        <v>1.3983903331185761</v>
      </c>
      <c r="X4374" s="2">
        <f ca="1"/>
        <v>51.560544216387655</v>
      </c>
      <c r="AG4374" s="2">
        <f ca="1"/>
        <v>8.8008385032313674E-2</v>
      </c>
      <c r="AH4374" s="2" t="str">
        <f ca="1"/>
        <v>OK</v>
      </c>
    </row>
    <row r="4375" spans="2:34" x14ac:dyDescent="0.2">
      <c r="B4375" s="2">
        <f ca="1"/>
        <v>3.9369845357899669E-2</v>
      </c>
      <c r="O4375" s="2">
        <f ca="1"/>
        <v>3.1798439536070165E-2</v>
      </c>
      <c r="X4375" s="2">
        <f ca="1"/>
        <v>41.104839018444494</v>
      </c>
      <c r="AG4375" s="2">
        <f ca="1"/>
        <v>0.410733730166424</v>
      </c>
      <c r="AH4375" s="2" t="str">
        <f ca="1"/>
        <v>Bad</v>
      </c>
    </row>
    <row r="4376" spans="2:34" x14ac:dyDescent="0.2">
      <c r="B4376" s="2">
        <f ca="1"/>
        <v>0.31128139838405633</v>
      </c>
      <c r="O4376" s="2">
        <f ca="1"/>
        <v>-0.75251004634495222</v>
      </c>
      <c r="X4376" s="2">
        <f ca="1"/>
        <v>42.768330206082609</v>
      </c>
      <c r="AG4376" s="2">
        <f ca="1"/>
        <v>0.61544527268155136</v>
      </c>
      <c r="AH4376" s="2" t="str">
        <f ca="1"/>
        <v>Bad</v>
      </c>
    </row>
    <row r="4377" spans="2:34" x14ac:dyDescent="0.2">
      <c r="B4377" s="2">
        <f ca="1"/>
        <v>0.48700142310718242</v>
      </c>
      <c r="O4377" s="2">
        <f ca="1"/>
        <v>0.80761896676474232</v>
      </c>
      <c r="X4377" s="2">
        <f ca="1"/>
        <v>35.793292064037374</v>
      </c>
      <c r="AG4377" s="2">
        <f ca="1"/>
        <v>0.29865929112077305</v>
      </c>
      <c r="AH4377" s="2" t="str">
        <f ca="1"/>
        <v>OK</v>
      </c>
    </row>
    <row r="4378" spans="2:34" x14ac:dyDescent="0.2">
      <c r="B4378" s="2">
        <f ca="1"/>
        <v>0.95576963047102814</v>
      </c>
      <c r="O4378" s="2">
        <f ca="1"/>
        <v>-0.23521041440329551</v>
      </c>
      <c r="X4378" s="2">
        <f ca="1"/>
        <v>39.001208846993933</v>
      </c>
      <c r="AG4378" s="2">
        <f ca="1"/>
        <v>0.77322095606316021</v>
      </c>
      <c r="AH4378" s="2" t="str">
        <f ca="1"/>
        <v>Bad</v>
      </c>
    </row>
    <row r="4379" spans="2:34" x14ac:dyDescent="0.2">
      <c r="B4379" s="2">
        <f ca="1"/>
        <v>0.24774954109776681</v>
      </c>
      <c r="O4379" s="2">
        <f ca="1"/>
        <v>-0.61955138698699197</v>
      </c>
      <c r="X4379" s="2">
        <f ca="1"/>
        <v>53.823266148446393</v>
      </c>
      <c r="AG4379" s="2">
        <f ca="1"/>
        <v>0.20845593383448735</v>
      </c>
      <c r="AH4379" s="2" t="str">
        <f ca="1"/>
        <v>OK</v>
      </c>
    </row>
    <row r="4380" spans="2:34" x14ac:dyDescent="0.2">
      <c r="B4380" s="2">
        <f ca="1"/>
        <v>6.2453541828357162E-2</v>
      </c>
      <c r="O4380" s="2">
        <f ca="1"/>
        <v>-1.0344719026738693</v>
      </c>
      <c r="X4380" s="2">
        <f ca="1"/>
        <v>54.328854806102839</v>
      </c>
      <c r="AG4380" s="2">
        <f ca="1"/>
        <v>0.98573807344473874</v>
      </c>
      <c r="AH4380" s="2" t="str">
        <f ca="1"/>
        <v>Bad</v>
      </c>
    </row>
    <row r="4381" spans="2:34" x14ac:dyDescent="0.2">
      <c r="B4381" s="2">
        <f ca="1"/>
        <v>0.63159550153208954</v>
      </c>
      <c r="O4381" s="2">
        <f ca="1"/>
        <v>0.8566011330486466</v>
      </c>
      <c r="X4381" s="2">
        <f ca="1"/>
        <v>36.286630350812459</v>
      </c>
      <c r="AG4381" s="2">
        <f ca="1"/>
        <v>2.6122947437739352E-2</v>
      </c>
      <c r="AH4381" s="2" t="str">
        <f ca="1"/>
        <v>Good</v>
      </c>
    </row>
    <row r="4382" spans="2:34" x14ac:dyDescent="0.2">
      <c r="B4382" s="2">
        <f ca="1"/>
        <v>0.59305166521622765</v>
      </c>
      <c r="O4382" s="2">
        <f ca="1"/>
        <v>-1.6835855096257912</v>
      </c>
      <c r="X4382" s="2">
        <f ca="1"/>
        <v>44.03766550007883</v>
      </c>
      <c r="AG4382" s="2">
        <f ca="1"/>
        <v>0.66816256306042088</v>
      </c>
      <c r="AH4382" s="2" t="str">
        <f ca="1"/>
        <v>Bad</v>
      </c>
    </row>
    <row r="4383" spans="2:34" x14ac:dyDescent="0.2">
      <c r="B4383" s="2">
        <f ca="1"/>
        <v>0.37436464278100234</v>
      </c>
      <c r="O4383" s="2">
        <f ca="1"/>
        <v>-0.24445650856160339</v>
      </c>
      <c r="X4383" s="2">
        <f ca="1"/>
        <v>56.640458517780765</v>
      </c>
      <c r="AG4383" s="2">
        <f ca="1"/>
        <v>0.33870272560214199</v>
      </c>
      <c r="AH4383" s="2" t="str">
        <f ca="1"/>
        <v>OK</v>
      </c>
    </row>
    <row r="4384" spans="2:34" x14ac:dyDescent="0.2">
      <c r="B4384" s="2">
        <f ca="1"/>
        <v>0.14139956019418509</v>
      </c>
      <c r="O4384" s="2">
        <f ca="1"/>
        <v>0.92016443200327436</v>
      </c>
      <c r="X4384" s="2">
        <f ca="1"/>
        <v>69.422340432535378</v>
      </c>
      <c r="AG4384" s="2">
        <f ca="1"/>
        <v>0.9182893968052992</v>
      </c>
      <c r="AH4384" s="2" t="str">
        <f ca="1"/>
        <v>Bad</v>
      </c>
    </row>
    <row r="4385" spans="2:34" x14ac:dyDescent="0.2">
      <c r="B4385" s="2">
        <f ca="1"/>
        <v>0.1828923902534807</v>
      </c>
      <c r="O4385" s="2">
        <f ca="1"/>
        <v>-3.8902693376734937E-2</v>
      </c>
      <c r="X4385" s="2">
        <f ca="1"/>
        <v>43.954275760852177</v>
      </c>
      <c r="AG4385" s="2">
        <f ca="1"/>
        <v>0.77149982059606592</v>
      </c>
      <c r="AH4385" s="2" t="str">
        <f ca="1"/>
        <v>Bad</v>
      </c>
    </row>
    <row r="4386" spans="2:34" x14ac:dyDescent="0.2">
      <c r="B4386" s="2">
        <f ca="1"/>
        <v>0.9356497403701276</v>
      </c>
      <c r="O4386" s="2">
        <f ca="1"/>
        <v>1.0303610672359498</v>
      </c>
      <c r="X4386" s="2">
        <f ca="1"/>
        <v>71.407841981424028</v>
      </c>
      <c r="AG4386" s="2">
        <f ca="1"/>
        <v>0.51592482883969737</v>
      </c>
      <c r="AH4386" s="2" t="str">
        <f ca="1"/>
        <v>Bad</v>
      </c>
    </row>
    <row r="4387" spans="2:34" x14ac:dyDescent="0.2">
      <c r="B4387" s="2">
        <f ca="1"/>
        <v>0.40968003701029554</v>
      </c>
      <c r="O4387" s="2">
        <f ca="1"/>
        <v>0.61673798133884583</v>
      </c>
      <c r="X4387" s="2">
        <f ca="1"/>
        <v>25.069762639816055</v>
      </c>
      <c r="AG4387" s="2">
        <f ca="1"/>
        <v>3.8524838293770847E-2</v>
      </c>
      <c r="AH4387" s="2" t="str">
        <f ca="1"/>
        <v>Good</v>
      </c>
    </row>
    <row r="4388" spans="2:34" x14ac:dyDescent="0.2">
      <c r="B4388" s="2">
        <f ca="1"/>
        <v>0.82997470273188045</v>
      </c>
      <c r="O4388" s="2">
        <f ca="1"/>
        <v>0.45423386883528838</v>
      </c>
      <c r="X4388" s="2">
        <f ca="1"/>
        <v>37.649380454208327</v>
      </c>
      <c r="AG4388" s="2">
        <f ca="1"/>
        <v>0.12932625871263426</v>
      </c>
      <c r="AH4388" s="2" t="str">
        <f ca="1"/>
        <v>OK</v>
      </c>
    </row>
    <row r="4389" spans="2:34" x14ac:dyDescent="0.2">
      <c r="B4389" s="2">
        <f ca="1"/>
        <v>0.48034525139858464</v>
      </c>
      <c r="O4389" s="2">
        <f ca="1"/>
        <v>-0.2976751485815205</v>
      </c>
      <c r="X4389" s="2">
        <f ca="1"/>
        <v>50.573521941860847</v>
      </c>
      <c r="AG4389" s="2">
        <f ca="1"/>
        <v>0.29445521594799895</v>
      </c>
      <c r="AH4389" s="2" t="str">
        <f ca="1"/>
        <v>OK</v>
      </c>
    </row>
    <row r="4390" spans="2:34" x14ac:dyDescent="0.2">
      <c r="B4390" s="2">
        <f ca="1"/>
        <v>0.25530955397853439</v>
      </c>
      <c r="O4390" s="2">
        <f ca="1"/>
        <v>-0.72685792836538621</v>
      </c>
      <c r="X4390" s="2">
        <f ca="1"/>
        <v>46.072154965857017</v>
      </c>
      <c r="AG4390" s="2">
        <f ca="1"/>
        <v>0.45748207689108411</v>
      </c>
      <c r="AH4390" s="2" t="str">
        <f ca="1"/>
        <v>Bad</v>
      </c>
    </row>
    <row r="4391" spans="2:34" x14ac:dyDescent="0.2">
      <c r="B4391" s="2">
        <f ca="1"/>
        <v>0.3237833069115772</v>
      </c>
      <c r="O4391" s="2">
        <f ca="1"/>
        <v>3.0837769464213998E-2</v>
      </c>
      <c r="X4391" s="2">
        <f ca="1"/>
        <v>67.075031571918501</v>
      </c>
      <c r="AG4391" s="2">
        <f ca="1"/>
        <v>0.91136230857519518</v>
      </c>
      <c r="AH4391" s="2" t="str">
        <f ca="1"/>
        <v>Bad</v>
      </c>
    </row>
    <row r="4392" spans="2:34" x14ac:dyDescent="0.2">
      <c r="B4392" s="2">
        <f ca="1"/>
        <v>0.50514158469110115</v>
      </c>
      <c r="O4392" s="2">
        <f ca="1"/>
        <v>-0.25085777440440871</v>
      </c>
      <c r="X4392" s="2">
        <f ca="1"/>
        <v>40.252250223812609</v>
      </c>
      <c r="AG4392" s="2">
        <f ca="1"/>
        <v>0.95990909213130871</v>
      </c>
      <c r="AH4392" s="2" t="str">
        <f ca="1"/>
        <v>Bad</v>
      </c>
    </row>
    <row r="4393" spans="2:34" x14ac:dyDescent="0.2">
      <c r="B4393" s="2">
        <f ca="1"/>
        <v>0.37442219842278068</v>
      </c>
      <c r="O4393" s="2">
        <f ca="1"/>
        <v>0.39092809023233127</v>
      </c>
      <c r="X4393" s="2">
        <f ca="1"/>
        <v>41.229298265246129</v>
      </c>
      <c r="AG4393" s="2">
        <f ca="1"/>
        <v>0.35130661651452955</v>
      </c>
      <c r="AH4393" s="2" t="str">
        <f ca="1"/>
        <v>OK</v>
      </c>
    </row>
    <row r="4394" spans="2:34" x14ac:dyDescent="0.2">
      <c r="B4394" s="2">
        <f ca="1"/>
        <v>0.53261416638501236</v>
      </c>
      <c r="O4394" s="2">
        <f ca="1"/>
        <v>0.51554286102258928</v>
      </c>
      <c r="X4394" s="2">
        <f ca="1"/>
        <v>31.743036287177318</v>
      </c>
      <c r="AG4394" s="2">
        <f ca="1"/>
        <v>0.34450903060130655</v>
      </c>
      <c r="AH4394" s="2" t="str">
        <f ca="1"/>
        <v>OK</v>
      </c>
    </row>
    <row r="4395" spans="2:34" x14ac:dyDescent="0.2">
      <c r="B4395" s="2">
        <f ca="1"/>
        <v>0.10540261818130103</v>
      </c>
      <c r="O4395" s="2">
        <f ca="1"/>
        <v>-0.39915159918930571</v>
      </c>
      <c r="X4395" s="2">
        <f ca="1"/>
        <v>59.017825770893154</v>
      </c>
      <c r="AG4395" s="2">
        <f ca="1"/>
        <v>0.67246993706600011</v>
      </c>
      <c r="AH4395" s="2" t="str">
        <f ca="1"/>
        <v>Bad</v>
      </c>
    </row>
    <row r="4396" spans="2:34" x14ac:dyDescent="0.2">
      <c r="B4396" s="2">
        <f ca="1"/>
        <v>1.4719451847209353E-3</v>
      </c>
      <c r="O4396" s="2">
        <f ca="1"/>
        <v>-8.7661094873866842E-3</v>
      </c>
      <c r="X4396" s="2">
        <f ca="1"/>
        <v>32.698679694337706</v>
      </c>
      <c r="AG4396" s="2">
        <f ca="1"/>
        <v>0.16215961816230995</v>
      </c>
      <c r="AH4396" s="2" t="str">
        <f ca="1"/>
        <v>OK</v>
      </c>
    </row>
    <row r="4397" spans="2:34" x14ac:dyDescent="0.2">
      <c r="B4397" s="2">
        <f ca="1"/>
        <v>0.16575198511169287</v>
      </c>
      <c r="O4397" s="2">
        <f ca="1"/>
        <v>0.43240083840019755</v>
      </c>
      <c r="X4397" s="2">
        <f ca="1"/>
        <v>54.023527911907834</v>
      </c>
      <c r="AG4397" s="2">
        <f ca="1"/>
        <v>0.74807164970546691</v>
      </c>
      <c r="AH4397" s="2" t="str">
        <f ca="1"/>
        <v>Bad</v>
      </c>
    </row>
    <row r="4398" spans="2:34" x14ac:dyDescent="0.2">
      <c r="B4398" s="2">
        <f ca="1"/>
        <v>0.34836401596155731</v>
      </c>
      <c r="O4398" s="2">
        <f ca="1"/>
        <v>-2.8999652486551099E-2</v>
      </c>
      <c r="X4398" s="2">
        <f ca="1"/>
        <v>48.244539167843499</v>
      </c>
      <c r="AG4398" s="2">
        <f ca="1"/>
        <v>0.21129688422997517</v>
      </c>
      <c r="AH4398" s="2" t="str">
        <f ca="1"/>
        <v>OK</v>
      </c>
    </row>
    <row r="4399" spans="2:34" x14ac:dyDescent="0.2">
      <c r="B4399" s="2">
        <f ca="1"/>
        <v>0.61216781540215015</v>
      </c>
      <c r="O4399" s="2">
        <f ca="1"/>
        <v>1.1121597254331834</v>
      </c>
      <c r="X4399" s="2">
        <f ca="1"/>
        <v>52.867093591607741</v>
      </c>
      <c r="AG4399" s="2">
        <f ca="1"/>
        <v>0.60084834608679749</v>
      </c>
      <c r="AH4399" s="2" t="str">
        <f ca="1"/>
        <v>Bad</v>
      </c>
    </row>
    <row r="4400" spans="2:34" x14ac:dyDescent="0.2">
      <c r="B4400" s="2">
        <f ca="1"/>
        <v>0.52174139334719505</v>
      </c>
      <c r="O4400" s="2">
        <f ca="1"/>
        <v>7.807814661311599E-2</v>
      </c>
      <c r="X4400" s="2">
        <f ca="1"/>
        <v>29.370268848800656</v>
      </c>
      <c r="AG4400" s="2">
        <f ca="1"/>
        <v>0.30922565918665934</v>
      </c>
      <c r="AH4400" s="2" t="str">
        <f ca="1"/>
        <v>OK</v>
      </c>
    </row>
    <row r="4401" spans="2:34" x14ac:dyDescent="0.2">
      <c r="B4401" s="2">
        <f ca="1"/>
        <v>8.4788554322819509E-2</v>
      </c>
      <c r="O4401" s="2">
        <f ca="1"/>
        <v>0.94784427313909225</v>
      </c>
      <c r="X4401" s="2">
        <f ca="1"/>
        <v>57.135133653350678</v>
      </c>
      <c r="AG4401" s="2">
        <f ca="1"/>
        <v>0.30651753959046468</v>
      </c>
      <c r="AH4401" s="2" t="str">
        <f ca="1"/>
        <v>OK</v>
      </c>
    </row>
    <row r="4402" spans="2:34" x14ac:dyDescent="0.2">
      <c r="B4402" s="2">
        <f ca="1"/>
        <v>0.31246164770134044</v>
      </c>
      <c r="O4402" s="2">
        <f ca="1"/>
        <v>-0.60100714471153593</v>
      </c>
      <c r="X4402" s="2">
        <f ca="1"/>
        <v>72.751547606567357</v>
      </c>
      <c r="AG4402" s="2">
        <f ca="1"/>
        <v>0.60865059481410477</v>
      </c>
      <c r="AH4402" s="2" t="str">
        <f ca="1"/>
        <v>Bad</v>
      </c>
    </row>
    <row r="4403" spans="2:34" x14ac:dyDescent="0.2">
      <c r="B4403" s="2">
        <f ca="1"/>
        <v>0.64836473478147827</v>
      </c>
      <c r="O4403" s="2">
        <f ca="1"/>
        <v>0.74061613708925156</v>
      </c>
      <c r="X4403" s="2">
        <f ca="1"/>
        <v>41.195453519114118</v>
      </c>
      <c r="AG4403" s="2">
        <f ca="1"/>
        <v>0.67355993650695956</v>
      </c>
      <c r="AH4403" s="2" t="str">
        <f ca="1"/>
        <v>Bad</v>
      </c>
    </row>
    <row r="4404" spans="2:34" x14ac:dyDescent="0.2">
      <c r="B4404" s="2">
        <f ca="1"/>
        <v>5.8892366547658836E-2</v>
      </c>
      <c r="O4404" s="2">
        <f ca="1"/>
        <v>0.17604552277859431</v>
      </c>
      <c r="X4404" s="2">
        <f ca="1"/>
        <v>43.560595537324062</v>
      </c>
      <c r="AG4404" s="2">
        <f ca="1"/>
        <v>0.7065951415892362</v>
      </c>
      <c r="AH4404" s="2" t="str">
        <f ca="1"/>
        <v>Bad</v>
      </c>
    </row>
    <row r="4405" spans="2:34" x14ac:dyDescent="0.2">
      <c r="B4405" s="2">
        <f ca="1"/>
        <v>0.60771273486283395</v>
      </c>
      <c r="O4405" s="2">
        <f ca="1"/>
        <v>0.19620699448063547</v>
      </c>
      <c r="X4405" s="2">
        <f ca="1"/>
        <v>39.35083610415947</v>
      </c>
      <c r="AG4405" s="2">
        <f ca="1"/>
        <v>0.75691430582325481</v>
      </c>
      <c r="AH4405" s="2" t="str">
        <f ca="1"/>
        <v>Bad</v>
      </c>
    </row>
    <row r="4406" spans="2:34" x14ac:dyDescent="0.2">
      <c r="B4406" s="2">
        <f ca="1"/>
        <v>0.77442327191690197</v>
      </c>
      <c r="O4406" s="2">
        <f ca="1"/>
        <v>-0.3028341099744507</v>
      </c>
      <c r="X4406" s="2">
        <f ca="1"/>
        <v>63.511264840348076</v>
      </c>
      <c r="AG4406" s="2">
        <f ca="1"/>
        <v>0.54471984654510774</v>
      </c>
      <c r="AH4406" s="2" t="str">
        <f ca="1"/>
        <v>Bad</v>
      </c>
    </row>
    <row r="4407" spans="2:34" x14ac:dyDescent="0.2">
      <c r="B4407" s="2">
        <f ca="1"/>
        <v>0.18989085468975997</v>
      </c>
      <c r="O4407" s="2">
        <f ca="1"/>
        <v>-0.14778753459084984</v>
      </c>
      <c r="X4407" s="2">
        <f ca="1"/>
        <v>32.44139122119018</v>
      </c>
      <c r="AG4407" s="2">
        <f ca="1"/>
        <v>0.88233921369292534</v>
      </c>
      <c r="AH4407" s="2" t="str">
        <f ca="1"/>
        <v>Bad</v>
      </c>
    </row>
    <row r="4408" spans="2:34" x14ac:dyDescent="0.2">
      <c r="B4408" s="2">
        <f ca="1"/>
        <v>0.37094177592068189</v>
      </c>
      <c r="O4408" s="2">
        <f ca="1"/>
        <v>1.0956381697963138</v>
      </c>
      <c r="X4408" s="2">
        <f ca="1"/>
        <v>82.387614870068191</v>
      </c>
      <c r="AG4408" s="2">
        <f ca="1"/>
        <v>0.89393991468035328</v>
      </c>
      <c r="AH4408" s="2" t="str">
        <f ca="1"/>
        <v>Bad</v>
      </c>
    </row>
    <row r="4409" spans="2:34" x14ac:dyDescent="0.2">
      <c r="B4409" s="2">
        <f ca="1"/>
        <v>0.93475131137063938</v>
      </c>
      <c r="O4409" s="2">
        <f ca="1"/>
        <v>-0.56561629420933435</v>
      </c>
      <c r="X4409" s="2">
        <f ca="1"/>
        <v>87.391377817078137</v>
      </c>
      <c r="AG4409" s="2">
        <f ca="1"/>
        <v>0.87118197914365747</v>
      </c>
      <c r="AH4409" s="2" t="str">
        <f ca="1"/>
        <v>Bad</v>
      </c>
    </row>
    <row r="4410" spans="2:34" x14ac:dyDescent="0.2">
      <c r="B4410" s="2">
        <f ca="1"/>
        <v>0.90533105034369732</v>
      </c>
      <c r="O4410" s="2">
        <f ca="1"/>
        <v>1.3621607515440837</v>
      </c>
      <c r="X4410" s="2">
        <f ca="1"/>
        <v>57.692535729296075</v>
      </c>
      <c r="AG4410" s="2">
        <f ca="1"/>
        <v>0.62581846956114129</v>
      </c>
      <c r="AH4410" s="2" t="str">
        <f ca="1"/>
        <v>Bad</v>
      </c>
    </row>
    <row r="4411" spans="2:34" x14ac:dyDescent="0.2">
      <c r="B4411" s="2">
        <f ca="1"/>
        <v>0.80035278543878841</v>
      </c>
      <c r="O4411" s="2">
        <f ca="1"/>
        <v>-0.1456767114398049</v>
      </c>
      <c r="X4411" s="2">
        <f ca="1"/>
        <v>79.648980873347966</v>
      </c>
      <c r="AG4411" s="2">
        <f ca="1"/>
        <v>0.12058007618093081</v>
      </c>
      <c r="AH4411" s="2" t="str">
        <f ca="1"/>
        <v>OK</v>
      </c>
    </row>
    <row r="4412" spans="2:34" x14ac:dyDescent="0.2">
      <c r="B4412" s="2">
        <f ca="1"/>
        <v>0.22582977808008042</v>
      </c>
      <c r="O4412" s="2">
        <f ca="1"/>
        <v>1.1536802100946448</v>
      </c>
      <c r="X4412" s="2">
        <f ca="1"/>
        <v>79.648588387118394</v>
      </c>
      <c r="AG4412" s="2">
        <f ca="1"/>
        <v>0.9962346835056568</v>
      </c>
      <c r="AH4412" s="2" t="str">
        <f ca="1"/>
        <v>Bad</v>
      </c>
    </row>
    <row r="4413" spans="2:34" x14ac:dyDescent="0.2">
      <c r="B4413" s="2">
        <f ca="1"/>
        <v>0.58278264010357672</v>
      </c>
      <c r="O4413" s="2">
        <f ca="1"/>
        <v>-0.51678364280527522</v>
      </c>
      <c r="X4413" s="2">
        <f ca="1"/>
        <v>68.707983154366218</v>
      </c>
      <c r="AG4413" s="2">
        <f ca="1"/>
        <v>0.710543466202328</v>
      </c>
      <c r="AH4413" s="2" t="str">
        <f ca="1"/>
        <v>Bad</v>
      </c>
    </row>
    <row r="4414" spans="2:34" x14ac:dyDescent="0.2">
      <c r="B4414" s="2">
        <f ca="1"/>
        <v>0.14791027436982018</v>
      </c>
      <c r="O4414" s="2">
        <f ca="1"/>
        <v>0.19406364125527364</v>
      </c>
      <c r="X4414" s="2">
        <f ca="1"/>
        <v>70.79841174332897</v>
      </c>
      <c r="AG4414" s="2">
        <f ca="1"/>
        <v>0.42989240088286551</v>
      </c>
      <c r="AH4414" s="2" t="str">
        <f ca="1"/>
        <v>Bad</v>
      </c>
    </row>
    <row r="4415" spans="2:34" x14ac:dyDescent="0.2">
      <c r="B4415" s="2">
        <f ca="1"/>
        <v>0.34350867777427174</v>
      </c>
      <c r="O4415" s="2">
        <f ca="1"/>
        <v>0.92328847949713222</v>
      </c>
      <c r="X4415" s="2">
        <f ca="1"/>
        <v>45.07143337713557</v>
      </c>
      <c r="AG4415" s="2">
        <f ca="1"/>
        <v>0.52473262784280261</v>
      </c>
      <c r="AH4415" s="2" t="str">
        <f ca="1"/>
        <v>Bad</v>
      </c>
    </row>
    <row r="4416" spans="2:34" x14ac:dyDescent="0.2">
      <c r="B4416" s="2">
        <f ca="1"/>
        <v>2.4375065722238354E-2</v>
      </c>
      <c r="O4416" s="2">
        <f ca="1"/>
        <v>-1.2823727955212372</v>
      </c>
      <c r="X4416" s="2">
        <f ca="1"/>
        <v>72.464450194380092</v>
      </c>
      <c r="AG4416" s="2">
        <f ca="1"/>
        <v>0.84956725545455081</v>
      </c>
      <c r="AH4416" s="2" t="str">
        <f ca="1"/>
        <v>Bad</v>
      </c>
    </row>
    <row r="4417" spans="2:34" x14ac:dyDescent="0.2">
      <c r="B4417" s="2">
        <f ca="1"/>
        <v>0.18745694062596896</v>
      </c>
      <c r="O4417" s="2">
        <f ca="1"/>
        <v>-0.46047771050309549</v>
      </c>
      <c r="X4417" s="2">
        <f ca="1"/>
        <v>66.922211385316757</v>
      </c>
      <c r="AG4417" s="2">
        <f ca="1"/>
        <v>3.6818715779164402E-2</v>
      </c>
      <c r="AH4417" s="2" t="str">
        <f ca="1"/>
        <v>Good</v>
      </c>
    </row>
    <row r="4418" spans="2:34" x14ac:dyDescent="0.2">
      <c r="B4418" s="2">
        <f ca="1"/>
        <v>0.77479340326492441</v>
      </c>
      <c r="O4418" s="2">
        <f ca="1"/>
        <v>-1.86557532997133</v>
      </c>
      <c r="X4418" s="2">
        <f ca="1"/>
        <v>42.182762869283472</v>
      </c>
      <c r="AG4418" s="2">
        <f ca="1"/>
        <v>0.54931648119044785</v>
      </c>
      <c r="AH4418" s="2" t="str">
        <f ca="1"/>
        <v>Bad</v>
      </c>
    </row>
    <row r="4419" spans="2:34" x14ac:dyDescent="0.2">
      <c r="B4419" s="2">
        <f ca="1"/>
        <v>0.12904521962544924</v>
      </c>
      <c r="O4419" s="2">
        <f ca="1"/>
        <v>0.44245651677531683</v>
      </c>
      <c r="X4419" s="2">
        <f ca="1"/>
        <v>26.107409619982668</v>
      </c>
      <c r="AG4419" s="2">
        <f ca="1"/>
        <v>0.7656979508937074</v>
      </c>
      <c r="AH4419" s="2" t="str">
        <f ca="1"/>
        <v>Bad</v>
      </c>
    </row>
    <row r="4420" spans="2:34" x14ac:dyDescent="0.2">
      <c r="B4420" s="2">
        <f ca="1"/>
        <v>0.7030177727374689</v>
      </c>
      <c r="O4420" s="2">
        <f ca="1"/>
        <v>0.6973551304756016</v>
      </c>
      <c r="X4420" s="2">
        <f ca="1"/>
        <v>58.621152571878206</v>
      </c>
      <c r="AG4420" s="2">
        <f ca="1"/>
        <v>7.9416250171705727E-2</v>
      </c>
      <c r="AH4420" s="2" t="str">
        <f ca="1"/>
        <v>OK</v>
      </c>
    </row>
    <row r="4421" spans="2:34" x14ac:dyDescent="0.2">
      <c r="B4421" s="2">
        <f ca="1"/>
        <v>0.66338170582397038</v>
      </c>
      <c r="O4421" s="2">
        <f ca="1"/>
        <v>0.20847799054420763</v>
      </c>
      <c r="X4421" s="2">
        <f ca="1"/>
        <v>41.005739117465573</v>
      </c>
      <c r="AG4421" s="2">
        <f ca="1"/>
        <v>0.66404411091814497</v>
      </c>
      <c r="AH4421" s="2" t="str">
        <f ca="1"/>
        <v>Bad</v>
      </c>
    </row>
    <row r="4422" spans="2:34" x14ac:dyDescent="0.2">
      <c r="B4422" s="2">
        <f ca="1"/>
        <v>0.93400703671419549</v>
      </c>
      <c r="O4422" s="2">
        <f ca="1"/>
        <v>-0.30285012459456684</v>
      </c>
      <c r="X4422" s="2">
        <f ca="1"/>
        <v>31.015540394728916</v>
      </c>
      <c r="AG4422" s="2">
        <f ca="1"/>
        <v>0.73132672752532013</v>
      </c>
      <c r="AH4422" s="2" t="str">
        <f ca="1"/>
        <v>Bad</v>
      </c>
    </row>
    <row r="4423" spans="2:34" x14ac:dyDescent="0.2">
      <c r="B4423" s="2">
        <f ca="1"/>
        <v>0.3941806435407913</v>
      </c>
      <c r="O4423" s="2">
        <f ca="1"/>
        <v>-2.0814996228341749</v>
      </c>
      <c r="X4423" s="2">
        <f ca="1"/>
        <v>45.135043545524248</v>
      </c>
      <c r="AG4423" s="2">
        <f ca="1"/>
        <v>0.53514219902959037</v>
      </c>
      <c r="AH4423" s="2" t="str">
        <f ca="1"/>
        <v>Bad</v>
      </c>
    </row>
    <row r="4424" spans="2:34" x14ac:dyDescent="0.2">
      <c r="B4424" s="2">
        <f ca="1"/>
        <v>0.70645895392569402</v>
      </c>
      <c r="O4424" s="2">
        <f ca="1"/>
        <v>0.30639575551248288</v>
      </c>
      <c r="X4424" s="2">
        <f ca="1"/>
        <v>49.15188732566213</v>
      </c>
      <c r="AG4424" s="2">
        <f ca="1"/>
        <v>0.77462381214657738</v>
      </c>
      <c r="AH4424" s="2" t="str">
        <f ca="1"/>
        <v>Bad</v>
      </c>
    </row>
    <row r="4425" spans="2:34" x14ac:dyDescent="0.2">
      <c r="B4425" s="2">
        <f ca="1"/>
        <v>0.16826492510699231</v>
      </c>
      <c r="O4425" s="2">
        <f ca="1"/>
        <v>-0.48125962003700168</v>
      </c>
      <c r="X4425" s="2">
        <f ca="1"/>
        <v>19.369950993389228</v>
      </c>
      <c r="AG4425" s="2">
        <f ca="1"/>
        <v>2.4173405892933264E-3</v>
      </c>
      <c r="AH4425" s="2" t="str">
        <f ca="1"/>
        <v>Good</v>
      </c>
    </row>
    <row r="4426" spans="2:34" x14ac:dyDescent="0.2">
      <c r="B4426" s="2">
        <f ca="1"/>
        <v>0.54144374094388903</v>
      </c>
      <c r="O4426" s="2">
        <f ca="1"/>
        <v>1.2869845499613148</v>
      </c>
      <c r="X4426" s="2">
        <f ca="1"/>
        <v>30.142818652375144</v>
      </c>
      <c r="AG4426" s="2">
        <f ca="1"/>
        <v>0.97743724980660329</v>
      </c>
      <c r="AH4426" s="2" t="str">
        <f ca="1"/>
        <v>Bad</v>
      </c>
    </row>
    <row r="4427" spans="2:34" x14ac:dyDescent="0.2">
      <c r="B4427" s="2">
        <f ca="1"/>
        <v>0.36155783523666818</v>
      </c>
      <c r="O4427" s="2">
        <f ca="1"/>
        <v>-0.18011296840657723</v>
      </c>
      <c r="X4427" s="2">
        <f ca="1"/>
        <v>32.444452871315534</v>
      </c>
      <c r="AG4427" s="2">
        <f ca="1"/>
        <v>0.19253886408469389</v>
      </c>
      <c r="AH4427" s="2" t="str">
        <f ca="1"/>
        <v>OK</v>
      </c>
    </row>
    <row r="4428" spans="2:34" x14ac:dyDescent="0.2">
      <c r="B4428" s="2">
        <f ca="1"/>
        <v>0.14426681210569381</v>
      </c>
      <c r="O4428" s="2">
        <f ca="1"/>
        <v>1.6041339005880979</v>
      </c>
      <c r="X4428" s="2">
        <f ca="1"/>
        <v>32.384810731215197</v>
      </c>
      <c r="AG4428" s="2">
        <f ca="1"/>
        <v>0.58962083630383422</v>
      </c>
      <c r="AH4428" s="2" t="str">
        <f ca="1"/>
        <v>Bad</v>
      </c>
    </row>
    <row r="4429" spans="2:34" x14ac:dyDescent="0.2">
      <c r="B4429" s="2">
        <f ca="1"/>
        <v>0.96034811549250376</v>
      </c>
      <c r="O4429" s="2">
        <f ca="1"/>
        <v>-0.62447895839649081</v>
      </c>
      <c r="X4429" s="2">
        <f ca="1"/>
        <v>26.654791616104617</v>
      </c>
      <c r="AG4429" s="2">
        <f ca="1"/>
        <v>0.54282507275555947</v>
      </c>
      <c r="AH4429" s="2" t="str">
        <f ca="1"/>
        <v>Bad</v>
      </c>
    </row>
    <row r="4430" spans="2:34" x14ac:dyDescent="0.2">
      <c r="B4430" s="2">
        <f ca="1"/>
        <v>1.6947132383577923E-3</v>
      </c>
      <c r="O4430" s="2">
        <f ca="1"/>
        <v>1.0672217746187838</v>
      </c>
      <c r="X4430" s="2">
        <f ca="1"/>
        <v>39.434714306125692</v>
      </c>
      <c r="AG4430" s="2">
        <f ca="1"/>
        <v>0.54252155728890528</v>
      </c>
      <c r="AH4430" s="2" t="str">
        <f ca="1"/>
        <v>Bad</v>
      </c>
    </row>
    <row r="4431" spans="2:34" x14ac:dyDescent="0.2">
      <c r="B4431" s="2">
        <f ca="1"/>
        <v>0.44781333987656735</v>
      </c>
      <c r="O4431" s="2">
        <f ca="1"/>
        <v>-1.759891866466597</v>
      </c>
      <c r="X4431" s="2">
        <f ca="1"/>
        <v>32.093598184131316</v>
      </c>
      <c r="AG4431" s="2">
        <f ca="1"/>
        <v>0.95301594579639515</v>
      </c>
      <c r="AH4431" s="2" t="str">
        <f ca="1"/>
        <v>Bad</v>
      </c>
    </row>
    <row r="4432" spans="2:34" x14ac:dyDescent="0.2">
      <c r="B4432" s="2">
        <f ca="1"/>
        <v>4.6836896037569797E-2</v>
      </c>
      <c r="O4432" s="2">
        <f ca="1"/>
        <v>-0.30667111246156098</v>
      </c>
      <c r="X4432" s="2">
        <f ca="1"/>
        <v>28.230813916851076</v>
      </c>
      <c r="AG4432" s="2">
        <f ca="1"/>
        <v>0.88420108520004015</v>
      </c>
      <c r="AH4432" s="2" t="str">
        <f ca="1"/>
        <v>Bad</v>
      </c>
    </row>
    <row r="4433" spans="2:34" x14ac:dyDescent="0.2">
      <c r="B4433" s="2">
        <f ca="1"/>
        <v>9.5565739561590091E-2</v>
      </c>
      <c r="O4433" s="2">
        <f ca="1"/>
        <v>-1.1204540424843543</v>
      </c>
      <c r="X4433" s="2">
        <f ca="1"/>
        <v>47.161353366537526</v>
      </c>
      <c r="AG4433" s="2">
        <f ca="1"/>
        <v>0.48807151969375262</v>
      </c>
      <c r="AH4433" s="2" t="str">
        <f ca="1"/>
        <v>Bad</v>
      </c>
    </row>
    <row r="4434" spans="2:34" x14ac:dyDescent="0.2">
      <c r="B4434" s="2">
        <f ca="1"/>
        <v>0.47238335197475712</v>
      </c>
      <c r="O4434" s="2">
        <f ca="1"/>
        <v>0.14744183732776694</v>
      </c>
      <c r="X4434" s="2">
        <f ca="1"/>
        <v>77.697754217859426</v>
      </c>
      <c r="AG4434" s="2">
        <f ca="1"/>
        <v>0.91234398361896751</v>
      </c>
      <c r="AH4434" s="2" t="str">
        <f ca="1"/>
        <v>Bad</v>
      </c>
    </row>
    <row r="4435" spans="2:34" x14ac:dyDescent="0.2">
      <c r="B4435" s="2">
        <f ca="1"/>
        <v>0.73879791510912729</v>
      </c>
      <c r="O4435" s="2">
        <f ca="1"/>
        <v>0.86182702501258279</v>
      </c>
      <c r="X4435" s="2">
        <f ca="1"/>
        <v>42.447580875651298</v>
      </c>
      <c r="AG4435" s="2">
        <f ca="1"/>
        <v>0.46082548662344869</v>
      </c>
      <c r="AH4435" s="2" t="str">
        <f ca="1"/>
        <v>Bad</v>
      </c>
    </row>
    <row r="4436" spans="2:34" x14ac:dyDescent="0.2">
      <c r="B4436" s="2">
        <f ca="1"/>
        <v>0.9170904828909503</v>
      </c>
      <c r="O4436" s="2">
        <f ca="1"/>
        <v>0.90757927137605365</v>
      </c>
      <c r="X4436" s="2">
        <f ca="1"/>
        <v>34.49050401883823</v>
      </c>
      <c r="AG4436" s="2">
        <f ca="1"/>
        <v>0.34030003546666254</v>
      </c>
      <c r="AH4436" s="2" t="str">
        <f ca="1"/>
        <v>OK</v>
      </c>
    </row>
    <row r="4437" spans="2:34" x14ac:dyDescent="0.2">
      <c r="B4437" s="2">
        <f ca="1"/>
        <v>0.32087589856423993</v>
      </c>
      <c r="O4437" s="2">
        <f ca="1"/>
        <v>0.5357046545545604</v>
      </c>
      <c r="X4437" s="2">
        <f ca="1"/>
        <v>52.329945180184566</v>
      </c>
      <c r="AG4437" s="2">
        <f ca="1"/>
        <v>0.10894677303361688</v>
      </c>
      <c r="AH4437" s="2" t="str">
        <f ca="1"/>
        <v>OK</v>
      </c>
    </row>
    <row r="4438" spans="2:34" x14ac:dyDescent="0.2">
      <c r="B4438" s="2">
        <f ca="1"/>
        <v>0.350304658463785</v>
      </c>
      <c r="O4438" s="2">
        <f ca="1"/>
        <v>2.9230733713813562E-2</v>
      </c>
      <c r="X4438" s="2">
        <f ca="1"/>
        <v>41.879187820018586</v>
      </c>
      <c r="AG4438" s="2">
        <f ca="1"/>
        <v>0.40670805013907141</v>
      </c>
      <c r="AH4438" s="2" t="str">
        <f ca="1"/>
        <v>Bad</v>
      </c>
    </row>
    <row r="4439" spans="2:34" x14ac:dyDescent="0.2">
      <c r="B4439" s="2">
        <f ca="1"/>
        <v>0.56147336681862137</v>
      </c>
      <c r="O4439" s="2">
        <f ca="1"/>
        <v>-0.80609828461304467</v>
      </c>
      <c r="X4439" s="2">
        <f ca="1"/>
        <v>113.8829025266861</v>
      </c>
      <c r="AG4439" s="2">
        <f ca="1"/>
        <v>0.31807416302102132</v>
      </c>
      <c r="AH4439" s="2" t="str">
        <f ca="1"/>
        <v>OK</v>
      </c>
    </row>
    <row r="4440" spans="2:34" x14ac:dyDescent="0.2">
      <c r="B4440" s="2">
        <f ca="1"/>
        <v>4.1352083222965685E-2</v>
      </c>
      <c r="O4440" s="2">
        <f ca="1"/>
        <v>-2.0466870687861829</v>
      </c>
      <c r="X4440" s="2">
        <f ca="1"/>
        <v>67.099865229726333</v>
      </c>
      <c r="AG4440" s="2">
        <f ca="1"/>
        <v>0.91665384818250573</v>
      </c>
      <c r="AH4440" s="2" t="str">
        <f ca="1"/>
        <v>Bad</v>
      </c>
    </row>
    <row r="4441" spans="2:34" x14ac:dyDescent="0.2">
      <c r="B4441" s="2">
        <f ca="1"/>
        <v>0.24614538020347365</v>
      </c>
      <c r="O4441" s="2">
        <f ca="1"/>
        <v>0.72964641318841272</v>
      </c>
      <c r="X4441" s="2">
        <f ca="1"/>
        <v>53.812752362594125</v>
      </c>
      <c r="AG4441" s="2">
        <f ca="1"/>
        <v>0.21335231883251615</v>
      </c>
      <c r="AH4441" s="2" t="str">
        <f ca="1"/>
        <v>OK</v>
      </c>
    </row>
    <row r="4442" spans="2:34" x14ac:dyDescent="0.2">
      <c r="B4442" s="2">
        <f ca="1"/>
        <v>0.84703534269829084</v>
      </c>
      <c r="O4442" s="2">
        <f ca="1"/>
        <v>-7.593709675578722E-2</v>
      </c>
      <c r="X4442" s="2">
        <f ca="1"/>
        <v>47.949688323659146</v>
      </c>
      <c r="AG4442" s="2">
        <f ca="1"/>
        <v>0.96547406246250089</v>
      </c>
      <c r="AH4442" s="2" t="str">
        <f ca="1"/>
        <v>Bad</v>
      </c>
    </row>
    <row r="4443" spans="2:34" x14ac:dyDescent="0.2">
      <c r="B4443" s="2">
        <f ca="1"/>
        <v>0.65841054933612431</v>
      </c>
      <c r="O4443" s="2">
        <f ca="1"/>
        <v>0.37143903960336627</v>
      </c>
      <c r="X4443" s="2">
        <f ca="1"/>
        <v>41.945176486607558</v>
      </c>
      <c r="AG4443" s="2">
        <f ca="1"/>
        <v>0.60374931389359876</v>
      </c>
      <c r="AH4443" s="2" t="str">
        <f ca="1"/>
        <v>Bad</v>
      </c>
    </row>
    <row r="4444" spans="2:34" x14ac:dyDescent="0.2">
      <c r="B4444" s="2">
        <f ca="1"/>
        <v>0.43486156731267078</v>
      </c>
      <c r="O4444" s="2">
        <f ca="1"/>
        <v>0.44946302924721016</v>
      </c>
      <c r="X4444" s="2">
        <f ca="1"/>
        <v>33.843600727208752</v>
      </c>
      <c r="AG4444" s="2">
        <f ca="1"/>
        <v>7.5772557919728145E-2</v>
      </c>
      <c r="AH4444" s="2" t="str">
        <f ca="1"/>
        <v>OK</v>
      </c>
    </row>
    <row r="4445" spans="2:34" x14ac:dyDescent="0.2">
      <c r="B4445" s="2">
        <f ca="1"/>
        <v>0.89207104320374775</v>
      </c>
      <c r="O4445" s="2">
        <f ca="1"/>
        <v>-1.5670624648912617</v>
      </c>
      <c r="X4445" s="2">
        <f ca="1"/>
        <v>34.489846721955153</v>
      </c>
      <c r="AG4445" s="2">
        <f ca="1"/>
        <v>0.69934989031497019</v>
      </c>
      <c r="AH4445" s="2" t="str">
        <f ca="1"/>
        <v>Bad</v>
      </c>
    </row>
    <row r="4446" spans="2:34" x14ac:dyDescent="0.2">
      <c r="B4446" s="2">
        <f ca="1"/>
        <v>0.91326086406067453</v>
      </c>
      <c r="O4446" s="2">
        <f ca="1"/>
        <v>-1.0435103958335437</v>
      </c>
      <c r="X4446" s="2">
        <f ca="1"/>
        <v>25.339498989918209</v>
      </c>
      <c r="AG4446" s="2">
        <f ca="1"/>
        <v>0.82305391608122003</v>
      </c>
      <c r="AH4446" s="2" t="str">
        <f ca="1"/>
        <v>Bad</v>
      </c>
    </row>
    <row r="4447" spans="2:34" x14ac:dyDescent="0.2">
      <c r="B4447" s="2">
        <f ca="1"/>
        <v>0.94484628569218043</v>
      </c>
      <c r="O4447" s="2">
        <f ca="1"/>
        <v>4.9764429178380282E-2</v>
      </c>
      <c r="X4447" s="2">
        <f ca="1"/>
        <v>54.765939348875051</v>
      </c>
      <c r="AG4447" s="2">
        <f ca="1"/>
        <v>0.71140428696071156</v>
      </c>
      <c r="AH4447" s="2" t="str">
        <f ca="1"/>
        <v>Bad</v>
      </c>
    </row>
    <row r="4448" spans="2:34" x14ac:dyDescent="0.2">
      <c r="B4448" s="2">
        <f ca="1"/>
        <v>0.58925761068047322</v>
      </c>
      <c r="O4448" s="2">
        <f ca="1"/>
        <v>-0.20896772281698797</v>
      </c>
      <c r="X4448" s="2">
        <f ca="1"/>
        <v>55.655815543433832</v>
      </c>
      <c r="AG4448" s="2">
        <f ca="1"/>
        <v>0.63865569635481512</v>
      </c>
      <c r="AH4448" s="2" t="str">
        <f ca="1"/>
        <v>Bad</v>
      </c>
    </row>
    <row r="4449" spans="2:34" x14ac:dyDescent="0.2">
      <c r="B4449" s="2">
        <f ca="1"/>
        <v>0.51304918256310894</v>
      </c>
      <c r="O4449" s="2">
        <f ca="1"/>
        <v>-0.62092499601221451</v>
      </c>
      <c r="X4449" s="2">
        <f ca="1"/>
        <v>57.521360282725013</v>
      </c>
      <c r="AG4449" s="2">
        <f ca="1"/>
        <v>0.76678622594219759</v>
      </c>
      <c r="AH4449" s="2" t="str">
        <f ca="1"/>
        <v>Bad</v>
      </c>
    </row>
    <row r="4450" spans="2:34" x14ac:dyDescent="0.2">
      <c r="B4450" s="2">
        <f ca="1"/>
        <v>0.58099055564855306</v>
      </c>
      <c r="O4450" s="2">
        <f ca="1"/>
        <v>0.72099594182844828</v>
      </c>
      <c r="X4450" s="2">
        <f ca="1"/>
        <v>62.924034992412714</v>
      </c>
      <c r="AG4450" s="2">
        <f ca="1"/>
        <v>0.42992378728331837</v>
      </c>
      <c r="AH4450" s="2" t="str">
        <f ca="1"/>
        <v>Bad</v>
      </c>
    </row>
    <row r="4451" spans="2:34" x14ac:dyDescent="0.2">
      <c r="B4451" s="2">
        <f ca="1"/>
        <v>0.27075102355206293</v>
      </c>
      <c r="O4451" s="2">
        <f ca="1"/>
        <v>-0.17347603079412957</v>
      </c>
      <c r="X4451" s="2">
        <f ca="1"/>
        <v>41.032095245116913</v>
      </c>
      <c r="AG4451" s="2">
        <f ca="1"/>
        <v>0.38613527378817469</v>
      </c>
      <c r="AH4451" s="2" t="str">
        <f ca="1"/>
        <v>OK</v>
      </c>
    </row>
    <row r="4452" spans="2:34" x14ac:dyDescent="0.2">
      <c r="B4452" s="2">
        <f ca="1"/>
        <v>0.50608600771309264</v>
      </c>
      <c r="O4452" s="2">
        <f ca="1"/>
        <v>0.55059369358170485</v>
      </c>
      <c r="X4452" s="2">
        <f ca="1"/>
        <v>56.242964805479474</v>
      </c>
      <c r="AG4452" s="2">
        <f ca="1"/>
        <v>2.6932360918598963E-2</v>
      </c>
      <c r="AH4452" s="2" t="str">
        <f ca="1"/>
        <v>Good</v>
      </c>
    </row>
    <row r="4453" spans="2:34" x14ac:dyDescent="0.2">
      <c r="B4453" s="2">
        <f ca="1"/>
        <v>0.2197318511266797</v>
      </c>
      <c r="O4453" s="2">
        <f ca="1"/>
        <v>1.1780272086853685</v>
      </c>
      <c r="X4453" s="2">
        <f ca="1"/>
        <v>49.169480037883872</v>
      </c>
      <c r="AG4453" s="2">
        <f ca="1"/>
        <v>0.18699334049530592</v>
      </c>
      <c r="AH4453" s="2" t="str">
        <f ca="1"/>
        <v>OK</v>
      </c>
    </row>
    <row r="4454" spans="2:34" x14ac:dyDescent="0.2">
      <c r="B4454" s="2">
        <f ca="1"/>
        <v>0.84370586915736756</v>
      </c>
      <c r="O4454" s="2">
        <f ca="1"/>
        <v>0.57878199494372462</v>
      </c>
      <c r="X4454" s="2">
        <f ca="1"/>
        <v>53.023193641439264</v>
      </c>
      <c r="AG4454" s="2">
        <f ca="1"/>
        <v>0.58029024053521905</v>
      </c>
      <c r="AH4454" s="2" t="str">
        <f ca="1"/>
        <v>Bad</v>
      </c>
    </row>
    <row r="4455" spans="2:34" x14ac:dyDescent="0.2">
      <c r="B4455" s="2">
        <f ca="1"/>
        <v>0.46051180406024561</v>
      </c>
      <c r="O4455" s="2">
        <f ca="1"/>
        <v>-7.0754596660811575E-2</v>
      </c>
      <c r="X4455" s="2">
        <f ca="1"/>
        <v>42.162457674943042</v>
      </c>
      <c r="AG4455" s="2">
        <f ca="1"/>
        <v>0.13566856828660945</v>
      </c>
      <c r="AH4455" s="2" t="str">
        <f ca="1"/>
        <v>OK</v>
      </c>
    </row>
    <row r="4456" spans="2:34" x14ac:dyDescent="0.2">
      <c r="B4456" s="2">
        <f ca="1"/>
        <v>0.96105113053193136</v>
      </c>
      <c r="O4456" s="2">
        <f ca="1"/>
        <v>7.1794826159632313E-2</v>
      </c>
      <c r="X4456" s="2">
        <f ca="1"/>
        <v>34.745877095293068</v>
      </c>
      <c r="AG4456" s="2">
        <f ca="1"/>
        <v>0.19536830661592486</v>
      </c>
      <c r="AH4456" s="2" t="str">
        <f ca="1"/>
        <v>OK</v>
      </c>
    </row>
    <row r="4457" spans="2:34" x14ac:dyDescent="0.2">
      <c r="B4457" s="2">
        <f ca="1"/>
        <v>0.88420061938854033</v>
      </c>
      <c r="O4457" s="2">
        <f ca="1"/>
        <v>-0.40037542071488735</v>
      </c>
      <c r="X4457" s="2">
        <f ca="1"/>
        <v>59.262286460708999</v>
      </c>
      <c r="AG4457" s="2">
        <f ca="1"/>
        <v>0.34070059996607838</v>
      </c>
      <c r="AH4457" s="2" t="str">
        <f ca="1"/>
        <v>OK</v>
      </c>
    </row>
    <row r="4458" spans="2:34" x14ac:dyDescent="0.2">
      <c r="B4458" s="2">
        <f ca="1"/>
        <v>0.63971279586751084</v>
      </c>
      <c r="O4458" s="2">
        <f ca="1"/>
        <v>1.0850517422041885</v>
      </c>
      <c r="X4458" s="2">
        <f ca="1"/>
        <v>52.786398099322092</v>
      </c>
      <c r="AG4458" s="2">
        <f ca="1"/>
        <v>0.21001322552681301</v>
      </c>
      <c r="AH4458" s="2" t="str">
        <f ca="1"/>
        <v>OK</v>
      </c>
    </row>
    <row r="4459" spans="2:34" x14ac:dyDescent="0.2">
      <c r="B4459" s="2">
        <f ca="1"/>
        <v>0.50485850984614711</v>
      </c>
      <c r="O4459" s="2">
        <f ca="1"/>
        <v>-1.9044713717868214</v>
      </c>
      <c r="X4459" s="2">
        <f ca="1"/>
        <v>46.618328139549412</v>
      </c>
      <c r="AG4459" s="2">
        <f ca="1"/>
        <v>0.51391793976938072</v>
      </c>
      <c r="AH4459" s="2" t="str">
        <f ca="1"/>
        <v>Bad</v>
      </c>
    </row>
    <row r="4460" spans="2:34" x14ac:dyDescent="0.2">
      <c r="B4460" s="2">
        <f ca="1"/>
        <v>2.4555699401275444E-2</v>
      </c>
      <c r="O4460" s="2">
        <f ca="1"/>
        <v>0.70544475812762131</v>
      </c>
      <c r="X4460" s="2">
        <f ca="1"/>
        <v>66.153692627514999</v>
      </c>
      <c r="AG4460" s="2">
        <f ca="1"/>
        <v>0.94931987963678566</v>
      </c>
      <c r="AH4460" s="2" t="str">
        <f ca="1"/>
        <v>Bad</v>
      </c>
    </row>
    <row r="4461" spans="2:34" x14ac:dyDescent="0.2">
      <c r="B4461" s="2">
        <f ca="1"/>
        <v>0.41257695846848397</v>
      </c>
      <c r="O4461" s="2">
        <f ca="1"/>
        <v>0.13054209260627006</v>
      </c>
      <c r="X4461" s="2">
        <f ca="1"/>
        <v>45.97999409772796</v>
      </c>
      <c r="AG4461" s="2">
        <f ca="1"/>
        <v>8.4042592648418069E-2</v>
      </c>
      <c r="AH4461" s="2" t="str">
        <f ca="1"/>
        <v>OK</v>
      </c>
    </row>
    <row r="4462" spans="2:34" x14ac:dyDescent="0.2">
      <c r="B4462" s="2">
        <f ca="1"/>
        <v>0.13111936948162439</v>
      </c>
      <c r="O4462" s="2">
        <f ca="1"/>
        <v>0.58927045305981007</v>
      </c>
      <c r="X4462" s="2">
        <f ca="1"/>
        <v>50.453427218729921</v>
      </c>
      <c r="AG4462" s="2">
        <f ca="1"/>
        <v>0.57201369567376892</v>
      </c>
      <c r="AH4462" s="2" t="str">
        <f ca="1"/>
        <v>Bad</v>
      </c>
    </row>
    <row r="4463" spans="2:34" x14ac:dyDescent="0.2">
      <c r="B4463" s="2">
        <f ca="1"/>
        <v>0.49370354459346832</v>
      </c>
      <c r="O4463" s="2">
        <f ca="1"/>
        <v>1.3520640852166181</v>
      </c>
      <c r="X4463" s="2">
        <f ca="1"/>
        <v>81.508738249446836</v>
      </c>
      <c r="AG4463" s="2">
        <f ca="1"/>
        <v>0.60338641854537212</v>
      </c>
      <c r="AH4463" s="2" t="str">
        <f ca="1"/>
        <v>Bad</v>
      </c>
    </row>
    <row r="4464" spans="2:34" x14ac:dyDescent="0.2">
      <c r="B4464" s="2">
        <f ca="1"/>
        <v>0.64488327914985688</v>
      </c>
      <c r="O4464" s="2">
        <f ca="1"/>
        <v>-0.13111857549660255</v>
      </c>
      <c r="X4464" s="2">
        <f ca="1"/>
        <v>60.155079752838574</v>
      </c>
      <c r="AG4464" s="2">
        <f ca="1"/>
        <v>0.69216492136176</v>
      </c>
      <c r="AH4464" s="2" t="str">
        <f ca="1"/>
        <v>Bad</v>
      </c>
    </row>
    <row r="4465" spans="2:34" x14ac:dyDescent="0.2">
      <c r="B4465" s="2">
        <f ca="1"/>
        <v>0.80957959638234556</v>
      </c>
      <c r="O4465" s="2">
        <f ca="1"/>
        <v>0.29922290570254473</v>
      </c>
      <c r="X4465" s="2">
        <f ca="1"/>
        <v>46.32033068835721</v>
      </c>
      <c r="AG4465" s="2">
        <f ca="1"/>
        <v>0.82266337180858717</v>
      </c>
      <c r="AH4465" s="2" t="str">
        <f ca="1"/>
        <v>Bad</v>
      </c>
    </row>
    <row r="4466" spans="2:34" x14ac:dyDescent="0.2">
      <c r="B4466" s="2">
        <f ca="1"/>
        <v>0.52023697578862849</v>
      </c>
      <c r="O4466" s="2">
        <f ca="1"/>
        <v>0.44329078895395285</v>
      </c>
      <c r="X4466" s="2">
        <f ca="1"/>
        <v>30.964313397531207</v>
      </c>
      <c r="AG4466" s="2">
        <f ca="1"/>
        <v>0.25135125429278649</v>
      </c>
      <c r="AH4466" s="2" t="str">
        <f ca="1"/>
        <v>OK</v>
      </c>
    </row>
    <row r="4467" spans="2:34" x14ac:dyDescent="0.2">
      <c r="B4467" s="2">
        <f ca="1"/>
        <v>0.30962844092838693</v>
      </c>
      <c r="O4467" s="2">
        <f ca="1"/>
        <v>1.4235833743335493</v>
      </c>
      <c r="X4467" s="2">
        <f ca="1"/>
        <v>102.168712361117</v>
      </c>
      <c r="AG4467" s="2">
        <f ca="1"/>
        <v>0.28050727855578228</v>
      </c>
      <c r="AH4467" s="2" t="str">
        <f ca="1"/>
        <v>OK</v>
      </c>
    </row>
    <row r="4468" spans="2:34" x14ac:dyDescent="0.2">
      <c r="B4468" s="2">
        <f ca="1"/>
        <v>0.12241112585626635</v>
      </c>
      <c r="O4468" s="2">
        <f ca="1"/>
        <v>-0.9193278939334627</v>
      </c>
      <c r="X4468" s="2">
        <f ca="1"/>
        <v>35.157617219106442</v>
      </c>
      <c r="AG4468" s="2">
        <f ca="1"/>
        <v>0.90927270101000834</v>
      </c>
      <c r="AH4468" s="2" t="str">
        <f ca="1"/>
        <v>Bad</v>
      </c>
    </row>
    <row r="4469" spans="2:34" x14ac:dyDescent="0.2">
      <c r="B4469" s="2">
        <f ca="1"/>
        <v>0.74908277392195033</v>
      </c>
      <c r="O4469" s="2">
        <f ca="1"/>
        <v>-0.38559216999246482</v>
      </c>
      <c r="X4469" s="2">
        <f ca="1"/>
        <v>52.755647078621593</v>
      </c>
      <c r="AG4469" s="2">
        <f ca="1"/>
        <v>0.60519317052435695</v>
      </c>
      <c r="AH4469" s="2" t="str">
        <f ca="1"/>
        <v>Bad</v>
      </c>
    </row>
    <row r="4470" spans="2:34" x14ac:dyDescent="0.2">
      <c r="B4470" s="2">
        <f ca="1"/>
        <v>0.91382730389678168</v>
      </c>
      <c r="O4470" s="2">
        <f ca="1"/>
        <v>0.45759220677758</v>
      </c>
      <c r="X4470" s="2">
        <f ca="1"/>
        <v>61.196960972071878</v>
      </c>
      <c r="AG4470" s="2">
        <f ca="1"/>
        <v>0.90037245156746248</v>
      </c>
      <c r="AH4470" s="2" t="str">
        <f ca="1"/>
        <v>Bad</v>
      </c>
    </row>
    <row r="4471" spans="2:34" x14ac:dyDescent="0.2">
      <c r="B4471" s="2">
        <f ca="1"/>
        <v>0.1003243870728916</v>
      </c>
      <c r="O4471" s="2">
        <f ca="1"/>
        <v>-1.0010751335943286</v>
      </c>
      <c r="X4471" s="2">
        <f ca="1"/>
        <v>57.718712071542484</v>
      </c>
      <c r="AG4471" s="2">
        <f ca="1"/>
        <v>0.65566588420286465</v>
      </c>
      <c r="AH4471" s="2" t="str">
        <f ca="1"/>
        <v>Bad</v>
      </c>
    </row>
    <row r="4472" spans="2:34" x14ac:dyDescent="0.2">
      <c r="B4472" s="2">
        <f ca="1"/>
        <v>0.47911247835960924</v>
      </c>
      <c r="O4472" s="2">
        <f ca="1"/>
        <v>-0.33488985350686395</v>
      </c>
      <c r="X4472" s="2">
        <f ca="1"/>
        <v>41.78806108743656</v>
      </c>
      <c r="AG4472" s="2">
        <f ca="1"/>
        <v>0.38397846373933509</v>
      </c>
      <c r="AH4472" s="2" t="str">
        <f ca="1"/>
        <v>OK</v>
      </c>
    </row>
    <row r="4473" spans="2:34" x14ac:dyDescent="0.2">
      <c r="B4473" s="2">
        <f ca="1"/>
        <v>0.38199158541238254</v>
      </c>
      <c r="O4473" s="2">
        <f ca="1"/>
        <v>0.53807098121845209</v>
      </c>
      <c r="X4473" s="2">
        <f ca="1"/>
        <v>47.014831358024779</v>
      </c>
      <c r="AG4473" s="2">
        <f ca="1"/>
        <v>0.46239875313516543</v>
      </c>
      <c r="AH4473" s="2" t="str">
        <f ca="1"/>
        <v>Bad</v>
      </c>
    </row>
    <row r="4474" spans="2:34" x14ac:dyDescent="0.2">
      <c r="B4474" s="2">
        <f ca="1"/>
        <v>0.71100177346266613</v>
      </c>
      <c r="O4474" s="2">
        <f ca="1"/>
        <v>-1.0979058192739715</v>
      </c>
      <c r="X4474" s="2">
        <f ca="1"/>
        <v>54.245054211629025</v>
      </c>
      <c r="AG4474" s="2">
        <f ca="1"/>
        <v>0.14042274515489495</v>
      </c>
      <c r="AH4474" s="2" t="str">
        <f ca="1"/>
        <v>OK</v>
      </c>
    </row>
    <row r="4475" spans="2:34" x14ac:dyDescent="0.2">
      <c r="B4475" s="2">
        <f ca="1"/>
        <v>0.57131148763604811</v>
      </c>
      <c r="O4475" s="2">
        <f ca="1"/>
        <v>0.13752682139682895</v>
      </c>
      <c r="X4475" s="2">
        <f ca="1"/>
        <v>33.024183661109227</v>
      </c>
      <c r="AG4475" s="2">
        <f ca="1"/>
        <v>0.20639668073494222</v>
      </c>
      <c r="AH4475" s="2" t="str">
        <f ca="1"/>
        <v>OK</v>
      </c>
    </row>
    <row r="4476" spans="2:34" x14ac:dyDescent="0.2">
      <c r="B4476" s="2">
        <f ca="1"/>
        <v>0.41946192503578206</v>
      </c>
      <c r="O4476" s="2">
        <f ca="1"/>
        <v>2.536369543831908</v>
      </c>
      <c r="X4476" s="2">
        <f ca="1"/>
        <v>62.756296388286358</v>
      </c>
      <c r="AG4476" s="2">
        <f ca="1"/>
        <v>0.87471767608913376</v>
      </c>
      <c r="AH4476" s="2" t="str">
        <f ca="1"/>
        <v>Bad</v>
      </c>
    </row>
    <row r="4477" spans="2:34" x14ac:dyDescent="0.2">
      <c r="B4477" s="2">
        <f ca="1"/>
        <v>0.60632057738342371</v>
      </c>
      <c r="O4477" s="2">
        <f ca="1"/>
        <v>1.2476392693062899</v>
      </c>
      <c r="X4477" s="2">
        <f ca="1"/>
        <v>66.69783673413464</v>
      </c>
      <c r="AG4477" s="2">
        <f ca="1"/>
        <v>0.21771682954189142</v>
      </c>
      <c r="AH4477" s="2" t="str">
        <f ca="1"/>
        <v>OK</v>
      </c>
    </row>
    <row r="4478" spans="2:34" x14ac:dyDescent="0.2">
      <c r="B4478" s="2">
        <f ca="1"/>
        <v>0.91278489837764409</v>
      </c>
      <c r="O4478" s="2">
        <f ca="1"/>
        <v>-0.14460717156890035</v>
      </c>
      <c r="X4478" s="2">
        <f ca="1"/>
        <v>34.573228968179883</v>
      </c>
      <c r="AG4478" s="2">
        <f ca="1"/>
        <v>0.88349480883801856</v>
      </c>
      <c r="AH4478" s="2" t="str">
        <f ca="1"/>
        <v>Bad</v>
      </c>
    </row>
    <row r="4479" spans="2:34" x14ac:dyDescent="0.2">
      <c r="B4479" s="2">
        <f ca="1"/>
        <v>0.42660851868285121</v>
      </c>
      <c r="O4479" s="2">
        <f ca="1"/>
        <v>0.76210105750534762</v>
      </c>
      <c r="X4479" s="2">
        <f ca="1"/>
        <v>44.845955408819734</v>
      </c>
      <c r="AG4479" s="2">
        <f ca="1"/>
        <v>7.983627994831699E-2</v>
      </c>
      <c r="AH4479" s="2" t="str">
        <f ca="1"/>
        <v>OK</v>
      </c>
    </row>
    <row r="4480" spans="2:34" x14ac:dyDescent="0.2">
      <c r="B4480" s="2">
        <f ca="1"/>
        <v>0.3852833444645698</v>
      </c>
      <c r="O4480" s="2">
        <f ca="1"/>
        <v>1.8140842718988044</v>
      </c>
      <c r="X4480" s="2">
        <f ca="1"/>
        <v>73.061239474510543</v>
      </c>
      <c r="AG4480" s="2">
        <f ca="1"/>
        <v>0.46216105511042938</v>
      </c>
      <c r="AH4480" s="2" t="str">
        <f ca="1"/>
        <v>Bad</v>
      </c>
    </row>
    <row r="4481" spans="2:34" x14ac:dyDescent="0.2">
      <c r="B4481" s="2">
        <f ca="1"/>
        <v>0.84513156961380664</v>
      </c>
      <c r="O4481" s="2">
        <f ca="1"/>
        <v>0.31421976592716988</v>
      </c>
      <c r="X4481" s="2">
        <f ca="1"/>
        <v>64.293330204078714</v>
      </c>
      <c r="AG4481" s="2">
        <f ca="1"/>
        <v>0.13319489045568633</v>
      </c>
      <c r="AH4481" s="2" t="str">
        <f ca="1"/>
        <v>OK</v>
      </c>
    </row>
    <row r="4482" spans="2:34" x14ac:dyDescent="0.2">
      <c r="B4482" s="2">
        <f ca="1"/>
        <v>7.6381694071962158E-2</v>
      </c>
      <c r="O4482" s="2">
        <f ca="1"/>
        <v>-6.8937915559413129E-2</v>
      </c>
      <c r="X4482" s="2">
        <f ca="1"/>
        <v>32.433764939145689</v>
      </c>
      <c r="AG4482" s="2">
        <f ca="1"/>
        <v>1.2687918672559473E-2</v>
      </c>
      <c r="AH4482" s="2" t="str">
        <f ca="1"/>
        <v>Good</v>
      </c>
    </row>
    <row r="4483" spans="2:34" x14ac:dyDescent="0.2">
      <c r="B4483" s="2">
        <f ca="1"/>
        <v>0.16327458533834216</v>
      </c>
      <c r="O4483" s="2">
        <f ca="1"/>
        <v>-0.20958134547929677</v>
      </c>
      <c r="X4483" s="2">
        <f ca="1"/>
        <v>65.84858895314315</v>
      </c>
      <c r="AG4483" s="2">
        <f ca="1"/>
        <v>0.39706855663151353</v>
      </c>
      <c r="AH4483" s="2" t="str">
        <f ca="1"/>
        <v>OK</v>
      </c>
    </row>
    <row r="4484" spans="2:34" x14ac:dyDescent="0.2">
      <c r="B4484" s="2">
        <f ca="1"/>
        <v>0.93788485160371393</v>
      </c>
      <c r="O4484" s="2">
        <f ca="1"/>
        <v>-0.6935824182540592</v>
      </c>
      <c r="X4484" s="2">
        <f ca="1"/>
        <v>41.681866794764275</v>
      </c>
      <c r="AG4484" s="2">
        <f ca="1"/>
        <v>0.62191727961766263</v>
      </c>
      <c r="AH4484" s="2" t="str">
        <f ca="1"/>
        <v>Bad</v>
      </c>
    </row>
    <row r="4485" spans="2:34" x14ac:dyDescent="0.2">
      <c r="B4485" s="2">
        <f ca="1"/>
        <v>0.23137411529951346</v>
      </c>
      <c r="O4485" s="2">
        <f ca="1"/>
        <v>-0.64200439651497332</v>
      </c>
      <c r="X4485" s="2">
        <f ca="1"/>
        <v>54.14073582515072</v>
      </c>
      <c r="AG4485" s="2">
        <f ca="1"/>
        <v>0.83600988925012421</v>
      </c>
      <c r="AH4485" s="2" t="str">
        <f ca="1"/>
        <v>Bad</v>
      </c>
    </row>
    <row r="4486" spans="2:34" x14ac:dyDescent="0.2">
      <c r="B4486" s="2">
        <f ca="1"/>
        <v>0.9973454309956622</v>
      </c>
      <c r="O4486" s="2">
        <f ca="1"/>
        <v>4.1803480931056049E-2</v>
      </c>
      <c r="X4486" s="2">
        <f ca="1"/>
        <v>48.863097620686695</v>
      </c>
      <c r="AG4486" s="2">
        <f ca="1"/>
        <v>0.30865157471460325</v>
      </c>
      <c r="AH4486" s="2" t="str">
        <f ca="1"/>
        <v>OK</v>
      </c>
    </row>
    <row r="4487" spans="2:34" x14ac:dyDescent="0.2">
      <c r="B4487" s="2">
        <f ca="1"/>
        <v>0.37343157429843998</v>
      </c>
      <c r="O4487" s="2">
        <f ca="1"/>
        <v>1.4866404792308308</v>
      </c>
      <c r="X4487" s="2">
        <f ca="1"/>
        <v>57.278612371989652</v>
      </c>
      <c r="AG4487" s="2">
        <f ca="1"/>
        <v>0.16478803308249979</v>
      </c>
      <c r="AH4487" s="2" t="str">
        <f ca="1"/>
        <v>OK</v>
      </c>
    </row>
    <row r="4488" spans="2:34" x14ac:dyDescent="0.2">
      <c r="B4488" s="2">
        <f ca="1"/>
        <v>0.464472357724385</v>
      </c>
      <c r="O4488" s="2">
        <f ca="1"/>
        <v>1.6218520426312624</v>
      </c>
      <c r="X4488" s="2">
        <f ca="1"/>
        <v>28.128868975863163</v>
      </c>
      <c r="AG4488" s="2">
        <f ca="1"/>
        <v>0.22303758636852633</v>
      </c>
      <c r="AH4488" s="2" t="str">
        <f ca="1"/>
        <v>OK</v>
      </c>
    </row>
    <row r="4489" spans="2:34" x14ac:dyDescent="0.2">
      <c r="B4489" s="2">
        <f ca="1"/>
        <v>0.69909872091349801</v>
      </c>
      <c r="O4489" s="2">
        <f ca="1"/>
        <v>0.22326820183456839</v>
      </c>
      <c r="X4489" s="2">
        <f ca="1"/>
        <v>38.627588308121133</v>
      </c>
      <c r="AG4489" s="2">
        <f ca="1"/>
        <v>0.75401407531686782</v>
      </c>
      <c r="AH4489" s="2" t="str">
        <f ca="1"/>
        <v>Bad</v>
      </c>
    </row>
    <row r="4490" spans="2:34" x14ac:dyDescent="0.2">
      <c r="B4490" s="2">
        <f ca="1"/>
        <v>0.1735979981450666</v>
      </c>
      <c r="O4490" s="2">
        <f ca="1"/>
        <v>2.5693318584507064E-2</v>
      </c>
      <c r="X4490" s="2">
        <f ca="1"/>
        <v>40.707068892023074</v>
      </c>
      <c r="AG4490" s="2">
        <f ca="1"/>
        <v>0.87043816763631132</v>
      </c>
      <c r="AH4490" s="2" t="str">
        <f ca="1"/>
        <v>Bad</v>
      </c>
    </row>
    <row r="4491" spans="2:34" x14ac:dyDescent="0.2">
      <c r="B4491" s="2">
        <f ca="1"/>
        <v>0.79413247162854517</v>
      </c>
      <c r="O4491" s="2">
        <f ca="1"/>
        <v>-7.2711513679877521E-2</v>
      </c>
      <c r="X4491" s="2">
        <f ca="1"/>
        <v>31.032827696331395</v>
      </c>
      <c r="AG4491" s="2">
        <f ca="1"/>
        <v>0.50618308177498506</v>
      </c>
      <c r="AH4491" s="2" t="str">
        <f ca="1"/>
        <v>Bad</v>
      </c>
    </row>
    <row r="4492" spans="2:34" x14ac:dyDescent="0.2">
      <c r="B4492" s="2">
        <f ca="1"/>
        <v>5.8936013818547073E-2</v>
      </c>
      <c r="O4492" s="2">
        <f ca="1"/>
        <v>-5.6633334459992246E-2</v>
      </c>
      <c r="X4492" s="2">
        <f ca="1"/>
        <v>37.41080904893478</v>
      </c>
      <c r="AG4492" s="2">
        <f ca="1"/>
        <v>0.43374704511999784</v>
      </c>
      <c r="AH4492" s="2" t="str">
        <f ca="1"/>
        <v>Bad</v>
      </c>
    </row>
    <row r="4493" spans="2:34" x14ac:dyDescent="0.2">
      <c r="B4493" s="2">
        <f ca="1"/>
        <v>0.93006906385676635</v>
      </c>
      <c r="O4493" s="2">
        <f ca="1"/>
        <v>0.50966301712445405</v>
      </c>
      <c r="X4493" s="2">
        <f ca="1"/>
        <v>63.920968019399353</v>
      </c>
      <c r="AG4493" s="2">
        <f ca="1"/>
        <v>0.95050608570388118</v>
      </c>
      <c r="AH4493" s="2" t="str">
        <f ca="1"/>
        <v>Bad</v>
      </c>
    </row>
    <row r="4494" spans="2:34" x14ac:dyDescent="0.2">
      <c r="B4494" s="2">
        <f ca="1"/>
        <v>0.71508097132284232</v>
      </c>
      <c r="O4494" s="2">
        <f ca="1"/>
        <v>0.71855400104048039</v>
      </c>
      <c r="X4494" s="2">
        <f ca="1"/>
        <v>52.371574587110821</v>
      </c>
      <c r="AG4494" s="2">
        <f ca="1"/>
        <v>0.84982057027096003</v>
      </c>
      <c r="AH4494" s="2" t="str">
        <f ca="1"/>
        <v>Bad</v>
      </c>
    </row>
    <row r="4495" spans="2:34" x14ac:dyDescent="0.2">
      <c r="B4495" s="2">
        <f ca="1"/>
        <v>0.60594212499826039</v>
      </c>
      <c r="O4495" s="2">
        <f ca="1"/>
        <v>1.57289168051573</v>
      </c>
      <c r="X4495" s="2">
        <f ca="1"/>
        <v>50.356230888762845</v>
      </c>
      <c r="AG4495" s="2">
        <f ca="1"/>
        <v>0.6545265556337847</v>
      </c>
      <c r="AH4495" s="2" t="str">
        <f ca="1"/>
        <v>Bad</v>
      </c>
    </row>
    <row r="4496" spans="2:34" x14ac:dyDescent="0.2">
      <c r="B4496" s="2">
        <f ca="1"/>
        <v>0.74388097063040104</v>
      </c>
      <c r="O4496" s="2">
        <f ca="1"/>
        <v>-0.33079738851405754</v>
      </c>
      <c r="X4496" s="2">
        <f ca="1"/>
        <v>32.943974158760994</v>
      </c>
      <c r="AG4496" s="2">
        <f ca="1"/>
        <v>0.83113713101991071</v>
      </c>
      <c r="AH4496" s="2" t="str">
        <f ca="1"/>
        <v>Bad</v>
      </c>
    </row>
    <row r="4497" spans="2:34" x14ac:dyDescent="0.2">
      <c r="B4497" s="2">
        <f ca="1"/>
        <v>0.78932046367392728</v>
      </c>
      <c r="O4497" s="2">
        <f ca="1"/>
        <v>0.54216602502607536</v>
      </c>
      <c r="X4497" s="2">
        <f ca="1"/>
        <v>58.310965791209846</v>
      </c>
      <c r="AG4497" s="2">
        <f ca="1"/>
        <v>0.99962316253671601</v>
      </c>
      <c r="AH4497" s="2" t="str">
        <f ca="1"/>
        <v>Bad</v>
      </c>
    </row>
    <row r="4498" spans="2:34" x14ac:dyDescent="0.2">
      <c r="B4498" s="2">
        <f ca="1"/>
        <v>0.68862082591994422</v>
      </c>
      <c r="O4498" s="2">
        <f ca="1"/>
        <v>1.5681225197704238E-2</v>
      </c>
      <c r="X4498" s="2">
        <f ca="1"/>
        <v>27.433539690860094</v>
      </c>
      <c r="AG4498" s="2">
        <f ca="1"/>
        <v>0.96028364694382518</v>
      </c>
      <c r="AH4498" s="2" t="str">
        <f ca="1"/>
        <v>Bad</v>
      </c>
    </row>
    <row r="4499" spans="2:34" x14ac:dyDescent="0.2">
      <c r="B4499" s="2">
        <f ca="1"/>
        <v>0.92214654835292742</v>
      </c>
      <c r="O4499" s="2">
        <f ca="1"/>
        <v>1.1501788134701159</v>
      </c>
      <c r="X4499" s="2">
        <f ca="1"/>
        <v>51.4540946601157</v>
      </c>
      <c r="AG4499" s="2">
        <f ca="1"/>
        <v>0.39299612349649715</v>
      </c>
      <c r="AH4499" s="2" t="str">
        <f ca="1"/>
        <v>OK</v>
      </c>
    </row>
    <row r="4500" spans="2:34" x14ac:dyDescent="0.2">
      <c r="B4500" s="2">
        <f ca="1"/>
        <v>0.40248006413493287</v>
      </c>
      <c r="O4500" s="2">
        <f ca="1"/>
        <v>0.42207566690003523</v>
      </c>
      <c r="X4500" s="2">
        <f ca="1"/>
        <v>35.637631866922334</v>
      </c>
      <c r="AG4500" s="2">
        <f ca="1"/>
        <v>0.33102070239440518</v>
      </c>
      <c r="AH4500" s="2" t="str">
        <f ca="1"/>
        <v>OK</v>
      </c>
    </row>
    <row r="4501" spans="2:34" x14ac:dyDescent="0.2">
      <c r="B4501" s="2">
        <f ca="1"/>
        <v>0.74386984015276481</v>
      </c>
      <c r="O4501" s="2">
        <f ca="1"/>
        <v>1.0031575193165061</v>
      </c>
      <c r="X4501" s="2">
        <f ca="1"/>
        <v>28.996649012562877</v>
      </c>
      <c r="AG4501" s="2">
        <f ca="1"/>
        <v>0.77661752573439502</v>
      </c>
      <c r="AH4501" s="2" t="str">
        <f ca="1"/>
        <v>Bad</v>
      </c>
    </row>
    <row r="4502" spans="2:34" x14ac:dyDescent="0.2">
      <c r="B4502" s="2">
        <f ca="1"/>
        <v>0.57690132265880445</v>
      </c>
      <c r="O4502" s="2">
        <f ca="1"/>
        <v>0.56896723485149314</v>
      </c>
      <c r="X4502" s="2">
        <f ca="1"/>
        <v>56.468316307105077</v>
      </c>
      <c r="AG4502" s="2">
        <f ca="1"/>
        <v>0.32666492605073283</v>
      </c>
      <c r="AH4502" s="2" t="str">
        <f ca="1"/>
        <v>OK</v>
      </c>
    </row>
    <row r="4503" spans="2:34" x14ac:dyDescent="0.2">
      <c r="B4503" s="2">
        <f ca="1"/>
        <v>2.7751952893639187E-2</v>
      </c>
      <c r="O4503" s="2">
        <f ca="1"/>
        <v>3.006062819904776E-2</v>
      </c>
      <c r="X4503" s="2">
        <f ca="1"/>
        <v>42.325367691799997</v>
      </c>
      <c r="AG4503" s="2">
        <f ca="1"/>
        <v>0.46367981169644201</v>
      </c>
      <c r="AH4503" s="2" t="str">
        <f ca="1"/>
        <v>Bad</v>
      </c>
    </row>
    <row r="4504" spans="2:34" x14ac:dyDescent="0.2">
      <c r="B4504" s="2">
        <f ca="1"/>
        <v>0.59349529904708276</v>
      </c>
      <c r="O4504" s="2">
        <f ca="1"/>
        <v>1.206985238405736</v>
      </c>
      <c r="X4504" s="2">
        <f ca="1"/>
        <v>70.103161756236204</v>
      </c>
      <c r="AG4504" s="2">
        <f ca="1"/>
        <v>4.6783550955893816E-2</v>
      </c>
      <c r="AH4504" s="2" t="str">
        <f ca="1"/>
        <v>Good</v>
      </c>
    </row>
    <row r="4505" spans="2:34" x14ac:dyDescent="0.2">
      <c r="B4505" s="2">
        <f ca="1"/>
        <v>0.49242228831911228</v>
      </c>
      <c r="O4505" s="2">
        <f ca="1"/>
        <v>-0.485973235055363</v>
      </c>
      <c r="X4505" s="2">
        <f ca="1"/>
        <v>63.499856208857935</v>
      </c>
      <c r="AG4505" s="2">
        <f ca="1"/>
        <v>0.73000025302496208</v>
      </c>
      <c r="AH4505" s="2" t="str">
        <f ca="1"/>
        <v>Bad</v>
      </c>
    </row>
    <row r="4506" spans="2:34" x14ac:dyDescent="0.2">
      <c r="B4506" s="2">
        <f ca="1"/>
        <v>0.42954369223577205</v>
      </c>
      <c r="O4506" s="2">
        <f ca="1"/>
        <v>-0.10250921262810062</v>
      </c>
      <c r="X4506" s="2">
        <f ca="1"/>
        <v>35.668803064048703</v>
      </c>
      <c r="AG4506" s="2">
        <f ca="1"/>
        <v>0.49879298626976576</v>
      </c>
      <c r="AH4506" s="2" t="str">
        <f ca="1"/>
        <v>Bad</v>
      </c>
    </row>
    <row r="4507" spans="2:34" x14ac:dyDescent="0.2">
      <c r="B4507" s="2">
        <f ca="1"/>
        <v>0.45488450325466645</v>
      </c>
      <c r="O4507" s="2">
        <f ca="1"/>
        <v>-0.11399924454774935</v>
      </c>
      <c r="X4507" s="2">
        <f ca="1"/>
        <v>35.849355892779535</v>
      </c>
      <c r="AG4507" s="2">
        <f ca="1"/>
        <v>0.21094780773761812</v>
      </c>
      <c r="AH4507" s="2" t="str">
        <f ca="1"/>
        <v>OK</v>
      </c>
    </row>
    <row r="4508" spans="2:34" x14ac:dyDescent="0.2">
      <c r="B4508" s="2">
        <f ca="1"/>
        <v>0.83202337777326818</v>
      </c>
      <c r="O4508" s="2">
        <f ca="1"/>
        <v>0.89430824491610661</v>
      </c>
      <c r="X4508" s="2">
        <f ca="1"/>
        <v>87.022174793219321</v>
      </c>
      <c r="AG4508" s="2">
        <f ca="1"/>
        <v>0.81182465970184259</v>
      </c>
      <c r="AH4508" s="2" t="str">
        <f ca="1"/>
        <v>Bad</v>
      </c>
    </row>
    <row r="4509" spans="2:34" x14ac:dyDescent="0.2">
      <c r="B4509" s="2">
        <f ca="1"/>
        <v>0.12281703356472118</v>
      </c>
      <c r="O4509" s="2">
        <f ca="1"/>
        <v>0.66416190754239512</v>
      </c>
      <c r="X4509" s="2">
        <f ca="1"/>
        <v>48.486481002610596</v>
      </c>
      <c r="AG4509" s="2">
        <f ca="1"/>
        <v>0.49177930776308498</v>
      </c>
      <c r="AH4509" s="2" t="str">
        <f ca="1"/>
        <v>Bad</v>
      </c>
    </row>
    <row r="4510" spans="2:34" x14ac:dyDescent="0.2">
      <c r="B4510" s="2">
        <f ca="1"/>
        <v>0.18508247277286105</v>
      </c>
      <c r="O4510" s="2">
        <f ca="1"/>
        <v>-0.76547399211072242</v>
      </c>
      <c r="X4510" s="2">
        <f ca="1"/>
        <v>38.387657584401801</v>
      </c>
      <c r="AG4510" s="2">
        <f ca="1"/>
        <v>0.87908182827779546</v>
      </c>
      <c r="AH4510" s="2" t="str">
        <f ca="1"/>
        <v>Bad</v>
      </c>
    </row>
    <row r="4511" spans="2:34" x14ac:dyDescent="0.2">
      <c r="B4511" s="2">
        <f ca="1"/>
        <v>0.90387264488076458</v>
      </c>
      <c r="O4511" s="2">
        <f ca="1"/>
        <v>-5.2915173369086806E-2</v>
      </c>
      <c r="X4511" s="2">
        <f ca="1"/>
        <v>36.307337370632894</v>
      </c>
      <c r="AG4511" s="2">
        <f ca="1"/>
        <v>6.0688430396354409E-2</v>
      </c>
      <c r="AH4511" s="2" t="str">
        <f ca="1"/>
        <v>OK</v>
      </c>
    </row>
    <row r="4512" spans="2:34" x14ac:dyDescent="0.2">
      <c r="B4512" s="2">
        <f ca="1"/>
        <v>0.88039425939983551</v>
      </c>
      <c r="O4512" s="2">
        <f ca="1"/>
        <v>-2.4788678873232786</v>
      </c>
      <c r="X4512" s="2">
        <f ca="1"/>
        <v>61.140803855386238</v>
      </c>
      <c r="AG4512" s="2">
        <f ca="1"/>
        <v>0.65084941694048637</v>
      </c>
      <c r="AH4512" s="2" t="str">
        <f ca="1"/>
        <v>Bad</v>
      </c>
    </row>
    <row r="4513" spans="2:34" x14ac:dyDescent="0.2">
      <c r="B4513" s="2">
        <f ca="1"/>
        <v>0.4645564068883985</v>
      </c>
      <c r="O4513" s="2">
        <f ca="1"/>
        <v>0.41438258303807063</v>
      </c>
      <c r="X4513" s="2">
        <f ca="1"/>
        <v>33.204804611666518</v>
      </c>
      <c r="AG4513" s="2">
        <f ca="1"/>
        <v>1.0068282796056538E-2</v>
      </c>
      <c r="AH4513" s="2" t="str">
        <f ca="1"/>
        <v>Good</v>
      </c>
    </row>
    <row r="4514" spans="2:34" x14ac:dyDescent="0.2">
      <c r="B4514" s="2">
        <f ca="1"/>
        <v>1.2686785379077081E-2</v>
      </c>
      <c r="O4514" s="2">
        <f ca="1"/>
        <v>-1.6568632839528803</v>
      </c>
      <c r="X4514" s="2">
        <f ca="1"/>
        <v>29.408630593082496</v>
      </c>
      <c r="AG4514" s="2">
        <f ca="1"/>
        <v>0.65265474656224809</v>
      </c>
      <c r="AH4514" s="2" t="str">
        <f ca="1"/>
        <v>Bad</v>
      </c>
    </row>
    <row r="4515" spans="2:34" x14ac:dyDescent="0.2">
      <c r="B4515" s="2">
        <f ca="1"/>
        <v>0.28711944012561919</v>
      </c>
      <c r="O4515" s="2">
        <f ca="1"/>
        <v>0.90337653845028376</v>
      </c>
      <c r="X4515" s="2">
        <f ca="1"/>
        <v>66.828975635795658</v>
      </c>
      <c r="AG4515" s="2">
        <f ca="1"/>
        <v>0.82741474330491283</v>
      </c>
      <c r="AH4515" s="2" t="str">
        <f ca="1"/>
        <v>Bad</v>
      </c>
    </row>
    <row r="4516" spans="2:34" x14ac:dyDescent="0.2">
      <c r="B4516" s="2">
        <f ca="1"/>
        <v>0.71008591951304179</v>
      </c>
      <c r="O4516" s="2">
        <f ca="1"/>
        <v>-4.0906927065362191E-2</v>
      </c>
      <c r="X4516" s="2">
        <f ca="1"/>
        <v>51.648243332905665</v>
      </c>
      <c r="AG4516" s="2">
        <f ca="1"/>
        <v>0.16912324673538226</v>
      </c>
      <c r="AH4516" s="2" t="str">
        <f ca="1"/>
        <v>OK</v>
      </c>
    </row>
    <row r="4517" spans="2:34" x14ac:dyDescent="0.2">
      <c r="B4517" s="2">
        <f ca="1"/>
        <v>0.62098695574104235</v>
      </c>
      <c r="O4517" s="2">
        <f ca="1"/>
        <v>0.36743245862635054</v>
      </c>
      <c r="X4517" s="2">
        <f ca="1"/>
        <v>46.704406592998822</v>
      </c>
      <c r="AG4517" s="2">
        <f ca="1"/>
        <v>0.51892369907880287</v>
      </c>
      <c r="AH4517" s="2" t="str">
        <f ca="1"/>
        <v>Bad</v>
      </c>
    </row>
    <row r="4518" spans="2:34" x14ac:dyDescent="0.2">
      <c r="B4518" s="2">
        <f ca="1"/>
        <v>0.468675063810851</v>
      </c>
      <c r="O4518" s="2">
        <f ca="1"/>
        <v>0.36280415254348058</v>
      </c>
      <c r="X4518" s="2">
        <f ca="1"/>
        <v>44.437024620150268</v>
      </c>
      <c r="AG4518" s="2">
        <f ca="1"/>
        <v>0.40695904154841256</v>
      </c>
      <c r="AH4518" s="2" t="str">
        <f ca="1"/>
        <v>Bad</v>
      </c>
    </row>
    <row r="4519" spans="2:34" x14ac:dyDescent="0.2">
      <c r="B4519" s="2">
        <f ca="1"/>
        <v>0.22364106418553709</v>
      </c>
      <c r="O4519" s="2">
        <f ca="1"/>
        <v>0.13573091772820489</v>
      </c>
      <c r="X4519" s="2">
        <f ca="1"/>
        <v>38.773221844743674</v>
      </c>
      <c r="AG4519" s="2">
        <f ca="1"/>
        <v>0.45119873283503908</v>
      </c>
      <c r="AH4519" s="2" t="str">
        <f ca="1"/>
        <v>Bad</v>
      </c>
    </row>
    <row r="4520" spans="2:34" x14ac:dyDescent="0.2">
      <c r="B4520" s="2">
        <f ca="1"/>
        <v>0.88141141331863637</v>
      </c>
      <c r="O4520" s="2">
        <f ca="1"/>
        <v>2.0015211168840952</v>
      </c>
      <c r="X4520" s="2">
        <f ca="1"/>
        <v>31.852499773260309</v>
      </c>
      <c r="AG4520" s="2">
        <f ca="1"/>
        <v>0.57811270677018078</v>
      </c>
      <c r="AH4520" s="2" t="str">
        <f ca="1"/>
        <v>Bad</v>
      </c>
    </row>
    <row r="4521" spans="2:34" x14ac:dyDescent="0.2">
      <c r="B4521" s="2">
        <f ca="1"/>
        <v>0.20582979271374158</v>
      </c>
      <c r="O4521" s="2">
        <f ca="1"/>
        <v>0.55605345027225461</v>
      </c>
      <c r="X4521" s="2">
        <f ca="1"/>
        <v>37.009994977891772</v>
      </c>
      <c r="AG4521" s="2">
        <f ca="1"/>
        <v>0.26107019639678186</v>
      </c>
      <c r="AH4521" s="2" t="str">
        <f ca="1"/>
        <v>OK</v>
      </c>
    </row>
    <row r="4522" spans="2:34" x14ac:dyDescent="0.2">
      <c r="B4522" s="2">
        <f ca="1"/>
        <v>0.40144108647099608</v>
      </c>
      <c r="O4522" s="2">
        <f ca="1"/>
        <v>-9.814162228773457E-2</v>
      </c>
      <c r="X4522" s="2">
        <f ca="1"/>
        <v>46.862329728142001</v>
      </c>
      <c r="AG4522" s="2">
        <f ca="1"/>
        <v>0.72651800576378456</v>
      </c>
      <c r="AH4522" s="2" t="str">
        <f ca="1"/>
        <v>Bad</v>
      </c>
    </row>
    <row r="4523" spans="2:34" x14ac:dyDescent="0.2">
      <c r="B4523" s="2">
        <f ca="1"/>
        <v>0.62807892018560629</v>
      </c>
      <c r="O4523" s="2">
        <f ca="1"/>
        <v>0.34845434545813891</v>
      </c>
      <c r="X4523" s="2">
        <f ca="1"/>
        <v>40.846301226691033</v>
      </c>
      <c r="AG4523" s="2">
        <f ca="1"/>
        <v>0.60679145019014924</v>
      </c>
      <c r="AH4523" s="2" t="str">
        <f ca="1"/>
        <v>Bad</v>
      </c>
    </row>
    <row r="4524" spans="2:34" x14ac:dyDescent="0.2">
      <c r="B4524" s="2">
        <f ca="1"/>
        <v>0.70699346963745513</v>
      </c>
      <c r="O4524" s="2">
        <f ca="1"/>
        <v>0.40094301546641947</v>
      </c>
      <c r="X4524" s="2">
        <f ca="1"/>
        <v>33.941854489604346</v>
      </c>
      <c r="AG4524" s="2">
        <f ca="1"/>
        <v>0.5144453500824453</v>
      </c>
      <c r="AH4524" s="2" t="str">
        <f ca="1"/>
        <v>Bad</v>
      </c>
    </row>
    <row r="4525" spans="2:34" x14ac:dyDescent="0.2">
      <c r="B4525" s="2">
        <f ca="1"/>
        <v>0.12500717709807674</v>
      </c>
      <c r="O4525" s="2">
        <f ca="1"/>
        <v>-1.5100012747571245</v>
      </c>
      <c r="X4525" s="2">
        <f ca="1"/>
        <v>49.782488360163399</v>
      </c>
      <c r="AG4525" s="2">
        <f ca="1"/>
        <v>0.49090337399466666</v>
      </c>
      <c r="AH4525" s="2" t="str">
        <f ca="1"/>
        <v>Bad</v>
      </c>
    </row>
    <row r="4526" spans="2:34" x14ac:dyDescent="0.2">
      <c r="B4526" s="2">
        <f ca="1"/>
        <v>0.83376343904197081</v>
      </c>
      <c r="O4526" s="2">
        <f ca="1"/>
        <v>0.45783040404072034</v>
      </c>
      <c r="X4526" s="2">
        <f ca="1"/>
        <v>69.112225367087106</v>
      </c>
      <c r="AG4526" s="2">
        <f ca="1"/>
        <v>0.11639621133134481</v>
      </c>
      <c r="AH4526" s="2" t="str">
        <f ca="1"/>
        <v>OK</v>
      </c>
    </row>
    <row r="4527" spans="2:34" x14ac:dyDescent="0.2">
      <c r="B4527" s="2">
        <f ca="1"/>
        <v>0.83331010797766458</v>
      </c>
      <c r="O4527" s="2">
        <f ca="1"/>
        <v>0.48931858342352247</v>
      </c>
      <c r="X4527" s="2">
        <f ca="1"/>
        <v>43.962997477709507</v>
      </c>
      <c r="AG4527" s="2">
        <f ca="1"/>
        <v>0.51197826783524092</v>
      </c>
      <c r="AH4527" s="2" t="str">
        <f ca="1"/>
        <v>Bad</v>
      </c>
    </row>
    <row r="4528" spans="2:34" x14ac:dyDescent="0.2">
      <c r="B4528" s="2">
        <f ca="1"/>
        <v>0.89955648605154281</v>
      </c>
      <c r="O4528" s="2">
        <f ca="1"/>
        <v>1.0738483473898293</v>
      </c>
      <c r="X4528" s="2">
        <f ca="1"/>
        <v>48.570556417163644</v>
      </c>
      <c r="AG4528" s="2">
        <f ca="1"/>
        <v>0.10288398621803752</v>
      </c>
      <c r="AH4528" s="2" t="str">
        <f ca="1"/>
        <v>OK</v>
      </c>
    </row>
    <row r="4529" spans="2:34" x14ac:dyDescent="0.2">
      <c r="B4529" s="2">
        <f ca="1"/>
        <v>0.21577688933058936</v>
      </c>
      <c r="O4529" s="2">
        <f ca="1"/>
        <v>0.41532507655238687</v>
      </c>
      <c r="X4529" s="2">
        <f ca="1"/>
        <v>50.553673572177622</v>
      </c>
      <c r="AG4529" s="2">
        <f ca="1"/>
        <v>0.94727830476571873</v>
      </c>
      <c r="AH4529" s="2" t="str">
        <f ca="1"/>
        <v>Bad</v>
      </c>
    </row>
    <row r="4530" spans="2:34" x14ac:dyDescent="0.2">
      <c r="B4530" s="2">
        <f ca="1"/>
        <v>0.15416443816491099</v>
      </c>
      <c r="O4530" s="2">
        <f ca="1"/>
        <v>1.3724114864073005</v>
      </c>
      <c r="X4530" s="2">
        <f ca="1"/>
        <v>69.050234561985775</v>
      </c>
      <c r="AG4530" s="2">
        <f ca="1"/>
        <v>0.65930461304572163</v>
      </c>
      <c r="AH4530" s="2" t="str">
        <f ca="1"/>
        <v>Bad</v>
      </c>
    </row>
    <row r="4531" spans="2:34" x14ac:dyDescent="0.2">
      <c r="B4531" s="2">
        <f ca="1"/>
        <v>0.79100148126774084</v>
      </c>
      <c r="O4531" s="2">
        <f ca="1"/>
        <v>-1.1491894841067947</v>
      </c>
      <c r="X4531" s="2">
        <f ca="1"/>
        <v>43.12189018840656</v>
      </c>
      <c r="AG4531" s="2">
        <f ca="1"/>
        <v>0.82601813999607021</v>
      </c>
      <c r="AH4531" s="2" t="str">
        <f ca="1"/>
        <v>Bad</v>
      </c>
    </row>
    <row r="4532" spans="2:34" x14ac:dyDescent="0.2">
      <c r="B4532" s="2">
        <f ca="1"/>
        <v>0.8292718736234197</v>
      </c>
      <c r="O4532" s="2">
        <f ca="1"/>
        <v>0.74356483555975827</v>
      </c>
      <c r="X4532" s="2">
        <f ca="1"/>
        <v>40.336288613827946</v>
      </c>
      <c r="AG4532" s="2">
        <f ca="1"/>
        <v>0.88949627671673892</v>
      </c>
      <c r="AH4532" s="2" t="str">
        <f ca="1"/>
        <v>Bad</v>
      </c>
    </row>
    <row r="4533" spans="2:34" x14ac:dyDescent="0.2">
      <c r="B4533" s="2">
        <f ca="1"/>
        <v>0.54096941292665623</v>
      </c>
      <c r="O4533" s="2">
        <f ca="1"/>
        <v>1.0712176873864596</v>
      </c>
      <c r="X4533" s="2">
        <f ca="1"/>
        <v>58.409246271239482</v>
      </c>
      <c r="AG4533" s="2">
        <f ca="1"/>
        <v>0.84879432470903238</v>
      </c>
      <c r="AH4533" s="2" t="str">
        <f ca="1"/>
        <v>Bad</v>
      </c>
    </row>
    <row r="4534" spans="2:34" x14ac:dyDescent="0.2">
      <c r="B4534" s="2">
        <f ca="1"/>
        <v>0.77610310520125014</v>
      </c>
      <c r="O4534" s="2">
        <f ca="1"/>
        <v>-2.6535950574889418</v>
      </c>
      <c r="X4534" s="2">
        <f ca="1"/>
        <v>41.840227917189871</v>
      </c>
      <c r="AG4534" s="2">
        <f ca="1"/>
        <v>0.48920658177811327</v>
      </c>
      <c r="AH4534" s="2" t="str">
        <f ca="1"/>
        <v>Bad</v>
      </c>
    </row>
    <row r="4535" spans="2:34" x14ac:dyDescent="0.2">
      <c r="B4535" s="2">
        <f ca="1"/>
        <v>0.34969249772881117</v>
      </c>
      <c r="O4535" s="2">
        <f ca="1"/>
        <v>-0.94336401025729788</v>
      </c>
      <c r="X4535" s="2">
        <f ca="1"/>
        <v>38.479963789868179</v>
      </c>
      <c r="AG4535" s="2">
        <f ca="1"/>
        <v>0.68148867920460043</v>
      </c>
      <c r="AH4535" s="2" t="str">
        <f ca="1"/>
        <v>Bad</v>
      </c>
    </row>
    <row r="4536" spans="2:34" x14ac:dyDescent="0.2">
      <c r="B4536" s="2">
        <f ca="1"/>
        <v>0.35470996759573836</v>
      </c>
      <c r="O4536" s="2">
        <f ca="1"/>
        <v>0.69681315914222386</v>
      </c>
      <c r="X4536" s="2">
        <f ca="1"/>
        <v>47.602900729538042</v>
      </c>
      <c r="AG4536" s="2">
        <f ca="1"/>
        <v>0.18397003331099393</v>
      </c>
      <c r="AH4536" s="2" t="str">
        <f ca="1"/>
        <v>OK</v>
      </c>
    </row>
    <row r="4537" spans="2:34" x14ac:dyDescent="0.2">
      <c r="B4537" s="2">
        <f ca="1"/>
        <v>0.49716407878449576</v>
      </c>
      <c r="O4537" s="2">
        <f ca="1"/>
        <v>-1.0771754354515586</v>
      </c>
      <c r="X4537" s="2">
        <f ca="1"/>
        <v>50.120815804574704</v>
      </c>
      <c r="AG4537" s="2">
        <f ca="1"/>
        <v>0.27754625878607553</v>
      </c>
      <c r="AH4537" s="2" t="str">
        <f ca="1"/>
        <v>OK</v>
      </c>
    </row>
    <row r="4538" spans="2:34" x14ac:dyDescent="0.2">
      <c r="B4538" s="2">
        <f ca="1"/>
        <v>0.22837078881063033</v>
      </c>
      <c r="O4538" s="2">
        <f ca="1"/>
        <v>3.495197960607356</v>
      </c>
      <c r="X4538" s="2">
        <f ca="1"/>
        <v>22.527349139205796</v>
      </c>
      <c r="AG4538" s="2">
        <f ca="1"/>
        <v>0.28959176444119739</v>
      </c>
      <c r="AH4538" s="2" t="str">
        <f ca="1"/>
        <v>OK</v>
      </c>
    </row>
    <row r="4539" spans="2:34" x14ac:dyDescent="0.2">
      <c r="B4539" s="2">
        <f ca="1"/>
        <v>0.10102326091282388</v>
      </c>
      <c r="O4539" s="2">
        <f ca="1"/>
        <v>-1.6089039953437025</v>
      </c>
      <c r="X4539" s="2">
        <f ca="1"/>
        <v>32.186054504595127</v>
      </c>
      <c r="AG4539" s="2">
        <f ca="1"/>
        <v>0.79549008266405719</v>
      </c>
      <c r="AH4539" s="2" t="str">
        <f ca="1"/>
        <v>Bad</v>
      </c>
    </row>
    <row r="4540" spans="2:34" x14ac:dyDescent="0.2">
      <c r="B4540" s="2">
        <f ca="1"/>
        <v>0.18266845599152015</v>
      </c>
      <c r="O4540" s="2">
        <f ca="1"/>
        <v>-0.81089498746739086</v>
      </c>
      <c r="X4540" s="2">
        <f ca="1"/>
        <v>30.579713870330529</v>
      </c>
      <c r="AG4540" s="2">
        <f ca="1"/>
        <v>0.71130145284973523</v>
      </c>
      <c r="AH4540" s="2" t="str">
        <f ca="1"/>
        <v>Bad</v>
      </c>
    </row>
    <row r="4541" spans="2:34" x14ac:dyDescent="0.2">
      <c r="B4541" s="2">
        <f ca="1"/>
        <v>0.67552007781194479</v>
      </c>
      <c r="O4541" s="2">
        <f ca="1"/>
        <v>-1.059130094272241</v>
      </c>
      <c r="X4541" s="2">
        <f ca="1"/>
        <v>39.10153359093804</v>
      </c>
      <c r="AG4541" s="2">
        <f ca="1"/>
        <v>0.29510846011338931</v>
      </c>
      <c r="AH4541" s="2" t="str">
        <f ca="1"/>
        <v>OK</v>
      </c>
    </row>
    <row r="4542" spans="2:34" x14ac:dyDescent="0.2">
      <c r="B4542" s="2">
        <f ca="1"/>
        <v>0.55765307087221294</v>
      </c>
      <c r="O4542" s="2">
        <f ca="1"/>
        <v>-0.53049145593010782</v>
      </c>
      <c r="X4542" s="2">
        <f ca="1"/>
        <v>28.886962511346113</v>
      </c>
      <c r="AG4542" s="2">
        <f ca="1"/>
        <v>7.5635874429091476E-2</v>
      </c>
      <c r="AH4542" s="2" t="str">
        <f ca="1"/>
        <v>OK</v>
      </c>
    </row>
    <row r="4543" spans="2:34" x14ac:dyDescent="0.2">
      <c r="B4543" s="2">
        <f ca="1"/>
        <v>0.83566688393299482</v>
      </c>
      <c r="O4543" s="2">
        <f ca="1"/>
        <v>9.1006574284487884E-2</v>
      </c>
      <c r="X4543" s="2">
        <f ca="1"/>
        <v>37.761842600032836</v>
      </c>
      <c r="AG4543" s="2">
        <f ca="1"/>
        <v>0.36421579896967549</v>
      </c>
      <c r="AH4543" s="2" t="str">
        <f ca="1"/>
        <v>OK</v>
      </c>
    </row>
    <row r="4544" spans="2:34" x14ac:dyDescent="0.2">
      <c r="B4544" s="2">
        <f ca="1"/>
        <v>0.77629193517091766</v>
      </c>
      <c r="O4544" s="2">
        <f ca="1"/>
        <v>-0.1320479368300489</v>
      </c>
      <c r="X4544" s="2">
        <f ca="1"/>
        <v>18.43091741377367</v>
      </c>
      <c r="AG4544" s="2">
        <f ca="1"/>
        <v>0.24263347608017161</v>
      </c>
      <c r="AH4544" s="2" t="str">
        <f ca="1"/>
        <v>OK</v>
      </c>
    </row>
    <row r="4545" spans="2:34" x14ac:dyDescent="0.2">
      <c r="B4545" s="2">
        <f ca="1"/>
        <v>0.37639472385421113</v>
      </c>
      <c r="O4545" s="2">
        <f ca="1"/>
        <v>-1.1371023083800558</v>
      </c>
      <c r="X4545" s="2">
        <f ca="1"/>
        <v>62.392830401732269</v>
      </c>
      <c r="AG4545" s="2">
        <f ca="1"/>
        <v>0.10277589469032544</v>
      </c>
      <c r="AH4545" s="2" t="str">
        <f ca="1"/>
        <v>OK</v>
      </c>
    </row>
    <row r="4546" spans="2:34" x14ac:dyDescent="0.2">
      <c r="B4546" s="2">
        <f ca="1"/>
        <v>0.28182729272483331</v>
      </c>
      <c r="O4546" s="2">
        <f ca="1"/>
        <v>1.2707884189001375</v>
      </c>
      <c r="X4546" s="2">
        <f ca="1"/>
        <v>53.446445019577482</v>
      </c>
      <c r="AG4546" s="2">
        <f ca="1"/>
        <v>0.42263340523472093</v>
      </c>
      <c r="AH4546" s="2" t="str">
        <f ca="1"/>
        <v>Bad</v>
      </c>
    </row>
    <row r="4547" spans="2:34" x14ac:dyDescent="0.2">
      <c r="B4547" s="2">
        <f ca="1"/>
        <v>0.25486558486313426</v>
      </c>
      <c r="O4547" s="2">
        <f ca="1"/>
        <v>-0.34955032516515938</v>
      </c>
      <c r="X4547" s="2">
        <f ca="1"/>
        <v>52.196316027749731</v>
      </c>
      <c r="AG4547" s="2">
        <f ca="1"/>
        <v>0.36099485187853508</v>
      </c>
      <c r="AH4547" s="2" t="str">
        <f ca="1"/>
        <v>OK</v>
      </c>
    </row>
    <row r="4548" spans="2:34" x14ac:dyDescent="0.2">
      <c r="B4548" s="2">
        <f ca="1"/>
        <v>0.6956056591399451</v>
      </c>
      <c r="O4548" s="2">
        <f ca="1"/>
        <v>-0.45211478753141465</v>
      </c>
      <c r="X4548" s="2">
        <f ca="1"/>
        <v>57.781972928527274</v>
      </c>
      <c r="AG4548" s="2">
        <f ca="1"/>
        <v>0.43560424149346155</v>
      </c>
      <c r="AH4548" s="2" t="str">
        <f ca="1"/>
        <v>Bad</v>
      </c>
    </row>
    <row r="4549" spans="2:34" x14ac:dyDescent="0.2">
      <c r="B4549" s="2">
        <f ca="1"/>
        <v>0.58177779658092654</v>
      </c>
      <c r="O4549" s="2">
        <f ca="1"/>
        <v>1.0625527837408573</v>
      </c>
      <c r="X4549" s="2">
        <f ca="1"/>
        <v>72.736992008958609</v>
      </c>
      <c r="AG4549" s="2">
        <f ca="1"/>
        <v>0.60695554324348167</v>
      </c>
      <c r="AH4549" s="2" t="str">
        <f ca="1"/>
        <v>Bad</v>
      </c>
    </row>
    <row r="4550" spans="2:34" x14ac:dyDescent="0.2">
      <c r="B4550" s="2">
        <f ca="1"/>
        <v>0.37967198072038699</v>
      </c>
      <c r="O4550" s="2">
        <f ca="1"/>
        <v>-9.7380328631901311E-2</v>
      </c>
      <c r="X4550" s="2">
        <f ca="1"/>
        <v>53.97262368275841</v>
      </c>
      <c r="AG4550" s="2">
        <f ca="1"/>
        <v>0.69465344568708143</v>
      </c>
      <c r="AH4550" s="2" t="str">
        <f ca="1"/>
        <v>Bad</v>
      </c>
    </row>
    <row r="4551" spans="2:34" x14ac:dyDescent="0.2">
      <c r="B4551" s="2">
        <f ca="1"/>
        <v>0.83856094040905749</v>
      </c>
      <c r="O4551" s="2">
        <f ca="1"/>
        <v>-1.9276424294707908</v>
      </c>
      <c r="X4551" s="2">
        <f ca="1"/>
        <v>62.463479219831271</v>
      </c>
      <c r="AG4551" s="2">
        <f ca="1"/>
        <v>0.50092411473922538</v>
      </c>
      <c r="AH4551" s="2" t="str">
        <f ca="1"/>
        <v>Bad</v>
      </c>
    </row>
    <row r="4552" spans="2:34" x14ac:dyDescent="0.2">
      <c r="B4552" s="2">
        <f ca="1"/>
        <v>0.40702661374484639</v>
      </c>
      <c r="O4552" s="2">
        <f ca="1"/>
        <v>-0.29136971782988569</v>
      </c>
      <c r="X4552" s="2">
        <f ca="1"/>
        <v>51.587019994409864</v>
      </c>
      <c r="AG4552" s="2">
        <f ca="1"/>
        <v>0.78334994509957667</v>
      </c>
      <c r="AH4552" s="2" t="str">
        <f ca="1"/>
        <v>Bad</v>
      </c>
    </row>
    <row r="4553" spans="2:34" x14ac:dyDescent="0.2">
      <c r="B4553" s="2">
        <f ca="1"/>
        <v>0.8842674988866408</v>
      </c>
      <c r="O4553" s="2">
        <f ca="1"/>
        <v>-1.1204355940277497</v>
      </c>
      <c r="X4553" s="2">
        <f ca="1"/>
        <v>69.569867021593254</v>
      </c>
      <c r="AG4553" s="2">
        <f ca="1"/>
        <v>0.57293725088600089</v>
      </c>
      <c r="AH4553" s="2" t="str">
        <f ca="1"/>
        <v>Bad</v>
      </c>
    </row>
    <row r="4554" spans="2:34" x14ac:dyDescent="0.2">
      <c r="B4554" s="2">
        <f ca="1"/>
        <v>0.60188509482462038</v>
      </c>
      <c r="O4554" s="2">
        <f ca="1"/>
        <v>-3.1028000643741799E-2</v>
      </c>
      <c r="X4554" s="2">
        <f ca="1"/>
        <v>60.709293567867491</v>
      </c>
      <c r="AG4554" s="2">
        <f ca="1"/>
        <v>0.24986946265966115</v>
      </c>
      <c r="AH4554" s="2" t="str">
        <f ca="1"/>
        <v>OK</v>
      </c>
    </row>
    <row r="4555" spans="2:34" x14ac:dyDescent="0.2">
      <c r="B4555" s="2">
        <f ca="1"/>
        <v>0.75317205719347569</v>
      </c>
      <c r="O4555" s="2">
        <f ca="1"/>
        <v>1.0418888407989535</v>
      </c>
      <c r="X4555" s="2">
        <f ca="1"/>
        <v>49.459616308080676</v>
      </c>
      <c r="AG4555" s="2">
        <f ca="1"/>
        <v>0.99129655958345886</v>
      </c>
      <c r="AH4555" s="2" t="str">
        <f ca="1"/>
        <v>Bad</v>
      </c>
    </row>
    <row r="4556" spans="2:34" x14ac:dyDescent="0.2">
      <c r="B4556" s="2">
        <f ca="1"/>
        <v>0.68841504211281057</v>
      </c>
      <c r="O4556" s="2">
        <f ca="1"/>
        <v>-1.8590929603336035</v>
      </c>
      <c r="X4556" s="2">
        <f ca="1"/>
        <v>47.184398866814128</v>
      </c>
      <c r="AG4556" s="2">
        <f ca="1"/>
        <v>0.68960159964295942</v>
      </c>
      <c r="AH4556" s="2" t="str">
        <f ca="1"/>
        <v>Bad</v>
      </c>
    </row>
    <row r="4557" spans="2:34" x14ac:dyDescent="0.2">
      <c r="B4557" s="2">
        <f ca="1"/>
        <v>0.63836829556277652</v>
      </c>
      <c r="O4557" s="2">
        <f ca="1"/>
        <v>1.462007042439514</v>
      </c>
      <c r="X4557" s="2">
        <f ca="1"/>
        <v>70.368227320931837</v>
      </c>
      <c r="AG4557" s="2">
        <f ca="1"/>
        <v>0.68451549618225527</v>
      </c>
      <c r="AH4557" s="2" t="str">
        <f ca="1"/>
        <v>Bad</v>
      </c>
    </row>
    <row r="4558" spans="2:34" x14ac:dyDescent="0.2">
      <c r="B4558" s="2">
        <f ca="1"/>
        <v>0.71428447792304439</v>
      </c>
      <c r="O4558" s="2">
        <f ca="1"/>
        <v>-1.3270449785398761</v>
      </c>
      <c r="X4558" s="2">
        <f ca="1"/>
        <v>37.435551858586017</v>
      </c>
      <c r="AG4558" s="2">
        <f ca="1"/>
        <v>0.24382591742908488</v>
      </c>
      <c r="AH4558" s="2" t="str">
        <f ca="1"/>
        <v>OK</v>
      </c>
    </row>
    <row r="4559" spans="2:34" x14ac:dyDescent="0.2">
      <c r="B4559" s="2">
        <f ca="1"/>
        <v>0.40745707137551168</v>
      </c>
      <c r="O4559" s="2">
        <f ca="1"/>
        <v>-0.15398715819550371</v>
      </c>
      <c r="X4559" s="2">
        <f ca="1"/>
        <v>49.769634315955869</v>
      </c>
      <c r="AG4559" s="2">
        <f ca="1"/>
        <v>0.49912559616965635</v>
      </c>
      <c r="AH4559" s="2" t="str">
        <f ca="1"/>
        <v>Bad</v>
      </c>
    </row>
    <row r="4560" spans="2:34" x14ac:dyDescent="0.2">
      <c r="B4560" s="2">
        <f ca="1"/>
        <v>0.75467376543285614</v>
      </c>
      <c r="O4560" s="2">
        <f ca="1"/>
        <v>-0.56366004073354692</v>
      </c>
      <c r="X4560" s="2">
        <f ca="1"/>
        <v>68.466093014943382</v>
      </c>
      <c r="AG4560" s="2">
        <f ca="1"/>
        <v>0.28033560300845917</v>
      </c>
      <c r="AH4560" s="2" t="str">
        <f ca="1"/>
        <v>OK</v>
      </c>
    </row>
    <row r="4561" spans="2:34" x14ac:dyDescent="0.2">
      <c r="B4561" s="2">
        <f ca="1"/>
        <v>3.4932258102755354E-2</v>
      </c>
      <c r="O4561" s="2">
        <f ca="1"/>
        <v>-1.1337598101737514</v>
      </c>
      <c r="X4561" s="2">
        <f ca="1"/>
        <v>21.201353150220768</v>
      </c>
      <c r="AG4561" s="2">
        <f ca="1"/>
        <v>0.63793267240005602</v>
      </c>
      <c r="AH4561" s="2" t="str">
        <f ca="1"/>
        <v>Bad</v>
      </c>
    </row>
    <row r="4562" spans="2:34" x14ac:dyDescent="0.2">
      <c r="B4562" s="2">
        <f ca="1"/>
        <v>0.98705328142749105</v>
      </c>
      <c r="O4562" s="2">
        <f ca="1"/>
        <v>-9.6882728582828079E-2</v>
      </c>
      <c r="X4562" s="2">
        <f ca="1"/>
        <v>26.579740897268444</v>
      </c>
      <c r="AG4562" s="2">
        <f ca="1"/>
        <v>0.49534227030964217</v>
      </c>
      <c r="AH4562" s="2" t="str">
        <f ca="1"/>
        <v>Bad</v>
      </c>
    </row>
    <row r="4563" spans="2:34" x14ac:dyDescent="0.2">
      <c r="B4563" s="2">
        <f ca="1"/>
        <v>0.5752793290631022</v>
      </c>
      <c r="O4563" s="2">
        <f ca="1"/>
        <v>-1.4530130668589003</v>
      </c>
      <c r="X4563" s="2">
        <f ca="1"/>
        <v>34.330983449225144</v>
      </c>
      <c r="AG4563" s="2">
        <f ca="1"/>
        <v>0.62664823412239312</v>
      </c>
      <c r="AH4563" s="2" t="str">
        <f ca="1"/>
        <v>Bad</v>
      </c>
    </row>
    <row r="4564" spans="2:34" x14ac:dyDescent="0.2">
      <c r="B4564" s="2">
        <f ca="1"/>
        <v>0.79119221040256638</v>
      </c>
      <c r="O4564" s="2">
        <f ca="1"/>
        <v>0.88286025055267514</v>
      </c>
      <c r="X4564" s="2">
        <f ca="1"/>
        <v>36.749657877732716</v>
      </c>
      <c r="AG4564" s="2">
        <f ca="1"/>
        <v>4.1199066661585571E-2</v>
      </c>
      <c r="AH4564" s="2" t="str">
        <f ca="1"/>
        <v>Good</v>
      </c>
    </row>
    <row r="4565" spans="2:34" x14ac:dyDescent="0.2">
      <c r="B4565" s="2">
        <f ca="1"/>
        <v>0.126194267022256</v>
      </c>
      <c r="O4565" s="2">
        <f ca="1"/>
        <v>0.3349669480281971</v>
      </c>
      <c r="X4565" s="2">
        <f ca="1"/>
        <v>75.592650145200921</v>
      </c>
      <c r="AG4565" s="2">
        <f ca="1"/>
        <v>0.15284725077346861</v>
      </c>
      <c r="AH4565" s="2" t="str">
        <f ca="1"/>
        <v>OK</v>
      </c>
    </row>
    <row r="4566" spans="2:34" x14ac:dyDescent="0.2">
      <c r="B4566" s="2">
        <f ca="1"/>
        <v>0.30686298776497334</v>
      </c>
      <c r="O4566" s="2">
        <f ca="1"/>
        <v>1.2921167274209349</v>
      </c>
      <c r="X4566" s="2">
        <f ca="1"/>
        <v>25.57365117371738</v>
      </c>
      <c r="AG4566" s="2">
        <f ca="1"/>
        <v>2.5478700150460387E-2</v>
      </c>
      <c r="AH4566" s="2" t="str">
        <f ca="1"/>
        <v>Good</v>
      </c>
    </row>
    <row r="4567" spans="2:34" x14ac:dyDescent="0.2">
      <c r="B4567" s="2">
        <f ca="1"/>
        <v>0.22650247257993139</v>
      </c>
      <c r="O4567" s="2">
        <f ca="1"/>
        <v>-2.430698700050546</v>
      </c>
      <c r="X4567" s="2">
        <f ca="1"/>
        <v>43.141629721447138</v>
      </c>
      <c r="AG4567" s="2">
        <f ca="1"/>
        <v>0.76075160870651226</v>
      </c>
      <c r="AH4567" s="2" t="str">
        <f ca="1"/>
        <v>Bad</v>
      </c>
    </row>
    <row r="4568" spans="2:34" x14ac:dyDescent="0.2">
      <c r="B4568" s="2">
        <f ca="1"/>
        <v>0.51148128725561715</v>
      </c>
      <c r="O4568" s="2">
        <f ca="1"/>
        <v>-1.4772421310955508</v>
      </c>
      <c r="X4568" s="2">
        <f ca="1"/>
        <v>44.75764058031406</v>
      </c>
      <c r="AG4568" s="2">
        <f ca="1"/>
        <v>3.7728551466941207E-2</v>
      </c>
      <c r="AH4568" s="2" t="str">
        <f ca="1"/>
        <v>Good</v>
      </c>
    </row>
    <row r="4569" spans="2:34" x14ac:dyDescent="0.2">
      <c r="B4569" s="2">
        <f ca="1"/>
        <v>0.44945431716326079</v>
      </c>
      <c r="O4569" s="2">
        <f ca="1"/>
        <v>-2.7179657793315113</v>
      </c>
      <c r="X4569" s="2">
        <f ca="1"/>
        <v>40.217175345692972</v>
      </c>
      <c r="AG4569" s="2">
        <f ca="1"/>
        <v>0.34239001367969935</v>
      </c>
      <c r="AH4569" s="2" t="str">
        <f ca="1"/>
        <v>OK</v>
      </c>
    </row>
    <row r="4570" spans="2:34" x14ac:dyDescent="0.2">
      <c r="B4570" s="2">
        <f ca="1"/>
        <v>0.88700502749573351</v>
      </c>
      <c r="O4570" s="2">
        <f ca="1"/>
        <v>-1.8407119204002338</v>
      </c>
      <c r="X4570" s="2">
        <f ca="1"/>
        <v>49.437150152546693</v>
      </c>
      <c r="AG4570" s="2">
        <f ca="1"/>
        <v>0.60635303339975088</v>
      </c>
      <c r="AH4570" s="2" t="str">
        <f ca="1"/>
        <v>Bad</v>
      </c>
    </row>
    <row r="4571" spans="2:34" x14ac:dyDescent="0.2">
      <c r="B4571" s="2">
        <f ca="1"/>
        <v>0.37449738230656271</v>
      </c>
      <c r="O4571" s="2">
        <f ca="1"/>
        <v>-0.26063822597136854</v>
      </c>
      <c r="X4571" s="2">
        <f ca="1"/>
        <v>22.770251866936025</v>
      </c>
      <c r="AG4571" s="2">
        <f ca="1"/>
        <v>0.32905359854053229</v>
      </c>
      <c r="AH4571" s="2" t="str">
        <f ca="1"/>
        <v>OK</v>
      </c>
    </row>
    <row r="4572" spans="2:34" x14ac:dyDescent="0.2">
      <c r="B4572" s="2">
        <f ca="1"/>
        <v>0.41583566292301133</v>
      </c>
      <c r="O4572" s="2">
        <f ca="1"/>
        <v>1.977416827575053</v>
      </c>
      <c r="X4572" s="2">
        <f ca="1"/>
        <v>77.315346214931623</v>
      </c>
      <c r="AG4572" s="2">
        <f ca="1"/>
        <v>0.48553216542953237</v>
      </c>
      <c r="AH4572" s="2" t="str">
        <f ca="1"/>
        <v>Bad</v>
      </c>
    </row>
    <row r="4573" spans="2:34" x14ac:dyDescent="0.2">
      <c r="B4573" s="2">
        <f ca="1"/>
        <v>2.4714713453372728E-2</v>
      </c>
      <c r="O4573" s="2">
        <f ca="1"/>
        <v>-1.4819384153875654</v>
      </c>
      <c r="X4573" s="2">
        <f ca="1"/>
        <v>64.324133884887289</v>
      </c>
      <c r="AG4573" s="2">
        <f ca="1"/>
        <v>0.63934877682272306</v>
      </c>
      <c r="AH4573" s="2" t="str">
        <f ca="1"/>
        <v>Bad</v>
      </c>
    </row>
    <row r="4574" spans="2:34" x14ac:dyDescent="0.2">
      <c r="B4574" s="2">
        <f ca="1"/>
        <v>0.54061022859145758</v>
      </c>
      <c r="O4574" s="2">
        <f ca="1"/>
        <v>-0.37929249139361115</v>
      </c>
      <c r="X4574" s="2">
        <f ca="1"/>
        <v>101.19167699733791</v>
      </c>
      <c r="AG4574" s="2">
        <f ca="1"/>
        <v>0.50205756782963462</v>
      </c>
      <c r="AH4574" s="2" t="str">
        <f ca="1"/>
        <v>Bad</v>
      </c>
    </row>
    <row r="4575" spans="2:34" x14ac:dyDescent="0.2">
      <c r="B4575" s="2">
        <f ca="1"/>
        <v>0.25917460826024752</v>
      </c>
      <c r="O4575" s="2">
        <f ca="1"/>
        <v>1.6311475418090373</v>
      </c>
      <c r="X4575" s="2">
        <f ca="1"/>
        <v>82.499060089003734</v>
      </c>
      <c r="AG4575" s="2">
        <f ca="1"/>
        <v>0.96082013347831108</v>
      </c>
      <c r="AH4575" s="2" t="str">
        <f ca="1"/>
        <v>Bad</v>
      </c>
    </row>
    <row r="4576" spans="2:34" x14ac:dyDescent="0.2">
      <c r="B4576" s="2">
        <f ca="1"/>
        <v>6.3759823563372731E-2</v>
      </c>
      <c r="O4576" s="2">
        <f ca="1"/>
        <v>-2.0619483223633503</v>
      </c>
      <c r="X4576" s="2">
        <f ca="1"/>
        <v>78.80780355174069</v>
      </c>
      <c r="AG4576" s="2">
        <f ca="1"/>
        <v>0.93945907610737778</v>
      </c>
      <c r="AH4576" s="2" t="str">
        <f ca="1"/>
        <v>Bad</v>
      </c>
    </row>
    <row r="4577" spans="2:34" x14ac:dyDescent="0.2">
      <c r="B4577" s="2">
        <f ca="1"/>
        <v>0.54788553851553856</v>
      </c>
      <c r="O4577" s="2">
        <f ca="1"/>
        <v>-0.95767125170530021</v>
      </c>
      <c r="X4577" s="2">
        <f ca="1"/>
        <v>49.340202531046117</v>
      </c>
      <c r="AG4577" s="2">
        <f ca="1"/>
        <v>0.69829734040430824</v>
      </c>
      <c r="AH4577" s="2" t="str">
        <f ca="1"/>
        <v>Bad</v>
      </c>
    </row>
    <row r="4578" spans="2:34" x14ac:dyDescent="0.2">
      <c r="B4578" s="2">
        <f ca="1"/>
        <v>0.4898725523461902</v>
      </c>
      <c r="O4578" s="2">
        <f ca="1"/>
        <v>-0.94594039173100553</v>
      </c>
      <c r="X4578" s="2">
        <f ca="1"/>
        <v>103.28862755869771</v>
      </c>
      <c r="AG4578" s="2">
        <f ca="1"/>
        <v>0.67004975256338239</v>
      </c>
      <c r="AH4578" s="2" t="str">
        <f ca="1"/>
        <v>Bad</v>
      </c>
    </row>
    <row r="4579" spans="2:34" x14ac:dyDescent="0.2">
      <c r="B4579" s="2">
        <f ca="1"/>
        <v>0.928526539047696</v>
      </c>
      <c r="O4579" s="2">
        <f ca="1"/>
        <v>1.8487279735798399</v>
      </c>
      <c r="X4579" s="2">
        <f ca="1"/>
        <v>40.105946829953169</v>
      </c>
      <c r="AG4579" s="2">
        <f ca="1"/>
        <v>0.93513809096710543</v>
      </c>
      <c r="AH4579" s="2" t="str">
        <f ca="1"/>
        <v>Bad</v>
      </c>
    </row>
    <row r="4580" spans="2:34" x14ac:dyDescent="0.2">
      <c r="B4580" s="2">
        <f ca="1"/>
        <v>0.19669619881615885</v>
      </c>
      <c r="O4580" s="2">
        <f ca="1"/>
        <v>-0.69290546255170726</v>
      </c>
      <c r="X4580" s="2">
        <f ca="1"/>
        <v>27.45338968474552</v>
      </c>
      <c r="AG4580" s="2">
        <f ca="1"/>
        <v>0.24821806204256092</v>
      </c>
      <c r="AH4580" s="2" t="str">
        <f ca="1"/>
        <v>OK</v>
      </c>
    </row>
    <row r="4581" spans="2:34" x14ac:dyDescent="0.2">
      <c r="B4581" s="2">
        <f ca="1"/>
        <v>0.33049928429091291</v>
      </c>
      <c r="O4581" s="2">
        <f ca="1"/>
        <v>0.78402736834030373</v>
      </c>
      <c r="X4581" s="2">
        <f ca="1"/>
        <v>68.20431391681312</v>
      </c>
      <c r="AG4581" s="2">
        <f ca="1"/>
        <v>7.1946721697136784E-2</v>
      </c>
      <c r="AH4581" s="2" t="str">
        <f ca="1"/>
        <v>OK</v>
      </c>
    </row>
    <row r="4582" spans="2:34" x14ac:dyDescent="0.2">
      <c r="B4582" s="2">
        <f ca="1"/>
        <v>0.53092292853560497</v>
      </c>
      <c r="O4582" s="2">
        <f ca="1"/>
        <v>0.75651832809066555</v>
      </c>
      <c r="X4582" s="2">
        <f ca="1"/>
        <v>52.450173520077776</v>
      </c>
      <c r="AG4582" s="2">
        <f ca="1"/>
        <v>0.51526812610951267</v>
      </c>
      <c r="AH4582" s="2" t="str">
        <f ca="1"/>
        <v>Bad</v>
      </c>
    </row>
    <row r="4583" spans="2:34" x14ac:dyDescent="0.2">
      <c r="B4583" s="2">
        <f ca="1"/>
        <v>0.10592150198122097</v>
      </c>
      <c r="O4583" s="2">
        <f ca="1"/>
        <v>-0.33640797962006824</v>
      </c>
      <c r="X4583" s="2">
        <f ca="1"/>
        <v>33.792570816214806</v>
      </c>
      <c r="AG4583" s="2">
        <f ca="1"/>
        <v>0.59614945797052887</v>
      </c>
      <c r="AH4583" s="2" t="str">
        <f ca="1"/>
        <v>Bad</v>
      </c>
    </row>
    <row r="4584" spans="2:34" x14ac:dyDescent="0.2">
      <c r="B4584" s="2">
        <f ca="1"/>
        <v>0.48068943663398578</v>
      </c>
      <c r="O4584" s="2">
        <f ca="1"/>
        <v>1.1035008331321479</v>
      </c>
      <c r="X4584" s="2">
        <f ca="1"/>
        <v>53.131760450769143</v>
      </c>
      <c r="AG4584" s="2">
        <f ca="1"/>
        <v>0.59525396959572818</v>
      </c>
      <c r="AH4584" s="2" t="str">
        <f ca="1"/>
        <v>Bad</v>
      </c>
    </row>
    <row r="4585" spans="2:34" x14ac:dyDescent="0.2">
      <c r="B4585" s="2">
        <f ca="1"/>
        <v>0.96746265897168349</v>
      </c>
      <c r="O4585" s="2">
        <f ca="1"/>
        <v>1.1116112050177189</v>
      </c>
      <c r="X4585" s="2">
        <f ca="1"/>
        <v>71.289280034857882</v>
      </c>
      <c r="AG4585" s="2">
        <f ca="1"/>
        <v>0.53148674237005222</v>
      </c>
      <c r="AH4585" s="2" t="str">
        <f ca="1"/>
        <v>Bad</v>
      </c>
    </row>
    <row r="4586" spans="2:34" x14ac:dyDescent="0.2">
      <c r="B4586" s="2">
        <f ca="1"/>
        <v>0.65985576096029042</v>
      </c>
      <c r="O4586" s="2">
        <f ca="1"/>
        <v>-0.13091589001820431</v>
      </c>
      <c r="X4586" s="2">
        <f ca="1"/>
        <v>57.842240805603289</v>
      </c>
      <c r="AG4586" s="2">
        <f ca="1"/>
        <v>0.40804421589934936</v>
      </c>
      <c r="AH4586" s="2" t="str">
        <f ca="1"/>
        <v>Bad</v>
      </c>
    </row>
    <row r="4587" spans="2:34" x14ac:dyDescent="0.2">
      <c r="B4587" s="2">
        <f ca="1"/>
        <v>0.17614380683528674</v>
      </c>
      <c r="O4587" s="2">
        <f ca="1"/>
        <v>0.88964543012843011</v>
      </c>
      <c r="X4587" s="2">
        <f ca="1"/>
        <v>48.630276475747245</v>
      </c>
      <c r="AG4587" s="2">
        <f ca="1"/>
        <v>0.35569898343459183</v>
      </c>
      <c r="AH4587" s="2" t="str">
        <f ca="1"/>
        <v>OK</v>
      </c>
    </row>
    <row r="4588" spans="2:34" x14ac:dyDescent="0.2">
      <c r="B4588" s="2">
        <f ca="1"/>
        <v>7.9074230049790639E-2</v>
      </c>
      <c r="O4588" s="2">
        <f ca="1"/>
        <v>0.86859598841270236</v>
      </c>
      <c r="X4588" s="2">
        <f ca="1"/>
        <v>46.190893904043065</v>
      </c>
      <c r="AG4588" s="2">
        <f ca="1"/>
        <v>0.94744505727347228</v>
      </c>
      <c r="AH4588" s="2" t="str">
        <f ca="1"/>
        <v>Bad</v>
      </c>
    </row>
    <row r="4589" spans="2:34" x14ac:dyDescent="0.2">
      <c r="B4589" s="2">
        <f ca="1"/>
        <v>0.47326041045079426</v>
      </c>
      <c r="O4589" s="2">
        <f ca="1"/>
        <v>-6.4876652393077119E-2</v>
      </c>
      <c r="X4589" s="2">
        <f ca="1"/>
        <v>69.315503085269711</v>
      </c>
      <c r="AG4589" s="2">
        <f ca="1"/>
        <v>0.54139814623323335</v>
      </c>
      <c r="AH4589" s="2" t="str">
        <f ca="1"/>
        <v>Bad</v>
      </c>
    </row>
    <row r="4590" spans="2:34" x14ac:dyDescent="0.2">
      <c r="B4590" s="2">
        <f ca="1"/>
        <v>0.79837871076968403</v>
      </c>
      <c r="O4590" s="2">
        <f ca="1"/>
        <v>-0.52740236809299901</v>
      </c>
      <c r="X4590" s="2">
        <f ca="1"/>
        <v>66.470791943700121</v>
      </c>
      <c r="AG4590" s="2">
        <f ca="1"/>
        <v>0.8530881880517116</v>
      </c>
      <c r="AH4590" s="2" t="str">
        <f ca="1"/>
        <v>Bad</v>
      </c>
    </row>
    <row r="4591" spans="2:34" x14ac:dyDescent="0.2">
      <c r="B4591" s="2">
        <f ca="1"/>
        <v>0.83936637224837685</v>
      </c>
      <c r="O4591" s="2">
        <f ca="1"/>
        <v>1.1615546680273485</v>
      </c>
      <c r="X4591" s="2">
        <f ca="1"/>
        <v>57.509425232740583</v>
      </c>
      <c r="AG4591" s="2">
        <f ca="1"/>
        <v>0.73011504510964809</v>
      </c>
      <c r="AH4591" s="2" t="str">
        <f ca="1"/>
        <v>Bad</v>
      </c>
    </row>
    <row r="4592" spans="2:34" x14ac:dyDescent="0.2">
      <c r="B4592" s="2">
        <f ca="1"/>
        <v>0.53596024795554231</v>
      </c>
      <c r="O4592" s="2">
        <f ca="1"/>
        <v>-1.0008939351258421</v>
      </c>
      <c r="X4592" s="2">
        <f ca="1"/>
        <v>40.75447711118489</v>
      </c>
      <c r="AG4592" s="2">
        <f ca="1"/>
        <v>0.26627496166853404</v>
      </c>
      <c r="AH4592" s="2" t="str">
        <f ca="1"/>
        <v>OK</v>
      </c>
    </row>
    <row r="4593" spans="2:34" x14ac:dyDescent="0.2">
      <c r="B4593" s="2">
        <f ca="1"/>
        <v>0.69252462643796808</v>
      </c>
      <c r="O4593" s="2">
        <f ca="1"/>
        <v>0.45152360025894023</v>
      </c>
      <c r="X4593" s="2">
        <f ca="1"/>
        <v>37.277010895023025</v>
      </c>
      <c r="AG4593" s="2">
        <f ca="1"/>
        <v>0.73808352289851298</v>
      </c>
      <c r="AH4593" s="2" t="str">
        <f ca="1"/>
        <v>Bad</v>
      </c>
    </row>
    <row r="4594" spans="2:34" x14ac:dyDescent="0.2">
      <c r="B4594" s="2">
        <f ca="1"/>
        <v>0.66808873505507749</v>
      </c>
      <c r="O4594" s="2">
        <f ca="1"/>
        <v>-0.33608468250746615</v>
      </c>
      <c r="X4594" s="2">
        <f ca="1"/>
        <v>67.750272142862642</v>
      </c>
      <c r="AG4594" s="2">
        <f ca="1"/>
        <v>0.12779263513432282</v>
      </c>
      <c r="AH4594" s="2" t="str">
        <f ca="1"/>
        <v>OK</v>
      </c>
    </row>
    <row r="4595" spans="2:34" x14ac:dyDescent="0.2">
      <c r="B4595" s="2">
        <f ca="1"/>
        <v>0.13206232297920217</v>
      </c>
      <c r="O4595" s="2">
        <f ca="1"/>
        <v>-2.5176031169443593</v>
      </c>
      <c r="X4595" s="2">
        <f ca="1"/>
        <v>39.448390462636112</v>
      </c>
      <c r="AG4595" s="2">
        <f ca="1"/>
        <v>0.42594572961991317</v>
      </c>
      <c r="AH4595" s="2" t="str">
        <f ca="1"/>
        <v>Bad</v>
      </c>
    </row>
    <row r="4596" spans="2:34" x14ac:dyDescent="0.2">
      <c r="B4596" s="2">
        <f ca="1"/>
        <v>0.29201040320247418</v>
      </c>
      <c r="O4596" s="2">
        <f ca="1"/>
        <v>0.32483789186826922</v>
      </c>
      <c r="X4596" s="2">
        <f ca="1"/>
        <v>55.616187847687556</v>
      </c>
      <c r="AG4596" s="2">
        <f ca="1"/>
        <v>0.7287128022915359</v>
      </c>
      <c r="AH4596" s="2" t="str">
        <f ca="1"/>
        <v>Bad</v>
      </c>
    </row>
    <row r="4597" spans="2:34" x14ac:dyDescent="0.2">
      <c r="B4597" s="2">
        <f ca="1"/>
        <v>0.15658199336026435</v>
      </c>
      <c r="O4597" s="2">
        <f ca="1"/>
        <v>0.61383400621130801</v>
      </c>
      <c r="X4597" s="2">
        <f ca="1"/>
        <v>39.14024872585334</v>
      </c>
      <c r="AG4597" s="2">
        <f ca="1"/>
        <v>0.18671338090206691</v>
      </c>
      <c r="AH4597" s="2" t="str">
        <f ca="1"/>
        <v>OK</v>
      </c>
    </row>
    <row r="4598" spans="2:34" x14ac:dyDescent="0.2">
      <c r="B4598" s="2">
        <f ca="1"/>
        <v>0.96471860213184679</v>
      </c>
      <c r="O4598" s="2">
        <f ca="1"/>
        <v>0.45817099739828671</v>
      </c>
      <c r="X4598" s="2">
        <f ca="1"/>
        <v>24.125183058178262</v>
      </c>
      <c r="AG4598" s="2">
        <f ca="1"/>
        <v>0.40705431320609131</v>
      </c>
      <c r="AH4598" s="2" t="str">
        <f ca="1"/>
        <v>Bad</v>
      </c>
    </row>
    <row r="4599" spans="2:34" x14ac:dyDescent="0.2">
      <c r="B4599" s="2">
        <f ca="1"/>
        <v>0.7807062442711179</v>
      </c>
      <c r="O4599" s="2">
        <f ca="1"/>
        <v>0.75312155172147111</v>
      </c>
      <c r="X4599" s="2">
        <f ca="1"/>
        <v>48.943923799600775</v>
      </c>
      <c r="AG4599" s="2">
        <f ca="1"/>
        <v>0.4016392995283351</v>
      </c>
      <c r="AH4599" s="2" t="str">
        <f ca="1"/>
        <v>Bad</v>
      </c>
    </row>
    <row r="4600" spans="2:34" x14ac:dyDescent="0.2">
      <c r="B4600" s="2">
        <f ca="1"/>
        <v>0.53950981409124643</v>
      </c>
      <c r="O4600" s="2">
        <f ca="1"/>
        <v>-1.6669646011265036</v>
      </c>
      <c r="X4600" s="2">
        <f ca="1"/>
        <v>57.764456510923679</v>
      </c>
      <c r="AG4600" s="2">
        <f ca="1"/>
        <v>0.72481365924438568</v>
      </c>
      <c r="AH4600" s="2" t="str">
        <f ca="1"/>
        <v>Bad</v>
      </c>
    </row>
    <row r="4601" spans="2:34" x14ac:dyDescent="0.2">
      <c r="B4601" s="2">
        <f ca="1"/>
        <v>0.21381903671024882</v>
      </c>
      <c r="O4601" s="2">
        <f ca="1"/>
        <v>0.66154329187617755</v>
      </c>
      <c r="X4601" s="2">
        <f ca="1"/>
        <v>35.558658583527979</v>
      </c>
      <c r="AG4601" s="2">
        <f ca="1"/>
        <v>0.79633821231264035</v>
      </c>
      <c r="AH4601" s="2" t="str">
        <f ca="1"/>
        <v>Bad</v>
      </c>
    </row>
    <row r="4602" spans="2:34" x14ac:dyDescent="0.2">
      <c r="B4602" s="2">
        <f ca="1"/>
        <v>0.31368482929909591</v>
      </c>
      <c r="O4602" s="2">
        <f ca="1"/>
        <v>-0.11658068200715525</v>
      </c>
      <c r="X4602" s="2">
        <f ca="1"/>
        <v>59.815435978373998</v>
      </c>
      <c r="AG4602" s="2">
        <f ca="1"/>
        <v>6.5102669883210895E-2</v>
      </c>
      <c r="AH4602" s="2" t="str">
        <f ca="1"/>
        <v>OK</v>
      </c>
    </row>
    <row r="4603" spans="2:34" x14ac:dyDescent="0.2">
      <c r="B4603" s="2">
        <f ca="1"/>
        <v>0.82427933322605607</v>
      </c>
      <c r="O4603" s="2">
        <f ca="1"/>
        <v>0.26405269689028632</v>
      </c>
      <c r="X4603" s="2">
        <f ca="1"/>
        <v>60.950564195823219</v>
      </c>
      <c r="AG4603" s="2">
        <f ca="1"/>
        <v>2.7565440977539879E-2</v>
      </c>
      <c r="AH4603" s="2" t="str">
        <f ca="1"/>
        <v>Good</v>
      </c>
    </row>
    <row r="4604" spans="2:34" x14ac:dyDescent="0.2">
      <c r="B4604" s="2">
        <f ca="1"/>
        <v>0.30354098472447211</v>
      </c>
      <c r="O4604" s="2">
        <f ca="1"/>
        <v>-1.5669027236925783</v>
      </c>
      <c r="X4604" s="2">
        <f ca="1"/>
        <v>38.752134444655233</v>
      </c>
      <c r="AG4604" s="2">
        <f ca="1"/>
        <v>0.25088721568795558</v>
      </c>
      <c r="AH4604" s="2" t="str">
        <f ca="1"/>
        <v>OK</v>
      </c>
    </row>
    <row r="4605" spans="2:34" x14ac:dyDescent="0.2">
      <c r="B4605" s="2">
        <f ca="1"/>
        <v>0.94649605903251</v>
      </c>
      <c r="O4605" s="2">
        <f ca="1"/>
        <v>0.44994415757555373</v>
      </c>
      <c r="X4605" s="2">
        <f ca="1"/>
        <v>42.807926276821163</v>
      </c>
      <c r="AG4605" s="2">
        <f ca="1"/>
        <v>8.1968566103467477E-2</v>
      </c>
      <c r="AH4605" s="2" t="str">
        <f ca="1"/>
        <v>OK</v>
      </c>
    </row>
    <row r="4606" spans="2:34" x14ac:dyDescent="0.2">
      <c r="B4606" s="2">
        <f ca="1"/>
        <v>0.59168972171285827</v>
      </c>
      <c r="O4606" s="2">
        <f ca="1"/>
        <v>-1.4276777372097975</v>
      </c>
      <c r="X4606" s="2">
        <f ca="1"/>
        <v>61.382958139176253</v>
      </c>
      <c r="AG4606" s="2">
        <f ca="1"/>
        <v>2.7858314844501519E-2</v>
      </c>
      <c r="AH4606" s="2" t="str">
        <f ca="1"/>
        <v>Good</v>
      </c>
    </row>
    <row r="4607" spans="2:34" x14ac:dyDescent="0.2">
      <c r="B4607" s="2">
        <f ca="1"/>
        <v>0.85876784439520715</v>
      </c>
      <c r="O4607" s="2">
        <f ca="1"/>
        <v>-0.53306399587960718</v>
      </c>
      <c r="X4607" s="2">
        <f ca="1"/>
        <v>68.185927465657997</v>
      </c>
      <c r="AG4607" s="2">
        <f ca="1"/>
        <v>0.83647536870205297</v>
      </c>
      <c r="AH4607" s="2" t="str">
        <f ca="1"/>
        <v>Bad</v>
      </c>
    </row>
    <row r="4608" spans="2:34" x14ac:dyDescent="0.2">
      <c r="B4608" s="2">
        <f ca="1"/>
        <v>0.98448082272861792</v>
      </c>
      <c r="O4608" s="2">
        <f ca="1"/>
        <v>0.98053041261465157</v>
      </c>
      <c r="X4608" s="2">
        <f ca="1"/>
        <v>36.57255757033009</v>
      </c>
      <c r="AG4608" s="2">
        <f ca="1"/>
        <v>0.99527709164583689</v>
      </c>
      <c r="AH4608" s="2" t="str">
        <f ca="1"/>
        <v>Bad</v>
      </c>
    </row>
    <row r="4609" spans="2:34" x14ac:dyDescent="0.2">
      <c r="B4609" s="2">
        <f ca="1"/>
        <v>0.65175381134773769</v>
      </c>
      <c r="O4609" s="2">
        <f ca="1"/>
        <v>-0.34649396305125729</v>
      </c>
      <c r="X4609" s="2">
        <f ca="1"/>
        <v>25.284248147218857</v>
      </c>
      <c r="AG4609" s="2">
        <f ca="1"/>
        <v>0.7117634292594559</v>
      </c>
      <c r="AH4609" s="2" t="str">
        <f ca="1"/>
        <v>Bad</v>
      </c>
    </row>
    <row r="4610" spans="2:34" x14ac:dyDescent="0.2">
      <c r="B4610" s="2">
        <f ca="1"/>
        <v>0.91160649109961822</v>
      </c>
      <c r="O4610" s="2">
        <f ca="1"/>
        <v>-1.6418137250021816</v>
      </c>
      <c r="X4610" s="2">
        <f ca="1"/>
        <v>53.124520880479494</v>
      </c>
      <c r="AG4610" s="2">
        <f ca="1"/>
        <v>0.8761315026229517</v>
      </c>
      <c r="AH4610" s="2" t="str">
        <f ca="1"/>
        <v>Bad</v>
      </c>
    </row>
    <row r="4611" spans="2:34" x14ac:dyDescent="0.2">
      <c r="B4611" s="2">
        <f ca="1"/>
        <v>3.6670996087360574E-2</v>
      </c>
      <c r="O4611" s="2">
        <f ca="1"/>
        <v>-1.3743672590319611</v>
      </c>
      <c r="X4611" s="2">
        <f ca="1"/>
        <v>50.413616170062667</v>
      </c>
      <c r="AG4611" s="2">
        <f ca="1"/>
        <v>0.33923377669998556</v>
      </c>
      <c r="AH4611" s="2" t="str">
        <f ca="1"/>
        <v>OK</v>
      </c>
    </row>
    <row r="4612" spans="2:34" x14ac:dyDescent="0.2">
      <c r="B4612" s="2">
        <f ca="1"/>
        <v>0.12636898859810941</v>
      </c>
      <c r="O4612" s="2">
        <f ca="1"/>
        <v>-1.3119156342470462</v>
      </c>
      <c r="X4612" s="2">
        <f ca="1"/>
        <v>38.572269189751594</v>
      </c>
      <c r="AG4612" s="2">
        <f ca="1"/>
        <v>0.20459936160783165</v>
      </c>
      <c r="AH4612" s="2" t="str">
        <f ca="1"/>
        <v>OK</v>
      </c>
    </row>
    <row r="4613" spans="2:34" x14ac:dyDescent="0.2">
      <c r="B4613" s="2">
        <f ca="1"/>
        <v>0.89467427714180836</v>
      </c>
      <c r="O4613" s="2">
        <f ca="1"/>
        <v>-0.29091599051616729</v>
      </c>
      <c r="X4613" s="2">
        <f ca="1"/>
        <v>60.048272591613184</v>
      </c>
      <c r="AG4613" s="2">
        <f ca="1"/>
        <v>0.36666537927571707</v>
      </c>
      <c r="AH4613" s="2" t="str">
        <f ca="1"/>
        <v>OK</v>
      </c>
    </row>
    <row r="4614" spans="2:34" x14ac:dyDescent="0.2">
      <c r="B4614" s="2">
        <f ca="1"/>
        <v>0.49091883776993916</v>
      </c>
      <c r="O4614" s="2">
        <f ca="1"/>
        <v>-0.2085349065315531</v>
      </c>
      <c r="X4614" s="2">
        <f ca="1"/>
        <v>53.92641913159548</v>
      </c>
      <c r="AG4614" s="2">
        <f ca="1"/>
        <v>0.54124709901740631</v>
      </c>
      <c r="AH4614" s="2" t="str">
        <f ca="1"/>
        <v>Bad</v>
      </c>
    </row>
    <row r="4615" spans="2:34" x14ac:dyDescent="0.2">
      <c r="B4615" s="2">
        <f ca="1"/>
        <v>0.51404181054802844</v>
      </c>
      <c r="O4615" s="2">
        <f ca="1"/>
        <v>0.66546284259175337</v>
      </c>
      <c r="X4615" s="2">
        <f ca="1"/>
        <v>35.937503666728126</v>
      </c>
      <c r="AG4615" s="2">
        <f ca="1"/>
        <v>0.67675410168684746</v>
      </c>
      <c r="AH4615" s="2" t="str">
        <f ca="1"/>
        <v>Bad</v>
      </c>
    </row>
    <row r="4616" spans="2:34" x14ac:dyDescent="0.2">
      <c r="B4616" s="2">
        <f ca="1"/>
        <v>0.36915051469307292</v>
      </c>
      <c r="O4616" s="2">
        <f ca="1"/>
        <v>0.21554499535509311</v>
      </c>
      <c r="X4616" s="2">
        <f ca="1"/>
        <v>30.487687094785834</v>
      </c>
      <c r="AG4616" s="2">
        <f ca="1"/>
        <v>0.9695911346920123</v>
      </c>
      <c r="AH4616" s="2" t="str">
        <f ca="1"/>
        <v>Bad</v>
      </c>
    </row>
    <row r="4617" spans="2:34" x14ac:dyDescent="0.2">
      <c r="B4617" s="2">
        <f ca="1"/>
        <v>0.54753376848545243</v>
      </c>
      <c r="O4617" s="2">
        <f ca="1"/>
        <v>-2.2773926378913365</v>
      </c>
      <c r="X4617" s="2">
        <f ca="1"/>
        <v>30.139361947612006</v>
      </c>
      <c r="AG4617" s="2">
        <f ca="1"/>
        <v>0.3872509730728606</v>
      </c>
      <c r="AH4617" s="2" t="str">
        <f ca="1"/>
        <v>OK</v>
      </c>
    </row>
    <row r="4618" spans="2:34" x14ac:dyDescent="0.2">
      <c r="B4618" s="2">
        <f ca="1"/>
        <v>0.67926386041012687</v>
      </c>
      <c r="O4618" s="2">
        <f ca="1"/>
        <v>-0.67573407353666703</v>
      </c>
      <c r="X4618" s="2">
        <f ca="1"/>
        <v>51.11989169732621</v>
      </c>
      <c r="AG4618" s="2">
        <f ca="1"/>
        <v>0.5273062554327459</v>
      </c>
      <c r="AH4618" s="2" t="str">
        <f ca="1"/>
        <v>Bad</v>
      </c>
    </row>
    <row r="4619" spans="2:34" x14ac:dyDescent="0.2">
      <c r="B4619" s="2">
        <f ca="1"/>
        <v>0.36084010760223428</v>
      </c>
      <c r="O4619" s="2">
        <f ca="1"/>
        <v>-1.268606753470495</v>
      </c>
      <c r="X4619" s="2">
        <f ca="1"/>
        <v>44.915607736954072</v>
      </c>
      <c r="AG4619" s="2">
        <f ca="1"/>
        <v>0.17032833536997916</v>
      </c>
      <c r="AH4619" s="2" t="str">
        <f ca="1"/>
        <v>OK</v>
      </c>
    </row>
    <row r="4620" spans="2:34" x14ac:dyDescent="0.2">
      <c r="B4620" s="2">
        <f ca="1"/>
        <v>0.4646700817431304</v>
      </c>
      <c r="O4620" s="2">
        <f ca="1"/>
        <v>-0.20004571906828342</v>
      </c>
      <c r="X4620" s="2">
        <f ca="1"/>
        <v>38.542652294088711</v>
      </c>
      <c r="AG4620" s="2">
        <f ca="1"/>
        <v>0.75955532073340182</v>
      </c>
      <c r="AH4620" s="2" t="str">
        <f ca="1"/>
        <v>Bad</v>
      </c>
    </row>
    <row r="4621" spans="2:34" x14ac:dyDescent="0.2">
      <c r="B4621" s="2">
        <f ca="1"/>
        <v>0.21707890402599661</v>
      </c>
      <c r="O4621" s="2">
        <f ca="1"/>
        <v>-0.52424234627242328</v>
      </c>
      <c r="X4621" s="2">
        <f ca="1"/>
        <v>45.587820680097948</v>
      </c>
      <c r="AG4621" s="2">
        <f ca="1"/>
        <v>0.44173851568211497</v>
      </c>
      <c r="AH4621" s="2" t="str">
        <f ca="1"/>
        <v>Bad</v>
      </c>
    </row>
    <row r="4622" spans="2:34" x14ac:dyDescent="0.2">
      <c r="B4622" s="2">
        <f ca="1"/>
        <v>0.63635312656734189</v>
      </c>
      <c r="O4622" s="2">
        <f ca="1"/>
        <v>0.23149274076325921</v>
      </c>
      <c r="X4622" s="2">
        <f ca="1"/>
        <v>47.091282578292429</v>
      </c>
      <c r="AG4622" s="2">
        <f ca="1"/>
        <v>0.38180580495032723</v>
      </c>
      <c r="AH4622" s="2" t="str">
        <f ca="1"/>
        <v>OK</v>
      </c>
    </row>
    <row r="4623" spans="2:34" x14ac:dyDescent="0.2">
      <c r="B4623" s="2">
        <f ca="1"/>
        <v>0.92821848181214284</v>
      </c>
      <c r="O4623" s="2">
        <f ca="1"/>
        <v>1.078961463245975</v>
      </c>
      <c r="X4623" s="2">
        <f ca="1"/>
        <v>59.686753223207781</v>
      </c>
      <c r="AG4623" s="2">
        <f ca="1"/>
        <v>0.45093233451713655</v>
      </c>
      <c r="AH4623" s="2" t="str">
        <f ca="1"/>
        <v>Bad</v>
      </c>
    </row>
    <row r="4624" spans="2:34" x14ac:dyDescent="0.2">
      <c r="B4624" s="2">
        <f ca="1"/>
        <v>0.63347144799348998</v>
      </c>
      <c r="O4624" s="2">
        <f ca="1"/>
        <v>-1.3292824447710341</v>
      </c>
      <c r="X4624" s="2">
        <f ca="1"/>
        <v>48.743214659551995</v>
      </c>
      <c r="AG4624" s="2">
        <f ca="1"/>
        <v>0.16236189438216519</v>
      </c>
      <c r="AH4624" s="2" t="str">
        <f ca="1"/>
        <v>OK</v>
      </c>
    </row>
    <row r="4625" spans="2:34" x14ac:dyDescent="0.2">
      <c r="B4625" s="2">
        <f ca="1"/>
        <v>0.28352373121486796</v>
      </c>
      <c r="O4625" s="2">
        <f ca="1"/>
        <v>-0.71426146934511225</v>
      </c>
      <c r="X4625" s="2">
        <f ca="1"/>
        <v>32.564494945598149</v>
      </c>
      <c r="AG4625" s="2">
        <f ca="1"/>
        <v>0.77927986958249362</v>
      </c>
      <c r="AH4625" s="2" t="str">
        <f ca="1"/>
        <v>Bad</v>
      </c>
    </row>
    <row r="4626" spans="2:34" x14ac:dyDescent="0.2">
      <c r="B4626" s="2">
        <f ca="1"/>
        <v>0.76046080134425909</v>
      </c>
      <c r="O4626" s="2">
        <f ca="1"/>
        <v>0.69035433190880346</v>
      </c>
      <c r="X4626" s="2">
        <f ca="1"/>
        <v>68.035214600355459</v>
      </c>
      <c r="AG4626" s="2">
        <f ca="1"/>
        <v>0.95201228094193424</v>
      </c>
      <c r="AH4626" s="2" t="str">
        <f ca="1"/>
        <v>Bad</v>
      </c>
    </row>
    <row r="4627" spans="2:34" x14ac:dyDescent="0.2">
      <c r="B4627" s="2">
        <f ca="1"/>
        <v>0.84318055759166488</v>
      </c>
      <c r="O4627" s="2">
        <f ca="1"/>
        <v>-0.90306216084790969</v>
      </c>
      <c r="X4627" s="2">
        <f ca="1"/>
        <v>46.157559827566004</v>
      </c>
      <c r="AG4627" s="2">
        <f ca="1"/>
        <v>0.14553016552382037</v>
      </c>
      <c r="AH4627" s="2" t="str">
        <f ca="1"/>
        <v>OK</v>
      </c>
    </row>
    <row r="4628" spans="2:34" x14ac:dyDescent="0.2">
      <c r="B4628" s="2">
        <f ca="1"/>
        <v>0.9466260662583954</v>
      </c>
      <c r="O4628" s="2">
        <f ca="1"/>
        <v>1.1648465164727333</v>
      </c>
      <c r="X4628" s="2">
        <f ca="1"/>
        <v>64.923750124966659</v>
      </c>
      <c r="AG4628" s="2">
        <f ca="1"/>
        <v>0.59854390905809352</v>
      </c>
      <c r="AH4628" s="2" t="str">
        <f ca="1"/>
        <v>Bad</v>
      </c>
    </row>
    <row r="4629" spans="2:34" x14ac:dyDescent="0.2">
      <c r="B4629" s="2">
        <f ca="1"/>
        <v>0.13785554701248337</v>
      </c>
      <c r="O4629" s="2">
        <f ca="1"/>
        <v>-1.1683940133555479</v>
      </c>
      <c r="X4629" s="2">
        <f ca="1"/>
        <v>48.460550841831378</v>
      </c>
      <c r="AG4629" s="2">
        <f ca="1"/>
        <v>2.5400235382214476E-2</v>
      </c>
      <c r="AH4629" s="2" t="str">
        <f ca="1"/>
        <v>Good</v>
      </c>
    </row>
    <row r="4630" spans="2:34" x14ac:dyDescent="0.2">
      <c r="B4630" s="2">
        <f ca="1"/>
        <v>6.3199524769750104E-2</v>
      </c>
      <c r="O4630" s="2">
        <f ca="1"/>
        <v>-0.71654155426992894</v>
      </c>
      <c r="X4630" s="2">
        <f ca="1"/>
        <v>50.5876700059314</v>
      </c>
      <c r="AG4630" s="2">
        <f ca="1"/>
        <v>0.69473502049460767</v>
      </c>
      <c r="AH4630" s="2" t="str">
        <f ca="1"/>
        <v>Bad</v>
      </c>
    </row>
    <row r="4631" spans="2:34" x14ac:dyDescent="0.2">
      <c r="B4631" s="2">
        <f ca="1"/>
        <v>0.32214937863900794</v>
      </c>
      <c r="O4631" s="2">
        <f ca="1"/>
        <v>0.77165290901113737</v>
      </c>
      <c r="X4631" s="2">
        <f ca="1"/>
        <v>50.791979865407278</v>
      </c>
      <c r="AG4631" s="2">
        <f ca="1"/>
        <v>9.5066996327585862E-2</v>
      </c>
      <c r="AH4631" s="2" t="str">
        <f ca="1"/>
        <v>OK</v>
      </c>
    </row>
    <row r="4632" spans="2:34" x14ac:dyDescent="0.2">
      <c r="B4632" s="2">
        <f ca="1"/>
        <v>0.90566273056905833</v>
      </c>
      <c r="O4632" s="2">
        <f ca="1"/>
        <v>-0.69050293710863131</v>
      </c>
      <c r="X4632" s="2">
        <f ca="1"/>
        <v>65.553076841453333</v>
      </c>
      <c r="AG4632" s="2">
        <f ca="1"/>
        <v>0.23568417769813865</v>
      </c>
      <c r="AH4632" s="2" t="str">
        <f ca="1"/>
        <v>OK</v>
      </c>
    </row>
    <row r="4633" spans="2:34" x14ac:dyDescent="0.2">
      <c r="B4633" s="2">
        <f ca="1"/>
        <v>1.0187053959242354E-2</v>
      </c>
      <c r="O4633" s="2">
        <f ca="1"/>
        <v>0.44141424903799953</v>
      </c>
      <c r="X4633" s="2">
        <f ca="1"/>
        <v>77.48361299758183</v>
      </c>
      <c r="AG4633" s="2">
        <f ca="1"/>
        <v>0.39554610664409262</v>
      </c>
      <c r="AH4633" s="2" t="str">
        <f ca="1"/>
        <v>OK</v>
      </c>
    </row>
    <row r="4634" spans="2:34" x14ac:dyDescent="0.2">
      <c r="B4634" s="2">
        <f ca="1"/>
        <v>0.49001298851351005</v>
      </c>
      <c r="O4634" s="2">
        <f ca="1"/>
        <v>-1.3232857616143785</v>
      </c>
      <c r="X4634" s="2">
        <f ca="1"/>
        <v>54.522923134741887</v>
      </c>
      <c r="AG4634" s="2">
        <f ca="1"/>
        <v>0.23880435331575134</v>
      </c>
      <c r="AH4634" s="2" t="str">
        <f ca="1"/>
        <v>OK</v>
      </c>
    </row>
    <row r="4635" spans="2:34" x14ac:dyDescent="0.2">
      <c r="B4635" s="2">
        <f ca="1"/>
        <v>0.76163762002278101</v>
      </c>
      <c r="O4635" s="2">
        <f ca="1"/>
        <v>-1.6284231868168408</v>
      </c>
      <c r="X4635" s="2">
        <f ca="1"/>
        <v>60.323412058015968</v>
      </c>
      <c r="AG4635" s="2">
        <f ca="1"/>
        <v>0.13428989477954767</v>
      </c>
      <c r="AH4635" s="2" t="str">
        <f ca="1"/>
        <v>OK</v>
      </c>
    </row>
    <row r="4636" spans="2:34" x14ac:dyDescent="0.2">
      <c r="B4636" s="2">
        <f ca="1"/>
        <v>0.63830348633387413</v>
      </c>
      <c r="O4636" s="2">
        <f ca="1"/>
        <v>-1.7525740827672107</v>
      </c>
      <c r="X4636" s="2">
        <f ca="1"/>
        <v>58.933303773568788</v>
      </c>
      <c r="AG4636" s="2">
        <f ca="1"/>
        <v>0.45801457179154204</v>
      </c>
      <c r="AH4636" s="2" t="str">
        <f ca="1"/>
        <v>Bad</v>
      </c>
    </row>
    <row r="4637" spans="2:34" x14ac:dyDescent="0.2">
      <c r="B4637" s="2">
        <f ca="1"/>
        <v>0.78780785666466135</v>
      </c>
      <c r="O4637" s="2">
        <f ca="1"/>
        <v>-1.3816730588511932</v>
      </c>
      <c r="X4637" s="2">
        <f ca="1"/>
        <v>31.014473704754167</v>
      </c>
      <c r="AG4637" s="2">
        <f ca="1"/>
        <v>0.65626884275439989</v>
      </c>
      <c r="AH4637" s="2" t="str">
        <f ca="1"/>
        <v>Bad</v>
      </c>
    </row>
    <row r="4638" spans="2:34" x14ac:dyDescent="0.2">
      <c r="B4638" s="2">
        <f ca="1"/>
        <v>0.6981241361161743</v>
      </c>
      <c r="O4638" s="2">
        <f ca="1"/>
        <v>-0.50964546981146541</v>
      </c>
      <c r="X4638" s="2">
        <f ca="1"/>
        <v>56.995647057049027</v>
      </c>
      <c r="AG4638" s="2">
        <f ca="1"/>
        <v>0.5232584993573397</v>
      </c>
      <c r="AH4638" s="2" t="str">
        <f ca="1"/>
        <v>Bad</v>
      </c>
    </row>
    <row r="4639" spans="2:34" x14ac:dyDescent="0.2">
      <c r="B4639" s="2">
        <f ca="1"/>
        <v>0.66845919295493972</v>
      </c>
      <c r="O4639" s="2">
        <f ca="1"/>
        <v>1.5330992563955639</v>
      </c>
      <c r="X4639" s="2">
        <f ca="1"/>
        <v>42.986903002771783</v>
      </c>
      <c r="AG4639" s="2">
        <f ca="1"/>
        <v>0.36100935263015632</v>
      </c>
      <c r="AH4639" s="2" t="str">
        <f ca="1"/>
        <v>OK</v>
      </c>
    </row>
    <row r="4640" spans="2:34" x14ac:dyDescent="0.2">
      <c r="B4640" s="2">
        <f ca="1"/>
        <v>0.13157788344701338</v>
      </c>
      <c r="O4640" s="2">
        <f ca="1"/>
        <v>-1.3954207267183565</v>
      </c>
      <c r="X4640" s="2">
        <f ca="1"/>
        <v>41.457584062008323</v>
      </c>
      <c r="AG4640" s="2">
        <f ca="1"/>
        <v>0.37924063505183114</v>
      </c>
      <c r="AH4640" s="2" t="str">
        <f ca="1"/>
        <v>OK</v>
      </c>
    </row>
    <row r="4641" spans="2:34" x14ac:dyDescent="0.2">
      <c r="B4641" s="2">
        <f ca="1"/>
        <v>0.23832196078733303</v>
      </c>
      <c r="O4641" s="2">
        <f ca="1"/>
        <v>-0.42563083197267387</v>
      </c>
      <c r="X4641" s="2">
        <f ca="1"/>
        <v>49.163875253155979</v>
      </c>
      <c r="AG4641" s="2">
        <f ca="1"/>
        <v>4.5265484050855065E-2</v>
      </c>
      <c r="AH4641" s="2" t="str">
        <f ca="1"/>
        <v>Good</v>
      </c>
    </row>
    <row r="4642" spans="2:34" x14ac:dyDescent="0.2">
      <c r="B4642" s="2">
        <f ca="1"/>
        <v>0.56259305080994904</v>
      </c>
      <c r="O4642" s="2">
        <f ca="1"/>
        <v>-0.38636298389932355</v>
      </c>
      <c r="X4642" s="2">
        <f ca="1"/>
        <v>35.962287497857957</v>
      </c>
      <c r="AG4642" s="2">
        <f ca="1"/>
        <v>0.4359748305837845</v>
      </c>
      <c r="AH4642" s="2" t="str">
        <f ca="1"/>
        <v>Bad</v>
      </c>
    </row>
    <row r="4643" spans="2:34" x14ac:dyDescent="0.2">
      <c r="B4643" s="2">
        <f ca="1"/>
        <v>0.9842401901279616</v>
      </c>
      <c r="O4643" s="2">
        <f ca="1"/>
        <v>0.80640621622497211</v>
      </c>
      <c r="X4643" s="2">
        <f ca="1"/>
        <v>44.404199790892804</v>
      </c>
      <c r="AG4643" s="2">
        <f ca="1"/>
        <v>0.29751123675729962</v>
      </c>
      <c r="AH4643" s="2" t="str">
        <f ca="1"/>
        <v>OK</v>
      </c>
    </row>
    <row r="4644" spans="2:34" x14ac:dyDescent="0.2">
      <c r="B4644" s="2">
        <f ca="1"/>
        <v>0.58551933320076599</v>
      </c>
      <c r="O4644" s="2">
        <f ca="1"/>
        <v>1.1010920565797262</v>
      </c>
      <c r="X4644" s="2">
        <f ca="1"/>
        <v>64.837022536916095</v>
      </c>
      <c r="AG4644" s="2">
        <f ca="1"/>
        <v>0.26883370073370028</v>
      </c>
      <c r="AH4644" s="2" t="str">
        <f ca="1"/>
        <v>OK</v>
      </c>
    </row>
    <row r="4645" spans="2:34" x14ac:dyDescent="0.2">
      <c r="B4645" s="2">
        <f ca="1"/>
        <v>0.44461396905393347</v>
      </c>
      <c r="O4645" s="2">
        <f ca="1"/>
        <v>0.94508279735528389</v>
      </c>
      <c r="X4645" s="2">
        <f ca="1"/>
        <v>69.104411776576484</v>
      </c>
      <c r="AG4645" s="2">
        <f ca="1"/>
        <v>9.732825209075191E-2</v>
      </c>
      <c r="AH4645" s="2" t="str">
        <f ca="1"/>
        <v>OK</v>
      </c>
    </row>
    <row r="4646" spans="2:34" x14ac:dyDescent="0.2">
      <c r="B4646" s="2">
        <f ca="1"/>
        <v>0.97604912030413971</v>
      </c>
      <c r="O4646" s="2">
        <f ca="1"/>
        <v>0.63350937347612135</v>
      </c>
      <c r="X4646" s="2">
        <f ca="1"/>
        <v>45.537163349428411</v>
      </c>
      <c r="AG4646" s="2">
        <f ca="1"/>
        <v>0.97459688756308105</v>
      </c>
      <c r="AH4646" s="2" t="str">
        <f ca="1"/>
        <v>Bad</v>
      </c>
    </row>
    <row r="4647" spans="2:34" x14ac:dyDescent="0.2">
      <c r="B4647" s="2">
        <f ca="1"/>
        <v>0.75096753276195027</v>
      </c>
      <c r="O4647" s="2">
        <f ca="1"/>
        <v>-1.7535244862740936E-2</v>
      </c>
      <c r="X4647" s="2">
        <f ca="1"/>
        <v>31.536963289794649</v>
      </c>
      <c r="AG4647" s="2">
        <f ca="1"/>
        <v>0.80042586942362659</v>
      </c>
      <c r="AH4647" s="2" t="str">
        <f ca="1"/>
        <v>Bad</v>
      </c>
    </row>
    <row r="4648" spans="2:34" x14ac:dyDescent="0.2">
      <c r="B4648" s="2">
        <f ca="1"/>
        <v>0.37870496229162121</v>
      </c>
      <c r="O4648" s="2">
        <f ca="1"/>
        <v>-0.32562064889099024</v>
      </c>
      <c r="X4648" s="2">
        <f ca="1"/>
        <v>78.159543781861515</v>
      </c>
      <c r="AG4648" s="2">
        <f ca="1"/>
        <v>0.95135333256167609</v>
      </c>
      <c r="AH4648" s="2" t="str">
        <f ca="1"/>
        <v>Bad</v>
      </c>
    </row>
    <row r="4649" spans="2:34" x14ac:dyDescent="0.2">
      <c r="B4649" s="2">
        <f ca="1"/>
        <v>9.1903080626648537E-2</v>
      </c>
      <c r="O4649" s="2">
        <f ca="1"/>
        <v>0.12503558449018601</v>
      </c>
      <c r="X4649" s="2">
        <f ca="1"/>
        <v>28.870543431272555</v>
      </c>
      <c r="AG4649" s="2">
        <f ca="1"/>
        <v>0.20600633548609393</v>
      </c>
      <c r="AH4649" s="2" t="str">
        <f ca="1"/>
        <v>OK</v>
      </c>
    </row>
    <row r="4650" spans="2:34" x14ac:dyDescent="0.2">
      <c r="B4650" s="2">
        <f ca="1"/>
        <v>0.91853691107376312</v>
      </c>
      <c r="O4650" s="2">
        <f ca="1"/>
        <v>-0.5656639465815626</v>
      </c>
      <c r="X4650" s="2">
        <f ca="1"/>
        <v>37.824529545948749</v>
      </c>
      <c r="AG4650" s="2">
        <f ca="1"/>
        <v>0.50623208143055698</v>
      </c>
      <c r="AH4650" s="2" t="str">
        <f ca="1"/>
        <v>Bad</v>
      </c>
    </row>
    <row r="4651" spans="2:34" x14ac:dyDescent="0.2">
      <c r="B4651" s="2">
        <f ca="1"/>
        <v>0.37630126073166026</v>
      </c>
      <c r="O4651" s="2">
        <f ca="1"/>
        <v>0.29887980413331838</v>
      </c>
      <c r="X4651" s="2">
        <f ca="1"/>
        <v>45.05995530563284</v>
      </c>
      <c r="AG4651" s="2">
        <f ca="1"/>
        <v>0.11702486102730525</v>
      </c>
      <c r="AH4651" s="2" t="str">
        <f ca="1"/>
        <v>OK</v>
      </c>
    </row>
    <row r="4652" spans="2:34" x14ac:dyDescent="0.2">
      <c r="B4652" s="2">
        <f ca="1"/>
        <v>0.11162467191210057</v>
      </c>
      <c r="O4652" s="2">
        <f ca="1"/>
        <v>-0.47723107151094318</v>
      </c>
      <c r="X4652" s="2">
        <f ca="1"/>
        <v>33.504305201522328</v>
      </c>
      <c r="AG4652" s="2">
        <f ca="1"/>
        <v>0.96954061233015709</v>
      </c>
      <c r="AH4652" s="2" t="str">
        <f ca="1"/>
        <v>Bad</v>
      </c>
    </row>
    <row r="4653" spans="2:34" x14ac:dyDescent="0.2">
      <c r="B4653" s="2">
        <f ca="1"/>
        <v>0.51839066751249807</v>
      </c>
      <c r="O4653" s="2">
        <f ca="1"/>
        <v>-0.54706623937981114</v>
      </c>
      <c r="X4653" s="2">
        <f ca="1"/>
        <v>39.299271109614743</v>
      </c>
      <c r="AG4653" s="2">
        <f ca="1"/>
        <v>0.49803797983514708</v>
      </c>
      <c r="AH4653" s="2" t="str">
        <f ca="1"/>
        <v>Bad</v>
      </c>
    </row>
    <row r="4654" spans="2:34" x14ac:dyDescent="0.2">
      <c r="B4654" s="2">
        <f ca="1"/>
        <v>0.1930997906228662</v>
      </c>
      <c r="O4654" s="2">
        <f ca="1"/>
        <v>-0.83328125150284849</v>
      </c>
      <c r="X4654" s="2">
        <f ca="1"/>
        <v>44.47927865357056</v>
      </c>
      <c r="AG4654" s="2">
        <f ca="1"/>
        <v>0.88177513738947089</v>
      </c>
      <c r="AH4654" s="2" t="str">
        <f ca="1"/>
        <v>Bad</v>
      </c>
    </row>
    <row r="4655" spans="2:34" x14ac:dyDescent="0.2">
      <c r="B4655" s="2">
        <f ca="1"/>
        <v>0.4023923211114262</v>
      </c>
      <c r="O4655" s="2">
        <f ca="1"/>
        <v>-0.1401897197619002</v>
      </c>
      <c r="X4655" s="2">
        <f ca="1"/>
        <v>37.456980128760208</v>
      </c>
      <c r="AG4655" s="2">
        <f ca="1"/>
        <v>0.58730272210432299</v>
      </c>
      <c r="AH4655" s="2" t="str">
        <f ca="1"/>
        <v>Bad</v>
      </c>
    </row>
    <row r="4656" spans="2:34" x14ac:dyDescent="0.2">
      <c r="B4656" s="2">
        <f ca="1"/>
        <v>0.2003961263822116</v>
      </c>
      <c r="O4656" s="2">
        <f ca="1"/>
        <v>-0.31950272687310932</v>
      </c>
      <c r="X4656" s="2">
        <f ca="1"/>
        <v>43.320362286661236</v>
      </c>
      <c r="AG4656" s="2">
        <f ca="1"/>
        <v>0.84204483736682634</v>
      </c>
      <c r="AH4656" s="2" t="str">
        <f ca="1"/>
        <v>Bad</v>
      </c>
    </row>
    <row r="4657" spans="2:34" x14ac:dyDescent="0.2">
      <c r="B4657" s="2">
        <f ca="1"/>
        <v>0.61470406336961303</v>
      </c>
      <c r="O4657" s="2">
        <f ca="1"/>
        <v>0.47604137092911519</v>
      </c>
      <c r="X4657" s="2">
        <f ca="1"/>
        <v>72.325459500391659</v>
      </c>
      <c r="AG4657" s="2">
        <f ca="1"/>
        <v>0.72817199959153323</v>
      </c>
      <c r="AH4657" s="2" t="str">
        <f ca="1"/>
        <v>Bad</v>
      </c>
    </row>
    <row r="4658" spans="2:34" x14ac:dyDescent="0.2">
      <c r="B4658" s="2">
        <f ca="1"/>
        <v>2.0011245962180402E-2</v>
      </c>
      <c r="O4658" s="2">
        <f ca="1"/>
        <v>1.0184388353245775</v>
      </c>
      <c r="X4658" s="2">
        <f ca="1"/>
        <v>66.272245400203033</v>
      </c>
      <c r="AG4658" s="2">
        <f ca="1"/>
        <v>0.29139137745272015</v>
      </c>
      <c r="AH4658" s="2" t="str">
        <f ca="1"/>
        <v>OK</v>
      </c>
    </row>
    <row r="4659" spans="2:34" x14ac:dyDescent="0.2">
      <c r="B4659" s="2">
        <f ca="1"/>
        <v>2.8205056920709959E-2</v>
      </c>
      <c r="O4659" s="2">
        <f ca="1"/>
        <v>0.53392626289667144</v>
      </c>
      <c r="X4659" s="2">
        <f ca="1"/>
        <v>31.526620488854412</v>
      </c>
      <c r="AG4659" s="2">
        <f ca="1"/>
        <v>0.21358619480917196</v>
      </c>
      <c r="AH4659" s="2" t="str">
        <f ca="1"/>
        <v>OK</v>
      </c>
    </row>
    <row r="4660" spans="2:34" x14ac:dyDescent="0.2">
      <c r="B4660" s="2">
        <f ca="1"/>
        <v>8.2888499121648973E-2</v>
      </c>
      <c r="O4660" s="2">
        <f ca="1"/>
        <v>0.34320912897673478</v>
      </c>
      <c r="X4660" s="2">
        <f ca="1"/>
        <v>43.473678049084732</v>
      </c>
      <c r="AG4660" s="2">
        <f ca="1"/>
        <v>0.69480306928217161</v>
      </c>
      <c r="AH4660" s="2" t="str">
        <f ca="1"/>
        <v>Bad</v>
      </c>
    </row>
    <row r="4661" spans="2:34" x14ac:dyDescent="0.2">
      <c r="B4661" s="2">
        <f ca="1"/>
        <v>0.20776466124710335</v>
      </c>
      <c r="O4661" s="2">
        <f ca="1"/>
        <v>0.3593885123258892</v>
      </c>
      <c r="X4661" s="2">
        <f ca="1"/>
        <v>32.063582180692912</v>
      </c>
      <c r="AG4661" s="2">
        <f ca="1"/>
        <v>0.72617482090921182</v>
      </c>
      <c r="AH4661" s="2" t="str">
        <f ca="1"/>
        <v>Bad</v>
      </c>
    </row>
    <row r="4662" spans="2:34" x14ac:dyDescent="0.2">
      <c r="B4662" s="2">
        <f ca="1"/>
        <v>0.48201217956348552</v>
      </c>
      <c r="O4662" s="2">
        <f ca="1"/>
        <v>-0.29971697043065154</v>
      </c>
      <c r="X4662" s="2">
        <f ca="1"/>
        <v>52.166093306649948</v>
      </c>
      <c r="AG4662" s="2">
        <f ca="1"/>
        <v>9.7379053511411628E-2</v>
      </c>
      <c r="AH4662" s="2" t="str">
        <f ca="1"/>
        <v>OK</v>
      </c>
    </row>
    <row r="4663" spans="2:34" x14ac:dyDescent="0.2">
      <c r="B4663" s="2">
        <f ca="1"/>
        <v>0.89960756569690226</v>
      </c>
      <c r="O4663" s="2">
        <f ca="1"/>
        <v>1.1690540844929345</v>
      </c>
      <c r="X4663" s="2">
        <f ca="1"/>
        <v>32.979860083864679</v>
      </c>
      <c r="AG4663" s="2">
        <f ca="1"/>
        <v>6.6035139516542163E-2</v>
      </c>
      <c r="AH4663" s="2" t="str">
        <f ca="1"/>
        <v>OK</v>
      </c>
    </row>
    <row r="4664" spans="2:34" x14ac:dyDescent="0.2">
      <c r="B4664" s="2">
        <f ca="1"/>
        <v>0.48569546491649573</v>
      </c>
      <c r="O4664" s="2">
        <f ca="1"/>
        <v>1.7057680729791276</v>
      </c>
      <c r="X4664" s="2">
        <f ca="1"/>
        <v>30.791736562945921</v>
      </c>
      <c r="AG4664" s="2">
        <f ca="1"/>
        <v>0.82524673059872833</v>
      </c>
      <c r="AH4664" s="2" t="str">
        <f ca="1"/>
        <v>Bad</v>
      </c>
    </row>
    <row r="4665" spans="2:34" x14ac:dyDescent="0.2">
      <c r="B4665" s="2">
        <f ca="1"/>
        <v>0.12901197879270998</v>
      </c>
      <c r="O4665" s="2">
        <f ca="1"/>
        <v>0.45400494907932265</v>
      </c>
      <c r="X4665" s="2">
        <f ca="1"/>
        <v>31.154262816222698</v>
      </c>
      <c r="AG4665" s="2">
        <f ca="1"/>
        <v>0.83862087230247728</v>
      </c>
      <c r="AH4665" s="2" t="str">
        <f ca="1"/>
        <v>Bad</v>
      </c>
    </row>
    <row r="4666" spans="2:34" x14ac:dyDescent="0.2">
      <c r="B4666" s="2">
        <f ca="1"/>
        <v>0.43779028002648768</v>
      </c>
      <c r="O4666" s="2">
        <f ca="1"/>
        <v>0.52268275715668477</v>
      </c>
      <c r="X4666" s="2">
        <f ca="1"/>
        <v>40.472547882188408</v>
      </c>
      <c r="AG4666" s="2">
        <f ca="1"/>
        <v>0.9289393341380292</v>
      </c>
      <c r="AH4666" s="2" t="str">
        <f ca="1"/>
        <v>Bad</v>
      </c>
    </row>
    <row r="4667" spans="2:34" x14ac:dyDescent="0.2">
      <c r="B4667" s="2">
        <f ca="1"/>
        <v>4.5492288368190525E-2</v>
      </c>
      <c r="O4667" s="2">
        <f ca="1"/>
        <v>0.5556234593730246</v>
      </c>
      <c r="X4667" s="2">
        <f ca="1"/>
        <v>38.978665383385987</v>
      </c>
      <c r="AG4667" s="2">
        <f ca="1"/>
        <v>0.66212574306020833</v>
      </c>
      <c r="AH4667" s="2" t="str">
        <f ca="1"/>
        <v>Bad</v>
      </c>
    </row>
    <row r="4668" spans="2:34" x14ac:dyDescent="0.2">
      <c r="B4668" s="2">
        <f ca="1"/>
        <v>0.1822484079781066</v>
      </c>
      <c r="O4668" s="2">
        <f ca="1"/>
        <v>2.343086997299527</v>
      </c>
      <c r="X4668" s="2">
        <f ca="1"/>
        <v>64.490889411582785</v>
      </c>
      <c r="AG4668" s="2">
        <f ca="1"/>
        <v>0.29494322471672652</v>
      </c>
      <c r="AH4668" s="2" t="str">
        <f ca="1"/>
        <v>OK</v>
      </c>
    </row>
    <row r="4669" spans="2:34" x14ac:dyDescent="0.2">
      <c r="B4669" s="2">
        <f ca="1"/>
        <v>0.52855836682523805</v>
      </c>
      <c r="O4669" s="2">
        <f ca="1"/>
        <v>1.8674065304203531</v>
      </c>
      <c r="X4669" s="2">
        <f ca="1"/>
        <v>34.89633085534701</v>
      </c>
      <c r="AG4669" s="2">
        <f ca="1"/>
        <v>0.16928952924007512</v>
      </c>
      <c r="AH4669" s="2" t="str">
        <f ca="1"/>
        <v>OK</v>
      </c>
    </row>
    <row r="4670" spans="2:34" x14ac:dyDescent="0.2">
      <c r="B4670" s="2">
        <f ca="1"/>
        <v>0.89645168754704074</v>
      </c>
      <c r="O4670" s="2">
        <f ca="1"/>
        <v>-8.4654715830956101E-2</v>
      </c>
      <c r="X4670" s="2">
        <f ca="1"/>
        <v>42.279156059275223</v>
      </c>
      <c r="AG4670" s="2">
        <f ca="1"/>
        <v>0.45544035894977419</v>
      </c>
      <c r="AH4670" s="2" t="str">
        <f ca="1"/>
        <v>Bad</v>
      </c>
    </row>
    <row r="4671" spans="2:34" x14ac:dyDescent="0.2">
      <c r="B4671" s="2">
        <f ca="1"/>
        <v>0.14985143644790444</v>
      </c>
      <c r="O4671" s="2">
        <f ca="1"/>
        <v>-0.67263197683806542</v>
      </c>
      <c r="X4671" s="2">
        <f ca="1"/>
        <v>27.555496718443525</v>
      </c>
      <c r="AG4671" s="2">
        <f ca="1"/>
        <v>0.32032904212959212</v>
      </c>
      <c r="AH4671" s="2" t="str">
        <f ca="1"/>
        <v>OK</v>
      </c>
    </row>
    <row r="4672" spans="2:34" x14ac:dyDescent="0.2">
      <c r="B4672" s="2">
        <f ca="1"/>
        <v>0.76242078456013518</v>
      </c>
      <c r="O4672" s="2">
        <f ca="1"/>
        <v>0.41186627274260212</v>
      </c>
      <c r="X4672" s="2">
        <f ca="1"/>
        <v>48.268933536379457</v>
      </c>
      <c r="AG4672" s="2">
        <f ca="1"/>
        <v>0.71393632620013792</v>
      </c>
      <c r="AH4672" s="2" t="str">
        <f ca="1"/>
        <v>Bad</v>
      </c>
    </row>
    <row r="4673" spans="2:34" x14ac:dyDescent="0.2">
      <c r="B4673" s="2">
        <f ca="1"/>
        <v>0.11684048383340762</v>
      </c>
      <c r="O4673" s="2">
        <f ca="1"/>
        <v>-0.67770394848595916</v>
      </c>
      <c r="X4673" s="2">
        <f ca="1"/>
        <v>64.946095820118671</v>
      </c>
      <c r="AG4673" s="2">
        <f ca="1"/>
        <v>0.20360600095806025</v>
      </c>
      <c r="AH4673" s="2" t="str">
        <f ca="1"/>
        <v>OK</v>
      </c>
    </row>
    <row r="4674" spans="2:34" x14ac:dyDescent="0.2">
      <c r="B4674" s="2">
        <f ca="1"/>
        <v>0.2375693958708498</v>
      </c>
      <c r="O4674" s="2">
        <f ca="1"/>
        <v>1.0559159547120425</v>
      </c>
      <c r="X4674" s="2">
        <f ca="1"/>
        <v>54.637480539188601</v>
      </c>
      <c r="AG4674" s="2">
        <f ca="1"/>
        <v>0.70073205627810031</v>
      </c>
      <c r="AH4674" s="2" t="str">
        <f ca="1"/>
        <v>Bad</v>
      </c>
    </row>
    <row r="4675" spans="2:34" x14ac:dyDescent="0.2">
      <c r="B4675" s="2">
        <f ca="1"/>
        <v>0.70755285265604573</v>
      </c>
      <c r="O4675" s="2">
        <f ca="1"/>
        <v>-0.34547039172343508</v>
      </c>
      <c r="X4675" s="2">
        <f ca="1"/>
        <v>63.373802656866388</v>
      </c>
      <c r="AG4675" s="2">
        <f ca="1"/>
        <v>0.99496556040397621</v>
      </c>
      <c r="AH4675" s="2" t="str">
        <f ca="1"/>
        <v>Bad</v>
      </c>
    </row>
    <row r="4676" spans="2:34" x14ac:dyDescent="0.2">
      <c r="B4676" s="2">
        <f ca="1"/>
        <v>0.18312581894185498</v>
      </c>
      <c r="O4676" s="2">
        <f ca="1"/>
        <v>0.11564871295456337</v>
      </c>
      <c r="X4676" s="2">
        <f ca="1"/>
        <v>53.36894193530496</v>
      </c>
      <c r="AG4676" s="2">
        <f ca="1"/>
        <v>0.54627394773248561</v>
      </c>
      <c r="AH4676" s="2" t="str">
        <f ca="1"/>
        <v>Bad</v>
      </c>
    </row>
    <row r="4677" spans="2:34" x14ac:dyDescent="0.2">
      <c r="B4677" s="2">
        <f ca="1"/>
        <v>0.21285394456524664</v>
      </c>
      <c r="O4677" s="2">
        <f ca="1"/>
        <v>-2.3616289704401914</v>
      </c>
      <c r="X4677" s="2">
        <f ca="1"/>
        <v>53.567341384248252</v>
      </c>
      <c r="AG4677" s="2">
        <f ca="1"/>
        <v>0.13361368410822339</v>
      </c>
      <c r="AH4677" s="2" t="str">
        <f ca="1"/>
        <v>OK</v>
      </c>
    </row>
    <row r="4678" spans="2:34" x14ac:dyDescent="0.2">
      <c r="B4678" s="2">
        <f ca="1"/>
        <v>0.61807114453891288</v>
      </c>
      <c r="O4678" s="2">
        <f ca="1"/>
        <v>-0.25571829132557372</v>
      </c>
      <c r="X4678" s="2">
        <f ca="1"/>
        <v>52.605284456031846</v>
      </c>
      <c r="AG4678" s="2">
        <f ca="1"/>
        <v>0.82861714607979264</v>
      </c>
      <c r="AH4678" s="2" t="str">
        <f ca="1"/>
        <v>Bad</v>
      </c>
    </row>
    <row r="4679" spans="2:34" x14ac:dyDescent="0.2">
      <c r="B4679" s="2">
        <f ca="1"/>
        <v>0.31712912862315923</v>
      </c>
      <c r="O4679" s="2">
        <f ca="1"/>
        <v>-1.1584596135637792</v>
      </c>
      <c r="X4679" s="2">
        <f ca="1"/>
        <v>49.787346528258851</v>
      </c>
      <c r="AG4679" s="2">
        <f ca="1"/>
        <v>0.29757860093374844</v>
      </c>
      <c r="AH4679" s="2" t="str">
        <f ca="1"/>
        <v>OK</v>
      </c>
    </row>
    <row r="4680" spans="2:34" x14ac:dyDescent="0.2">
      <c r="B4680" s="2">
        <f ca="1"/>
        <v>0.60668199881691209</v>
      </c>
      <c r="O4680" s="2">
        <f ca="1"/>
        <v>-1.045347224644994</v>
      </c>
      <c r="X4680" s="2">
        <f ca="1"/>
        <v>37.355897588414507</v>
      </c>
      <c r="AG4680" s="2">
        <f ca="1"/>
        <v>0.55030520439128661</v>
      </c>
      <c r="AH4680" s="2" t="str">
        <f ca="1"/>
        <v>Bad</v>
      </c>
    </row>
    <row r="4681" spans="2:34" x14ac:dyDescent="0.2">
      <c r="B4681" s="2">
        <f ca="1"/>
        <v>0.8518192769390085</v>
      </c>
      <c r="O4681" s="2">
        <f ca="1"/>
        <v>0.26526828037836736</v>
      </c>
      <c r="X4681" s="2">
        <f ca="1"/>
        <v>45.814735020301079</v>
      </c>
      <c r="AG4681" s="2">
        <f ca="1"/>
        <v>0.93736017118103621</v>
      </c>
      <c r="AH4681" s="2" t="str">
        <f ca="1"/>
        <v>Bad</v>
      </c>
    </row>
    <row r="4682" spans="2:34" x14ac:dyDescent="0.2">
      <c r="B4682" s="2">
        <f ca="1"/>
        <v>0.39501838056080163</v>
      </c>
      <c r="O4682" s="2">
        <f ca="1"/>
        <v>-0.4996143318009863</v>
      </c>
      <c r="X4682" s="2">
        <f ca="1"/>
        <v>26.045117938268621</v>
      </c>
      <c r="AG4682" s="2">
        <f ca="1"/>
        <v>0.9289824010355463</v>
      </c>
      <c r="AH4682" s="2" t="str">
        <f ca="1"/>
        <v>Bad</v>
      </c>
    </row>
    <row r="4683" spans="2:34" x14ac:dyDescent="0.2">
      <c r="B4683" s="2">
        <f ca="1"/>
        <v>0.60482265613131392</v>
      </c>
      <c r="O4683" s="2">
        <f ca="1"/>
        <v>-0.13000114661402579</v>
      </c>
      <c r="X4683" s="2">
        <f ca="1"/>
        <v>62.455116923258551</v>
      </c>
      <c r="AG4683" s="2">
        <f ca="1"/>
        <v>0.99378346363594305</v>
      </c>
      <c r="AH4683" s="2" t="str">
        <f ca="1"/>
        <v>Bad</v>
      </c>
    </row>
    <row r="4684" spans="2:34" x14ac:dyDescent="0.2">
      <c r="B4684" s="2">
        <f ca="1"/>
        <v>0.66712639624342618</v>
      </c>
      <c r="O4684" s="2">
        <f ca="1"/>
        <v>0.23170611146571043</v>
      </c>
      <c r="X4684" s="2">
        <f ca="1"/>
        <v>52.239100457393263</v>
      </c>
      <c r="AG4684" s="2">
        <f ca="1"/>
        <v>0.78703011889841457</v>
      </c>
      <c r="AH4684" s="2" t="str">
        <f ca="1"/>
        <v>Bad</v>
      </c>
    </row>
    <row r="4685" spans="2:34" x14ac:dyDescent="0.2">
      <c r="B4685" s="2">
        <f ca="1"/>
        <v>4.930203855382409E-2</v>
      </c>
      <c r="O4685" s="2">
        <f ca="1"/>
        <v>-1.2138136926672158</v>
      </c>
      <c r="X4685" s="2">
        <f ca="1"/>
        <v>52.877663642315547</v>
      </c>
      <c r="AG4685" s="2">
        <f ca="1"/>
        <v>0.82970062979843329</v>
      </c>
      <c r="AH4685" s="2" t="str">
        <f ca="1"/>
        <v>Bad</v>
      </c>
    </row>
    <row r="4686" spans="2:34" x14ac:dyDescent="0.2">
      <c r="B4686" s="2">
        <f ca="1"/>
        <v>0.15633844321824775</v>
      </c>
      <c r="O4686" s="2">
        <f ca="1"/>
        <v>0.18627294986083806</v>
      </c>
      <c r="X4686" s="2">
        <f ca="1"/>
        <v>44.083866228272591</v>
      </c>
      <c r="AG4686" s="2">
        <f ca="1"/>
        <v>0.89419316602947108</v>
      </c>
      <c r="AH4686" s="2" t="str">
        <f ca="1"/>
        <v>Bad</v>
      </c>
    </row>
    <row r="4687" spans="2:34" x14ac:dyDescent="0.2">
      <c r="B4687" s="2">
        <f ca="1"/>
        <v>0.80276557854695607</v>
      </c>
      <c r="O4687" s="2">
        <f ca="1"/>
        <v>-0.71729686806868775</v>
      </c>
      <c r="X4687" s="2">
        <f ca="1"/>
        <v>23.664592211687602</v>
      </c>
      <c r="AG4687" s="2">
        <f ca="1"/>
        <v>0.48458704582320733</v>
      </c>
      <c r="AH4687" s="2" t="str">
        <f ca="1"/>
        <v>Bad</v>
      </c>
    </row>
    <row r="4688" spans="2:34" x14ac:dyDescent="0.2">
      <c r="B4688" s="2">
        <f ca="1"/>
        <v>5.4553553090595619E-2</v>
      </c>
      <c r="O4688" s="2">
        <f ca="1"/>
        <v>-0.93145152052343005</v>
      </c>
      <c r="X4688" s="2">
        <f ca="1"/>
        <v>35.465832315323979</v>
      </c>
      <c r="AG4688" s="2">
        <f ca="1"/>
        <v>0.35050177533518756</v>
      </c>
      <c r="AH4688" s="2" t="str">
        <f ca="1"/>
        <v>OK</v>
      </c>
    </row>
    <row r="4689" spans="2:34" x14ac:dyDescent="0.2">
      <c r="B4689" s="2">
        <f ca="1"/>
        <v>0.70685681388675947</v>
      </c>
      <c r="O4689" s="2">
        <f ca="1"/>
        <v>-6.402004328539472E-2</v>
      </c>
      <c r="X4689" s="2">
        <f ca="1"/>
        <v>39.84763026784065</v>
      </c>
      <c r="AG4689" s="2">
        <f ca="1"/>
        <v>0.14551046025859793</v>
      </c>
      <c r="AH4689" s="2" t="str">
        <f ca="1"/>
        <v>OK</v>
      </c>
    </row>
    <row r="4690" spans="2:34" x14ac:dyDescent="0.2">
      <c r="B4690" s="2">
        <f ca="1"/>
        <v>0.31168538044164973</v>
      </c>
      <c r="O4690" s="2">
        <f ca="1"/>
        <v>0.8711144692442877</v>
      </c>
      <c r="X4690" s="2">
        <f ca="1"/>
        <v>39.120230349417739</v>
      </c>
      <c r="AG4690" s="2">
        <f ca="1"/>
        <v>0.72840202247051611</v>
      </c>
      <c r="AH4690" s="2" t="str">
        <f ca="1"/>
        <v>Bad</v>
      </c>
    </row>
    <row r="4691" spans="2:34" x14ac:dyDescent="0.2">
      <c r="B4691" s="2">
        <f ca="1"/>
        <v>0.10253130165482305</v>
      </c>
      <c r="O4691" s="2">
        <f ca="1"/>
        <v>0.33153937279388124</v>
      </c>
      <c r="X4691" s="2">
        <f ca="1"/>
        <v>72.337676819172842</v>
      </c>
      <c r="AG4691" s="2">
        <f ca="1"/>
        <v>0.8797899210344764</v>
      </c>
      <c r="AH4691" s="2" t="str">
        <f ca="1"/>
        <v>Bad</v>
      </c>
    </row>
    <row r="4692" spans="2:34" x14ac:dyDescent="0.2">
      <c r="B4692" s="2">
        <f ca="1"/>
        <v>0.30181992947416192</v>
      </c>
      <c r="O4692" s="2">
        <f ca="1"/>
        <v>-0.74791617604285354</v>
      </c>
      <c r="X4692" s="2">
        <f ca="1"/>
        <v>53.151673862765996</v>
      </c>
      <c r="AG4692" s="2">
        <f ca="1"/>
        <v>0.58493313838462746</v>
      </c>
      <c r="AH4692" s="2" t="str">
        <f ca="1"/>
        <v>Bad</v>
      </c>
    </row>
    <row r="4693" spans="2:34" x14ac:dyDescent="0.2">
      <c r="B4693" s="2">
        <f ca="1"/>
        <v>0.35303585698576834</v>
      </c>
      <c r="O4693" s="2">
        <f ca="1"/>
        <v>-0.16933290334543011</v>
      </c>
      <c r="X4693" s="2">
        <f ca="1"/>
        <v>26.334566670504195</v>
      </c>
      <c r="AG4693" s="2">
        <f ca="1"/>
        <v>0.37705851090222309</v>
      </c>
      <c r="AH4693" s="2" t="str">
        <f ca="1"/>
        <v>OK</v>
      </c>
    </row>
    <row r="4694" spans="2:34" x14ac:dyDescent="0.2">
      <c r="B4694" s="2">
        <f ca="1"/>
        <v>0.83961435380551408</v>
      </c>
      <c r="O4694" s="2">
        <f ca="1"/>
        <v>-1.3996888366881042</v>
      </c>
      <c r="X4694" s="2">
        <f ca="1"/>
        <v>55.771895300366083</v>
      </c>
      <c r="AG4694" s="2">
        <f ca="1"/>
        <v>0.30554936931688337</v>
      </c>
      <c r="AH4694" s="2" t="str">
        <f ca="1"/>
        <v>OK</v>
      </c>
    </row>
    <row r="4695" spans="2:34" x14ac:dyDescent="0.2">
      <c r="B4695" s="2">
        <f ca="1"/>
        <v>0.95222248583878399</v>
      </c>
      <c r="O4695" s="2">
        <f ca="1"/>
        <v>-1.0373437629431086</v>
      </c>
      <c r="X4695" s="2">
        <f ca="1"/>
        <v>46.648213012436756</v>
      </c>
      <c r="AG4695" s="2">
        <f ca="1"/>
        <v>5.0726472729426098E-2</v>
      </c>
      <c r="AH4695" s="2" t="str">
        <f ca="1"/>
        <v>OK</v>
      </c>
    </row>
    <row r="4696" spans="2:34" x14ac:dyDescent="0.2">
      <c r="B4696" s="2">
        <f ca="1"/>
        <v>0.88114521931841128</v>
      </c>
      <c r="O4696" s="2">
        <f ca="1"/>
        <v>-0.21169273084022611</v>
      </c>
      <c r="X4696" s="2">
        <f ca="1"/>
        <v>37.036624500880258</v>
      </c>
      <c r="AG4696" s="2">
        <f ca="1"/>
        <v>0.88572967553984872</v>
      </c>
      <c r="AH4696" s="2" t="str">
        <f ca="1"/>
        <v>Bad</v>
      </c>
    </row>
    <row r="4697" spans="2:34" x14ac:dyDescent="0.2">
      <c r="B4697" s="2">
        <f ca="1"/>
        <v>0.85441956418787335</v>
      </c>
      <c r="O4697" s="2">
        <f ca="1"/>
        <v>-0.96929849948266955</v>
      </c>
      <c r="X4697" s="2">
        <f ca="1"/>
        <v>50.249443446598022</v>
      </c>
      <c r="AG4697" s="2">
        <f ca="1"/>
        <v>0.93195272316492872</v>
      </c>
      <c r="AH4697" s="2" t="str">
        <f ca="1"/>
        <v>Bad</v>
      </c>
    </row>
    <row r="4698" spans="2:34" x14ac:dyDescent="0.2">
      <c r="B4698" s="2">
        <f ca="1"/>
        <v>0.25044588685231117</v>
      </c>
      <c r="O4698" s="2">
        <f ca="1"/>
        <v>-0.62777664309029824</v>
      </c>
      <c r="X4698" s="2">
        <f ca="1"/>
        <v>79.952835719856736</v>
      </c>
      <c r="AG4698" s="2">
        <f ca="1"/>
        <v>0.30011317931646153</v>
      </c>
      <c r="AH4698" s="2" t="str">
        <f ca="1"/>
        <v>OK</v>
      </c>
    </row>
    <row r="4699" spans="2:34" x14ac:dyDescent="0.2">
      <c r="B4699" s="2">
        <f ca="1"/>
        <v>0.8894238574235056</v>
      </c>
      <c r="O4699" s="2">
        <f ca="1"/>
        <v>0.37542058619043056</v>
      </c>
      <c r="X4699" s="2">
        <f ca="1"/>
        <v>47.38891694963467</v>
      </c>
      <c r="AG4699" s="2">
        <f ca="1"/>
        <v>0.22765895429560468</v>
      </c>
      <c r="AH4699" s="2" t="str">
        <f ca="1"/>
        <v>OK</v>
      </c>
    </row>
    <row r="4700" spans="2:34" x14ac:dyDescent="0.2">
      <c r="B4700" s="2">
        <f ca="1"/>
        <v>0.87326259927868333</v>
      </c>
      <c r="O4700" s="2">
        <f ca="1"/>
        <v>0.92155345937229971</v>
      </c>
      <c r="X4700" s="2">
        <f ca="1"/>
        <v>46.017686917506914</v>
      </c>
      <c r="AG4700" s="2">
        <f ca="1"/>
        <v>0.11805102569618464</v>
      </c>
      <c r="AH4700" s="2" t="str">
        <f ca="1"/>
        <v>OK</v>
      </c>
    </row>
    <row r="4701" spans="2:34" x14ac:dyDescent="0.2">
      <c r="B4701" s="2">
        <f ca="1"/>
        <v>0.46692660178135648</v>
      </c>
      <c r="O4701" s="2">
        <f ca="1"/>
        <v>-0.19123700585804446</v>
      </c>
      <c r="X4701" s="2">
        <f ca="1"/>
        <v>35.169885873181876</v>
      </c>
      <c r="AG4701" s="2">
        <f ca="1"/>
        <v>0.5430019431543669</v>
      </c>
      <c r="AH4701" s="2" t="str">
        <f ca="1"/>
        <v>Bad</v>
      </c>
    </row>
    <row r="4702" spans="2:34" x14ac:dyDescent="0.2">
      <c r="B4702" s="2">
        <f ca="1"/>
        <v>0.99695320451284442</v>
      </c>
      <c r="O4702" s="2">
        <f ca="1"/>
        <v>-0.66659193954009188</v>
      </c>
      <c r="X4702" s="2">
        <f ca="1"/>
        <v>44.552098379546706</v>
      </c>
      <c r="AG4702" s="2">
        <f ca="1"/>
        <v>0.81219313055352838</v>
      </c>
      <c r="AH4702" s="2" t="str">
        <f ca="1"/>
        <v>Bad</v>
      </c>
    </row>
    <row r="4703" spans="2:34" x14ac:dyDescent="0.2">
      <c r="B4703" s="2">
        <f ca="1"/>
        <v>0.12844255784085501</v>
      </c>
      <c r="O4703" s="2">
        <f ca="1"/>
        <v>0.17531896879650832</v>
      </c>
      <c r="X4703" s="2">
        <f ca="1"/>
        <v>71.881568303704896</v>
      </c>
      <c r="AG4703" s="2">
        <f ca="1"/>
        <v>0.92498076608847946</v>
      </c>
      <c r="AH4703" s="2" t="str">
        <f ca="1"/>
        <v>Bad</v>
      </c>
    </row>
    <row r="4704" spans="2:34" x14ac:dyDescent="0.2">
      <c r="B4704" s="2">
        <f ca="1"/>
        <v>0.47466185422180129</v>
      </c>
      <c r="O4704" s="2">
        <f ca="1"/>
        <v>-1.5668398295077164</v>
      </c>
      <c r="X4704" s="2">
        <f ca="1"/>
        <v>55.648391679034859</v>
      </c>
      <c r="AG4704" s="2">
        <f ca="1"/>
        <v>0.58599086026878</v>
      </c>
      <c r="AH4704" s="2" t="str">
        <f ca="1"/>
        <v>Bad</v>
      </c>
    </row>
    <row r="4705" spans="2:34" x14ac:dyDescent="0.2">
      <c r="B4705" s="2">
        <f ca="1"/>
        <v>0.5178886308647066</v>
      </c>
      <c r="O4705" s="2">
        <f ca="1"/>
        <v>-0.2567904925046634</v>
      </c>
      <c r="X4705" s="2">
        <f ca="1"/>
        <v>39.963098585379548</v>
      </c>
      <c r="AG4705" s="2">
        <f ca="1"/>
        <v>0.42852723089471123</v>
      </c>
      <c r="AH4705" s="2" t="str">
        <f ca="1"/>
        <v>Bad</v>
      </c>
    </row>
    <row r="4706" spans="2:34" x14ac:dyDescent="0.2">
      <c r="B4706" s="2">
        <f ca="1"/>
        <v>4.1079504467320893E-2</v>
      </c>
      <c r="O4706" s="2">
        <f ca="1"/>
        <v>0.37988981704171304</v>
      </c>
      <c r="X4706" s="2">
        <f ca="1"/>
        <v>53.666418603779519</v>
      </c>
      <c r="AG4706" s="2">
        <f ca="1"/>
        <v>0.74798695841946006</v>
      </c>
      <c r="AH4706" s="2" t="str">
        <f ca="1"/>
        <v>Bad</v>
      </c>
    </row>
    <row r="4707" spans="2:34" x14ac:dyDescent="0.2">
      <c r="B4707" s="2">
        <f ca="1"/>
        <v>0.71652388996370941</v>
      </c>
      <c r="O4707" s="2">
        <f ca="1"/>
        <v>1.4867576514388726E-2</v>
      </c>
      <c r="X4707" s="2">
        <f ca="1"/>
        <v>32.793721872173812</v>
      </c>
      <c r="AG4707" s="2">
        <f ca="1"/>
        <v>0.66979897283514855</v>
      </c>
      <c r="AH4707" s="2" t="str">
        <f ca="1"/>
        <v>Bad</v>
      </c>
    </row>
    <row r="4708" spans="2:34" x14ac:dyDescent="0.2">
      <c r="B4708" s="2">
        <f ca="1"/>
        <v>0.90004328585835358</v>
      </c>
      <c r="O4708" s="2">
        <f ca="1"/>
        <v>6.8219203828127184E-2</v>
      </c>
      <c r="X4708" s="2">
        <f ca="1"/>
        <v>51.22473288701908</v>
      </c>
      <c r="AG4708" s="2">
        <f ca="1"/>
        <v>0.52050482054913139</v>
      </c>
      <c r="AH4708" s="2" t="str">
        <f ca="1"/>
        <v>Bad</v>
      </c>
    </row>
    <row r="4709" spans="2:34" x14ac:dyDescent="0.2">
      <c r="B4709" s="2">
        <f ca="1"/>
        <v>0.17473291323254792</v>
      </c>
      <c r="O4709" s="2">
        <f ca="1"/>
        <v>0.67876300212955665</v>
      </c>
      <c r="X4709" s="2">
        <f ca="1"/>
        <v>52.472795945922755</v>
      </c>
      <c r="AG4709" s="2">
        <f ca="1"/>
        <v>0.14824646273218733</v>
      </c>
      <c r="AH4709" s="2" t="str">
        <f ca="1"/>
        <v>OK</v>
      </c>
    </row>
    <row r="4710" spans="2:34" x14ac:dyDescent="0.2">
      <c r="B4710" s="2">
        <f ca="1"/>
        <v>0.14920860059975571</v>
      </c>
      <c r="O4710" s="2">
        <f ca="1"/>
        <v>-1.3525747276733553</v>
      </c>
      <c r="X4710" s="2">
        <f ca="1"/>
        <v>65.942220067474921</v>
      </c>
      <c r="AG4710" s="2">
        <f ca="1"/>
        <v>0.30278815046469143</v>
      </c>
      <c r="AH4710" s="2" t="str">
        <f ca="1"/>
        <v>OK</v>
      </c>
    </row>
    <row r="4711" spans="2:34" x14ac:dyDescent="0.2">
      <c r="B4711" s="2">
        <f ca="1"/>
        <v>5.9948939610753538E-2</v>
      </c>
      <c r="O4711" s="2">
        <f ca="1"/>
        <v>0.53341135251920913</v>
      </c>
      <c r="X4711" s="2">
        <f ca="1"/>
        <v>41.525394774863329</v>
      </c>
      <c r="AG4711" s="2">
        <f ca="1"/>
        <v>0.38215509647938051</v>
      </c>
      <c r="AH4711" s="2" t="str">
        <f ca="1"/>
        <v>OK</v>
      </c>
    </row>
    <row r="4712" spans="2:34" x14ac:dyDescent="0.2">
      <c r="B4712" s="2">
        <f ca="1"/>
        <v>0.47472949352102689</v>
      </c>
      <c r="O4712" s="2">
        <f ca="1"/>
        <v>-1.3736382510138647</v>
      </c>
      <c r="X4712" s="2">
        <f ca="1"/>
        <v>53.562662200325093</v>
      </c>
      <c r="AG4712" s="2">
        <f ca="1"/>
        <v>0.23726391021809423</v>
      </c>
      <c r="AH4712" s="2" t="str">
        <f ca="1"/>
        <v>OK</v>
      </c>
    </row>
    <row r="4713" spans="2:34" x14ac:dyDescent="0.2">
      <c r="B4713" s="2">
        <f ca="1"/>
        <v>0.41866875534175274</v>
      </c>
      <c r="O4713" s="2">
        <f ca="1"/>
        <v>-0.35433206767939213</v>
      </c>
      <c r="X4713" s="2">
        <f ca="1"/>
        <v>37.286655081209382</v>
      </c>
      <c r="AG4713" s="2">
        <f ca="1"/>
        <v>1.9427323661061369E-2</v>
      </c>
      <c r="AH4713" s="2" t="str">
        <f ca="1"/>
        <v>Good</v>
      </c>
    </row>
    <row r="4714" spans="2:34" x14ac:dyDescent="0.2">
      <c r="B4714" s="2">
        <f ca="1"/>
        <v>7.3097230101086597E-2</v>
      </c>
      <c r="O4714" s="2">
        <f ca="1"/>
        <v>-0.86206715462730354</v>
      </c>
      <c r="X4714" s="2">
        <f ca="1"/>
        <v>55.840178068598377</v>
      </c>
      <c r="AG4714" s="2">
        <f ca="1"/>
        <v>0.17342242646486206</v>
      </c>
      <c r="AH4714" s="2" t="str">
        <f ca="1"/>
        <v>OK</v>
      </c>
    </row>
    <row r="4715" spans="2:34" x14ac:dyDescent="0.2">
      <c r="B4715" s="2">
        <f ca="1"/>
        <v>0.20512313600072085</v>
      </c>
      <c r="O4715" s="2">
        <f ca="1"/>
        <v>-4.5971532631756198E-2</v>
      </c>
      <c r="X4715" s="2">
        <f ca="1"/>
        <v>42.001115769699126</v>
      </c>
      <c r="AG4715" s="2">
        <f ca="1"/>
        <v>0.3788815462602666</v>
      </c>
      <c r="AH4715" s="2" t="str">
        <f ca="1"/>
        <v>OK</v>
      </c>
    </row>
    <row r="4716" spans="2:34" x14ac:dyDescent="0.2">
      <c r="B4716" s="2">
        <f ca="1"/>
        <v>0.33540014224987447</v>
      </c>
      <c r="O4716" s="2">
        <f ca="1"/>
        <v>-0.8407069717536535</v>
      </c>
      <c r="X4716" s="2">
        <f ca="1"/>
        <v>60.00793342186747</v>
      </c>
      <c r="AG4716" s="2">
        <f ca="1"/>
        <v>0.64767112523720738</v>
      </c>
      <c r="AH4716" s="2" t="str">
        <f ca="1"/>
        <v>Bad</v>
      </c>
    </row>
    <row r="4717" spans="2:34" x14ac:dyDescent="0.2">
      <c r="B4717" s="2">
        <f ca="1"/>
        <v>3.6226888396090784E-2</v>
      </c>
      <c r="O4717" s="2">
        <f ca="1"/>
        <v>-0.18317235050189867</v>
      </c>
      <c r="X4717" s="2">
        <f ca="1"/>
        <v>43.280671736681072</v>
      </c>
      <c r="AG4717" s="2">
        <f ca="1"/>
        <v>0.77096881532207262</v>
      </c>
      <c r="AH4717" s="2" t="str">
        <f ca="1"/>
        <v>Bad</v>
      </c>
    </row>
    <row r="4718" spans="2:34" x14ac:dyDescent="0.2">
      <c r="B4718" s="2">
        <f ca="1"/>
        <v>0.89027773888417183</v>
      </c>
      <c r="O4718" s="2">
        <f ca="1"/>
        <v>0.68388611893337981</v>
      </c>
      <c r="X4718" s="2">
        <f ca="1"/>
        <v>60.754649498772515</v>
      </c>
      <c r="AG4718" s="2">
        <f ca="1"/>
        <v>0.4670152790814901</v>
      </c>
      <c r="AH4718" s="2" t="str">
        <f ca="1"/>
        <v>Bad</v>
      </c>
    </row>
    <row r="4719" spans="2:34" x14ac:dyDescent="0.2">
      <c r="B4719" s="2">
        <f ca="1"/>
        <v>0.56428285541237955</v>
      </c>
      <c r="O4719" s="2">
        <f ca="1"/>
        <v>-0.60372127104556372</v>
      </c>
      <c r="X4719" s="2">
        <f ca="1"/>
        <v>26.134803944958701</v>
      </c>
      <c r="AG4719" s="2">
        <f ca="1"/>
        <v>0.94536886841799195</v>
      </c>
      <c r="AH4719" s="2" t="str">
        <f ca="1"/>
        <v>Bad</v>
      </c>
    </row>
    <row r="4720" spans="2:34" x14ac:dyDescent="0.2">
      <c r="B4720" s="2">
        <f ca="1"/>
        <v>0.39957733474297652</v>
      </c>
      <c r="O4720" s="2">
        <f ca="1"/>
        <v>-1.6652259802324545</v>
      </c>
      <c r="X4720" s="2">
        <f ca="1"/>
        <v>38.797334243591507</v>
      </c>
      <c r="AG4720" s="2">
        <f ca="1"/>
        <v>0.43839483712915039</v>
      </c>
      <c r="AH4720" s="2" t="str">
        <f ca="1"/>
        <v>Bad</v>
      </c>
    </row>
    <row r="4721" spans="2:34" x14ac:dyDescent="0.2">
      <c r="B4721" s="2">
        <f ca="1"/>
        <v>3.5986716739224267E-2</v>
      </c>
      <c r="O4721" s="2">
        <f ca="1"/>
        <v>-2.3185871706438395</v>
      </c>
      <c r="X4721" s="2">
        <f ca="1"/>
        <v>35.61741215297743</v>
      </c>
      <c r="AG4721" s="2">
        <f ca="1"/>
        <v>0.14525753045345002</v>
      </c>
      <c r="AH4721" s="2" t="str">
        <f ca="1"/>
        <v>OK</v>
      </c>
    </row>
    <row r="4722" spans="2:34" x14ac:dyDescent="0.2">
      <c r="B4722" s="2">
        <f ca="1"/>
        <v>6.6138739853701889E-2</v>
      </c>
      <c r="O4722" s="2">
        <f ca="1"/>
        <v>1.1390621891492874</v>
      </c>
      <c r="X4722" s="2">
        <f ca="1"/>
        <v>66.821513125194826</v>
      </c>
      <c r="AG4722" s="2">
        <f ca="1"/>
        <v>0.38907994305101101</v>
      </c>
      <c r="AH4722" s="2" t="str">
        <f ca="1"/>
        <v>OK</v>
      </c>
    </row>
    <row r="4723" spans="2:34" x14ac:dyDescent="0.2">
      <c r="B4723" s="2">
        <f ca="1"/>
        <v>0.43278372425553946</v>
      </c>
      <c r="O4723" s="2">
        <f ca="1"/>
        <v>-0.30728204889834332</v>
      </c>
      <c r="X4723" s="2">
        <f ca="1"/>
        <v>25.953259053938574</v>
      </c>
      <c r="AG4723" s="2">
        <f ca="1"/>
        <v>0.1523019474373275</v>
      </c>
      <c r="AH4723" s="2" t="str">
        <f ca="1"/>
        <v>OK</v>
      </c>
    </row>
    <row r="4724" spans="2:34" x14ac:dyDescent="0.2">
      <c r="B4724" s="2">
        <f ca="1"/>
        <v>0.61810670711828353</v>
      </c>
      <c r="O4724" s="2">
        <f ca="1"/>
        <v>-0.74383934390181183</v>
      </c>
      <c r="X4724" s="2">
        <f ca="1"/>
        <v>49.043145865000298</v>
      </c>
      <c r="AG4724" s="2">
        <f ca="1"/>
        <v>0.20583915024926314</v>
      </c>
      <c r="AH4724" s="2" t="str">
        <f ca="1"/>
        <v>OK</v>
      </c>
    </row>
    <row r="4725" spans="2:34" x14ac:dyDescent="0.2">
      <c r="B4725" s="2">
        <f ca="1"/>
        <v>0.46164433498935131</v>
      </c>
      <c r="O4725" s="2">
        <f ca="1"/>
        <v>0.32553832153197249</v>
      </c>
      <c r="X4725" s="2">
        <f ca="1"/>
        <v>38.86131835226918</v>
      </c>
      <c r="AG4725" s="2">
        <f ca="1"/>
        <v>0.66952575715106954</v>
      </c>
      <c r="AH4725" s="2" t="str">
        <f ca="1"/>
        <v>Bad</v>
      </c>
    </row>
    <row r="4726" spans="2:34" x14ac:dyDescent="0.2">
      <c r="B4726" s="2">
        <f ca="1"/>
        <v>0.22850429807169848</v>
      </c>
      <c r="O4726" s="2">
        <f ca="1"/>
        <v>0.24471966894250125</v>
      </c>
      <c r="X4726" s="2">
        <f ca="1"/>
        <v>47.253613364262989</v>
      </c>
      <c r="AG4726" s="2">
        <f ca="1"/>
        <v>0.9756722056002165</v>
      </c>
      <c r="AH4726" s="2" t="str">
        <f ca="1"/>
        <v>Bad</v>
      </c>
    </row>
    <row r="4727" spans="2:34" x14ac:dyDescent="0.2">
      <c r="B4727" s="2">
        <f ca="1"/>
        <v>0.67053596553618422</v>
      </c>
      <c r="O4727" s="2">
        <f ca="1"/>
        <v>-0.4539681883827027</v>
      </c>
      <c r="X4727" s="2">
        <f ca="1"/>
        <v>64.474213053123123</v>
      </c>
      <c r="AG4727" s="2">
        <f ca="1"/>
        <v>3.1497219506054108E-2</v>
      </c>
      <c r="AH4727" s="2" t="str">
        <f ca="1"/>
        <v>Good</v>
      </c>
    </row>
    <row r="4728" spans="2:34" x14ac:dyDescent="0.2">
      <c r="B4728" s="2">
        <f ca="1"/>
        <v>0.51474350985123474</v>
      </c>
      <c r="O4728" s="2">
        <f ca="1"/>
        <v>-0.29656462404372763</v>
      </c>
      <c r="X4728" s="2">
        <f ca="1"/>
        <v>46.303741399000415</v>
      </c>
      <c r="AG4728" s="2">
        <f ca="1"/>
        <v>2.4323072777860277E-2</v>
      </c>
      <c r="AH4728" s="2" t="str">
        <f ca="1"/>
        <v>Good</v>
      </c>
    </row>
    <row r="4729" spans="2:34" x14ac:dyDescent="0.2">
      <c r="B4729" s="2">
        <f ca="1"/>
        <v>0.34928894655913223</v>
      </c>
      <c r="O4729" s="2">
        <f ca="1"/>
        <v>0.18130688533994027</v>
      </c>
      <c r="X4729" s="2">
        <f ca="1"/>
        <v>29.55031142130974</v>
      </c>
      <c r="AG4729" s="2">
        <f ca="1"/>
        <v>0.29232514638290175</v>
      </c>
      <c r="AH4729" s="2" t="str">
        <f ca="1"/>
        <v>OK</v>
      </c>
    </row>
    <row r="4730" spans="2:34" x14ac:dyDescent="0.2">
      <c r="B4730" s="2">
        <f ca="1"/>
        <v>8.3142453587095044E-3</v>
      </c>
      <c r="O4730" s="2">
        <f ca="1"/>
        <v>-0.42127141810469892</v>
      </c>
      <c r="X4730" s="2">
        <f ca="1"/>
        <v>57.009282966707843</v>
      </c>
      <c r="AG4730" s="2">
        <f ca="1"/>
        <v>0.67749494627241824</v>
      </c>
      <c r="AH4730" s="2" t="str">
        <f ca="1"/>
        <v>Bad</v>
      </c>
    </row>
    <row r="4731" spans="2:34" x14ac:dyDescent="0.2">
      <c r="B4731" s="2">
        <f ca="1"/>
        <v>0.70966698152145469</v>
      </c>
      <c r="O4731" s="2">
        <f ca="1"/>
        <v>-1.0801429458810292</v>
      </c>
      <c r="X4731" s="2">
        <f ca="1"/>
        <v>55.536431419619639</v>
      </c>
      <c r="AG4731" s="2">
        <f ca="1"/>
        <v>0.3677915428684444</v>
      </c>
      <c r="AH4731" s="2" t="str">
        <f ca="1"/>
        <v>OK</v>
      </c>
    </row>
    <row r="4732" spans="2:34" x14ac:dyDescent="0.2">
      <c r="B4732" s="2">
        <f ca="1"/>
        <v>0.97460472301091294</v>
      </c>
      <c r="O4732" s="2">
        <f ca="1"/>
        <v>0.78889178075870114</v>
      </c>
      <c r="X4732" s="2">
        <f ca="1"/>
        <v>27.858029472660867</v>
      </c>
      <c r="AG4732" s="2">
        <f ca="1"/>
        <v>0.91361022702451966</v>
      </c>
      <c r="AH4732" s="2" t="str">
        <f ca="1"/>
        <v>Bad</v>
      </c>
    </row>
    <row r="4733" spans="2:34" x14ac:dyDescent="0.2">
      <c r="B4733" s="2">
        <f ca="1"/>
        <v>0.32134880852701708</v>
      </c>
      <c r="O4733" s="2">
        <f ca="1"/>
        <v>-0.66240028764696246</v>
      </c>
      <c r="X4733" s="2">
        <f ca="1"/>
        <v>26.955470950090579</v>
      </c>
      <c r="AG4733" s="2">
        <f ca="1"/>
        <v>0.14134559817424153</v>
      </c>
      <c r="AH4733" s="2" t="str">
        <f ca="1"/>
        <v>OK</v>
      </c>
    </row>
    <row r="4734" spans="2:34" x14ac:dyDescent="0.2">
      <c r="B4734" s="2">
        <f ca="1"/>
        <v>0.31734796289855183</v>
      </c>
      <c r="O4734" s="2">
        <f ca="1"/>
        <v>-0.71004846468047533</v>
      </c>
      <c r="X4734" s="2">
        <f ca="1"/>
        <v>31.855711677063965</v>
      </c>
      <c r="AG4734" s="2">
        <f ca="1"/>
        <v>5.0422500265697057E-2</v>
      </c>
      <c r="AH4734" s="2" t="str">
        <f ca="1"/>
        <v>OK</v>
      </c>
    </row>
    <row r="4735" spans="2:34" x14ac:dyDescent="0.2">
      <c r="B4735" s="2">
        <f ca="1"/>
        <v>0.29700866644437318</v>
      </c>
      <c r="O4735" s="2">
        <f ca="1"/>
        <v>0.74354531832726833</v>
      </c>
      <c r="X4735" s="2">
        <f ca="1"/>
        <v>74.727821083398041</v>
      </c>
      <c r="AG4735" s="2">
        <f ca="1"/>
        <v>0.35891737721812489</v>
      </c>
      <c r="AH4735" s="2" t="str">
        <f ca="1"/>
        <v>OK</v>
      </c>
    </row>
    <row r="4736" spans="2:34" x14ac:dyDescent="0.2">
      <c r="B4736" s="2">
        <f ca="1"/>
        <v>0.18184521201040771</v>
      </c>
      <c r="O4736" s="2">
        <f ca="1"/>
        <v>0.79536272405520769</v>
      </c>
      <c r="X4736" s="2">
        <f ca="1"/>
        <v>51.739033088805151</v>
      </c>
      <c r="AG4736" s="2">
        <f ca="1"/>
        <v>0.43468911957502754</v>
      </c>
      <c r="AH4736" s="2" t="str">
        <f ca="1"/>
        <v>Bad</v>
      </c>
    </row>
    <row r="4737" spans="2:34" x14ac:dyDescent="0.2">
      <c r="B4737" s="2">
        <f ca="1"/>
        <v>0.63761809124086577</v>
      </c>
      <c r="O4737" s="2">
        <f ca="1"/>
        <v>0.90170395332969988</v>
      </c>
      <c r="X4737" s="2">
        <f ca="1"/>
        <v>29.702274449665737</v>
      </c>
      <c r="AG4737" s="2">
        <f ca="1"/>
        <v>0.37778444228200825</v>
      </c>
      <c r="AH4737" s="2" t="str">
        <f ca="1"/>
        <v>OK</v>
      </c>
    </row>
    <row r="4738" spans="2:34" x14ac:dyDescent="0.2">
      <c r="B4738" s="2">
        <f ca="1"/>
        <v>0.55632627084227115</v>
      </c>
      <c r="O4738" s="2">
        <f ca="1"/>
        <v>0.13742563686327014</v>
      </c>
      <c r="X4738" s="2">
        <f ca="1"/>
        <v>40.600007962457489</v>
      </c>
      <c r="AG4738" s="2">
        <f ca="1"/>
        <v>0.87902280752421991</v>
      </c>
      <c r="AH4738" s="2" t="str">
        <f ca="1"/>
        <v>Bad</v>
      </c>
    </row>
    <row r="4739" spans="2:34" x14ac:dyDescent="0.2">
      <c r="B4739" s="2">
        <f ca="1"/>
        <v>0.24573685377794874</v>
      </c>
      <c r="O4739" s="2">
        <f ca="1"/>
        <v>1.9798380615015279</v>
      </c>
      <c r="X4739" s="2">
        <f ca="1"/>
        <v>39.018383332778029</v>
      </c>
      <c r="AG4739" s="2">
        <f ca="1"/>
        <v>0.14769037786856609</v>
      </c>
      <c r="AH4739" s="2" t="str">
        <f ca="1"/>
        <v>OK</v>
      </c>
    </row>
    <row r="4740" spans="2:34" x14ac:dyDescent="0.2">
      <c r="B4740" s="2">
        <f ca="1"/>
        <v>0.27674816726540152</v>
      </c>
      <c r="O4740" s="2">
        <f ca="1"/>
        <v>-2.1789446109604875</v>
      </c>
      <c r="X4740" s="2">
        <f ca="1"/>
        <v>43.564125887238603</v>
      </c>
      <c r="AG4740" s="2">
        <f ca="1"/>
        <v>0.10072715171890589</v>
      </c>
      <c r="AH4740" s="2" t="str">
        <f ca="1"/>
        <v>OK</v>
      </c>
    </row>
    <row r="4741" spans="2:34" x14ac:dyDescent="0.2">
      <c r="B4741" s="2">
        <f ca="1"/>
        <v>0.51418363817554313</v>
      </c>
      <c r="O4741" s="2">
        <f ca="1"/>
        <v>-1.3820060936735352</v>
      </c>
      <c r="X4741" s="2">
        <f ca="1"/>
        <v>61.019599926636971</v>
      </c>
      <c r="AG4741" s="2">
        <f ca="1"/>
        <v>0.32230398637103952</v>
      </c>
      <c r="AH4741" s="2" t="str">
        <f ca="1"/>
        <v>OK</v>
      </c>
    </row>
    <row r="4742" spans="2:34" x14ac:dyDescent="0.2">
      <c r="B4742" s="2">
        <f ca="1"/>
        <v>0.47025156550189418</v>
      </c>
      <c r="O4742" s="2">
        <f ca="1"/>
        <v>0.19465442646882825</v>
      </c>
      <c r="X4742" s="2">
        <f ca="1"/>
        <v>43.634319040474459</v>
      </c>
      <c r="AG4742" s="2">
        <f ca="1"/>
        <v>0.66153803961803437</v>
      </c>
      <c r="AH4742" s="2" t="str">
        <f ca="1"/>
        <v>Bad</v>
      </c>
    </row>
    <row r="4743" spans="2:34" x14ac:dyDescent="0.2">
      <c r="B4743" s="2">
        <f ca="1"/>
        <v>0.28888333324537596</v>
      </c>
      <c r="O4743" s="2">
        <f ca="1"/>
        <v>0.49554202777248818</v>
      </c>
      <c r="X4743" s="2">
        <f ca="1"/>
        <v>36.180017194485735</v>
      </c>
      <c r="AG4743" s="2">
        <f ca="1"/>
        <v>0.69482366331801093</v>
      </c>
      <c r="AH4743" s="2" t="str">
        <f ca="1"/>
        <v>Bad</v>
      </c>
    </row>
    <row r="4744" spans="2:34" x14ac:dyDescent="0.2">
      <c r="B4744" s="2">
        <f ca="1"/>
        <v>0.31673254099146564</v>
      </c>
      <c r="O4744" s="2">
        <f ca="1"/>
        <v>-0.41154925094685846</v>
      </c>
      <c r="X4744" s="2">
        <f ca="1"/>
        <v>50.145813129049955</v>
      </c>
      <c r="AG4744" s="2">
        <f ca="1"/>
        <v>0.54991996135105903</v>
      </c>
      <c r="AH4744" s="2" t="str">
        <f ca="1"/>
        <v>Bad</v>
      </c>
    </row>
    <row r="4745" spans="2:34" x14ac:dyDescent="0.2">
      <c r="B4745" s="2">
        <f ca="1"/>
        <v>0.79291061408494623</v>
      </c>
      <c r="O4745" s="2">
        <f ca="1"/>
        <v>-0.88003811002687415</v>
      </c>
      <c r="X4745" s="2">
        <f ca="1"/>
        <v>54.876588935640356</v>
      </c>
      <c r="AG4745" s="2">
        <f ca="1"/>
        <v>0.65950844319497226</v>
      </c>
      <c r="AH4745" s="2" t="str">
        <f ca="1"/>
        <v>Bad</v>
      </c>
    </row>
    <row r="4746" spans="2:34" x14ac:dyDescent="0.2">
      <c r="B4746" s="2">
        <f ca="1"/>
        <v>0.2772804815266765</v>
      </c>
      <c r="O4746" s="2">
        <f ca="1"/>
        <v>-7.0125594392690352E-2</v>
      </c>
      <c r="X4746" s="2">
        <f ca="1"/>
        <v>76.360396788563321</v>
      </c>
      <c r="AG4746" s="2">
        <f ca="1"/>
        <v>0.81962023865476574</v>
      </c>
      <c r="AH4746" s="2" t="str">
        <f ca="1"/>
        <v>Bad</v>
      </c>
    </row>
    <row r="4747" spans="2:34" x14ac:dyDescent="0.2">
      <c r="B4747" s="2">
        <f ca="1"/>
        <v>0.8389422820809318</v>
      </c>
      <c r="O4747" s="2">
        <f ca="1"/>
        <v>-0.48244147699094458</v>
      </c>
      <c r="X4747" s="2">
        <f ca="1"/>
        <v>73.454720259019595</v>
      </c>
      <c r="AG4747" s="2">
        <f ca="1"/>
        <v>0.91420187552966725</v>
      </c>
      <c r="AH4747" s="2" t="str">
        <f ca="1"/>
        <v>Bad</v>
      </c>
    </row>
    <row r="4748" spans="2:34" x14ac:dyDescent="0.2">
      <c r="B4748" s="2">
        <f ca="1"/>
        <v>0.23910409019380596</v>
      </c>
      <c r="O4748" s="2">
        <f ca="1"/>
        <v>0.15473841881581102</v>
      </c>
      <c r="X4748" s="2">
        <f ca="1"/>
        <v>34.030396544589486</v>
      </c>
      <c r="AG4748" s="2">
        <f ca="1"/>
        <v>0.9617175617895608</v>
      </c>
      <c r="AH4748" s="2" t="str">
        <f ca="1"/>
        <v>Bad</v>
      </c>
    </row>
    <row r="4749" spans="2:34" x14ac:dyDescent="0.2">
      <c r="B4749" s="2">
        <f ca="1"/>
        <v>0.55660545577916909</v>
      </c>
      <c r="O4749" s="2">
        <f ca="1"/>
        <v>0.94422205323636654</v>
      </c>
      <c r="X4749" s="2">
        <f ca="1"/>
        <v>28.285590530064169</v>
      </c>
      <c r="AG4749" s="2">
        <f ca="1"/>
        <v>0.66277876991656504</v>
      </c>
      <c r="AH4749" s="2" t="str">
        <f ca="1"/>
        <v>Bad</v>
      </c>
    </row>
    <row r="4750" spans="2:34" x14ac:dyDescent="0.2">
      <c r="B4750" s="2">
        <f ca="1"/>
        <v>0.42967658896684657</v>
      </c>
      <c r="O4750" s="2">
        <f ca="1"/>
        <v>1.0705526839270143</v>
      </c>
      <c r="X4750" s="2">
        <f ca="1"/>
        <v>53.146520735125193</v>
      </c>
      <c r="AG4750" s="2">
        <f ca="1"/>
        <v>0.94390981039426558</v>
      </c>
      <c r="AH4750" s="2" t="str">
        <f ca="1"/>
        <v>Bad</v>
      </c>
    </row>
    <row r="4751" spans="2:34" x14ac:dyDescent="0.2">
      <c r="B4751" s="2">
        <f ca="1"/>
        <v>0.65396812810222493</v>
      </c>
      <c r="O4751" s="2">
        <f ca="1"/>
        <v>0.5120643534836522</v>
      </c>
      <c r="X4751" s="2">
        <f ca="1"/>
        <v>38.252079368469822</v>
      </c>
      <c r="AG4751" s="2">
        <f ca="1"/>
        <v>0.44891247165849446</v>
      </c>
      <c r="AH4751" s="2" t="str">
        <f ca="1"/>
        <v>Bad</v>
      </c>
    </row>
    <row r="4752" spans="2:34" x14ac:dyDescent="0.2">
      <c r="B4752" s="2">
        <f ca="1"/>
        <v>0.51506855015302144</v>
      </c>
      <c r="O4752" s="2">
        <f ca="1"/>
        <v>-1.1028026684233001</v>
      </c>
      <c r="X4752" s="2">
        <f ca="1"/>
        <v>63.380686796555985</v>
      </c>
      <c r="AG4752" s="2">
        <f ca="1"/>
        <v>0.68105220414485146</v>
      </c>
      <c r="AH4752" s="2" t="str">
        <f ca="1"/>
        <v>Bad</v>
      </c>
    </row>
    <row r="4753" spans="2:34" x14ac:dyDescent="0.2">
      <c r="B4753" s="2">
        <f ca="1"/>
        <v>0.55352348002685603</v>
      </c>
      <c r="O4753" s="2">
        <f ca="1"/>
        <v>-1.714229176157924</v>
      </c>
      <c r="X4753" s="2">
        <f ca="1"/>
        <v>52.158348641973554</v>
      </c>
      <c r="AG4753" s="2">
        <f ca="1"/>
        <v>0.426588740095456</v>
      </c>
      <c r="AH4753" s="2" t="str">
        <f ca="1"/>
        <v>Bad</v>
      </c>
    </row>
    <row r="4754" spans="2:34" x14ac:dyDescent="0.2">
      <c r="B4754" s="2">
        <f ca="1"/>
        <v>0.95362559942998804</v>
      </c>
      <c r="O4754" s="2">
        <f ca="1"/>
        <v>2.3330502684694148E-2</v>
      </c>
      <c r="X4754" s="2">
        <f ca="1"/>
        <v>47.662180536214017</v>
      </c>
      <c r="AG4754" s="2">
        <f ca="1"/>
        <v>0.50593398525093547</v>
      </c>
      <c r="AH4754" s="2" t="str">
        <f ca="1"/>
        <v>Bad</v>
      </c>
    </row>
    <row r="4755" spans="2:34" x14ac:dyDescent="0.2">
      <c r="B4755" s="2">
        <f ca="1"/>
        <v>0.72882061810748988</v>
      </c>
      <c r="O4755" s="2">
        <f ca="1"/>
        <v>0.44217284368976945</v>
      </c>
      <c r="X4755" s="2">
        <f ca="1"/>
        <v>59.883882480738109</v>
      </c>
      <c r="AG4755" s="2">
        <f ca="1"/>
        <v>0.30357900900934043</v>
      </c>
      <c r="AH4755" s="2" t="str">
        <f ca="1"/>
        <v>OK</v>
      </c>
    </row>
    <row r="4756" spans="2:34" x14ac:dyDescent="0.2">
      <c r="B4756" s="2">
        <f ca="1"/>
        <v>1.238531632030293E-2</v>
      </c>
      <c r="O4756" s="2">
        <f ca="1"/>
        <v>-0.89936128350336075</v>
      </c>
      <c r="X4756" s="2">
        <f ca="1"/>
        <v>51.455014978154622</v>
      </c>
      <c r="AG4756" s="2">
        <f ca="1"/>
        <v>0.18512729026334629</v>
      </c>
      <c r="AH4756" s="2" t="str">
        <f ca="1"/>
        <v>OK</v>
      </c>
    </row>
    <row r="4757" spans="2:34" x14ac:dyDescent="0.2">
      <c r="B4757" s="2">
        <f ca="1"/>
        <v>4.515338198304053E-2</v>
      </c>
      <c r="O4757" s="2">
        <f ca="1"/>
        <v>1.0291386168854524</v>
      </c>
      <c r="X4757" s="2">
        <f ca="1"/>
        <v>27.465034431719534</v>
      </c>
      <c r="AG4757" s="2">
        <f ca="1"/>
        <v>0.12727644988062736</v>
      </c>
      <c r="AH4757" s="2" t="str">
        <f ca="1"/>
        <v>OK</v>
      </c>
    </row>
    <row r="4758" spans="2:34" x14ac:dyDescent="0.2">
      <c r="B4758" s="2">
        <f ca="1"/>
        <v>0.90615493301482286</v>
      </c>
      <c r="O4758" s="2">
        <f ca="1"/>
        <v>-0.3479088822031825</v>
      </c>
      <c r="X4758" s="2">
        <f ca="1"/>
        <v>61.498505681864529</v>
      </c>
      <c r="AG4758" s="2">
        <f ca="1"/>
        <v>0.15741606492910809</v>
      </c>
      <c r="AH4758" s="2" t="str">
        <f ca="1"/>
        <v>OK</v>
      </c>
    </row>
    <row r="4759" spans="2:34" x14ac:dyDescent="0.2">
      <c r="B4759" s="2">
        <f ca="1"/>
        <v>0.10672658644706079</v>
      </c>
      <c r="O4759" s="2">
        <f ca="1"/>
        <v>-1.8965087771224172</v>
      </c>
      <c r="X4759" s="2">
        <f ca="1"/>
        <v>42.081543761589487</v>
      </c>
      <c r="AG4759" s="2">
        <f ca="1"/>
        <v>0.48282528430396399</v>
      </c>
      <c r="AH4759" s="2" t="str">
        <f ca="1"/>
        <v>Bad</v>
      </c>
    </row>
    <row r="4760" spans="2:34" x14ac:dyDescent="0.2">
      <c r="B4760" s="2">
        <f ca="1"/>
        <v>0.50844663377052357</v>
      </c>
      <c r="O4760" s="2">
        <f ca="1"/>
        <v>0.19372557600436158</v>
      </c>
      <c r="X4760" s="2">
        <f ca="1"/>
        <v>33.975821712852536</v>
      </c>
      <c r="AG4760" s="2">
        <f ca="1"/>
        <v>5.2088583630090612E-2</v>
      </c>
      <c r="AH4760" s="2" t="str">
        <f ca="1"/>
        <v>OK</v>
      </c>
    </row>
    <row r="4761" spans="2:34" x14ac:dyDescent="0.2">
      <c r="B4761" s="2">
        <f ca="1"/>
        <v>0.93941204261113342</v>
      </c>
      <c r="O4761" s="2">
        <f ca="1"/>
        <v>4.9275519092676315E-2</v>
      </c>
      <c r="X4761" s="2">
        <f ca="1"/>
        <v>87.142661039046899</v>
      </c>
      <c r="AG4761" s="2">
        <f ca="1"/>
        <v>0.96943138077384772</v>
      </c>
      <c r="AH4761" s="2" t="str">
        <f ca="1"/>
        <v>Bad</v>
      </c>
    </row>
    <row r="4762" spans="2:34" x14ac:dyDescent="0.2">
      <c r="B4762" s="2">
        <f ca="1"/>
        <v>0.7414895964691457</v>
      </c>
      <c r="O4762" s="2">
        <f ca="1"/>
        <v>-1.7543220895719231</v>
      </c>
      <c r="X4762" s="2">
        <f ca="1"/>
        <v>90.810537081982986</v>
      </c>
      <c r="AG4762" s="2">
        <f ca="1"/>
        <v>0.62713665180984668</v>
      </c>
      <c r="AH4762" s="2" t="str">
        <f ca="1"/>
        <v>Bad</v>
      </c>
    </row>
    <row r="4763" spans="2:34" x14ac:dyDescent="0.2">
      <c r="B4763" s="2">
        <f ca="1"/>
        <v>0.58801021599099212</v>
      </c>
      <c r="O4763" s="2">
        <f ca="1"/>
        <v>0.26487570698266144</v>
      </c>
      <c r="X4763" s="2">
        <f ca="1"/>
        <v>46.295057116362699</v>
      </c>
      <c r="AG4763" s="2">
        <f ca="1"/>
        <v>0.71044646193308925</v>
      </c>
      <c r="AH4763" s="2" t="str">
        <f ca="1"/>
        <v>Bad</v>
      </c>
    </row>
    <row r="4764" spans="2:34" x14ac:dyDescent="0.2">
      <c r="B4764" s="2">
        <f ca="1"/>
        <v>0.9171390766947658</v>
      </c>
      <c r="O4764" s="2">
        <f ca="1"/>
        <v>0.48348202035063148</v>
      </c>
      <c r="X4764" s="2">
        <f ca="1"/>
        <v>62.621878971541619</v>
      </c>
      <c r="AG4764" s="2">
        <f ca="1"/>
        <v>0.36644026322117984</v>
      </c>
      <c r="AH4764" s="2" t="str">
        <f ca="1"/>
        <v>OK</v>
      </c>
    </row>
    <row r="4765" spans="2:34" x14ac:dyDescent="0.2">
      <c r="B4765" s="2">
        <f ca="1"/>
        <v>0.91744351780602584</v>
      </c>
      <c r="O4765" s="2">
        <f ca="1"/>
        <v>0.94471242628179353</v>
      </c>
      <c r="X4765" s="2">
        <f ca="1"/>
        <v>53.097402137083087</v>
      </c>
      <c r="AG4765" s="2">
        <f ca="1"/>
        <v>0.62197565447353043</v>
      </c>
      <c r="AH4765" s="2" t="str">
        <f ca="1"/>
        <v>Bad</v>
      </c>
    </row>
    <row r="4766" spans="2:34" x14ac:dyDescent="0.2">
      <c r="B4766" s="2">
        <f ca="1"/>
        <v>0.44551329529119488</v>
      </c>
      <c r="O4766" s="2">
        <f ca="1"/>
        <v>-1.0505676555049819</v>
      </c>
      <c r="X4766" s="2">
        <f ca="1"/>
        <v>68.765160215239561</v>
      </c>
      <c r="AG4766" s="2">
        <f ca="1"/>
        <v>0.63569122757285501</v>
      </c>
      <c r="AH4766" s="2" t="str">
        <f ca="1"/>
        <v>Bad</v>
      </c>
    </row>
    <row r="4767" spans="2:34" x14ac:dyDescent="0.2">
      <c r="B4767" s="2">
        <f ca="1"/>
        <v>0.58144357056276075</v>
      </c>
      <c r="O4767" s="2">
        <f ca="1"/>
        <v>1.1986951587907002</v>
      </c>
      <c r="X4767" s="2">
        <f ca="1"/>
        <v>54.84532641759219</v>
      </c>
      <c r="AG4767" s="2">
        <f ca="1"/>
        <v>0.29455141621384917</v>
      </c>
      <c r="AH4767" s="2" t="str">
        <f ca="1"/>
        <v>OK</v>
      </c>
    </row>
    <row r="4768" spans="2:34" x14ac:dyDescent="0.2">
      <c r="B4768" s="2">
        <f ca="1"/>
        <v>0.45909781256741367</v>
      </c>
      <c r="O4768" s="2">
        <f ca="1"/>
        <v>0.88614392407588105</v>
      </c>
      <c r="X4768" s="2">
        <f ca="1"/>
        <v>56.959986057627965</v>
      </c>
      <c r="AG4768" s="2">
        <f ca="1"/>
        <v>0.33081162847035039</v>
      </c>
      <c r="AH4768" s="2" t="str">
        <f ca="1"/>
        <v>OK</v>
      </c>
    </row>
    <row r="4769" spans="2:34" x14ac:dyDescent="0.2">
      <c r="B4769" s="2">
        <f ca="1"/>
        <v>0.13476921250171148</v>
      </c>
      <c r="O4769" s="2">
        <f ca="1"/>
        <v>-0.2013745760599088</v>
      </c>
      <c r="X4769" s="2">
        <f ca="1"/>
        <v>25.249741518857142</v>
      </c>
      <c r="AG4769" s="2">
        <f ca="1"/>
        <v>8.8135509619620356E-2</v>
      </c>
      <c r="AH4769" s="2" t="str">
        <f ca="1"/>
        <v>OK</v>
      </c>
    </row>
    <row r="4770" spans="2:34" x14ac:dyDescent="0.2">
      <c r="B4770" s="2">
        <f ca="1"/>
        <v>0.119490016229028</v>
      </c>
      <c r="O4770" s="2">
        <f ca="1"/>
        <v>-0.21761224869383541</v>
      </c>
      <c r="X4770" s="2">
        <f ca="1"/>
        <v>86.464338163441553</v>
      </c>
      <c r="AG4770" s="2">
        <f ca="1"/>
        <v>0.90511928685659115</v>
      </c>
      <c r="AH4770" s="2" t="str">
        <f ca="1"/>
        <v>Bad</v>
      </c>
    </row>
    <row r="4771" spans="2:34" x14ac:dyDescent="0.2">
      <c r="B4771" s="2">
        <f ca="1"/>
        <v>0.73028777153609381</v>
      </c>
      <c r="O4771" s="2">
        <f ca="1"/>
        <v>-0.1233338333889394</v>
      </c>
      <c r="X4771" s="2">
        <f ca="1"/>
        <v>83.66968828952173</v>
      </c>
      <c r="AG4771" s="2">
        <f ca="1"/>
        <v>0.62026634688774429</v>
      </c>
      <c r="AH4771" s="2" t="str">
        <f ca="1"/>
        <v>Bad</v>
      </c>
    </row>
    <row r="4772" spans="2:34" x14ac:dyDescent="0.2">
      <c r="B4772" s="2">
        <f ca="1"/>
        <v>3.1442178590820546E-2</v>
      </c>
      <c r="O4772" s="2">
        <f ca="1"/>
        <v>-0.53057023628534117</v>
      </c>
      <c r="X4772" s="2">
        <f ca="1"/>
        <v>38.115771738188286</v>
      </c>
      <c r="AG4772" s="2">
        <f ca="1"/>
        <v>0.89098788636613935</v>
      </c>
      <c r="AH4772" s="2" t="str">
        <f ca="1"/>
        <v>Bad</v>
      </c>
    </row>
    <row r="4773" spans="2:34" x14ac:dyDescent="0.2">
      <c r="B4773" s="2">
        <f ca="1"/>
        <v>0.34612629690509333</v>
      </c>
      <c r="O4773" s="2">
        <f ca="1"/>
        <v>-0.35563384437019846</v>
      </c>
      <c r="X4773" s="2">
        <f ca="1"/>
        <v>41.935891762698148</v>
      </c>
      <c r="AG4773" s="2">
        <f ca="1"/>
        <v>0.85340171490795558</v>
      </c>
      <c r="AH4773" s="2" t="str">
        <f ca="1"/>
        <v>Bad</v>
      </c>
    </row>
    <row r="4774" spans="2:34" x14ac:dyDescent="0.2">
      <c r="B4774" s="2">
        <f ca="1"/>
        <v>0.32708019855967141</v>
      </c>
      <c r="O4774" s="2">
        <f ca="1"/>
        <v>1.1943653535373079E-2</v>
      </c>
      <c r="X4774" s="2">
        <f ca="1"/>
        <v>31.768045429237866</v>
      </c>
      <c r="AG4774" s="2">
        <f ca="1"/>
        <v>0.80896389970783145</v>
      </c>
      <c r="AH4774" s="2" t="str">
        <f ca="1"/>
        <v>Bad</v>
      </c>
    </row>
    <row r="4775" spans="2:34" x14ac:dyDescent="0.2">
      <c r="B4775" s="2">
        <f ca="1"/>
        <v>7.2240868945214087E-2</v>
      </c>
      <c r="O4775" s="2">
        <f ca="1"/>
        <v>2.7594033517080483</v>
      </c>
      <c r="X4775" s="2">
        <f ca="1"/>
        <v>53.509431503610891</v>
      </c>
      <c r="AG4775" s="2">
        <f ca="1"/>
        <v>0.97886834969538938</v>
      </c>
      <c r="AH4775" s="2" t="str">
        <f ca="1"/>
        <v>Bad</v>
      </c>
    </row>
    <row r="4776" spans="2:34" x14ac:dyDescent="0.2">
      <c r="B4776" s="2">
        <f ca="1"/>
        <v>0.70762955518614379</v>
      </c>
      <c r="O4776" s="2">
        <f ca="1"/>
        <v>-0.24592224473479479</v>
      </c>
      <c r="X4776" s="2">
        <f ca="1"/>
        <v>56.711134632024802</v>
      </c>
      <c r="AG4776" s="2">
        <f ca="1"/>
        <v>6.1845005832359412E-3</v>
      </c>
      <c r="AH4776" s="2" t="str">
        <f ca="1"/>
        <v>Good</v>
      </c>
    </row>
    <row r="4777" spans="2:34" x14ac:dyDescent="0.2">
      <c r="B4777" s="2">
        <f ca="1"/>
        <v>0.81306056021706663</v>
      </c>
      <c r="O4777" s="2">
        <f ca="1"/>
        <v>0.10993344321380316</v>
      </c>
      <c r="X4777" s="2">
        <f ca="1"/>
        <v>38.714413920768294</v>
      </c>
      <c r="AG4777" s="2">
        <f ca="1"/>
        <v>0.77224094105628049</v>
      </c>
      <c r="AH4777" s="2" t="str">
        <f ca="1"/>
        <v>Bad</v>
      </c>
    </row>
    <row r="4778" spans="2:34" x14ac:dyDescent="0.2">
      <c r="B4778" s="2">
        <f ca="1"/>
        <v>0.56274609237884787</v>
      </c>
      <c r="O4778" s="2">
        <f ca="1"/>
        <v>-5.295059228433268E-2</v>
      </c>
      <c r="X4778" s="2">
        <f ca="1"/>
        <v>19.882961824897048</v>
      </c>
      <c r="AG4778" s="2">
        <f ca="1"/>
        <v>0.12249176911085602</v>
      </c>
      <c r="AH4778" s="2" t="str">
        <f ca="1"/>
        <v>OK</v>
      </c>
    </row>
    <row r="4779" spans="2:34" x14ac:dyDescent="0.2">
      <c r="B4779" s="2">
        <f ca="1"/>
        <v>0.29183293579260439</v>
      </c>
      <c r="O4779" s="2">
        <f ca="1"/>
        <v>-0.39300149704225945</v>
      </c>
      <c r="X4779" s="2">
        <f ca="1"/>
        <v>27.997827145454313</v>
      </c>
      <c r="AG4779" s="2">
        <f ca="1"/>
        <v>0.95555875554861824</v>
      </c>
      <c r="AH4779" s="2" t="str">
        <f ca="1"/>
        <v>Bad</v>
      </c>
    </row>
    <row r="4780" spans="2:34" x14ac:dyDescent="0.2">
      <c r="B4780" s="2">
        <f ca="1"/>
        <v>0.41285299459343094</v>
      </c>
      <c r="O4780" s="2">
        <f ca="1"/>
        <v>-0.5653687865835767</v>
      </c>
      <c r="X4780" s="2">
        <f ca="1"/>
        <v>43.677663853391159</v>
      </c>
      <c r="AG4780" s="2">
        <f ca="1"/>
        <v>0.8844502723723362</v>
      </c>
      <c r="AH4780" s="2" t="str">
        <f ca="1"/>
        <v>Bad</v>
      </c>
    </row>
    <row r="4781" spans="2:34" x14ac:dyDescent="0.2">
      <c r="B4781" s="2">
        <f ca="1"/>
        <v>0.19730205910664944</v>
      </c>
      <c r="O4781" s="2">
        <f ca="1"/>
        <v>-0.98372352819879638</v>
      </c>
      <c r="X4781" s="2">
        <f ca="1"/>
        <v>64.84330485305864</v>
      </c>
      <c r="AG4781" s="2">
        <f ca="1"/>
        <v>0.2034713836436064</v>
      </c>
      <c r="AH4781" s="2" t="str">
        <f ca="1"/>
        <v>OK</v>
      </c>
    </row>
    <row r="4782" spans="2:34" x14ac:dyDescent="0.2">
      <c r="B4782" s="2">
        <f ca="1"/>
        <v>0.73874190479512691</v>
      </c>
      <c r="O4782" s="2">
        <f ca="1"/>
        <v>-0.49478993830648366</v>
      </c>
      <c r="X4782" s="2">
        <f ca="1"/>
        <v>51.015956732904343</v>
      </c>
      <c r="AG4782" s="2">
        <f ca="1"/>
        <v>0.56523383625110246</v>
      </c>
      <c r="AH4782" s="2" t="str">
        <f ca="1"/>
        <v>Bad</v>
      </c>
    </row>
    <row r="4783" spans="2:34" x14ac:dyDescent="0.2">
      <c r="B4783" s="2">
        <f ca="1"/>
        <v>0.84311773401109513</v>
      </c>
      <c r="O4783" s="2">
        <f ca="1"/>
        <v>1.5840393760905429</v>
      </c>
      <c r="X4783" s="2">
        <f ca="1"/>
        <v>61.963012647256434</v>
      </c>
      <c r="AG4783" s="2">
        <f ca="1"/>
        <v>0.68474822267712288</v>
      </c>
      <c r="AH4783" s="2" t="str">
        <f ca="1"/>
        <v>Bad</v>
      </c>
    </row>
    <row r="4784" spans="2:34" x14ac:dyDescent="0.2">
      <c r="B4784" s="2">
        <f ca="1"/>
        <v>0.25009552411414004</v>
      </c>
      <c r="O4784" s="2">
        <f ca="1"/>
        <v>0.14481632086992588</v>
      </c>
      <c r="X4784" s="2">
        <f ca="1"/>
        <v>87.052300524398149</v>
      </c>
      <c r="AG4784" s="2">
        <f ca="1"/>
        <v>0.19624348844560635</v>
      </c>
      <c r="AH4784" s="2" t="str">
        <f ca="1"/>
        <v>OK</v>
      </c>
    </row>
    <row r="4785" spans="2:34" x14ac:dyDescent="0.2">
      <c r="B4785" s="2">
        <f ca="1"/>
        <v>0.78127749491179221</v>
      </c>
      <c r="O4785" s="2">
        <f ca="1"/>
        <v>0.40041843942802779</v>
      </c>
      <c r="X4785" s="2">
        <f ca="1"/>
        <v>52.919048905842132</v>
      </c>
      <c r="AG4785" s="2">
        <f ca="1"/>
        <v>0.255166774326959</v>
      </c>
      <c r="AH4785" s="2" t="str">
        <f ca="1"/>
        <v>OK</v>
      </c>
    </row>
    <row r="4786" spans="2:34" x14ac:dyDescent="0.2">
      <c r="B4786" s="2">
        <f ca="1"/>
        <v>0.31570501130759276</v>
      </c>
      <c r="O4786" s="2">
        <f ca="1"/>
        <v>-0.25859321769870741</v>
      </c>
      <c r="X4786" s="2">
        <f ca="1"/>
        <v>62.045231971459891</v>
      </c>
      <c r="AG4786" s="2">
        <f ca="1"/>
        <v>0.91498747979666661</v>
      </c>
      <c r="AH4786" s="2" t="str">
        <f ca="1"/>
        <v>Bad</v>
      </c>
    </row>
    <row r="4787" spans="2:34" x14ac:dyDescent="0.2">
      <c r="B4787" s="2">
        <f ca="1"/>
        <v>0.73343220437047063</v>
      </c>
      <c r="O4787" s="2">
        <f ca="1"/>
        <v>1.6503676450459086</v>
      </c>
      <c r="X4787" s="2">
        <f ca="1"/>
        <v>36.303371945413986</v>
      </c>
      <c r="AG4787" s="2">
        <f ca="1"/>
        <v>0.11710147997247544</v>
      </c>
      <c r="AH4787" s="2" t="str">
        <f ca="1"/>
        <v>OK</v>
      </c>
    </row>
    <row r="4788" spans="2:34" x14ac:dyDescent="0.2">
      <c r="B4788" s="2">
        <f ca="1"/>
        <v>0.75103383342094454</v>
      </c>
      <c r="O4788" s="2">
        <f ca="1"/>
        <v>-0.19828642364743673</v>
      </c>
      <c r="X4788" s="2">
        <f ca="1"/>
        <v>44.026513230560973</v>
      </c>
      <c r="AG4788" s="2">
        <f ca="1"/>
        <v>0.17958856240898657</v>
      </c>
      <c r="AH4788" s="2" t="str">
        <f ca="1"/>
        <v>OK</v>
      </c>
    </row>
    <row r="4789" spans="2:34" x14ac:dyDescent="0.2">
      <c r="B4789" s="2">
        <f ca="1"/>
        <v>0.29123015457911849</v>
      </c>
      <c r="O4789" s="2">
        <f ca="1"/>
        <v>0.34955302541478978</v>
      </c>
      <c r="X4789" s="2">
        <f ca="1"/>
        <v>53.6424929926958</v>
      </c>
      <c r="AG4789" s="2">
        <f ca="1"/>
        <v>0.70664347958639895</v>
      </c>
      <c r="AH4789" s="2" t="str">
        <f ca="1"/>
        <v>Bad</v>
      </c>
    </row>
    <row r="4790" spans="2:34" x14ac:dyDescent="0.2">
      <c r="B4790" s="2">
        <f ca="1"/>
        <v>0.70133823048168265</v>
      </c>
      <c r="O4790" s="2">
        <f ca="1"/>
        <v>-1.3177491262782817</v>
      </c>
      <c r="X4790" s="2">
        <f ca="1"/>
        <v>56.050724845118658</v>
      </c>
      <c r="AG4790" s="2">
        <f ca="1"/>
        <v>6.6573060901222725E-3</v>
      </c>
      <c r="AH4790" s="2" t="str">
        <f ca="1"/>
        <v>Good</v>
      </c>
    </row>
    <row r="4791" spans="2:34" x14ac:dyDescent="0.2">
      <c r="B4791" s="2">
        <f ca="1"/>
        <v>0.63966077587371917</v>
      </c>
      <c r="O4791" s="2">
        <f ca="1"/>
        <v>1.3009109566672934</v>
      </c>
      <c r="X4791" s="2">
        <f ca="1"/>
        <v>47.883433043486178</v>
      </c>
      <c r="AG4791" s="2">
        <f ca="1"/>
        <v>0.38115519594598535</v>
      </c>
      <c r="AH4791" s="2" t="str">
        <f ca="1"/>
        <v>OK</v>
      </c>
    </row>
    <row r="4792" spans="2:34" x14ac:dyDescent="0.2">
      <c r="B4792" s="2">
        <f ca="1"/>
        <v>3.399734890743078E-3</v>
      </c>
      <c r="O4792" s="2">
        <f ca="1"/>
        <v>0.39587132167579436</v>
      </c>
      <c r="X4792" s="2">
        <f ca="1"/>
        <v>71.095697901569736</v>
      </c>
      <c r="AG4792" s="2">
        <f ca="1"/>
        <v>0.90512732673471286</v>
      </c>
      <c r="AH4792" s="2" t="str">
        <f ca="1"/>
        <v>Bad</v>
      </c>
    </row>
    <row r="4793" spans="2:34" x14ac:dyDescent="0.2">
      <c r="B4793" s="2">
        <f ca="1"/>
        <v>0.25103223156422061</v>
      </c>
      <c r="O4793" s="2">
        <f ca="1"/>
        <v>0.98752436138520505</v>
      </c>
      <c r="X4793" s="2">
        <f ca="1"/>
        <v>35.828624662319825</v>
      </c>
      <c r="AG4793" s="2">
        <f ca="1"/>
        <v>3.9460273893995312E-2</v>
      </c>
      <c r="AH4793" s="2" t="str">
        <f ca="1"/>
        <v>Good</v>
      </c>
    </row>
    <row r="4794" spans="2:34" x14ac:dyDescent="0.2">
      <c r="B4794" s="2">
        <f ca="1"/>
        <v>0.87792557804427496</v>
      </c>
      <c r="O4794" s="2">
        <f ca="1"/>
        <v>-0.42340137808980965</v>
      </c>
      <c r="X4794" s="2">
        <f ca="1"/>
        <v>46.450780303249324</v>
      </c>
      <c r="AG4794" s="2">
        <f ca="1"/>
        <v>0.27115529385809012</v>
      </c>
      <c r="AH4794" s="2" t="str">
        <f ca="1"/>
        <v>OK</v>
      </c>
    </row>
    <row r="4795" spans="2:34" x14ac:dyDescent="0.2">
      <c r="B4795" s="2">
        <f ca="1"/>
        <v>0.4192362937170373</v>
      </c>
      <c r="O4795" s="2">
        <f ca="1"/>
        <v>0.6677655643748146</v>
      </c>
      <c r="X4795" s="2">
        <f ca="1"/>
        <v>40.956278653407232</v>
      </c>
      <c r="AG4795" s="2">
        <f ca="1"/>
        <v>0.59788925939441739</v>
      </c>
      <c r="AH4795" s="2" t="str">
        <f ca="1"/>
        <v>Bad</v>
      </c>
    </row>
    <row r="4796" spans="2:34" x14ac:dyDescent="0.2">
      <c r="B4796" s="2">
        <f ca="1"/>
        <v>0.61240699874538351</v>
      </c>
      <c r="O4796" s="2">
        <f ca="1"/>
        <v>-1.5922927612286162</v>
      </c>
      <c r="X4796" s="2">
        <f ca="1"/>
        <v>46.644664948220012</v>
      </c>
      <c r="AG4796" s="2">
        <f ca="1"/>
        <v>0.76919861180183924</v>
      </c>
      <c r="AH4796" s="2" t="str">
        <f ca="1"/>
        <v>Bad</v>
      </c>
    </row>
    <row r="4797" spans="2:34" x14ac:dyDescent="0.2">
      <c r="B4797" s="2">
        <f ca="1"/>
        <v>0.57940554639975783</v>
      </c>
      <c r="O4797" s="2">
        <f ca="1"/>
        <v>-2.8014069469290453E-2</v>
      </c>
      <c r="X4797" s="2">
        <f ca="1"/>
        <v>47.015549233537463</v>
      </c>
      <c r="AG4797" s="2">
        <f ca="1"/>
        <v>0.85901418106288463</v>
      </c>
      <c r="AH4797" s="2" t="str">
        <f ca="1"/>
        <v>Bad</v>
      </c>
    </row>
    <row r="4798" spans="2:34" x14ac:dyDescent="0.2">
      <c r="B4798" s="2">
        <f ca="1"/>
        <v>0.2381295746095895</v>
      </c>
      <c r="O4798" s="2">
        <f ca="1"/>
        <v>3.3030495152373725E-2</v>
      </c>
      <c r="X4798" s="2">
        <f ca="1"/>
        <v>50.332294941456873</v>
      </c>
      <c r="AG4798" s="2">
        <f ca="1"/>
        <v>0.68566885700616154</v>
      </c>
      <c r="AH4798" s="2" t="str">
        <f ca="1"/>
        <v>Bad</v>
      </c>
    </row>
    <row r="4799" spans="2:34" x14ac:dyDescent="0.2">
      <c r="B4799" s="2">
        <f ca="1"/>
        <v>2.2388618977717156E-2</v>
      </c>
      <c r="O4799" s="2">
        <f ca="1"/>
        <v>-1.0353384878408887</v>
      </c>
      <c r="X4799" s="2">
        <f ca="1"/>
        <v>25.026171081028142</v>
      </c>
      <c r="AG4799" s="2">
        <f ca="1"/>
        <v>0.25641468554641311</v>
      </c>
      <c r="AH4799" s="2" t="str">
        <f ca="1"/>
        <v>OK</v>
      </c>
    </row>
    <row r="4800" spans="2:34" x14ac:dyDescent="0.2">
      <c r="B4800" s="2">
        <f ca="1"/>
        <v>0.11412742653848484</v>
      </c>
      <c r="O4800" s="2">
        <f ca="1"/>
        <v>0.67629270074950987</v>
      </c>
      <c r="X4800" s="2">
        <f ca="1"/>
        <v>50.087838412018883</v>
      </c>
      <c r="AG4800" s="2">
        <f ca="1"/>
        <v>0.14759571756725087</v>
      </c>
      <c r="AH4800" s="2" t="str">
        <f ca="1"/>
        <v>OK</v>
      </c>
    </row>
    <row r="4801" spans="2:34" x14ac:dyDescent="0.2">
      <c r="B4801" s="2">
        <f ca="1"/>
        <v>6.3196217636382057E-2</v>
      </c>
      <c r="O4801" s="2">
        <f ca="1"/>
        <v>1.3515955657096284</v>
      </c>
      <c r="X4801" s="2">
        <f ca="1"/>
        <v>44.946790330322742</v>
      </c>
      <c r="AG4801" s="2">
        <f ca="1"/>
        <v>9.792456372064362E-2</v>
      </c>
      <c r="AH4801" s="2" t="str">
        <f ca="1"/>
        <v>OK</v>
      </c>
    </row>
    <row r="4802" spans="2:34" x14ac:dyDescent="0.2">
      <c r="B4802" s="2">
        <f ca="1"/>
        <v>0.14421772744747763</v>
      </c>
      <c r="O4802" s="2">
        <f ca="1"/>
        <v>-4.8580502922537468E-2</v>
      </c>
      <c r="X4802" s="2">
        <f ca="1"/>
        <v>85.559659572558985</v>
      </c>
      <c r="AG4802" s="2">
        <f ca="1"/>
        <v>0.58850913297996321</v>
      </c>
      <c r="AH4802" s="2" t="str">
        <f ca="1"/>
        <v>Bad</v>
      </c>
    </row>
    <row r="4803" spans="2:34" x14ac:dyDescent="0.2">
      <c r="B4803" s="2">
        <f ca="1"/>
        <v>0.46518157886447842</v>
      </c>
      <c r="O4803" s="2">
        <f ca="1"/>
        <v>1.3216703192302466</v>
      </c>
      <c r="X4803" s="2">
        <f ca="1"/>
        <v>45.426491225726679</v>
      </c>
      <c r="AG4803" s="2">
        <f ca="1"/>
        <v>0.61485763827146922</v>
      </c>
      <c r="AH4803" s="2" t="str">
        <f ca="1"/>
        <v>Bad</v>
      </c>
    </row>
    <row r="4804" spans="2:34" x14ac:dyDescent="0.2">
      <c r="B4804" s="2">
        <f ca="1"/>
        <v>0.89592888196748754</v>
      </c>
      <c r="O4804" s="2">
        <f ca="1"/>
        <v>9.3226699165974286E-2</v>
      </c>
      <c r="X4804" s="2">
        <f ca="1"/>
        <v>64.220928461823789</v>
      </c>
      <c r="AG4804" s="2">
        <f ca="1"/>
        <v>1.8227191940366039E-2</v>
      </c>
      <c r="AH4804" s="2" t="str">
        <f ca="1"/>
        <v>Good</v>
      </c>
    </row>
    <row r="4805" spans="2:34" x14ac:dyDescent="0.2">
      <c r="B4805" s="2">
        <f ca="1"/>
        <v>0.78853912593371844</v>
      </c>
      <c r="O4805" s="2">
        <f ca="1"/>
        <v>0.88954365691519421</v>
      </c>
      <c r="X4805" s="2">
        <f ca="1"/>
        <v>35.290094899695028</v>
      </c>
      <c r="AG4805" s="2">
        <f ca="1"/>
        <v>0.84757420185778476</v>
      </c>
      <c r="AH4805" s="2" t="str">
        <f ca="1"/>
        <v>Bad</v>
      </c>
    </row>
    <row r="4806" spans="2:34" x14ac:dyDescent="0.2">
      <c r="B4806" s="2">
        <f ca="1"/>
        <v>0.70398229768830722</v>
      </c>
      <c r="O4806" s="2">
        <f ca="1"/>
        <v>-0.68129448413746163</v>
      </c>
      <c r="X4806" s="2">
        <f ca="1"/>
        <v>29.098187021383431</v>
      </c>
      <c r="AG4806" s="2">
        <f ca="1"/>
        <v>0.17757597224117005</v>
      </c>
      <c r="AH4806" s="2" t="str">
        <f ca="1"/>
        <v>OK</v>
      </c>
    </row>
    <row r="4807" spans="2:34" x14ac:dyDescent="0.2">
      <c r="B4807" s="2">
        <f ca="1"/>
        <v>0.41187804296064567</v>
      </c>
      <c r="O4807" s="2">
        <f ca="1"/>
        <v>1.9891656657080432</v>
      </c>
      <c r="X4807" s="2">
        <f ca="1"/>
        <v>59.373034192070776</v>
      </c>
      <c r="AG4807" s="2">
        <f ca="1"/>
        <v>0.71177429173770701</v>
      </c>
      <c r="AH4807" s="2" t="str">
        <f ca="1"/>
        <v>Bad</v>
      </c>
    </row>
    <row r="4808" spans="2:34" x14ac:dyDescent="0.2">
      <c r="B4808" s="2">
        <f ca="1"/>
        <v>0.82753801853908415</v>
      </c>
      <c r="O4808" s="2">
        <f ca="1"/>
        <v>-0.7478839466900955</v>
      </c>
      <c r="X4808" s="2">
        <f ca="1"/>
        <v>28.229534710917079</v>
      </c>
      <c r="AG4808" s="2">
        <f ca="1"/>
        <v>0.59717739033953876</v>
      </c>
      <c r="AH4808" s="2" t="str">
        <f ca="1"/>
        <v>Bad</v>
      </c>
    </row>
    <row r="4809" spans="2:34" x14ac:dyDescent="0.2">
      <c r="B4809" s="2">
        <f ca="1"/>
        <v>0.53650990289900768</v>
      </c>
      <c r="O4809" s="2">
        <f ca="1"/>
        <v>1.2935008894894766</v>
      </c>
      <c r="X4809" s="2">
        <f ca="1"/>
        <v>52.869732668319187</v>
      </c>
      <c r="AG4809" s="2">
        <f ca="1"/>
        <v>0.96716768466348046</v>
      </c>
      <c r="AH4809" s="2" t="str">
        <f ca="1"/>
        <v>Bad</v>
      </c>
    </row>
    <row r="4810" spans="2:34" x14ac:dyDescent="0.2">
      <c r="B4810" s="2">
        <f ca="1"/>
        <v>0.44723737824752341</v>
      </c>
      <c r="O4810" s="2">
        <f ca="1"/>
        <v>-1.4561179797854122</v>
      </c>
      <c r="X4810" s="2">
        <f ca="1"/>
        <v>64.315407300731053</v>
      </c>
      <c r="AG4810" s="2">
        <f ca="1"/>
        <v>0.57595563631212876</v>
      </c>
      <c r="AH4810" s="2" t="str">
        <f ca="1"/>
        <v>Bad</v>
      </c>
    </row>
    <row r="4811" spans="2:34" x14ac:dyDescent="0.2">
      <c r="B4811" s="2">
        <f ca="1"/>
        <v>0.95504495582152971</v>
      </c>
      <c r="O4811" s="2">
        <f ca="1"/>
        <v>-0.88373301055313214</v>
      </c>
      <c r="X4811" s="2">
        <f ca="1"/>
        <v>50.88404835504133</v>
      </c>
      <c r="AG4811" s="2">
        <f ca="1"/>
        <v>0.84559853185952316</v>
      </c>
      <c r="AH4811" s="2" t="str">
        <f ca="1"/>
        <v>Bad</v>
      </c>
    </row>
    <row r="4812" spans="2:34" x14ac:dyDescent="0.2">
      <c r="B4812" s="2">
        <f ca="1"/>
        <v>0.75349058597554341</v>
      </c>
      <c r="O4812" s="2">
        <f ca="1"/>
        <v>0.62299798320029209</v>
      </c>
      <c r="X4812" s="2">
        <f ca="1"/>
        <v>80.979220772091907</v>
      </c>
      <c r="AG4812" s="2">
        <f ca="1"/>
        <v>0.58324934464321387</v>
      </c>
      <c r="AH4812" s="2" t="str">
        <f ca="1"/>
        <v>Bad</v>
      </c>
    </row>
    <row r="4813" spans="2:34" x14ac:dyDescent="0.2">
      <c r="B4813" s="2">
        <f ca="1"/>
        <v>0.9733651949761446</v>
      </c>
      <c r="O4813" s="2">
        <f ca="1"/>
        <v>-0.86572415465247565</v>
      </c>
      <c r="X4813" s="2">
        <f ca="1"/>
        <v>52.284430241428581</v>
      </c>
      <c r="AG4813" s="2">
        <f ca="1"/>
        <v>0.20515126765264968</v>
      </c>
      <c r="AH4813" s="2" t="str">
        <f ca="1"/>
        <v>OK</v>
      </c>
    </row>
    <row r="4814" spans="2:34" x14ac:dyDescent="0.2">
      <c r="B4814" s="2">
        <f ca="1"/>
        <v>0.31933587907274608</v>
      </c>
      <c r="O4814" s="2">
        <f ca="1"/>
        <v>0.55600717547473466</v>
      </c>
      <c r="X4814" s="2">
        <f ca="1"/>
        <v>45.646301414919215</v>
      </c>
      <c r="AG4814" s="2">
        <f ca="1"/>
        <v>0.2256935137625089</v>
      </c>
      <c r="AH4814" s="2" t="str">
        <f ca="1"/>
        <v>OK</v>
      </c>
    </row>
    <row r="4815" spans="2:34" x14ac:dyDescent="0.2">
      <c r="B4815" s="2">
        <f ca="1"/>
        <v>0.12481690433516102</v>
      </c>
      <c r="O4815" s="2">
        <f ca="1"/>
        <v>-0.63314986496088765</v>
      </c>
      <c r="X4815" s="2">
        <f ca="1"/>
        <v>40.426699737020265</v>
      </c>
      <c r="AG4815" s="2">
        <f ca="1"/>
        <v>0.87956271849277967</v>
      </c>
      <c r="AH4815" s="2" t="str">
        <f ca="1"/>
        <v>Bad</v>
      </c>
    </row>
    <row r="4816" spans="2:34" x14ac:dyDescent="0.2">
      <c r="B4816" s="2">
        <f ca="1"/>
        <v>0.27365142728358283</v>
      </c>
      <c r="O4816" s="2">
        <f ca="1"/>
        <v>0.85240063293016666</v>
      </c>
      <c r="X4816" s="2">
        <f ca="1"/>
        <v>40.340043680809401</v>
      </c>
      <c r="AG4816" s="2">
        <f ca="1"/>
        <v>0.30176735830714074</v>
      </c>
      <c r="AH4816" s="2" t="str">
        <f ca="1"/>
        <v>OK</v>
      </c>
    </row>
    <row r="4817" spans="2:34" x14ac:dyDescent="0.2">
      <c r="B4817" s="2">
        <f ca="1"/>
        <v>0.47378439960084306</v>
      </c>
      <c r="O4817" s="2">
        <f ca="1"/>
        <v>-0.75256580239943982</v>
      </c>
      <c r="X4817" s="2">
        <f ca="1"/>
        <v>46.418787207587783</v>
      </c>
      <c r="AG4817" s="2">
        <f ca="1"/>
        <v>0.50004129503164396</v>
      </c>
      <c r="AH4817" s="2" t="str">
        <f ca="1"/>
        <v>Bad</v>
      </c>
    </row>
    <row r="4818" spans="2:34" x14ac:dyDescent="0.2">
      <c r="B4818" s="2">
        <f ca="1"/>
        <v>0.2774640550296783</v>
      </c>
      <c r="O4818" s="2">
        <f ca="1"/>
        <v>1.7673456499515781</v>
      </c>
      <c r="X4818" s="2">
        <f ca="1"/>
        <v>71.766982840219498</v>
      </c>
      <c r="AG4818" s="2">
        <f ca="1"/>
        <v>0.26397699243163197</v>
      </c>
      <c r="AH4818" s="2" t="str">
        <f ca="1"/>
        <v>OK</v>
      </c>
    </row>
    <row r="4819" spans="2:34" x14ac:dyDescent="0.2">
      <c r="B4819" s="2">
        <f ca="1"/>
        <v>0.29569677332317634</v>
      </c>
      <c r="O4819" s="2">
        <f ca="1"/>
        <v>0.63660739090087359</v>
      </c>
      <c r="X4819" s="2">
        <f ca="1"/>
        <v>59.523988445197851</v>
      </c>
      <c r="AG4819" s="2">
        <f ca="1"/>
        <v>0.97423955489495784</v>
      </c>
      <c r="AH4819" s="2" t="str">
        <f ca="1"/>
        <v>Bad</v>
      </c>
    </row>
    <row r="4820" spans="2:34" x14ac:dyDescent="0.2">
      <c r="B4820" s="2">
        <f ca="1"/>
        <v>0.26869057162783982</v>
      </c>
      <c r="O4820" s="2">
        <f ca="1"/>
        <v>0.47862218274948942</v>
      </c>
      <c r="X4820" s="2">
        <f ca="1"/>
        <v>69.853422519283271</v>
      </c>
      <c r="AG4820" s="2">
        <f ca="1"/>
        <v>0.25363680943557343</v>
      </c>
      <c r="AH4820" s="2" t="str">
        <f ca="1"/>
        <v>OK</v>
      </c>
    </row>
    <row r="4821" spans="2:34" x14ac:dyDescent="0.2">
      <c r="B4821" s="2">
        <f ca="1"/>
        <v>0.11995262525971162</v>
      </c>
      <c r="O4821" s="2">
        <f ca="1"/>
        <v>2.1530539921559408</v>
      </c>
      <c r="X4821" s="2">
        <f ca="1"/>
        <v>37.358776086491957</v>
      </c>
      <c r="AG4821" s="2">
        <f ca="1"/>
        <v>0.7498824782576976</v>
      </c>
      <c r="AH4821" s="2" t="str">
        <f ca="1"/>
        <v>Bad</v>
      </c>
    </row>
    <row r="4822" spans="2:34" x14ac:dyDescent="0.2">
      <c r="B4822" s="2">
        <f ca="1"/>
        <v>0.23534244288118145</v>
      </c>
      <c r="O4822" s="2">
        <f ca="1"/>
        <v>1.3963926395326434</v>
      </c>
      <c r="X4822" s="2">
        <f ca="1"/>
        <v>44.713141036713544</v>
      </c>
      <c r="AG4822" s="2">
        <f ca="1"/>
        <v>0.24307162944574889</v>
      </c>
      <c r="AH4822" s="2" t="str">
        <f ca="1"/>
        <v>OK</v>
      </c>
    </row>
    <row r="4823" spans="2:34" x14ac:dyDescent="0.2">
      <c r="B4823" s="2">
        <f ca="1"/>
        <v>2.0113693353327244E-2</v>
      </c>
      <c r="O4823" s="2">
        <f ca="1"/>
        <v>0.51102296883213849</v>
      </c>
      <c r="X4823" s="2">
        <f ca="1"/>
        <v>66.695569600493471</v>
      </c>
      <c r="AG4823" s="2">
        <f ca="1"/>
        <v>0.76847876246401015</v>
      </c>
      <c r="AH4823" s="2" t="str">
        <f ca="1"/>
        <v>Bad</v>
      </c>
    </row>
    <row r="4824" spans="2:34" x14ac:dyDescent="0.2">
      <c r="B4824" s="2">
        <f ca="1"/>
        <v>7.5366913257159718E-2</v>
      </c>
      <c r="O4824" s="2">
        <f ca="1"/>
        <v>2.4742264839630357</v>
      </c>
      <c r="X4824" s="2">
        <f ca="1"/>
        <v>50.59829712806318</v>
      </c>
      <c r="AG4824" s="2">
        <f ca="1"/>
        <v>0.8009690861966221</v>
      </c>
      <c r="AH4824" s="2" t="str">
        <f ca="1"/>
        <v>Bad</v>
      </c>
    </row>
    <row r="4825" spans="2:34" x14ac:dyDescent="0.2">
      <c r="B4825" s="2">
        <f ca="1"/>
        <v>0.31397153250155263</v>
      </c>
      <c r="O4825" s="2">
        <f ca="1"/>
        <v>1.5127704368124542</v>
      </c>
      <c r="X4825" s="2">
        <f ca="1"/>
        <v>35.363947294270396</v>
      </c>
      <c r="AG4825" s="2">
        <f ca="1"/>
        <v>0.30077374300491644</v>
      </c>
      <c r="AH4825" s="2" t="str">
        <f ca="1"/>
        <v>OK</v>
      </c>
    </row>
    <row r="4826" spans="2:34" x14ac:dyDescent="0.2">
      <c r="B4826" s="2">
        <f ca="1"/>
        <v>0.4019812996777643</v>
      </c>
      <c r="O4826" s="2">
        <f ca="1"/>
        <v>2.0953731996085545</v>
      </c>
      <c r="X4826" s="2">
        <f ca="1"/>
        <v>48.80086316559391</v>
      </c>
      <c r="AG4826" s="2">
        <f ca="1"/>
        <v>0.82207909903192089</v>
      </c>
      <c r="AH4826" s="2" t="str">
        <f ca="1"/>
        <v>Bad</v>
      </c>
    </row>
    <row r="4827" spans="2:34" x14ac:dyDescent="0.2">
      <c r="B4827" s="2">
        <f ca="1"/>
        <v>0.17878754049356105</v>
      </c>
      <c r="O4827" s="2">
        <f ca="1"/>
        <v>0.36956520927569741</v>
      </c>
      <c r="X4827" s="2">
        <f ca="1"/>
        <v>62.360771225453668</v>
      </c>
      <c r="AG4827" s="2">
        <f ca="1"/>
        <v>0.19844219873838287</v>
      </c>
      <c r="AH4827" s="2" t="str">
        <f ca="1"/>
        <v>OK</v>
      </c>
    </row>
    <row r="4828" spans="2:34" x14ac:dyDescent="0.2">
      <c r="B4828" s="2">
        <f ca="1"/>
        <v>0.58518895829307493</v>
      </c>
      <c r="O4828" s="2">
        <f ca="1"/>
        <v>-4.8833127751185458E-2</v>
      </c>
      <c r="X4828" s="2">
        <f ca="1"/>
        <v>53.514062949442746</v>
      </c>
      <c r="AG4828" s="2">
        <f ca="1"/>
        <v>0.56613541701103931</v>
      </c>
      <c r="AH4828" s="2" t="str">
        <f ca="1"/>
        <v>Bad</v>
      </c>
    </row>
    <row r="4829" spans="2:34" x14ac:dyDescent="0.2">
      <c r="B4829" s="2">
        <f ca="1"/>
        <v>0.40530192843789892</v>
      </c>
      <c r="O4829" s="2">
        <f ca="1"/>
        <v>1.1753699207023445E-2</v>
      </c>
      <c r="X4829" s="2">
        <f ca="1"/>
        <v>36.40909909313995</v>
      </c>
      <c r="AG4829" s="2">
        <f ca="1"/>
        <v>0.65491190516097508</v>
      </c>
      <c r="AH4829" s="2" t="str">
        <f ca="1"/>
        <v>Bad</v>
      </c>
    </row>
    <row r="4830" spans="2:34" x14ac:dyDescent="0.2">
      <c r="B4830" s="2">
        <f ca="1"/>
        <v>3.3118153003982131E-2</v>
      </c>
      <c r="O4830" s="2">
        <f ca="1"/>
        <v>1.3188540277334384</v>
      </c>
      <c r="X4830" s="2">
        <f ca="1"/>
        <v>51.916717725741314</v>
      </c>
      <c r="AG4830" s="2">
        <f ca="1"/>
        <v>0.1427919509322253</v>
      </c>
      <c r="AH4830" s="2" t="str">
        <f ca="1"/>
        <v>OK</v>
      </c>
    </row>
    <row r="4831" spans="2:34" x14ac:dyDescent="0.2">
      <c r="B4831" s="2">
        <f ca="1"/>
        <v>0.34425261347657332</v>
      </c>
      <c r="O4831" s="2">
        <f ca="1"/>
        <v>-0.41629621935262334</v>
      </c>
      <c r="X4831" s="2">
        <f ca="1"/>
        <v>56.520213442919328</v>
      </c>
      <c r="AG4831" s="2">
        <f ca="1"/>
        <v>0.67407079290367133</v>
      </c>
      <c r="AH4831" s="2" t="str">
        <f ca="1"/>
        <v>Bad</v>
      </c>
    </row>
    <row r="4832" spans="2:34" x14ac:dyDescent="0.2">
      <c r="B4832" s="2">
        <f ca="1"/>
        <v>0.94231424059593261</v>
      </c>
      <c r="O4832" s="2">
        <f ca="1"/>
        <v>0.67860614108921491</v>
      </c>
      <c r="X4832" s="2">
        <f ca="1"/>
        <v>26.583966126777639</v>
      </c>
      <c r="AG4832" s="2">
        <f ca="1"/>
        <v>0.93864313661250365</v>
      </c>
      <c r="AH4832" s="2" t="str">
        <f ca="1"/>
        <v>Bad</v>
      </c>
    </row>
    <row r="4833" spans="2:34" x14ac:dyDescent="0.2">
      <c r="B4833" s="2">
        <f ca="1"/>
        <v>0.29855838899495546</v>
      </c>
      <c r="O4833" s="2">
        <f ca="1"/>
        <v>0.69758920912764644</v>
      </c>
      <c r="X4833" s="2">
        <f ca="1"/>
        <v>57.927131799118783</v>
      </c>
      <c r="AG4833" s="2">
        <f ca="1"/>
        <v>0.55804532470537116</v>
      </c>
      <c r="AH4833" s="2" t="str">
        <f ca="1"/>
        <v>Bad</v>
      </c>
    </row>
    <row r="4834" spans="2:34" x14ac:dyDescent="0.2">
      <c r="B4834" s="2">
        <f ca="1"/>
        <v>0.96420126963822606</v>
      </c>
      <c r="O4834" s="2">
        <f ca="1"/>
        <v>-0.66937445033412701</v>
      </c>
      <c r="X4834" s="2">
        <f ca="1"/>
        <v>58.922424832216876</v>
      </c>
      <c r="AG4834" s="2">
        <f ca="1"/>
        <v>0.25529879354735097</v>
      </c>
      <c r="AH4834" s="2" t="str">
        <f ca="1"/>
        <v>OK</v>
      </c>
    </row>
    <row r="4835" spans="2:34" x14ac:dyDescent="0.2">
      <c r="B4835" s="2">
        <f ca="1"/>
        <v>2.7882744362007772E-2</v>
      </c>
      <c r="O4835" s="2">
        <f ca="1"/>
        <v>-0.26678182887691693</v>
      </c>
      <c r="X4835" s="2">
        <f ca="1"/>
        <v>61.822246542885715</v>
      </c>
      <c r="AG4835" s="2">
        <f ca="1"/>
        <v>0.10670105285973497</v>
      </c>
      <c r="AH4835" s="2" t="str">
        <f ca="1"/>
        <v>OK</v>
      </c>
    </row>
    <row r="4836" spans="2:34" x14ac:dyDescent="0.2">
      <c r="B4836" s="2">
        <f ca="1"/>
        <v>0.43203673308443413</v>
      </c>
      <c r="O4836" s="2">
        <f ca="1"/>
        <v>1.2897047804024562</v>
      </c>
      <c r="X4836" s="2">
        <f ca="1"/>
        <v>60.594574378034665</v>
      </c>
      <c r="AG4836" s="2">
        <f ca="1"/>
        <v>8.0195280286742499E-2</v>
      </c>
      <c r="AH4836" s="2" t="str">
        <f ca="1"/>
        <v>OK</v>
      </c>
    </row>
    <row r="4837" spans="2:34" x14ac:dyDescent="0.2">
      <c r="B4837" s="2">
        <f ca="1"/>
        <v>0.79772710513112211</v>
      </c>
      <c r="O4837" s="2">
        <f ca="1"/>
        <v>1.1084624873941205</v>
      </c>
      <c r="X4837" s="2">
        <f ca="1"/>
        <v>27.438494595280094</v>
      </c>
      <c r="AG4837" s="2">
        <f ca="1"/>
        <v>0.17591380773544185</v>
      </c>
      <c r="AH4837" s="2" t="str">
        <f ca="1"/>
        <v>OK</v>
      </c>
    </row>
    <row r="4838" spans="2:34" x14ac:dyDescent="0.2">
      <c r="B4838" s="2">
        <f ca="1"/>
        <v>0.7050404256306344</v>
      </c>
      <c r="O4838" s="2">
        <f ca="1"/>
        <v>0.74230619940816445</v>
      </c>
      <c r="X4838" s="2">
        <f ca="1"/>
        <v>54.106822326358653</v>
      </c>
      <c r="AG4838" s="2">
        <f ca="1"/>
        <v>0.16491976217971005</v>
      </c>
      <c r="AH4838" s="2" t="str">
        <f ca="1"/>
        <v>OK</v>
      </c>
    </row>
    <row r="4839" spans="2:34" x14ac:dyDescent="0.2">
      <c r="B4839" s="2">
        <f ca="1"/>
        <v>0.58909403099494484</v>
      </c>
      <c r="O4839" s="2">
        <f ca="1"/>
        <v>-0.50237965152143305</v>
      </c>
      <c r="X4839" s="2">
        <f ca="1"/>
        <v>81.091506100681841</v>
      </c>
      <c r="AG4839" s="2">
        <f ca="1"/>
        <v>0.35540364079724651</v>
      </c>
      <c r="AH4839" s="2" t="str">
        <f ca="1"/>
        <v>OK</v>
      </c>
    </row>
    <row r="4840" spans="2:34" x14ac:dyDescent="0.2">
      <c r="B4840" s="2">
        <f ca="1"/>
        <v>0.75592584488542691</v>
      </c>
      <c r="O4840" s="2">
        <f ca="1"/>
        <v>0.42960037249556604</v>
      </c>
      <c r="X4840" s="2">
        <f ca="1"/>
        <v>42.999739909386285</v>
      </c>
      <c r="AG4840" s="2">
        <f ca="1"/>
        <v>0.99469108854681898</v>
      </c>
      <c r="AH4840" s="2" t="str">
        <f ca="1"/>
        <v>Bad</v>
      </c>
    </row>
    <row r="4841" spans="2:34" x14ac:dyDescent="0.2">
      <c r="B4841" s="2">
        <f ca="1"/>
        <v>0.33425647949299919</v>
      </c>
      <c r="O4841" s="2">
        <f ca="1"/>
        <v>-0.77964122312777973</v>
      </c>
      <c r="X4841" s="2">
        <f ca="1"/>
        <v>33.530373237054782</v>
      </c>
      <c r="AG4841" s="2">
        <f ca="1"/>
        <v>0.47920445135948442</v>
      </c>
      <c r="AH4841" s="2" t="str">
        <f ca="1"/>
        <v>Bad</v>
      </c>
    </row>
    <row r="4842" spans="2:34" x14ac:dyDescent="0.2">
      <c r="B4842" s="2">
        <f ca="1"/>
        <v>0.24939513258803947</v>
      </c>
      <c r="O4842" s="2">
        <f ca="1"/>
        <v>-1.2067768737014963</v>
      </c>
      <c r="X4842" s="2">
        <f ca="1"/>
        <v>57.75179207944042</v>
      </c>
      <c r="AG4842" s="2">
        <f ca="1"/>
        <v>3.5535797283666293E-2</v>
      </c>
      <c r="AH4842" s="2" t="str">
        <f ca="1"/>
        <v>Good</v>
      </c>
    </row>
    <row r="4843" spans="2:34" x14ac:dyDescent="0.2">
      <c r="B4843" s="2">
        <f ca="1"/>
        <v>0.58128247113391662</v>
      </c>
      <c r="O4843" s="2">
        <f ca="1"/>
        <v>-1.1608992274636309</v>
      </c>
      <c r="X4843" s="2">
        <f ca="1"/>
        <v>67.57034700525206</v>
      </c>
      <c r="AG4843" s="2">
        <f ca="1"/>
        <v>0.41585007046587652</v>
      </c>
      <c r="AH4843" s="2" t="str">
        <f ca="1"/>
        <v>Bad</v>
      </c>
    </row>
    <row r="4844" spans="2:34" x14ac:dyDescent="0.2">
      <c r="B4844" s="2">
        <f ca="1"/>
        <v>0.15643034844737791</v>
      </c>
      <c r="O4844" s="2">
        <f ca="1"/>
        <v>0.94994502310770867</v>
      </c>
      <c r="X4844" s="2">
        <f ca="1"/>
        <v>83.18466567894896</v>
      </c>
      <c r="AG4844" s="2">
        <f ca="1"/>
        <v>7.9206676141960308E-2</v>
      </c>
      <c r="AH4844" s="2" t="str">
        <f ca="1"/>
        <v>OK</v>
      </c>
    </row>
    <row r="4845" spans="2:34" x14ac:dyDescent="0.2">
      <c r="B4845" s="2">
        <f ca="1"/>
        <v>0.99111768738373551</v>
      </c>
      <c r="O4845" s="2">
        <f ca="1"/>
        <v>3.0261754648448345</v>
      </c>
      <c r="X4845" s="2">
        <f ca="1"/>
        <v>63.047184025913211</v>
      </c>
      <c r="AG4845" s="2">
        <f ca="1"/>
        <v>0.44543311450602174</v>
      </c>
      <c r="AH4845" s="2" t="str">
        <f ca="1"/>
        <v>Bad</v>
      </c>
    </row>
    <row r="4846" spans="2:34" x14ac:dyDescent="0.2">
      <c r="B4846" s="2">
        <f ca="1"/>
        <v>0.54968020768807779</v>
      </c>
      <c r="O4846" s="2">
        <f ca="1"/>
        <v>4.3381463085942498E-2</v>
      </c>
      <c r="X4846" s="2">
        <f ca="1"/>
        <v>24.114014295745836</v>
      </c>
      <c r="AG4846" s="2">
        <f ca="1"/>
        <v>1.2174883812396731E-2</v>
      </c>
      <c r="AH4846" s="2" t="str">
        <f ca="1"/>
        <v>Good</v>
      </c>
    </row>
    <row r="4847" spans="2:34" x14ac:dyDescent="0.2">
      <c r="B4847" s="2">
        <f ca="1"/>
        <v>0.31040298166429237</v>
      </c>
      <c r="O4847" s="2">
        <f ca="1"/>
        <v>-0.21730340344527141</v>
      </c>
      <c r="X4847" s="2">
        <f ca="1"/>
        <v>43.381636957461325</v>
      </c>
      <c r="AG4847" s="2">
        <f ca="1"/>
        <v>0.27821785222192807</v>
      </c>
      <c r="AH4847" s="2" t="str">
        <f ca="1"/>
        <v>OK</v>
      </c>
    </row>
    <row r="4848" spans="2:34" x14ac:dyDescent="0.2">
      <c r="B4848" s="2">
        <f ca="1"/>
        <v>0.97609232662520018</v>
      </c>
      <c r="O4848" s="2">
        <f ca="1"/>
        <v>-1.0206362491422325</v>
      </c>
      <c r="X4848" s="2">
        <f ca="1"/>
        <v>38.353892499530524</v>
      </c>
      <c r="AG4848" s="2">
        <f ca="1"/>
        <v>0.24194488249257162</v>
      </c>
      <c r="AH4848" s="2" t="str">
        <f ca="1"/>
        <v>OK</v>
      </c>
    </row>
    <row r="4849" spans="2:34" x14ac:dyDescent="0.2">
      <c r="B4849" s="2">
        <f ca="1"/>
        <v>0.87531746365646024</v>
      </c>
      <c r="O4849" s="2">
        <f ca="1"/>
        <v>-0.72250513472995381</v>
      </c>
      <c r="X4849" s="2">
        <f ca="1"/>
        <v>40.612397419394938</v>
      </c>
      <c r="AG4849" s="2">
        <f ca="1"/>
        <v>9.9301455060244237E-2</v>
      </c>
      <c r="AH4849" s="2" t="str">
        <f ca="1"/>
        <v>OK</v>
      </c>
    </row>
    <row r="4850" spans="2:34" x14ac:dyDescent="0.2">
      <c r="B4850" s="2">
        <f ca="1"/>
        <v>0.50440859540405958</v>
      </c>
      <c r="O4850" s="2">
        <f ca="1"/>
        <v>-9.8785661655054285E-2</v>
      </c>
      <c r="X4850" s="2">
        <f ca="1"/>
        <v>20.029608540048109</v>
      </c>
      <c r="AG4850" s="2">
        <f ca="1"/>
        <v>0.7466039373454314</v>
      </c>
      <c r="AH4850" s="2" t="str">
        <f ca="1"/>
        <v>Bad</v>
      </c>
    </row>
    <row r="4851" spans="2:34" x14ac:dyDescent="0.2">
      <c r="B4851" s="2">
        <f ca="1"/>
        <v>0.96687745096552358</v>
      </c>
      <c r="O4851" s="2">
        <f ca="1"/>
        <v>-0.92130427368737944</v>
      </c>
      <c r="X4851" s="2">
        <f ca="1"/>
        <v>36.761440615951706</v>
      </c>
      <c r="AG4851" s="2">
        <f ca="1"/>
        <v>0.75139864755490926</v>
      </c>
      <c r="AH4851" s="2" t="str">
        <f ca="1"/>
        <v>Bad</v>
      </c>
    </row>
    <row r="4852" spans="2:34" x14ac:dyDescent="0.2">
      <c r="B4852" s="2">
        <f ca="1"/>
        <v>7.7558736411605045E-2</v>
      </c>
      <c r="O4852" s="2">
        <f ca="1"/>
        <v>0.19606498888664461</v>
      </c>
      <c r="X4852" s="2">
        <f ca="1"/>
        <v>59.457348147556203</v>
      </c>
      <c r="AG4852" s="2">
        <f ca="1"/>
        <v>0.78422693835108048</v>
      </c>
      <c r="AH4852" s="2" t="str">
        <f ca="1"/>
        <v>Bad</v>
      </c>
    </row>
    <row r="4853" spans="2:34" x14ac:dyDescent="0.2">
      <c r="B4853" s="2">
        <f ca="1"/>
        <v>0.82014844334079529</v>
      </c>
      <c r="O4853" s="2">
        <f ca="1"/>
        <v>-0.61070646529741102</v>
      </c>
      <c r="X4853" s="2">
        <f ca="1"/>
        <v>103.64622107032319</v>
      </c>
      <c r="AG4853" s="2">
        <f ca="1"/>
        <v>0.82011846773403496</v>
      </c>
      <c r="AH4853" s="2" t="str">
        <f ca="1"/>
        <v>Bad</v>
      </c>
    </row>
    <row r="4854" spans="2:34" x14ac:dyDescent="0.2">
      <c r="B4854" s="2">
        <f ca="1"/>
        <v>0.54409930973900567</v>
      </c>
      <c r="O4854" s="2">
        <f ca="1"/>
        <v>1.7204937339987396</v>
      </c>
      <c r="X4854" s="2">
        <f ca="1"/>
        <v>42.798008853709568</v>
      </c>
      <c r="AG4854" s="2">
        <f ca="1"/>
        <v>0.46550381191955159</v>
      </c>
      <c r="AH4854" s="2" t="str">
        <f ca="1"/>
        <v>Bad</v>
      </c>
    </row>
    <row r="4855" spans="2:34" x14ac:dyDescent="0.2">
      <c r="B4855" s="2">
        <f ca="1"/>
        <v>0.46407154235084147</v>
      </c>
      <c r="O4855" s="2">
        <f ca="1"/>
        <v>-3.1642489596826833E-3</v>
      </c>
      <c r="X4855" s="2">
        <f ca="1"/>
        <v>61.912025778315595</v>
      </c>
      <c r="AG4855" s="2">
        <f ca="1"/>
        <v>0.97016909269860419</v>
      </c>
      <c r="AH4855" s="2" t="str">
        <f ca="1"/>
        <v>Bad</v>
      </c>
    </row>
    <row r="4856" spans="2:34" x14ac:dyDescent="0.2">
      <c r="B4856" s="2">
        <f ca="1"/>
        <v>0.6623223763136914</v>
      </c>
      <c r="O4856" s="2">
        <f ca="1"/>
        <v>-0.26231723810905494</v>
      </c>
      <c r="X4856" s="2">
        <f ca="1"/>
        <v>63.434437781780161</v>
      </c>
      <c r="AG4856" s="2">
        <f ca="1"/>
        <v>0.80119923427029827</v>
      </c>
      <c r="AH4856" s="2" t="str">
        <f ca="1"/>
        <v>Bad</v>
      </c>
    </row>
    <row r="4857" spans="2:34" x14ac:dyDescent="0.2">
      <c r="B4857" s="2">
        <f ca="1"/>
        <v>0.73963400458760131</v>
      </c>
      <c r="O4857" s="2">
        <f ca="1"/>
        <v>2.2033733232612637E-2</v>
      </c>
      <c r="X4857" s="2">
        <f ca="1"/>
        <v>53.547965571603619</v>
      </c>
      <c r="AG4857" s="2">
        <f ca="1"/>
        <v>0.35399463675566634</v>
      </c>
      <c r="AH4857" s="2" t="str">
        <f ca="1"/>
        <v>OK</v>
      </c>
    </row>
    <row r="4858" spans="2:34" x14ac:dyDescent="0.2">
      <c r="B4858" s="2">
        <f ca="1"/>
        <v>0.53346380713277952</v>
      </c>
      <c r="O4858" s="2">
        <f ca="1"/>
        <v>1.1853343406402534</v>
      </c>
      <c r="X4858" s="2">
        <f ca="1"/>
        <v>43.517363298504435</v>
      </c>
      <c r="AG4858" s="2">
        <f ca="1"/>
        <v>0.5908729585731447</v>
      </c>
      <c r="AH4858" s="2" t="str">
        <f ca="1"/>
        <v>Bad</v>
      </c>
    </row>
    <row r="4859" spans="2:34" x14ac:dyDescent="0.2">
      <c r="B4859" s="2">
        <f ca="1"/>
        <v>0.91313329813212252</v>
      </c>
      <c r="O4859" s="2">
        <f ca="1"/>
        <v>-3.02616248227697E-2</v>
      </c>
      <c r="X4859" s="2">
        <f ca="1"/>
        <v>45.362010814444112</v>
      </c>
      <c r="AG4859" s="2">
        <f ca="1"/>
        <v>0.1097101165057659</v>
      </c>
      <c r="AH4859" s="2" t="str">
        <f ca="1"/>
        <v>OK</v>
      </c>
    </row>
    <row r="4860" spans="2:34" x14ac:dyDescent="0.2">
      <c r="B4860" s="2">
        <f ca="1"/>
        <v>0.48962375249022094</v>
      </c>
      <c r="O4860" s="2">
        <f ca="1"/>
        <v>1.0077102022246998</v>
      </c>
      <c r="X4860" s="2">
        <f ca="1"/>
        <v>66.708502808896966</v>
      </c>
      <c r="AG4860" s="2">
        <f ca="1"/>
        <v>0.50449832580600784</v>
      </c>
      <c r="AH4860" s="2" t="str">
        <f ca="1"/>
        <v>Bad</v>
      </c>
    </row>
    <row r="4861" spans="2:34" x14ac:dyDescent="0.2">
      <c r="B4861" s="2">
        <f ca="1"/>
        <v>5.3730832899951064E-2</v>
      </c>
      <c r="O4861" s="2">
        <f ca="1"/>
        <v>1.2755267089106879</v>
      </c>
      <c r="X4861" s="2">
        <f ca="1"/>
        <v>27.198672084605718</v>
      </c>
      <c r="AG4861" s="2">
        <f ca="1"/>
        <v>0.42211982696119077</v>
      </c>
      <c r="AH4861" s="2" t="str">
        <f ca="1"/>
        <v>Bad</v>
      </c>
    </row>
    <row r="4862" spans="2:34" x14ac:dyDescent="0.2">
      <c r="B4862" s="2">
        <f ca="1"/>
        <v>0.32895410111245726</v>
      </c>
      <c r="O4862" s="2">
        <f ca="1"/>
        <v>-1.4148427375462516</v>
      </c>
      <c r="X4862" s="2">
        <f ca="1"/>
        <v>66.697472500810875</v>
      </c>
      <c r="AG4862" s="2">
        <f ca="1"/>
        <v>0.37341328533667673</v>
      </c>
      <c r="AH4862" s="2" t="str">
        <f ca="1"/>
        <v>OK</v>
      </c>
    </row>
    <row r="4863" spans="2:34" x14ac:dyDescent="0.2">
      <c r="B4863" s="2">
        <f ca="1"/>
        <v>0.35232452769298672</v>
      </c>
      <c r="O4863" s="2">
        <f ca="1"/>
        <v>0.12307712330484524</v>
      </c>
      <c r="X4863" s="2">
        <f ca="1"/>
        <v>49.32434714572841</v>
      </c>
      <c r="AG4863" s="2">
        <f ca="1"/>
        <v>8.4447252710841303E-2</v>
      </c>
      <c r="AH4863" s="2" t="str">
        <f ca="1"/>
        <v>OK</v>
      </c>
    </row>
    <row r="4864" spans="2:34" x14ac:dyDescent="0.2">
      <c r="B4864" s="2">
        <f ca="1"/>
        <v>0.70708764464932417</v>
      </c>
      <c r="O4864" s="2">
        <f ca="1"/>
        <v>0.38798926810051926</v>
      </c>
      <c r="X4864" s="2">
        <f ca="1"/>
        <v>49.974429065421546</v>
      </c>
      <c r="AG4864" s="2">
        <f ca="1"/>
        <v>0.43375700868464162</v>
      </c>
      <c r="AH4864" s="2" t="str">
        <f ca="1"/>
        <v>Bad</v>
      </c>
    </row>
    <row r="4865" spans="2:34" x14ac:dyDescent="0.2">
      <c r="B4865" s="2">
        <f ca="1"/>
        <v>0.63815663953182433</v>
      </c>
      <c r="O4865" s="2">
        <f ca="1"/>
        <v>-2.4116802414747132</v>
      </c>
      <c r="X4865" s="2">
        <f ca="1"/>
        <v>51.10522477764458</v>
      </c>
      <c r="AG4865" s="2">
        <f ca="1"/>
        <v>0.54571425274377883</v>
      </c>
      <c r="AH4865" s="2" t="str">
        <f ca="1"/>
        <v>Bad</v>
      </c>
    </row>
    <row r="4866" spans="2:34" x14ac:dyDescent="0.2">
      <c r="B4866" s="2">
        <f ca="1"/>
        <v>0.37984870224484113</v>
      </c>
      <c r="O4866" s="2">
        <f ca="1"/>
        <v>-0.78233292630373374</v>
      </c>
      <c r="X4866" s="2">
        <f ca="1"/>
        <v>75.331231334067425</v>
      </c>
      <c r="AG4866" s="2">
        <f ca="1"/>
        <v>0.69402353165574349</v>
      </c>
      <c r="AH4866" s="2" t="str">
        <f ca="1"/>
        <v>Bad</v>
      </c>
    </row>
    <row r="4867" spans="2:34" x14ac:dyDescent="0.2">
      <c r="B4867" s="2">
        <f ca="1"/>
        <v>0.23238717951188237</v>
      </c>
      <c r="O4867" s="2">
        <f ca="1"/>
        <v>2.8113577889319474</v>
      </c>
      <c r="X4867" s="2">
        <f ca="1"/>
        <v>61.007708374004459</v>
      </c>
      <c r="AG4867" s="2">
        <f ca="1"/>
        <v>0.4762597216468023</v>
      </c>
      <c r="AH4867" s="2" t="str">
        <f ca="1"/>
        <v>Bad</v>
      </c>
    </row>
    <row r="4868" spans="2:34" x14ac:dyDescent="0.2">
      <c r="B4868" s="2">
        <f ca="1"/>
        <v>0.80612267698803675</v>
      </c>
      <c r="O4868" s="2">
        <f ca="1"/>
        <v>0.59456082810666133</v>
      </c>
      <c r="X4868" s="2">
        <f ca="1"/>
        <v>30.315008209819933</v>
      </c>
      <c r="AG4868" s="2">
        <f ca="1"/>
        <v>0.3347736844973872</v>
      </c>
      <c r="AH4868" s="2" t="str">
        <f ca="1"/>
        <v>OK</v>
      </c>
    </row>
    <row r="4869" spans="2:34" x14ac:dyDescent="0.2">
      <c r="B4869" s="2">
        <f ca="1"/>
        <v>0.8196857511347786</v>
      </c>
      <c r="O4869" s="2">
        <f ca="1"/>
        <v>-0.52944841392136166</v>
      </c>
      <c r="X4869" s="2">
        <f ca="1"/>
        <v>46.882055336581423</v>
      </c>
      <c r="AG4869" s="2">
        <f ca="1"/>
        <v>0.29320520834350616</v>
      </c>
      <c r="AH4869" s="2" t="str">
        <f ca="1"/>
        <v>OK</v>
      </c>
    </row>
    <row r="4870" spans="2:34" x14ac:dyDescent="0.2">
      <c r="B4870" s="2">
        <f ca="1"/>
        <v>0.20379881637288477</v>
      </c>
      <c r="O4870" s="2">
        <f ca="1"/>
        <v>0.17758247762034804</v>
      </c>
      <c r="X4870" s="2">
        <f ca="1"/>
        <v>35.577989669083522</v>
      </c>
      <c r="AG4870" s="2">
        <f ca="1"/>
        <v>0.70143824415776423</v>
      </c>
      <c r="AH4870" s="2" t="str">
        <f ca="1"/>
        <v>Bad</v>
      </c>
    </row>
    <row r="4871" spans="2:34" x14ac:dyDescent="0.2">
      <c r="B4871" s="2">
        <f ca="1"/>
        <v>0.65281116989404619</v>
      </c>
      <c r="O4871" s="2">
        <f ca="1"/>
        <v>-2.1075870613073295</v>
      </c>
      <c r="X4871" s="2">
        <f ca="1"/>
        <v>38.971347808414222</v>
      </c>
      <c r="AG4871" s="2">
        <f ca="1"/>
        <v>0.88410541793572639</v>
      </c>
      <c r="AH4871" s="2" t="str">
        <f ca="1"/>
        <v>Bad</v>
      </c>
    </row>
    <row r="4872" spans="2:34" x14ac:dyDescent="0.2">
      <c r="B4872" s="2">
        <f ca="1"/>
        <v>0.56458917451671087</v>
      </c>
      <c r="O4872" s="2">
        <f ca="1"/>
        <v>0.4696089612035404</v>
      </c>
      <c r="X4872" s="2">
        <f ca="1"/>
        <v>39.605180483816966</v>
      </c>
      <c r="AG4872" s="2">
        <f ca="1"/>
        <v>0.13337113305140758</v>
      </c>
      <c r="AH4872" s="2" t="str">
        <f ca="1"/>
        <v>OK</v>
      </c>
    </row>
    <row r="4873" spans="2:34" x14ac:dyDescent="0.2">
      <c r="B4873" s="2">
        <f ca="1"/>
        <v>0.95510067199882798</v>
      </c>
      <c r="O4873" s="2">
        <f ca="1"/>
        <v>-0.68332969576606772</v>
      </c>
      <c r="X4873" s="2">
        <f ca="1"/>
        <v>43.633104184079762</v>
      </c>
      <c r="AG4873" s="2">
        <f ca="1"/>
        <v>0.61577712992488065</v>
      </c>
      <c r="AH4873" s="2" t="str">
        <f ca="1"/>
        <v>Bad</v>
      </c>
    </row>
    <row r="4874" spans="2:34" x14ac:dyDescent="0.2">
      <c r="B4874" s="2">
        <f ca="1"/>
        <v>0.78599892194322418</v>
      </c>
      <c r="O4874" s="2">
        <f ca="1"/>
        <v>-0.39260851980570005</v>
      </c>
      <c r="X4874" s="2">
        <f ca="1"/>
        <v>62.018952583095981</v>
      </c>
      <c r="AG4874" s="2">
        <f ca="1"/>
        <v>0.56312708939953082</v>
      </c>
      <c r="AH4874" s="2" t="str">
        <f ca="1"/>
        <v>Bad</v>
      </c>
    </row>
    <row r="4875" spans="2:34" x14ac:dyDescent="0.2">
      <c r="B4875" s="2">
        <f ca="1"/>
        <v>0.60305939809074416</v>
      </c>
      <c r="O4875" s="2">
        <f ca="1"/>
        <v>-2.1942773145231746</v>
      </c>
      <c r="X4875" s="2">
        <f ca="1"/>
        <v>48.939771063583599</v>
      </c>
      <c r="AG4875" s="2">
        <f ca="1"/>
        <v>0.62495430508330552</v>
      </c>
      <c r="AH4875" s="2" t="str">
        <f ca="1"/>
        <v>Bad</v>
      </c>
    </row>
    <row r="4876" spans="2:34" x14ac:dyDescent="0.2">
      <c r="B4876" s="2">
        <f ca="1"/>
        <v>0.40235174894658865</v>
      </c>
      <c r="O4876" s="2">
        <f ca="1"/>
        <v>1.0289052531881997</v>
      </c>
      <c r="X4876" s="2">
        <f ca="1"/>
        <v>55.409380736199338</v>
      </c>
      <c r="AG4876" s="2">
        <f ca="1"/>
        <v>0.96950673398599663</v>
      </c>
      <c r="AH4876" s="2" t="str">
        <f ca="1"/>
        <v>Bad</v>
      </c>
    </row>
    <row r="4877" spans="2:34" x14ac:dyDescent="0.2">
      <c r="B4877" s="2">
        <f ca="1"/>
        <v>0.67580002723689159</v>
      </c>
      <c r="O4877" s="2">
        <f ca="1"/>
        <v>2.0268492139058258</v>
      </c>
      <c r="X4877" s="2">
        <f ca="1"/>
        <v>48.894035841648602</v>
      </c>
      <c r="AG4877" s="2">
        <f ca="1"/>
        <v>0.34985584463281549</v>
      </c>
      <c r="AH4877" s="2" t="str">
        <f ca="1"/>
        <v>OK</v>
      </c>
    </row>
    <row r="4878" spans="2:34" x14ac:dyDescent="0.2">
      <c r="B4878" s="2">
        <f ca="1"/>
        <v>0.1445168912554855</v>
      </c>
      <c r="O4878" s="2">
        <f ca="1"/>
        <v>0.47694380728453012</v>
      </c>
      <c r="X4878" s="2">
        <f ca="1"/>
        <v>27.328907255491174</v>
      </c>
      <c r="AG4878" s="2">
        <f ca="1"/>
        <v>4.6464049788125239E-2</v>
      </c>
      <c r="AH4878" s="2" t="str">
        <f ca="1"/>
        <v>Good</v>
      </c>
    </row>
    <row r="4879" spans="2:34" x14ac:dyDescent="0.2">
      <c r="B4879" s="2">
        <f ca="1"/>
        <v>0.78082954011796191</v>
      </c>
      <c r="O4879" s="2">
        <f ca="1"/>
        <v>1.7794075259298006</v>
      </c>
      <c r="X4879" s="2">
        <f ca="1"/>
        <v>36.798344632767083</v>
      </c>
      <c r="AG4879" s="2">
        <f ca="1"/>
        <v>0.17196730465814136</v>
      </c>
      <c r="AH4879" s="2" t="str">
        <f ca="1"/>
        <v>OK</v>
      </c>
    </row>
    <row r="4880" spans="2:34" x14ac:dyDescent="0.2">
      <c r="B4880" s="2">
        <f ca="1"/>
        <v>0.2193026282507784</v>
      </c>
      <c r="O4880" s="2">
        <f ca="1"/>
        <v>1.6400994304347916</v>
      </c>
      <c r="X4880" s="2">
        <f ca="1"/>
        <v>42.229375344571395</v>
      </c>
      <c r="AG4880" s="2">
        <f ca="1"/>
        <v>0.78824623912607739</v>
      </c>
      <c r="AH4880" s="2" t="str">
        <f ca="1"/>
        <v>Bad</v>
      </c>
    </row>
    <row r="4881" spans="2:34" x14ac:dyDescent="0.2">
      <c r="B4881" s="2">
        <f ca="1"/>
        <v>0.8360303270995828</v>
      </c>
      <c r="O4881" s="2">
        <f ca="1"/>
        <v>1.03731592546999</v>
      </c>
      <c r="X4881" s="2">
        <f ca="1"/>
        <v>46.138184027490958</v>
      </c>
      <c r="AG4881" s="2">
        <f ca="1"/>
        <v>0.91213541992518787</v>
      </c>
      <c r="AH4881" s="2" t="str">
        <f ca="1"/>
        <v>Bad</v>
      </c>
    </row>
    <row r="4882" spans="2:34" x14ac:dyDescent="0.2">
      <c r="B4882" s="2">
        <f ca="1"/>
        <v>0.70806234879880336</v>
      </c>
      <c r="O4882" s="2">
        <f ca="1"/>
        <v>-0.5003130016905275</v>
      </c>
      <c r="X4882" s="2">
        <f ca="1"/>
        <v>85.288071418185055</v>
      </c>
      <c r="AG4882" s="2">
        <f ca="1"/>
        <v>0.1739963333119865</v>
      </c>
      <c r="AH4882" s="2" t="str">
        <f ca="1"/>
        <v>OK</v>
      </c>
    </row>
    <row r="4883" spans="2:34" x14ac:dyDescent="0.2">
      <c r="B4883" s="2">
        <f ca="1"/>
        <v>0.95358154445940047</v>
      </c>
      <c r="O4883" s="2">
        <f ca="1"/>
        <v>-1.5628433593520059</v>
      </c>
      <c r="X4883" s="2">
        <f ca="1"/>
        <v>53.363160991575292</v>
      </c>
      <c r="AG4883" s="2">
        <f ca="1"/>
        <v>0.8894590240007012</v>
      </c>
      <c r="AH4883" s="2" t="str">
        <f ca="1"/>
        <v>Bad</v>
      </c>
    </row>
    <row r="4884" spans="2:34" x14ac:dyDescent="0.2">
      <c r="B4884" s="2">
        <f ca="1"/>
        <v>0.33289176822694833</v>
      </c>
      <c r="O4884" s="2">
        <f ca="1"/>
        <v>1.1443317556460098</v>
      </c>
      <c r="X4884" s="2">
        <f ca="1"/>
        <v>34.405883965932716</v>
      </c>
      <c r="AG4884" s="2">
        <f ca="1"/>
        <v>0.79879008358641812</v>
      </c>
      <c r="AH4884" s="2" t="str">
        <f ca="1"/>
        <v>Bad</v>
      </c>
    </row>
    <row r="4885" spans="2:34" x14ac:dyDescent="0.2">
      <c r="B4885" s="2">
        <f ca="1"/>
        <v>0.92405070635999498</v>
      </c>
      <c r="O4885" s="2">
        <f ca="1"/>
        <v>-0.32011317332922767</v>
      </c>
      <c r="X4885" s="2">
        <f ca="1"/>
        <v>63.789911079540872</v>
      </c>
      <c r="AG4885" s="2">
        <f ca="1"/>
        <v>0.704945335819539</v>
      </c>
      <c r="AH4885" s="2" t="str">
        <f ca="1"/>
        <v>Bad</v>
      </c>
    </row>
    <row r="4886" spans="2:34" x14ac:dyDescent="0.2">
      <c r="B4886" s="2">
        <f ca="1"/>
        <v>0.80596013223746055</v>
      </c>
      <c r="O4886" s="2">
        <f ca="1"/>
        <v>-1.2856155709369157</v>
      </c>
      <c r="X4886" s="2">
        <f ca="1"/>
        <v>40.871960456388294</v>
      </c>
      <c r="AG4886" s="2">
        <f ca="1"/>
        <v>0.55125664443335132</v>
      </c>
      <c r="AH4886" s="2" t="str">
        <f ca="1"/>
        <v>Bad</v>
      </c>
    </row>
    <row r="4887" spans="2:34" x14ac:dyDescent="0.2">
      <c r="B4887" s="2">
        <f ca="1"/>
        <v>0.14435921047745115</v>
      </c>
      <c r="O4887" s="2">
        <f ca="1"/>
        <v>-0.26406220442415868</v>
      </c>
      <c r="X4887" s="2">
        <f ca="1"/>
        <v>42.746528844988546</v>
      </c>
      <c r="AG4887" s="2">
        <f ca="1"/>
        <v>0.17903147397506358</v>
      </c>
      <c r="AH4887" s="2" t="str">
        <f ca="1"/>
        <v>OK</v>
      </c>
    </row>
    <row r="4888" spans="2:34" x14ac:dyDescent="0.2">
      <c r="B4888" s="2">
        <f ca="1"/>
        <v>0.12302580911899397</v>
      </c>
      <c r="O4888" s="2">
        <f ca="1"/>
        <v>-0.21443872167654449</v>
      </c>
      <c r="X4888" s="2">
        <f ca="1"/>
        <v>74.847999844097785</v>
      </c>
      <c r="AG4888" s="2">
        <f ca="1"/>
        <v>0.25142599103662966</v>
      </c>
      <c r="AH4888" s="2" t="str">
        <f ca="1"/>
        <v>OK</v>
      </c>
    </row>
    <row r="4889" spans="2:34" x14ac:dyDescent="0.2">
      <c r="B4889" s="2">
        <f ca="1"/>
        <v>0.77824336670695682</v>
      </c>
      <c r="O4889" s="2">
        <f ca="1"/>
        <v>0.28025302762548165</v>
      </c>
      <c r="X4889" s="2">
        <f ca="1"/>
        <v>67.756440371514884</v>
      </c>
      <c r="AG4889" s="2">
        <f ca="1"/>
        <v>0.35587358520728896</v>
      </c>
      <c r="AH4889" s="2" t="str">
        <f ca="1"/>
        <v>OK</v>
      </c>
    </row>
    <row r="4890" spans="2:34" x14ac:dyDescent="0.2">
      <c r="B4890" s="2">
        <f ca="1"/>
        <v>0.30253376757581552</v>
      </c>
      <c r="O4890" s="2">
        <f ca="1"/>
        <v>-9.3027318125310496E-2</v>
      </c>
      <c r="X4890" s="2">
        <f ca="1"/>
        <v>49.884884849637245</v>
      </c>
      <c r="AG4890" s="2">
        <f ca="1"/>
        <v>0.35486091870289393</v>
      </c>
      <c r="AH4890" s="2" t="str">
        <f ca="1"/>
        <v>OK</v>
      </c>
    </row>
    <row r="4891" spans="2:34" x14ac:dyDescent="0.2">
      <c r="B4891" s="2">
        <f ca="1"/>
        <v>8.3370509257249203E-2</v>
      </c>
      <c r="O4891" s="2">
        <f ca="1"/>
        <v>1.0963749151687121</v>
      </c>
      <c r="X4891" s="2">
        <f ca="1"/>
        <v>63.435074506167325</v>
      </c>
      <c r="AG4891" s="2">
        <f ca="1"/>
        <v>0.85011931473567781</v>
      </c>
      <c r="AH4891" s="2" t="str">
        <f ca="1"/>
        <v>Bad</v>
      </c>
    </row>
    <row r="4892" spans="2:34" x14ac:dyDescent="0.2">
      <c r="B4892" s="2">
        <f ca="1"/>
        <v>0.34574663626045887</v>
      </c>
      <c r="O4892" s="2">
        <f ca="1"/>
        <v>1.8329398022270882</v>
      </c>
      <c r="X4892" s="2">
        <f ca="1"/>
        <v>51.389067278236062</v>
      </c>
      <c r="AG4892" s="2">
        <f ca="1"/>
        <v>0.90391406125514884</v>
      </c>
      <c r="AH4892" s="2" t="str">
        <f ca="1"/>
        <v>Bad</v>
      </c>
    </row>
    <row r="4893" spans="2:34" x14ac:dyDescent="0.2">
      <c r="B4893" s="2">
        <f ca="1"/>
        <v>0.33354156860487461</v>
      </c>
      <c r="O4893" s="2">
        <f ca="1"/>
        <v>-1.0990534130524561</v>
      </c>
      <c r="X4893" s="2">
        <f ca="1"/>
        <v>55.251024820645014</v>
      </c>
      <c r="AG4893" s="2">
        <f ca="1"/>
        <v>0.43692747720956637</v>
      </c>
      <c r="AH4893" s="2" t="str">
        <f ca="1"/>
        <v>Bad</v>
      </c>
    </row>
    <row r="4894" spans="2:34" x14ac:dyDescent="0.2">
      <c r="B4894" s="2">
        <f ca="1"/>
        <v>0.61121953621312031</v>
      </c>
      <c r="O4894" s="2">
        <f ca="1"/>
        <v>0.28159493304447841</v>
      </c>
      <c r="X4894" s="2">
        <f ca="1"/>
        <v>41.310454501146793</v>
      </c>
      <c r="AG4894" s="2">
        <f ca="1"/>
        <v>0.94299633965415897</v>
      </c>
      <c r="AH4894" s="2" t="str">
        <f ca="1"/>
        <v>Bad</v>
      </c>
    </row>
    <row r="4895" spans="2:34" x14ac:dyDescent="0.2">
      <c r="B4895" s="2">
        <f ca="1"/>
        <v>0.72283285407605224</v>
      </c>
      <c r="O4895" s="2">
        <f ca="1"/>
        <v>-1.7618327764883028</v>
      </c>
      <c r="X4895" s="2">
        <f ca="1"/>
        <v>81.546813436673034</v>
      </c>
      <c r="AG4895" s="2">
        <f ca="1"/>
        <v>0.34214870862922964</v>
      </c>
      <c r="AH4895" s="2" t="str">
        <f ca="1"/>
        <v>OK</v>
      </c>
    </row>
    <row r="4896" spans="2:34" x14ac:dyDescent="0.2">
      <c r="B4896" s="2">
        <f ca="1"/>
        <v>0.47146978484233615</v>
      </c>
      <c r="O4896" s="2">
        <f ca="1"/>
        <v>-1.1149315025036688</v>
      </c>
      <c r="X4896" s="2">
        <f ca="1"/>
        <v>59.948604342086682</v>
      </c>
      <c r="AG4896" s="2">
        <f ca="1"/>
        <v>0.18348670011950685</v>
      </c>
      <c r="AH4896" s="2" t="str">
        <f ca="1"/>
        <v>OK</v>
      </c>
    </row>
    <row r="4897" spans="2:34" x14ac:dyDescent="0.2">
      <c r="B4897" s="2">
        <f ca="1"/>
        <v>0.97716406139779965</v>
      </c>
      <c r="O4897" s="2">
        <f ca="1"/>
        <v>-1.0913625265551865</v>
      </c>
      <c r="X4897" s="2">
        <f ca="1"/>
        <v>48.116588221322047</v>
      </c>
      <c r="AG4897" s="2">
        <f ca="1"/>
        <v>4.7342842579038535E-2</v>
      </c>
      <c r="AH4897" s="2" t="str">
        <f ca="1"/>
        <v>Good</v>
      </c>
    </row>
    <row r="4898" spans="2:34" x14ac:dyDescent="0.2">
      <c r="B4898" s="2">
        <f ca="1"/>
        <v>6.6382583882802937E-2</v>
      </c>
      <c r="O4898" s="2">
        <f ca="1"/>
        <v>1.9216175279492365</v>
      </c>
      <c r="X4898" s="2">
        <f ca="1"/>
        <v>41.110013624899537</v>
      </c>
      <c r="AG4898" s="2">
        <f ca="1"/>
        <v>0.42178189964450574</v>
      </c>
      <c r="AH4898" s="2" t="str">
        <f ca="1"/>
        <v>Bad</v>
      </c>
    </row>
    <row r="4899" spans="2:34" x14ac:dyDescent="0.2">
      <c r="B4899" s="2">
        <f ca="1"/>
        <v>0.42104472833008111</v>
      </c>
      <c r="O4899" s="2">
        <f ca="1"/>
        <v>0.30792101019898516</v>
      </c>
      <c r="X4899" s="2">
        <f ca="1"/>
        <v>39.886978276955375</v>
      </c>
      <c r="AG4899" s="2">
        <f ca="1"/>
        <v>0.27150198067487596</v>
      </c>
      <c r="AH4899" s="2" t="str">
        <f ca="1"/>
        <v>OK</v>
      </c>
    </row>
    <row r="4900" spans="2:34" x14ac:dyDescent="0.2">
      <c r="B4900" s="2">
        <f ca="1"/>
        <v>0.54702503205734443</v>
      </c>
      <c r="O4900" s="2">
        <f ca="1"/>
        <v>-0.67055642288719242</v>
      </c>
      <c r="X4900" s="2">
        <f ca="1"/>
        <v>44.333670617412373</v>
      </c>
      <c r="AG4900" s="2">
        <f ca="1"/>
        <v>0.5010599672439715</v>
      </c>
      <c r="AH4900" s="2" t="str">
        <f ca="1"/>
        <v>Bad</v>
      </c>
    </row>
    <row r="4901" spans="2:34" x14ac:dyDescent="0.2">
      <c r="B4901" s="2">
        <f ca="1"/>
        <v>0.84691984103163365</v>
      </c>
      <c r="O4901" s="2">
        <f ca="1"/>
        <v>0.26243667837944462</v>
      </c>
      <c r="X4901" s="2">
        <f ca="1"/>
        <v>51.180691309964381</v>
      </c>
      <c r="AG4901" s="2">
        <f ca="1"/>
        <v>0.4906439965713254</v>
      </c>
      <c r="AH4901" s="2" t="str">
        <f ca="1"/>
        <v>Bad</v>
      </c>
    </row>
    <row r="4902" spans="2:34" x14ac:dyDescent="0.2">
      <c r="B4902" s="2">
        <f ca="1"/>
        <v>0.8079373144055606</v>
      </c>
      <c r="O4902" s="2">
        <f ca="1"/>
        <v>-0.44977292225549992</v>
      </c>
      <c r="X4902" s="2">
        <f ca="1"/>
        <v>65.698155737781477</v>
      </c>
      <c r="AG4902" s="2">
        <f ca="1"/>
        <v>4.9230688604541495E-2</v>
      </c>
      <c r="AH4902" s="2" t="str">
        <f ca="1"/>
        <v>Good</v>
      </c>
    </row>
    <row r="4903" spans="2:34" x14ac:dyDescent="0.2">
      <c r="B4903" s="2">
        <f ca="1"/>
        <v>0.19759496557878298</v>
      </c>
      <c r="O4903" s="2">
        <f ca="1"/>
        <v>-0.17580916021404175</v>
      </c>
      <c r="X4903" s="2">
        <f ca="1"/>
        <v>28.612336423734508</v>
      </c>
      <c r="AG4903" s="2">
        <f ca="1"/>
        <v>0.55297623908635929</v>
      </c>
      <c r="AH4903" s="2" t="str">
        <f ca="1"/>
        <v>Bad</v>
      </c>
    </row>
    <row r="4904" spans="2:34" x14ac:dyDescent="0.2">
      <c r="B4904" s="2">
        <f ca="1"/>
        <v>0.84944072274335447</v>
      </c>
      <c r="O4904" s="2">
        <f ca="1"/>
        <v>0.44167174829662215</v>
      </c>
      <c r="X4904" s="2">
        <f ca="1"/>
        <v>40.050655610033473</v>
      </c>
      <c r="AG4904" s="2">
        <f ca="1"/>
        <v>0.82777474752825819</v>
      </c>
      <c r="AH4904" s="2" t="str">
        <f ca="1"/>
        <v>Bad</v>
      </c>
    </row>
    <row r="4905" spans="2:34" x14ac:dyDescent="0.2">
      <c r="B4905" s="2">
        <f ca="1"/>
        <v>5.2103807485186504E-2</v>
      </c>
      <c r="O4905" s="2">
        <f ca="1"/>
        <v>0.6057324117509032</v>
      </c>
      <c r="X4905" s="2">
        <f ca="1"/>
        <v>54.142319666061638</v>
      </c>
      <c r="AG4905" s="2">
        <f ca="1"/>
        <v>0.59305073971946998</v>
      </c>
      <c r="AH4905" s="2" t="str">
        <f ca="1"/>
        <v>Bad</v>
      </c>
    </row>
    <row r="4906" spans="2:34" x14ac:dyDescent="0.2">
      <c r="B4906" s="2">
        <f ca="1"/>
        <v>0.41981489555999807</v>
      </c>
      <c r="O4906" s="2">
        <f ca="1"/>
        <v>1.0066417765683131</v>
      </c>
      <c r="X4906" s="2">
        <f ca="1"/>
        <v>45.304882476972367</v>
      </c>
      <c r="AG4906" s="2">
        <f ca="1"/>
        <v>0.97733355342047146</v>
      </c>
      <c r="AH4906" s="2" t="str">
        <f ca="1"/>
        <v>Bad</v>
      </c>
    </row>
    <row r="4907" spans="2:34" x14ac:dyDescent="0.2">
      <c r="B4907" s="2">
        <f ca="1"/>
        <v>0.10319767291844939</v>
      </c>
      <c r="O4907" s="2">
        <f ca="1"/>
        <v>-1.2887758621611622</v>
      </c>
      <c r="X4907" s="2">
        <f ca="1"/>
        <v>64.837274526818447</v>
      </c>
      <c r="AG4907" s="2">
        <f ca="1"/>
        <v>0.30764204662632366</v>
      </c>
      <c r="AH4907" s="2" t="str">
        <f ca="1"/>
        <v>OK</v>
      </c>
    </row>
    <row r="4908" spans="2:34" x14ac:dyDescent="0.2">
      <c r="B4908" s="2">
        <f ca="1"/>
        <v>0.61824461577938306</v>
      </c>
      <c r="O4908" s="2">
        <f ca="1"/>
        <v>-0.34216507918250122</v>
      </c>
      <c r="X4908" s="2">
        <f ca="1"/>
        <v>55.706597854394566</v>
      </c>
      <c r="AG4908" s="2">
        <f ca="1"/>
        <v>1.5707955054944156E-2</v>
      </c>
      <c r="AH4908" s="2" t="str">
        <f ca="1"/>
        <v>Good</v>
      </c>
    </row>
    <row r="4909" spans="2:34" x14ac:dyDescent="0.2">
      <c r="B4909" s="2">
        <f ca="1"/>
        <v>0.98343390094344363</v>
      </c>
      <c r="O4909" s="2">
        <f ca="1"/>
        <v>1.3819164082369397</v>
      </c>
      <c r="X4909" s="2">
        <f ca="1"/>
        <v>38.128466150172599</v>
      </c>
      <c r="AG4909" s="2">
        <f ca="1"/>
        <v>3.3735751663783731E-3</v>
      </c>
      <c r="AH4909" s="2" t="str">
        <f ca="1"/>
        <v>Good</v>
      </c>
    </row>
    <row r="4910" spans="2:34" x14ac:dyDescent="0.2">
      <c r="B4910" s="2">
        <f ca="1"/>
        <v>0.59675406026104216</v>
      </c>
      <c r="O4910" s="2">
        <f ca="1"/>
        <v>0.2575290565783761</v>
      </c>
      <c r="X4910" s="2">
        <f ca="1"/>
        <v>31.778434370115384</v>
      </c>
      <c r="AG4910" s="2">
        <f ca="1"/>
        <v>0.27541499361110722</v>
      </c>
      <c r="AH4910" s="2" t="str">
        <f ca="1"/>
        <v>OK</v>
      </c>
    </row>
    <row r="4911" spans="2:34" x14ac:dyDescent="0.2">
      <c r="B4911" s="2">
        <f ca="1"/>
        <v>0.76400866372645981</v>
      </c>
      <c r="O4911" s="2">
        <f ca="1"/>
        <v>-1.7055401077400048</v>
      </c>
      <c r="X4911" s="2">
        <f ca="1"/>
        <v>54.594692810875792</v>
      </c>
      <c r="AG4911" s="2">
        <f ca="1"/>
        <v>0.5974743059025589</v>
      </c>
      <c r="AH4911" s="2" t="str">
        <f ca="1"/>
        <v>Bad</v>
      </c>
    </row>
    <row r="4912" spans="2:34" x14ac:dyDescent="0.2">
      <c r="B4912" s="2">
        <f ca="1"/>
        <v>0.46778183804857809</v>
      </c>
      <c r="O4912" s="2">
        <f ca="1"/>
        <v>4.9113657310280764E-2</v>
      </c>
      <c r="X4912" s="2">
        <f ca="1"/>
        <v>53.290971557229803</v>
      </c>
      <c r="AG4912" s="2">
        <f ca="1"/>
        <v>0.93050308569334206</v>
      </c>
      <c r="AH4912" s="2" t="str">
        <f ca="1"/>
        <v>Bad</v>
      </c>
    </row>
    <row r="4913" spans="2:34" x14ac:dyDescent="0.2">
      <c r="B4913" s="2">
        <f ca="1"/>
        <v>3.1679742710913228E-2</v>
      </c>
      <c r="O4913" s="2">
        <f ca="1"/>
        <v>-0.34827833324815438</v>
      </c>
      <c r="X4913" s="2">
        <f ca="1"/>
        <v>68.584067031468393</v>
      </c>
      <c r="AG4913" s="2">
        <f ca="1"/>
        <v>0.56023364976959766</v>
      </c>
      <c r="AH4913" s="2" t="str">
        <f ca="1"/>
        <v>Bad</v>
      </c>
    </row>
    <row r="4914" spans="2:34" x14ac:dyDescent="0.2">
      <c r="B4914" s="2">
        <f ca="1"/>
        <v>0.27098202472602395</v>
      </c>
      <c r="O4914" s="2">
        <f ca="1"/>
        <v>0.48337620803027231</v>
      </c>
      <c r="X4914" s="2">
        <f ca="1"/>
        <v>22.451107984655966</v>
      </c>
      <c r="AG4914" s="2">
        <f ca="1"/>
        <v>0.96568633676650184</v>
      </c>
      <c r="AH4914" s="2" t="str">
        <f ca="1"/>
        <v>Bad</v>
      </c>
    </row>
    <row r="4915" spans="2:34" x14ac:dyDescent="0.2">
      <c r="B4915" s="2">
        <f ca="1"/>
        <v>0.75049184553959436</v>
      </c>
      <c r="O4915" s="2">
        <f ca="1"/>
        <v>1.6180854679055026</v>
      </c>
      <c r="X4915" s="2">
        <f ca="1"/>
        <v>35.895729716318783</v>
      </c>
      <c r="AG4915" s="2">
        <f ca="1"/>
        <v>0.84986256859843334</v>
      </c>
      <c r="AH4915" s="2" t="str">
        <f ca="1"/>
        <v>Bad</v>
      </c>
    </row>
    <row r="4916" spans="2:34" x14ac:dyDescent="0.2">
      <c r="B4916" s="2">
        <f ca="1"/>
        <v>0.50286106554708665</v>
      </c>
      <c r="O4916" s="2">
        <f ca="1"/>
        <v>-5.9754783483583207E-2</v>
      </c>
      <c r="X4916" s="2">
        <f ca="1"/>
        <v>51.62608728993861</v>
      </c>
      <c r="AG4916" s="2">
        <f ca="1"/>
        <v>0.49690540141118333</v>
      </c>
      <c r="AH4916" s="2" t="str">
        <f ca="1"/>
        <v>Bad</v>
      </c>
    </row>
    <row r="4917" spans="2:34" x14ac:dyDescent="0.2">
      <c r="B4917" s="2">
        <f ca="1"/>
        <v>0.59189238606770922</v>
      </c>
      <c r="O4917" s="2">
        <f ca="1"/>
        <v>-0.28005310739351352</v>
      </c>
      <c r="X4917" s="2">
        <f ca="1"/>
        <v>79.829849322108601</v>
      </c>
      <c r="AG4917" s="2">
        <f ca="1"/>
        <v>0.67174520101844282</v>
      </c>
      <c r="AH4917" s="2" t="str">
        <f ca="1"/>
        <v>Bad</v>
      </c>
    </row>
    <row r="4918" spans="2:34" x14ac:dyDescent="0.2">
      <c r="B4918" s="2">
        <f ca="1"/>
        <v>0.90080162159846733</v>
      </c>
      <c r="O4918" s="2">
        <f ca="1"/>
        <v>0.67405910355536358</v>
      </c>
      <c r="X4918" s="2">
        <f ca="1"/>
        <v>64.066264107375687</v>
      </c>
      <c r="AG4918" s="2">
        <f ca="1"/>
        <v>0.64132193327512743</v>
      </c>
      <c r="AH4918" s="2" t="str">
        <f ca="1"/>
        <v>Bad</v>
      </c>
    </row>
    <row r="4919" spans="2:34" x14ac:dyDescent="0.2">
      <c r="B4919" s="2">
        <f ca="1"/>
        <v>0.69054833385341796</v>
      </c>
      <c r="O4919" s="2">
        <f ca="1"/>
        <v>0.50122601051662619</v>
      </c>
      <c r="X4919" s="2">
        <f ca="1"/>
        <v>60.312406108532755</v>
      </c>
      <c r="AG4919" s="2">
        <f ca="1"/>
        <v>0.13083154378519013</v>
      </c>
      <c r="AH4919" s="2" t="str">
        <f ca="1"/>
        <v>OK</v>
      </c>
    </row>
    <row r="4920" spans="2:34" x14ac:dyDescent="0.2">
      <c r="B4920" s="2">
        <f ca="1"/>
        <v>0.40099188894641391</v>
      </c>
      <c r="O4920" s="2">
        <f ca="1"/>
        <v>3.4419803397645742E-2</v>
      </c>
      <c r="X4920" s="2">
        <f ca="1"/>
        <v>42.711290914631007</v>
      </c>
      <c r="AG4920" s="2">
        <f ca="1"/>
        <v>0.37239719437342922</v>
      </c>
      <c r="AH4920" s="2" t="str">
        <f ca="1"/>
        <v>OK</v>
      </c>
    </row>
    <row r="4921" spans="2:34" x14ac:dyDescent="0.2">
      <c r="B4921" s="2">
        <f ca="1"/>
        <v>0.65770805875407956</v>
      </c>
      <c r="O4921" s="2">
        <f ca="1"/>
        <v>-0.40400169695233762</v>
      </c>
      <c r="X4921" s="2">
        <f ca="1"/>
        <v>43.198866057007905</v>
      </c>
      <c r="AG4921" s="2">
        <f ca="1"/>
        <v>0.61489654789445103</v>
      </c>
      <c r="AH4921" s="2" t="str">
        <f ca="1"/>
        <v>Bad</v>
      </c>
    </row>
    <row r="4922" spans="2:34" x14ac:dyDescent="0.2">
      <c r="B4922" s="2">
        <f ca="1"/>
        <v>0.96395442725574676</v>
      </c>
      <c r="O4922" s="2">
        <f ca="1"/>
        <v>-0.66171201884160435</v>
      </c>
      <c r="X4922" s="2">
        <f ca="1"/>
        <v>44.091248818745221</v>
      </c>
      <c r="AG4922" s="2">
        <f ca="1"/>
        <v>0.52934286622028903</v>
      </c>
      <c r="AH4922" s="2" t="str">
        <f ca="1"/>
        <v>Bad</v>
      </c>
    </row>
    <row r="4923" spans="2:34" x14ac:dyDescent="0.2">
      <c r="B4923" s="2">
        <f ca="1"/>
        <v>0.16298176197552738</v>
      </c>
      <c r="O4923" s="2">
        <f ca="1"/>
        <v>-2.0222932976892225</v>
      </c>
      <c r="X4923" s="2">
        <f ca="1"/>
        <v>55.631480464482337</v>
      </c>
      <c r="AG4923" s="2">
        <f ca="1"/>
        <v>0.75603893623261453</v>
      </c>
      <c r="AH4923" s="2" t="str">
        <f ca="1"/>
        <v>Bad</v>
      </c>
    </row>
    <row r="4924" spans="2:34" x14ac:dyDescent="0.2">
      <c r="B4924" s="2">
        <f ca="1"/>
        <v>0.72045336036160124</v>
      </c>
      <c r="O4924" s="2">
        <f ca="1"/>
        <v>0.34190084897558881</v>
      </c>
      <c r="X4924" s="2">
        <f ca="1"/>
        <v>89.534922369618471</v>
      </c>
      <c r="AG4924" s="2">
        <f ca="1"/>
        <v>0.86846175423304417</v>
      </c>
      <c r="AH4924" s="2" t="str">
        <f ca="1"/>
        <v>Bad</v>
      </c>
    </row>
    <row r="4925" spans="2:34" x14ac:dyDescent="0.2">
      <c r="B4925" s="2">
        <f ca="1"/>
        <v>0.61945234486377654</v>
      </c>
      <c r="O4925" s="2">
        <f ca="1"/>
        <v>0.93430304294048183</v>
      </c>
      <c r="X4925" s="2">
        <f ca="1"/>
        <v>51.942523501307456</v>
      </c>
      <c r="AG4925" s="2">
        <f ca="1"/>
        <v>0.64590363505278048</v>
      </c>
      <c r="AH4925" s="2" t="str">
        <f ca="1"/>
        <v>Bad</v>
      </c>
    </row>
    <row r="4926" spans="2:34" x14ac:dyDescent="0.2">
      <c r="B4926" s="2">
        <f ca="1"/>
        <v>0.96128997347381184</v>
      </c>
      <c r="O4926" s="2">
        <f ca="1"/>
        <v>0.93435152549987088</v>
      </c>
      <c r="X4926" s="2">
        <f ca="1"/>
        <v>43.795861658917453</v>
      </c>
      <c r="AG4926" s="2">
        <f ca="1"/>
        <v>0.32883195560282341</v>
      </c>
      <c r="AH4926" s="2" t="str">
        <f ca="1"/>
        <v>OK</v>
      </c>
    </row>
    <row r="4927" spans="2:34" x14ac:dyDescent="0.2">
      <c r="B4927" s="2">
        <f ca="1"/>
        <v>0.88979305928370689</v>
      </c>
      <c r="O4927" s="2">
        <f ca="1"/>
        <v>1.4441885685428721</v>
      </c>
      <c r="X4927" s="2">
        <f ca="1"/>
        <v>43.558815473017241</v>
      </c>
      <c r="AG4927" s="2">
        <f ca="1"/>
        <v>0.45170349889775974</v>
      </c>
      <c r="AH4927" s="2" t="str">
        <f ca="1"/>
        <v>Bad</v>
      </c>
    </row>
    <row r="4928" spans="2:34" x14ac:dyDescent="0.2">
      <c r="B4928" s="2">
        <f ca="1"/>
        <v>5.0150106156053864E-2</v>
      </c>
      <c r="O4928" s="2">
        <f ca="1"/>
        <v>0.44944562147860856</v>
      </c>
      <c r="X4928" s="2">
        <f ca="1"/>
        <v>67.30778815004453</v>
      </c>
      <c r="AG4928" s="2">
        <f ca="1"/>
        <v>0.50468240986887647</v>
      </c>
      <c r="AH4928" s="2" t="str">
        <f ca="1"/>
        <v>Bad</v>
      </c>
    </row>
    <row r="4929" spans="2:34" x14ac:dyDescent="0.2">
      <c r="B4929" s="2">
        <f ca="1"/>
        <v>0.38507696903095279</v>
      </c>
      <c r="O4929" s="2">
        <f ca="1"/>
        <v>1.113550617651957</v>
      </c>
      <c r="X4929" s="2">
        <f ca="1"/>
        <v>38.062197412452583</v>
      </c>
      <c r="AG4929" s="2">
        <f ca="1"/>
        <v>0.60440123986121774</v>
      </c>
      <c r="AH4929" s="2" t="str">
        <f ca="1"/>
        <v>Bad</v>
      </c>
    </row>
    <row r="4930" spans="2:34" x14ac:dyDescent="0.2">
      <c r="B4930" s="2">
        <f ca="1"/>
        <v>0.5551963049194073</v>
      </c>
      <c r="O4930" s="2">
        <f ca="1"/>
        <v>0.15372015238879133</v>
      </c>
      <c r="X4930" s="2">
        <f ca="1"/>
        <v>72.604438932884051</v>
      </c>
      <c r="AG4930" s="2">
        <f ca="1"/>
        <v>2.5182501403029356E-2</v>
      </c>
      <c r="AH4930" s="2" t="str">
        <f ca="1"/>
        <v>Good</v>
      </c>
    </row>
    <row r="4931" spans="2:34" x14ac:dyDescent="0.2">
      <c r="B4931" s="2">
        <f ca="1"/>
        <v>0.60874482871345248</v>
      </c>
      <c r="O4931" s="2">
        <f ca="1"/>
        <v>-0.27938326560087628</v>
      </c>
      <c r="X4931" s="2">
        <f ca="1"/>
        <v>67.227905126886313</v>
      </c>
      <c r="AG4931" s="2">
        <f ca="1"/>
        <v>0.90599166903202089</v>
      </c>
      <c r="AH4931" s="2" t="str">
        <f ca="1"/>
        <v>Bad</v>
      </c>
    </row>
    <row r="4932" spans="2:34" x14ac:dyDescent="0.2">
      <c r="B4932" s="2">
        <f ca="1"/>
        <v>0.52328953000775535</v>
      </c>
      <c r="O4932" s="2">
        <f ca="1"/>
        <v>-0.53898729385732824</v>
      </c>
      <c r="X4932" s="2">
        <f ca="1"/>
        <v>50.709468583461373</v>
      </c>
      <c r="AG4932" s="2">
        <f ca="1"/>
        <v>0.6295037061455846</v>
      </c>
      <c r="AH4932" s="2" t="str">
        <f ca="1"/>
        <v>Bad</v>
      </c>
    </row>
    <row r="4933" spans="2:34" x14ac:dyDescent="0.2">
      <c r="B4933" s="2">
        <f ca="1"/>
        <v>0.11428630871739665</v>
      </c>
      <c r="O4933" s="2">
        <f ca="1"/>
        <v>1.6297326226759443</v>
      </c>
      <c r="X4933" s="2">
        <f ca="1"/>
        <v>44.872156133595446</v>
      </c>
      <c r="AG4933" s="2">
        <f ca="1"/>
        <v>0.28318259103033716</v>
      </c>
      <c r="AH4933" s="2" t="str">
        <f ca="1"/>
        <v>OK</v>
      </c>
    </row>
    <row r="4934" spans="2:34" x14ac:dyDescent="0.2">
      <c r="B4934" s="2">
        <f ca="1"/>
        <v>0.43111330168208162</v>
      </c>
      <c r="O4934" s="2">
        <f ca="1"/>
        <v>0.10463541094944517</v>
      </c>
      <c r="X4934" s="2">
        <f ca="1"/>
        <v>30.347068972746008</v>
      </c>
      <c r="AG4934" s="2">
        <f ca="1"/>
        <v>0.68607928001493379</v>
      </c>
      <c r="AH4934" s="2" t="str">
        <f ca="1"/>
        <v>Bad</v>
      </c>
    </row>
    <row r="4935" spans="2:34" x14ac:dyDescent="0.2">
      <c r="B4935" s="2">
        <f ca="1"/>
        <v>0.25928605693355444</v>
      </c>
      <c r="O4935" s="2">
        <f ca="1"/>
        <v>0.81196023541860141</v>
      </c>
      <c r="X4935" s="2">
        <f ca="1"/>
        <v>50.846125320328248</v>
      </c>
      <c r="AG4935" s="2">
        <f ca="1"/>
        <v>0.75394671921658207</v>
      </c>
      <c r="AH4935" s="2" t="str">
        <f ca="1"/>
        <v>Bad</v>
      </c>
    </row>
    <row r="4936" spans="2:34" x14ac:dyDescent="0.2">
      <c r="B4936" s="2">
        <f ca="1"/>
        <v>0.65439089272725748</v>
      </c>
      <c r="O4936" s="2">
        <f ca="1"/>
        <v>0.53763460409355257</v>
      </c>
      <c r="X4936" s="2">
        <f ca="1"/>
        <v>47.18980654731844</v>
      </c>
      <c r="AG4936" s="2">
        <f ca="1"/>
        <v>0.97441136783227833</v>
      </c>
      <c r="AH4936" s="2" t="str">
        <f ca="1"/>
        <v>Bad</v>
      </c>
    </row>
    <row r="4937" spans="2:34" x14ac:dyDescent="0.2">
      <c r="B4937" s="2">
        <f ca="1"/>
        <v>0.13226854853677295</v>
      </c>
      <c r="O4937" s="2">
        <f ca="1"/>
        <v>-2.012993692469363</v>
      </c>
      <c r="X4937" s="2">
        <f ca="1"/>
        <v>88.956619635693087</v>
      </c>
      <c r="AG4937" s="2">
        <f ca="1"/>
        <v>0.88254145513240623</v>
      </c>
      <c r="AH4937" s="2" t="str">
        <f ca="1"/>
        <v>Bad</v>
      </c>
    </row>
    <row r="4938" spans="2:34" x14ac:dyDescent="0.2">
      <c r="B4938" s="2">
        <f ca="1"/>
        <v>0.25137561831891819</v>
      </c>
      <c r="O4938" s="2">
        <f ca="1"/>
        <v>-0.66065971033462012</v>
      </c>
      <c r="X4938" s="2">
        <f ca="1"/>
        <v>54.608815104271414</v>
      </c>
      <c r="AG4938" s="2">
        <f ca="1"/>
        <v>0.96231055313419533</v>
      </c>
      <c r="AH4938" s="2" t="str">
        <f ca="1"/>
        <v>Bad</v>
      </c>
    </row>
    <row r="4939" spans="2:34" x14ac:dyDescent="0.2">
      <c r="B4939" s="2">
        <f ca="1"/>
        <v>0.97683446079396652</v>
      </c>
      <c r="O4939" s="2">
        <f ca="1"/>
        <v>1.1788839081297817</v>
      </c>
      <c r="X4939" s="2">
        <f ca="1"/>
        <v>55.913229475918548</v>
      </c>
      <c r="AG4939" s="2">
        <f ca="1"/>
        <v>0.32414147948833261</v>
      </c>
      <c r="AH4939" s="2" t="str">
        <f ca="1"/>
        <v>OK</v>
      </c>
    </row>
    <row r="4940" spans="2:34" x14ac:dyDescent="0.2">
      <c r="B4940" s="2">
        <f ca="1"/>
        <v>0.82369702802606359</v>
      </c>
      <c r="O4940" s="2">
        <f ca="1"/>
        <v>-0.8453958269973878</v>
      </c>
      <c r="X4940" s="2">
        <f ca="1"/>
        <v>40.828010238024007</v>
      </c>
      <c r="AG4940" s="2">
        <f ca="1"/>
        <v>1.349311356300964E-2</v>
      </c>
      <c r="AH4940" s="2" t="str">
        <f ca="1"/>
        <v>Good</v>
      </c>
    </row>
    <row r="4941" spans="2:34" x14ac:dyDescent="0.2">
      <c r="B4941" s="2">
        <f ca="1"/>
        <v>0.79305865880440618</v>
      </c>
      <c r="O4941" s="2">
        <f ca="1"/>
        <v>0.28229185558425351</v>
      </c>
      <c r="X4941" s="2">
        <f ca="1"/>
        <v>30.413716428550721</v>
      </c>
      <c r="AG4941" s="2">
        <f ca="1"/>
        <v>0.32583537921878336</v>
      </c>
      <c r="AH4941" s="2" t="str">
        <f ca="1"/>
        <v>OK</v>
      </c>
    </row>
    <row r="4942" spans="2:34" x14ac:dyDescent="0.2">
      <c r="B4942" s="2">
        <f ca="1"/>
        <v>0.62481260883573375</v>
      </c>
      <c r="O4942" s="2">
        <f ca="1"/>
        <v>0.13504989415029583</v>
      </c>
      <c r="X4942" s="2">
        <f ca="1"/>
        <v>55.421104701171295</v>
      </c>
      <c r="AG4942" s="2">
        <f ca="1"/>
        <v>0.82612628391840315</v>
      </c>
      <c r="AH4942" s="2" t="str">
        <f ca="1"/>
        <v>Bad</v>
      </c>
    </row>
    <row r="4943" spans="2:34" x14ac:dyDescent="0.2">
      <c r="B4943" s="2">
        <f ca="1"/>
        <v>0.83839378664968378</v>
      </c>
      <c r="O4943" s="2">
        <f ca="1"/>
        <v>0.15935212911460134</v>
      </c>
      <c r="X4943" s="2">
        <f ca="1"/>
        <v>93.454983182762291</v>
      </c>
      <c r="AG4943" s="2">
        <f ca="1"/>
        <v>0.64550799021948513</v>
      </c>
      <c r="AH4943" s="2" t="str">
        <f ca="1"/>
        <v>Bad</v>
      </c>
    </row>
    <row r="4944" spans="2:34" x14ac:dyDescent="0.2">
      <c r="B4944" s="2">
        <f ca="1"/>
        <v>0.26388401611980794</v>
      </c>
      <c r="O4944" s="2">
        <f ca="1"/>
        <v>-0.69227516086995811</v>
      </c>
      <c r="X4944" s="2">
        <f ca="1"/>
        <v>57.731982284688584</v>
      </c>
      <c r="AG4944" s="2">
        <f ca="1"/>
        <v>0.78087649435615725</v>
      </c>
      <c r="AH4944" s="2" t="str">
        <f ca="1"/>
        <v>Bad</v>
      </c>
    </row>
    <row r="4945" spans="2:34" x14ac:dyDescent="0.2">
      <c r="B4945" s="2">
        <f ca="1"/>
        <v>0.16463528442967723</v>
      </c>
      <c r="O4945" s="2">
        <f ca="1"/>
        <v>0.76786269020507836</v>
      </c>
      <c r="X4945" s="2">
        <f ca="1"/>
        <v>40.241073410762162</v>
      </c>
      <c r="AG4945" s="2">
        <f ca="1"/>
        <v>0.29642242535389074</v>
      </c>
      <c r="AH4945" s="2" t="str">
        <f ca="1"/>
        <v>OK</v>
      </c>
    </row>
    <row r="4946" spans="2:34" x14ac:dyDescent="0.2">
      <c r="B4946" s="2">
        <f ca="1"/>
        <v>0.39529359987989232</v>
      </c>
      <c r="O4946" s="2">
        <f ca="1"/>
        <v>-0.69623612769934351</v>
      </c>
      <c r="X4946" s="2">
        <f ca="1"/>
        <v>60.78975185235447</v>
      </c>
      <c r="AG4946" s="2">
        <f ca="1"/>
        <v>0.66311210551715694</v>
      </c>
      <c r="AH4946" s="2" t="str">
        <f ca="1"/>
        <v>Bad</v>
      </c>
    </row>
    <row r="4947" spans="2:34" x14ac:dyDescent="0.2">
      <c r="B4947" s="2">
        <f ca="1"/>
        <v>0.19674585365167463</v>
      </c>
      <c r="O4947" s="2">
        <f ca="1"/>
        <v>0.14620646713394575</v>
      </c>
      <c r="X4947" s="2">
        <f ca="1"/>
        <v>37.15664174988364</v>
      </c>
      <c r="AG4947" s="2">
        <f ca="1"/>
        <v>0.73608036309662594</v>
      </c>
      <c r="AH4947" s="2" t="str">
        <f ca="1"/>
        <v>Bad</v>
      </c>
    </row>
    <row r="4948" spans="2:34" x14ac:dyDescent="0.2">
      <c r="B4948" s="2">
        <f ca="1"/>
        <v>0.2207805564256009</v>
      </c>
      <c r="O4948" s="2">
        <f ca="1"/>
        <v>-0.72076044211350532</v>
      </c>
      <c r="X4948" s="2">
        <f ca="1"/>
        <v>64.895048013872341</v>
      </c>
      <c r="AG4948" s="2">
        <f ca="1"/>
        <v>0.9049115114348254</v>
      </c>
      <c r="AH4948" s="2" t="str">
        <f ca="1"/>
        <v>Bad</v>
      </c>
    </row>
    <row r="4949" spans="2:34" x14ac:dyDescent="0.2">
      <c r="B4949" s="2">
        <f ca="1"/>
        <v>0.72550615756051928</v>
      </c>
      <c r="O4949" s="2">
        <f ca="1"/>
        <v>0.32838638471553588</v>
      </c>
      <c r="X4949" s="2">
        <f ca="1"/>
        <v>49.402787226086048</v>
      </c>
      <c r="AG4949" s="2">
        <f ca="1"/>
        <v>8.8732742826466593E-2</v>
      </c>
      <c r="AH4949" s="2" t="str">
        <f ca="1"/>
        <v>OK</v>
      </c>
    </row>
    <row r="4950" spans="2:34" x14ac:dyDescent="0.2">
      <c r="B4950" s="2">
        <f ca="1"/>
        <v>0.19440152003990696</v>
      </c>
      <c r="O4950" s="2">
        <f ca="1"/>
        <v>-1.7208506775572636</v>
      </c>
      <c r="X4950" s="2">
        <f ca="1"/>
        <v>100.06325725612371</v>
      </c>
      <c r="AG4950" s="2">
        <f ca="1"/>
        <v>0.1825536064054516</v>
      </c>
      <c r="AH4950" s="2" t="str">
        <f ca="1"/>
        <v>OK</v>
      </c>
    </row>
    <row r="4951" spans="2:34" x14ac:dyDescent="0.2">
      <c r="B4951" s="2">
        <f ca="1"/>
        <v>0.21221598855665524</v>
      </c>
      <c r="O4951" s="2">
        <f ca="1"/>
        <v>9.1607636645265195E-2</v>
      </c>
      <c r="X4951" s="2">
        <f ca="1"/>
        <v>53.187421113395395</v>
      </c>
      <c r="AG4951" s="2">
        <f ca="1"/>
        <v>0.83803807323254564</v>
      </c>
      <c r="AH4951" s="2" t="str">
        <f ca="1"/>
        <v>Bad</v>
      </c>
    </row>
    <row r="4952" spans="2:34" x14ac:dyDescent="0.2">
      <c r="B4952" s="2">
        <f ca="1"/>
        <v>0.47468206279289538</v>
      </c>
      <c r="O4952" s="2">
        <f ca="1"/>
        <v>-1.0531575405575724</v>
      </c>
      <c r="X4952" s="2">
        <f ca="1"/>
        <v>29.033065126006395</v>
      </c>
      <c r="AG4952" s="2">
        <f ca="1"/>
        <v>0.47036731096993845</v>
      </c>
      <c r="AH4952" s="2" t="str">
        <f ca="1"/>
        <v>Bad</v>
      </c>
    </row>
    <row r="4953" spans="2:34" x14ac:dyDescent="0.2">
      <c r="B4953" s="2">
        <f ca="1"/>
        <v>0.38814655944396992</v>
      </c>
      <c r="O4953" s="2">
        <f ca="1"/>
        <v>0.84025800020693608</v>
      </c>
      <c r="X4953" s="2">
        <f ca="1"/>
        <v>39.399704739985502</v>
      </c>
      <c r="AG4953" s="2">
        <f ca="1"/>
        <v>0.20822328379089483</v>
      </c>
      <c r="AH4953" s="2" t="str">
        <f ca="1"/>
        <v>OK</v>
      </c>
    </row>
    <row r="4954" spans="2:34" x14ac:dyDescent="0.2">
      <c r="B4954" s="2">
        <f ca="1"/>
        <v>0.25963098438454613</v>
      </c>
      <c r="O4954" s="2">
        <f ca="1"/>
        <v>-4.7238237350459865E-2</v>
      </c>
      <c r="X4954" s="2">
        <f ca="1"/>
        <v>58.878942843135185</v>
      </c>
      <c r="AG4954" s="2">
        <f ca="1"/>
        <v>4.9791121484434653E-2</v>
      </c>
      <c r="AH4954" s="2" t="str">
        <f ca="1"/>
        <v>Good</v>
      </c>
    </row>
    <row r="4955" spans="2:34" x14ac:dyDescent="0.2">
      <c r="B4955" s="2">
        <f ca="1"/>
        <v>0.76905537167064142</v>
      </c>
      <c r="O4955" s="2">
        <f ca="1"/>
        <v>0.41676721716774329</v>
      </c>
      <c r="X4955" s="2">
        <f ca="1"/>
        <v>19.101144176899162</v>
      </c>
      <c r="AG4955" s="2">
        <f ca="1"/>
        <v>0.49358975150635209</v>
      </c>
      <c r="AH4955" s="2" t="str">
        <f ca="1"/>
        <v>Bad</v>
      </c>
    </row>
    <row r="4956" spans="2:34" x14ac:dyDescent="0.2">
      <c r="B4956" s="2">
        <f ca="1"/>
        <v>0.12462809695404031</v>
      </c>
      <c r="O4956" s="2">
        <f ca="1"/>
        <v>9.8189111464930035E-2</v>
      </c>
      <c r="X4956" s="2">
        <f ca="1"/>
        <v>33.295550907154031</v>
      </c>
      <c r="AG4956" s="2">
        <f ca="1"/>
        <v>0.96454381529017463</v>
      </c>
      <c r="AH4956" s="2" t="str">
        <f ca="1"/>
        <v>Bad</v>
      </c>
    </row>
    <row r="4957" spans="2:34" x14ac:dyDescent="0.2">
      <c r="B4957" s="2">
        <f ca="1"/>
        <v>0.82066050418639258</v>
      </c>
      <c r="O4957" s="2">
        <f ca="1"/>
        <v>-2.0336139489227945</v>
      </c>
      <c r="X4957" s="2">
        <f ca="1"/>
        <v>43.456466933898774</v>
      </c>
      <c r="AG4957" s="2">
        <f ca="1"/>
        <v>0.95132225760294697</v>
      </c>
      <c r="AH4957" s="2" t="str">
        <f ca="1"/>
        <v>Bad</v>
      </c>
    </row>
    <row r="4958" spans="2:34" x14ac:dyDescent="0.2">
      <c r="B4958" s="2">
        <f ca="1"/>
        <v>2.2573004421557075E-2</v>
      </c>
      <c r="O4958" s="2">
        <f ca="1"/>
        <v>3.8578852430405813E-3</v>
      </c>
      <c r="X4958" s="2">
        <f ca="1"/>
        <v>49.257620442538453</v>
      </c>
      <c r="AG4958" s="2">
        <f ca="1"/>
        <v>0.42111287111933926</v>
      </c>
      <c r="AH4958" s="2" t="str">
        <f ca="1"/>
        <v>Bad</v>
      </c>
    </row>
    <row r="4959" spans="2:34" x14ac:dyDescent="0.2">
      <c r="B4959" s="2">
        <f ca="1"/>
        <v>0.16087751433984798</v>
      </c>
      <c r="O4959" s="2">
        <f ca="1"/>
        <v>2.9266831612488737E-2</v>
      </c>
      <c r="X4959" s="2">
        <f ca="1"/>
        <v>30.82872975288732</v>
      </c>
      <c r="AG4959" s="2">
        <f ca="1"/>
        <v>7.6416839489290567E-4</v>
      </c>
      <c r="AH4959" s="2" t="str">
        <f ca="1"/>
        <v>Good</v>
      </c>
    </row>
    <row r="4960" spans="2:34" x14ac:dyDescent="0.2">
      <c r="B4960" s="2">
        <f ca="1"/>
        <v>0.45393535165621302</v>
      </c>
      <c r="O4960" s="2">
        <f ca="1"/>
        <v>-0.5883352602468096</v>
      </c>
      <c r="X4960" s="2">
        <f ca="1"/>
        <v>54.761620684846903</v>
      </c>
      <c r="AG4960" s="2">
        <f ca="1"/>
        <v>0.11772119955914451</v>
      </c>
      <c r="AH4960" s="2" t="str">
        <f ca="1"/>
        <v>OK</v>
      </c>
    </row>
    <row r="4961" spans="2:34" x14ac:dyDescent="0.2">
      <c r="B4961" s="2">
        <f ca="1"/>
        <v>0.90324786561458459</v>
      </c>
      <c r="O4961" s="2">
        <f ca="1"/>
        <v>-0.10670735727399605</v>
      </c>
      <c r="X4961" s="2">
        <f ca="1"/>
        <v>46.324978611031426</v>
      </c>
      <c r="AG4961" s="2">
        <f ca="1"/>
        <v>0.19869550463246743</v>
      </c>
      <c r="AH4961" s="2" t="str">
        <f ca="1"/>
        <v>OK</v>
      </c>
    </row>
    <row r="4962" spans="2:34" x14ac:dyDescent="0.2">
      <c r="B4962" s="2">
        <f ca="1"/>
        <v>2.327962356686375E-2</v>
      </c>
      <c r="O4962" s="2">
        <f ca="1"/>
        <v>1.2040733683105531</v>
      </c>
      <c r="X4962" s="2">
        <f ca="1"/>
        <v>43.0985987379009</v>
      </c>
      <c r="AG4962" s="2">
        <f ca="1"/>
        <v>0.5005431941921219</v>
      </c>
      <c r="AH4962" s="2" t="str">
        <f ca="1"/>
        <v>Bad</v>
      </c>
    </row>
    <row r="4963" spans="2:34" x14ac:dyDescent="0.2">
      <c r="B4963" s="2">
        <f ca="1"/>
        <v>0.75013931794414934</v>
      </c>
      <c r="O4963" s="2">
        <f ca="1"/>
        <v>0.13259092164879793</v>
      </c>
      <c r="X4963" s="2">
        <f ca="1"/>
        <v>38.649780708223687</v>
      </c>
      <c r="AG4963" s="2">
        <f ca="1"/>
        <v>0.76829798565994101</v>
      </c>
      <c r="AH4963" s="2" t="str">
        <f ca="1"/>
        <v>Bad</v>
      </c>
    </row>
    <row r="4964" spans="2:34" x14ac:dyDescent="0.2">
      <c r="B4964" s="2">
        <f ca="1"/>
        <v>5.3237178921559103E-3</v>
      </c>
      <c r="O4964" s="2">
        <f ca="1"/>
        <v>-0.26988458808395788</v>
      </c>
      <c r="X4964" s="2">
        <f ca="1"/>
        <v>35.839652732008631</v>
      </c>
      <c r="AG4964" s="2">
        <f ca="1"/>
        <v>0.16538736866041526</v>
      </c>
      <c r="AH4964" s="2" t="str">
        <f ca="1"/>
        <v>OK</v>
      </c>
    </row>
    <row r="4965" spans="2:34" x14ac:dyDescent="0.2">
      <c r="B4965" s="2">
        <f ca="1"/>
        <v>0.51367673753222443</v>
      </c>
      <c r="O4965" s="2">
        <f ca="1"/>
        <v>-1.5759519451097754</v>
      </c>
      <c r="X4965" s="2">
        <f ca="1"/>
        <v>51.043061997878297</v>
      </c>
      <c r="AG4965" s="2">
        <f ca="1"/>
        <v>9.8488944227297148E-2</v>
      </c>
      <c r="AH4965" s="2" t="str">
        <f ca="1"/>
        <v>OK</v>
      </c>
    </row>
    <row r="4966" spans="2:34" x14ac:dyDescent="0.2">
      <c r="B4966" s="2">
        <f ca="1"/>
        <v>0.50960076661086684</v>
      </c>
      <c r="O4966" s="2">
        <f ca="1"/>
        <v>1.9106534208045192</v>
      </c>
      <c r="X4966" s="2">
        <f ca="1"/>
        <v>90.854599537634101</v>
      </c>
      <c r="AG4966" s="2">
        <f ca="1"/>
        <v>0.86234175678644442</v>
      </c>
      <c r="AH4966" s="2" t="str">
        <f ca="1"/>
        <v>Bad</v>
      </c>
    </row>
    <row r="4967" spans="2:34" x14ac:dyDescent="0.2">
      <c r="B4967" s="2">
        <f ca="1"/>
        <v>0.18655913173116367</v>
      </c>
      <c r="O4967" s="2">
        <f ca="1"/>
        <v>-1.5073341361763766</v>
      </c>
      <c r="X4967" s="2">
        <f ca="1"/>
        <v>35.232415443866209</v>
      </c>
      <c r="AG4967" s="2">
        <f ca="1"/>
        <v>0.86975922828656071</v>
      </c>
      <c r="AH4967" s="2" t="str">
        <f ca="1"/>
        <v>Bad</v>
      </c>
    </row>
    <row r="4968" spans="2:34" x14ac:dyDescent="0.2">
      <c r="B4968" s="2">
        <f ca="1"/>
        <v>0.38474186392336418</v>
      </c>
      <c r="O4968" s="2">
        <f ca="1"/>
        <v>-0.24845272856234102</v>
      </c>
      <c r="X4968" s="2">
        <f ca="1"/>
        <v>44.312356398047896</v>
      </c>
      <c r="AG4968" s="2">
        <f ca="1"/>
        <v>0.55383148415877947</v>
      </c>
      <c r="AH4968" s="2" t="str">
        <f ca="1"/>
        <v>Bad</v>
      </c>
    </row>
    <row r="4969" spans="2:34" x14ac:dyDescent="0.2">
      <c r="B4969" s="2">
        <f ca="1"/>
        <v>0.59837478533703359</v>
      </c>
      <c r="O4969" s="2">
        <f ca="1"/>
        <v>-0.4457541459773674</v>
      </c>
      <c r="X4969" s="2">
        <f ca="1"/>
        <v>48.04029437385401</v>
      </c>
      <c r="AG4969" s="2">
        <f ca="1"/>
        <v>3.3995295157302818E-2</v>
      </c>
      <c r="AH4969" s="2" t="str">
        <f ca="1"/>
        <v>Good</v>
      </c>
    </row>
    <row r="4970" spans="2:34" x14ac:dyDescent="0.2">
      <c r="B4970" s="2">
        <f ca="1"/>
        <v>0.9693901743141824</v>
      </c>
      <c r="O4970" s="2">
        <f ca="1"/>
        <v>-1.6482539734987873</v>
      </c>
      <c r="X4970" s="2">
        <f ca="1"/>
        <v>53.843968213363659</v>
      </c>
      <c r="AG4970" s="2">
        <f ca="1"/>
        <v>0.12901566464417424</v>
      </c>
      <c r="AH4970" s="2" t="str">
        <f ca="1"/>
        <v>OK</v>
      </c>
    </row>
    <row r="4971" spans="2:34" x14ac:dyDescent="0.2">
      <c r="B4971" s="2">
        <f ca="1"/>
        <v>0.20277243833792857</v>
      </c>
      <c r="O4971" s="2">
        <f ca="1"/>
        <v>1.1479701504742341</v>
      </c>
      <c r="X4971" s="2">
        <f ca="1"/>
        <v>31.444806711552744</v>
      </c>
      <c r="AG4971" s="2">
        <f ca="1"/>
        <v>0.62931132380449206</v>
      </c>
      <c r="AH4971" s="2" t="str">
        <f ca="1"/>
        <v>Bad</v>
      </c>
    </row>
    <row r="4972" spans="2:34" x14ac:dyDescent="0.2">
      <c r="B4972" s="2">
        <f ca="1"/>
        <v>0.28463623733804266</v>
      </c>
      <c r="O4972" s="2">
        <f ca="1"/>
        <v>0.80361121157756055</v>
      </c>
      <c r="X4972" s="2">
        <f ca="1"/>
        <v>57.190837775406038</v>
      </c>
      <c r="AG4972" s="2">
        <f ca="1"/>
        <v>0.81335413603976181</v>
      </c>
      <c r="AH4972" s="2" t="str">
        <f ca="1"/>
        <v>Bad</v>
      </c>
    </row>
    <row r="4973" spans="2:34" x14ac:dyDescent="0.2">
      <c r="B4973" s="2">
        <f ca="1"/>
        <v>0.40505685982874651</v>
      </c>
      <c r="O4973" s="2">
        <f ca="1"/>
        <v>-0.1906205939781945</v>
      </c>
      <c r="X4973" s="2">
        <f ca="1"/>
        <v>24.649742829268465</v>
      </c>
      <c r="AG4973" s="2">
        <f ca="1"/>
        <v>0.59988453413781206</v>
      </c>
      <c r="AH4973" s="2" t="str">
        <f ca="1"/>
        <v>Bad</v>
      </c>
    </row>
    <row r="4974" spans="2:34" x14ac:dyDescent="0.2">
      <c r="B4974" s="2">
        <f ca="1"/>
        <v>0.42700334096882564</v>
      </c>
      <c r="O4974" s="2">
        <f ca="1"/>
        <v>-1.1803356024092158</v>
      </c>
      <c r="X4974" s="2">
        <f ca="1"/>
        <v>57.808844255702418</v>
      </c>
      <c r="AG4974" s="2">
        <f ca="1"/>
        <v>2.2532113531554376E-2</v>
      </c>
      <c r="AH4974" s="2" t="str">
        <f ca="1"/>
        <v>Good</v>
      </c>
    </row>
    <row r="4975" spans="2:34" x14ac:dyDescent="0.2">
      <c r="B4975" s="2">
        <f ca="1"/>
        <v>0.10860744781962883</v>
      </c>
      <c r="O4975" s="2">
        <f ca="1"/>
        <v>0.39920495116952515</v>
      </c>
      <c r="X4975" s="2">
        <f ca="1"/>
        <v>52.845327594916249</v>
      </c>
      <c r="AG4975" s="2">
        <f ca="1"/>
        <v>0.8768914180337084</v>
      </c>
      <c r="AH4975" s="2" t="str">
        <f ca="1"/>
        <v>Bad</v>
      </c>
    </row>
    <row r="4976" spans="2:34" x14ac:dyDescent="0.2">
      <c r="B4976" s="2">
        <f ca="1"/>
        <v>0.43375239927339226</v>
      </c>
      <c r="O4976" s="2">
        <f ca="1"/>
        <v>-1.6993582582756961</v>
      </c>
      <c r="X4976" s="2">
        <f ca="1"/>
        <v>50.083751806669483</v>
      </c>
      <c r="AG4976" s="2">
        <f ca="1"/>
        <v>0.80213333708725698</v>
      </c>
      <c r="AH4976" s="2" t="str">
        <f ca="1"/>
        <v>Bad</v>
      </c>
    </row>
    <row r="4977" spans="2:34" x14ac:dyDescent="0.2">
      <c r="B4977" s="2">
        <f ca="1"/>
        <v>0.50814426260456469</v>
      </c>
      <c r="O4977" s="2">
        <f ca="1"/>
        <v>1.4930915886383391</v>
      </c>
      <c r="X4977" s="2">
        <f ca="1"/>
        <v>41.535112687169786</v>
      </c>
      <c r="AG4977" s="2">
        <f ca="1"/>
        <v>0.64768270552309626</v>
      </c>
      <c r="AH4977" s="2" t="str">
        <f ca="1"/>
        <v>Bad</v>
      </c>
    </row>
    <row r="4978" spans="2:34" x14ac:dyDescent="0.2">
      <c r="B4978" s="2">
        <f ca="1"/>
        <v>0.17388677252561457</v>
      </c>
      <c r="O4978" s="2">
        <f ca="1"/>
        <v>-2.8594762767564487E-2</v>
      </c>
      <c r="X4978" s="2">
        <f ca="1"/>
        <v>30.215683665142478</v>
      </c>
      <c r="AG4978" s="2">
        <f ca="1"/>
        <v>0.2179802992068498</v>
      </c>
      <c r="AH4978" s="2" t="str">
        <f ca="1"/>
        <v>OK</v>
      </c>
    </row>
    <row r="4979" spans="2:34" x14ac:dyDescent="0.2">
      <c r="B4979" s="2">
        <f ca="1"/>
        <v>4.9609829821001039E-2</v>
      </c>
      <c r="O4979" s="2">
        <f ca="1"/>
        <v>-3.2552279970049842E-2</v>
      </c>
      <c r="X4979" s="2">
        <f ca="1"/>
        <v>29.86439797765194</v>
      </c>
      <c r="AG4979" s="2">
        <f ca="1"/>
        <v>0.34395368211628696</v>
      </c>
      <c r="AH4979" s="2" t="str">
        <f ca="1"/>
        <v>OK</v>
      </c>
    </row>
    <row r="4980" spans="2:34" x14ac:dyDescent="0.2">
      <c r="B4980" s="2">
        <f ca="1"/>
        <v>0.37795157092525677</v>
      </c>
      <c r="O4980" s="2">
        <f ca="1"/>
        <v>0.33967098231343529</v>
      </c>
      <c r="X4980" s="2">
        <f ca="1"/>
        <v>41.438240836445992</v>
      </c>
      <c r="AG4980" s="2">
        <f ca="1"/>
        <v>0.25590388482179094</v>
      </c>
      <c r="AH4980" s="2" t="str">
        <f ca="1"/>
        <v>OK</v>
      </c>
    </row>
    <row r="4981" spans="2:34" x14ac:dyDescent="0.2">
      <c r="B4981" s="2">
        <f ca="1"/>
        <v>0.61465670569204733</v>
      </c>
      <c r="O4981" s="2">
        <f ca="1"/>
        <v>-1.6774116458624548</v>
      </c>
      <c r="X4981" s="2">
        <f ca="1"/>
        <v>33.302811359614978</v>
      </c>
      <c r="AG4981" s="2">
        <f ca="1"/>
        <v>0.10466039758645374</v>
      </c>
      <c r="AH4981" s="2" t="str">
        <f ca="1"/>
        <v>OK</v>
      </c>
    </row>
    <row r="4982" spans="2:34" x14ac:dyDescent="0.2">
      <c r="B4982" s="2">
        <f ca="1"/>
        <v>0.56837690746994562</v>
      </c>
      <c r="O4982" s="2">
        <f ca="1"/>
        <v>-1.4099696425109531</v>
      </c>
      <c r="X4982" s="2">
        <f ca="1"/>
        <v>55.229532522486878</v>
      </c>
      <c r="AG4982" s="2">
        <f ca="1"/>
        <v>0.61468165460531976</v>
      </c>
      <c r="AH4982" s="2" t="str">
        <f ca="1"/>
        <v>Bad</v>
      </c>
    </row>
    <row r="4983" spans="2:34" x14ac:dyDescent="0.2">
      <c r="B4983" s="2">
        <f ca="1"/>
        <v>0.13310125618125479</v>
      </c>
      <c r="O4983" s="2">
        <f ca="1"/>
        <v>-0.99305693210129942</v>
      </c>
      <c r="X4983" s="2">
        <f ca="1"/>
        <v>98.126144840829269</v>
      </c>
      <c r="AG4983" s="2">
        <f ca="1"/>
        <v>0.91346328285137868</v>
      </c>
      <c r="AH4983" s="2" t="str">
        <f ca="1"/>
        <v>Bad</v>
      </c>
    </row>
    <row r="4984" spans="2:34" x14ac:dyDescent="0.2">
      <c r="B4984" s="2">
        <f ca="1"/>
        <v>0.12746222040728217</v>
      </c>
      <c r="O4984" s="2">
        <f ca="1"/>
        <v>0.17904580537601278</v>
      </c>
      <c r="X4984" s="2">
        <f ca="1"/>
        <v>40.258497945204255</v>
      </c>
      <c r="AG4984" s="2">
        <f ca="1"/>
        <v>0.80668044857498833</v>
      </c>
      <c r="AH4984" s="2" t="str">
        <f ca="1"/>
        <v>Bad</v>
      </c>
    </row>
    <row r="4985" spans="2:34" x14ac:dyDescent="0.2">
      <c r="B4985" s="2">
        <f ca="1"/>
        <v>0.9168541097449423</v>
      </c>
      <c r="O4985" s="2">
        <f ca="1"/>
        <v>0.18254677856634219</v>
      </c>
      <c r="X4985" s="2">
        <f ca="1"/>
        <v>48.305358829222712</v>
      </c>
      <c r="AG4985" s="2">
        <f ca="1"/>
        <v>0.25147743510109377</v>
      </c>
      <c r="AH4985" s="2" t="str">
        <f ca="1"/>
        <v>OK</v>
      </c>
    </row>
    <row r="4986" spans="2:34" x14ac:dyDescent="0.2">
      <c r="B4986" s="2">
        <f ca="1"/>
        <v>0.92343249167906594</v>
      </c>
      <c r="O4986" s="2">
        <f ca="1"/>
        <v>-8.0292335615631732E-2</v>
      </c>
      <c r="X4986" s="2">
        <f ca="1"/>
        <v>22.248742299395737</v>
      </c>
      <c r="AG4986" s="2">
        <f ca="1"/>
        <v>4.0070978603622853E-2</v>
      </c>
      <c r="AH4986" s="2" t="str">
        <f ca="1"/>
        <v>Good</v>
      </c>
    </row>
    <row r="4987" spans="2:34" x14ac:dyDescent="0.2">
      <c r="B4987" s="2">
        <f ca="1"/>
        <v>0.98034244113405178</v>
      </c>
      <c r="O4987" s="2">
        <f ca="1"/>
        <v>-0.96488725928505548</v>
      </c>
      <c r="X4987" s="2">
        <f ca="1"/>
        <v>64.844094788410032</v>
      </c>
      <c r="AG4987" s="2">
        <f ca="1"/>
        <v>0.77894769088106663</v>
      </c>
      <c r="AH4987" s="2" t="str">
        <f ca="1"/>
        <v>Bad</v>
      </c>
    </row>
    <row r="4988" spans="2:34" x14ac:dyDescent="0.2">
      <c r="B4988" s="2">
        <f ca="1"/>
        <v>1.291714177960035E-4</v>
      </c>
      <c r="O4988" s="2">
        <f ca="1"/>
        <v>-0.36684822799683348</v>
      </c>
      <c r="X4988" s="2">
        <f ca="1"/>
        <v>39.391953380047518</v>
      </c>
      <c r="AG4988" s="2">
        <f ca="1"/>
        <v>0.11096800987533739</v>
      </c>
      <c r="AH4988" s="2" t="str">
        <f ca="1"/>
        <v>OK</v>
      </c>
    </row>
    <row r="4989" spans="2:34" x14ac:dyDescent="0.2">
      <c r="B4989" s="2">
        <f ca="1"/>
        <v>0.26061365169667616</v>
      </c>
      <c r="O4989" s="2">
        <f ca="1"/>
        <v>-0.90915222433320397</v>
      </c>
      <c r="X4989" s="2">
        <f ca="1"/>
        <v>60.530823204908913</v>
      </c>
      <c r="AG4989" s="2">
        <f ca="1"/>
        <v>0.90866108441322369</v>
      </c>
      <c r="AH4989" s="2" t="str">
        <f ca="1"/>
        <v>Bad</v>
      </c>
    </row>
    <row r="4990" spans="2:34" x14ac:dyDescent="0.2">
      <c r="B4990" s="2">
        <f ca="1"/>
        <v>0.31159216534881384</v>
      </c>
      <c r="O4990" s="2">
        <f ca="1"/>
        <v>0.86700324993089828</v>
      </c>
      <c r="X4990" s="2">
        <f ca="1"/>
        <v>43.846174336276746</v>
      </c>
      <c r="AG4990" s="2">
        <f ca="1"/>
        <v>0.54965820445510705</v>
      </c>
      <c r="AH4990" s="2" t="str">
        <f ca="1"/>
        <v>Bad</v>
      </c>
    </row>
    <row r="4991" spans="2:34" x14ac:dyDescent="0.2">
      <c r="B4991" s="2">
        <f ca="1"/>
        <v>0.52354896270318996</v>
      </c>
      <c r="O4991" s="2">
        <f ca="1"/>
        <v>-1.4025233171576328</v>
      </c>
      <c r="X4991" s="2">
        <f ca="1"/>
        <v>29.986398241836973</v>
      </c>
      <c r="AG4991" s="2">
        <f ca="1"/>
        <v>0.37881792422215876</v>
      </c>
      <c r="AH4991" s="2" t="str">
        <f ca="1"/>
        <v>OK</v>
      </c>
    </row>
    <row r="4992" spans="2:34" x14ac:dyDescent="0.2">
      <c r="B4992" s="2">
        <f ca="1"/>
        <v>0.40185249215197971</v>
      </c>
      <c r="O4992" s="2">
        <f ca="1"/>
        <v>0.96339696880606618</v>
      </c>
      <c r="X4992" s="2">
        <f ca="1"/>
        <v>33.999719277936144</v>
      </c>
      <c r="AG4992" s="2">
        <f ca="1"/>
        <v>0.70931505808342776</v>
      </c>
      <c r="AH4992" s="2" t="str">
        <f ca="1"/>
        <v>Bad</v>
      </c>
    </row>
    <row r="4993" spans="2:34" x14ac:dyDescent="0.2">
      <c r="B4993" s="2">
        <f ca="1"/>
        <v>0.88450798246787898</v>
      </c>
      <c r="O4993" s="2">
        <f ca="1"/>
        <v>1.9125313053825779</v>
      </c>
      <c r="X4993" s="2">
        <f ca="1"/>
        <v>33.418355513561032</v>
      </c>
      <c r="AG4993" s="2">
        <f ca="1"/>
        <v>0.17302595880510685</v>
      </c>
      <c r="AH4993" s="2" t="str">
        <f ca="1"/>
        <v>OK</v>
      </c>
    </row>
    <row r="4994" spans="2:34" x14ac:dyDescent="0.2">
      <c r="B4994" s="2">
        <f ca="1"/>
        <v>0.67245836631471434</v>
      </c>
      <c r="O4994" s="2">
        <f ca="1"/>
        <v>0.97112180389125635</v>
      </c>
      <c r="X4994" s="2">
        <f ca="1"/>
        <v>77.652489611208935</v>
      </c>
      <c r="AG4994" s="2">
        <f ca="1"/>
        <v>0.90276611177392563</v>
      </c>
      <c r="AH4994" s="2" t="str">
        <f ca="1"/>
        <v>Bad</v>
      </c>
    </row>
    <row r="4995" spans="2:34" x14ac:dyDescent="0.2">
      <c r="B4995" s="2">
        <f ca="1"/>
        <v>0.36811516813504963</v>
      </c>
      <c r="O4995" s="2">
        <f ca="1"/>
        <v>1.7403262711468148</v>
      </c>
      <c r="X4995" s="2">
        <f ca="1"/>
        <v>48.560375854922455</v>
      </c>
      <c r="AG4995" s="2">
        <f ca="1"/>
        <v>0.80452994708762349</v>
      </c>
      <c r="AH4995" s="2" t="str">
        <f ca="1"/>
        <v>Bad</v>
      </c>
    </row>
    <row r="4996" spans="2:34" x14ac:dyDescent="0.2">
      <c r="B4996" s="2">
        <f ca="1"/>
        <v>0.80776354516199911</v>
      </c>
      <c r="O4996" s="2">
        <f ca="1"/>
        <v>0.56589132263153286</v>
      </c>
      <c r="X4996" s="2">
        <f ca="1"/>
        <v>38.263713037537556</v>
      </c>
      <c r="AG4996" s="2">
        <f ca="1"/>
        <v>0.41672851985302906</v>
      </c>
      <c r="AH4996" s="2" t="str">
        <f ca="1"/>
        <v>Bad</v>
      </c>
    </row>
    <row r="4997" spans="2:34" x14ac:dyDescent="0.2">
      <c r="B4997" s="2">
        <f ca="1"/>
        <v>0.71997764140148712</v>
      </c>
      <c r="O4997" s="2">
        <f ca="1"/>
        <v>-0.11327599650225231</v>
      </c>
      <c r="X4997" s="2">
        <f ca="1"/>
        <v>46.780349726763255</v>
      </c>
      <c r="AG4997" s="2">
        <f ca="1"/>
        <v>0.2002157567784022</v>
      </c>
      <c r="AH4997" s="2" t="str">
        <f ca="1"/>
        <v>OK</v>
      </c>
    </row>
    <row r="4998" spans="2:34" x14ac:dyDescent="0.2">
      <c r="B4998" s="2">
        <f ca="1"/>
        <v>0.14368927475824056</v>
      </c>
      <c r="O4998" s="2">
        <f ca="1"/>
        <v>-1.6846743263889901</v>
      </c>
      <c r="X4998" s="2">
        <f ca="1"/>
        <v>57.576388948544221</v>
      </c>
      <c r="AG4998" s="2">
        <f ca="1"/>
        <v>0.14225217864396456</v>
      </c>
      <c r="AH4998" s="2" t="str">
        <f ca="1"/>
        <v>OK</v>
      </c>
    </row>
    <row r="4999" spans="2:34" x14ac:dyDescent="0.2">
      <c r="B4999" s="2">
        <f ca="1"/>
        <v>0.57346062426519562</v>
      </c>
      <c r="O4999" s="2">
        <f ca="1"/>
        <v>0.22139045207254726</v>
      </c>
      <c r="X4999" s="2">
        <f ca="1"/>
        <v>73.987466557189393</v>
      </c>
      <c r="AG4999" s="2">
        <f ca="1"/>
        <v>0.948619195897759</v>
      </c>
      <c r="AH4999" s="2" t="str">
        <f ca="1"/>
        <v>Bad</v>
      </c>
    </row>
    <row r="5000" spans="2:34" x14ac:dyDescent="0.2">
      <c r="B5000" s="2">
        <f ca="1"/>
        <v>0.8196998671339184</v>
      </c>
      <c r="O5000" s="2">
        <f ca="1"/>
        <v>1.0600090378571985</v>
      </c>
      <c r="X5000" s="2">
        <f ca="1"/>
        <v>61.058447901937626</v>
      </c>
      <c r="AG5000" s="2">
        <f ca="1"/>
        <v>0.16421955408818301</v>
      </c>
      <c r="AH5000" s="2" t="str">
        <f ca="1"/>
        <v>OK</v>
      </c>
    </row>
    <row r="5001" spans="2:34" x14ac:dyDescent="0.2">
      <c r="B5001" s="2">
        <f ca="1"/>
        <v>0.17567891996092966</v>
      </c>
      <c r="O5001" s="2">
        <f ca="1"/>
        <v>0.71955760799030999</v>
      </c>
      <c r="X5001" s="2">
        <f ca="1"/>
        <v>44.115224269241217</v>
      </c>
      <c r="AG5001" s="2">
        <f ca="1"/>
        <v>0.1152097609863556</v>
      </c>
      <c r="AH5001" s="2" t="str">
        <f ca="1"/>
        <v>OK</v>
      </c>
    </row>
    <row r="5002" spans="2:34" x14ac:dyDescent="0.2">
      <c r="B5002" s="2">
        <f ca="1"/>
        <v>5.7641178157858075E-2</v>
      </c>
      <c r="O5002" s="2">
        <f ca="1"/>
        <v>0.98254556475169352</v>
      </c>
      <c r="X5002" s="2">
        <f ca="1"/>
        <v>52.127296168194334</v>
      </c>
      <c r="AG5002" s="2">
        <f ca="1"/>
        <v>1.4774093252293508E-2</v>
      </c>
      <c r="AH5002" s="2" t="str">
        <f ca="1"/>
        <v>Good</v>
      </c>
    </row>
    <row r="5003" spans="2:34" x14ac:dyDescent="0.2">
      <c r="B5003" s="2">
        <f ca="1"/>
        <v>0.15140671663791005</v>
      </c>
      <c r="O5003" s="2">
        <f ca="1"/>
        <v>-0.61933404717640694</v>
      </c>
      <c r="X5003" s="2">
        <f ca="1"/>
        <v>33.524018807257974</v>
      </c>
      <c r="AG5003" s="2">
        <f ca="1"/>
        <v>0.56323547729248302</v>
      </c>
      <c r="AH5003" s="2" t="str">
        <f ca="1"/>
        <v>Bad</v>
      </c>
    </row>
    <row r="5004" spans="2:34" x14ac:dyDescent="0.2">
      <c r="B5004" s="2">
        <f ca="1"/>
        <v>0.25958250885817602</v>
      </c>
      <c r="O5004" s="2">
        <f ca="1"/>
        <v>0.53769447337624676</v>
      </c>
      <c r="X5004" s="2">
        <f ca="1"/>
        <v>70.904228338198422</v>
      </c>
      <c r="AG5004" s="2">
        <f ca="1"/>
        <v>0.87445407694045096</v>
      </c>
      <c r="AH5004" s="2" t="str">
        <f ca="1"/>
        <v>Bad</v>
      </c>
    </row>
    <row r="5005" spans="2:34" x14ac:dyDescent="0.2">
      <c r="B5005" s="2">
        <f ca="1"/>
        <v>0.10194186349619216</v>
      </c>
      <c r="O5005" s="2">
        <f ca="1"/>
        <v>0.13730425585394695</v>
      </c>
      <c r="X5005" s="2">
        <f ca="1"/>
        <v>27.779114362971495</v>
      </c>
      <c r="AG5005" s="2">
        <f ca="1"/>
        <v>0.65734273045508362</v>
      </c>
      <c r="AH5005" s="2" t="str">
        <f ca="1"/>
        <v>Bad</v>
      </c>
    </row>
    <row r="5006" spans="2:34" x14ac:dyDescent="0.2">
      <c r="B5006" s="2">
        <f ca="1"/>
        <v>0.94830508980310957</v>
      </c>
      <c r="O5006" s="2">
        <f ca="1"/>
        <v>0.25140983025766184</v>
      </c>
      <c r="X5006" s="2">
        <f ca="1"/>
        <v>25.360258451707807</v>
      </c>
      <c r="AG5006" s="2">
        <f ca="1"/>
        <v>0.12554046952359155</v>
      </c>
      <c r="AH5006" s="2" t="str">
        <f ca="1"/>
        <v>OK</v>
      </c>
    </row>
    <row r="5007" spans="2:34" x14ac:dyDescent="0.2">
      <c r="B5007" s="2">
        <f ca="1"/>
        <v>0.88926929977839619</v>
      </c>
      <c r="O5007" s="2">
        <f ca="1"/>
        <v>-0.25761989052737561</v>
      </c>
      <c r="X5007" s="2">
        <f ca="1"/>
        <v>37.277689908403303</v>
      </c>
      <c r="AG5007" s="2">
        <f ca="1"/>
        <v>6.6750268102088839E-2</v>
      </c>
      <c r="AH5007" s="2" t="str">
        <f ca="1"/>
        <v>OK</v>
      </c>
    </row>
    <row r="5008" spans="2:34" x14ac:dyDescent="0.2">
      <c r="B5008" s="2">
        <f ca="1"/>
        <v>0.17337470222348972</v>
      </c>
      <c r="O5008" s="2">
        <f ca="1"/>
        <v>-0.14536262327956351</v>
      </c>
      <c r="X5008" s="2">
        <f ca="1"/>
        <v>72.283606140149075</v>
      </c>
      <c r="AG5008" s="2">
        <f ca="1"/>
        <v>0.13234097536824052</v>
      </c>
      <c r="AH5008" s="2" t="str">
        <f ca="1"/>
        <v>OK</v>
      </c>
    </row>
    <row r="5009" spans="2:34" x14ac:dyDescent="0.2">
      <c r="B5009" s="2">
        <f ca="1"/>
        <v>7.8306719646301204E-2</v>
      </c>
      <c r="O5009" s="2">
        <f ca="1"/>
        <v>-0.16615343376176009</v>
      </c>
      <c r="X5009" s="2">
        <f ca="1"/>
        <v>66.987076219129648</v>
      </c>
      <c r="AG5009" s="2">
        <f ca="1"/>
        <v>0.56674684183452162</v>
      </c>
      <c r="AH5009" s="2" t="str">
        <f ca="1"/>
        <v>Bad</v>
      </c>
    </row>
    <row r="5010" spans="2:34" x14ac:dyDescent="0.2">
      <c r="B5010" s="2">
        <f ca="1"/>
        <v>1.4883084890702669E-2</v>
      </c>
      <c r="O5010" s="2">
        <f ca="1"/>
        <v>1.0759785241289639</v>
      </c>
      <c r="X5010" s="2">
        <f ca="1"/>
        <v>55.245224044640075</v>
      </c>
      <c r="AG5010" s="2">
        <f ca="1"/>
        <v>0.71606152215736452</v>
      </c>
      <c r="AH5010" s="2" t="str">
        <f ca="1"/>
        <v>Bad</v>
      </c>
    </row>
    <row r="5011" spans="2:34" x14ac:dyDescent="0.2">
      <c r="B5011" s="2">
        <f ca="1"/>
        <v>1.9243891375611444E-2</v>
      </c>
      <c r="O5011" s="2">
        <f ca="1"/>
        <v>0.35908281532816427</v>
      </c>
      <c r="X5011" s="2">
        <f ca="1"/>
        <v>39.646858927868792</v>
      </c>
      <c r="AG5011" s="2">
        <f ca="1"/>
        <v>0.9416645452850263</v>
      </c>
      <c r="AH5011" s="2" t="str">
        <f ca="1"/>
        <v>Bad</v>
      </c>
    </row>
    <row r="5012" spans="2:34" x14ac:dyDescent="0.2">
      <c r="B5012" s="2">
        <f ca="1"/>
        <v>0.33621331106244101</v>
      </c>
      <c r="O5012" s="2">
        <f ca="1"/>
        <v>-0.249262519689362</v>
      </c>
      <c r="X5012" s="2">
        <f ca="1"/>
        <v>46.32488237611507</v>
      </c>
      <c r="AG5012" s="2">
        <f ca="1"/>
        <v>0.94664980219844019</v>
      </c>
      <c r="AH5012" s="2" t="str">
        <f ca="1"/>
        <v>Bad</v>
      </c>
    </row>
    <row r="5013" spans="2:34" x14ac:dyDescent="0.2">
      <c r="B5013" s="2">
        <f ca="1"/>
        <v>0.38493438982739914</v>
      </c>
      <c r="O5013" s="2">
        <f ca="1"/>
        <v>-0.99304858106070293</v>
      </c>
      <c r="X5013" s="2">
        <f ca="1"/>
        <v>44.876599547720623</v>
      </c>
      <c r="AG5013" s="2">
        <f ca="1"/>
        <v>0.4652769279048623</v>
      </c>
      <c r="AH5013" s="2" t="str">
        <f ca="1"/>
        <v>Bad</v>
      </c>
    </row>
    <row r="5014" spans="2:34" x14ac:dyDescent="0.2">
      <c r="B5014" s="2">
        <f ca="1"/>
        <v>0.97119951836763652</v>
      </c>
      <c r="O5014" s="2">
        <f ca="1"/>
        <v>-0.54839474599980131</v>
      </c>
      <c r="X5014" s="2">
        <f ca="1"/>
        <v>55.503624881588522</v>
      </c>
      <c r="AG5014" s="2">
        <f ca="1"/>
        <v>0.67538240377935277</v>
      </c>
      <c r="AH5014" s="2" t="str">
        <f ca="1"/>
        <v>Bad</v>
      </c>
    </row>
    <row r="5015" spans="2:34" x14ac:dyDescent="0.2">
      <c r="B5015" s="2">
        <f ca="1"/>
        <v>0.63960429306792532</v>
      </c>
      <c r="O5015" s="2">
        <f ca="1"/>
        <v>-0.67548475017077581</v>
      </c>
      <c r="X5015" s="2">
        <f ca="1"/>
        <v>49.610244161335061</v>
      </c>
      <c r="AG5015" s="2">
        <f ca="1"/>
        <v>0.43854546591097177</v>
      </c>
      <c r="AH5015" s="2" t="str">
        <f ca="1"/>
        <v>Bad</v>
      </c>
    </row>
    <row r="5016" spans="2:34" x14ac:dyDescent="0.2">
      <c r="B5016" s="2">
        <f ca="1"/>
        <v>0.28801973326464769</v>
      </c>
      <c r="O5016" s="2">
        <f ca="1"/>
        <v>0.19302429649951594</v>
      </c>
      <c r="X5016" s="2">
        <f ca="1"/>
        <v>55.286702606159182</v>
      </c>
      <c r="AG5016" s="2">
        <f ca="1"/>
        <v>0.17856230891615255</v>
      </c>
      <c r="AH5016" s="2" t="str">
        <f ca="1"/>
        <v>OK</v>
      </c>
    </row>
    <row r="5017" spans="2:34" x14ac:dyDescent="0.2">
      <c r="B5017" s="2">
        <f ca="1"/>
        <v>0.7238062084160668</v>
      </c>
      <c r="O5017" s="2">
        <f ca="1"/>
        <v>-0.54048828946014937</v>
      </c>
      <c r="X5017" s="2">
        <f ca="1"/>
        <v>67.041898648992401</v>
      </c>
      <c r="AG5017" s="2">
        <f ca="1"/>
        <v>0.39715345770811861</v>
      </c>
      <c r="AH5017" s="2" t="str">
        <f ca="1"/>
        <v>OK</v>
      </c>
    </row>
    <row r="5018" spans="2:34" x14ac:dyDescent="0.2">
      <c r="B5018" s="2">
        <f ca="1"/>
        <v>0.93198683007196936</v>
      </c>
      <c r="O5018" s="2">
        <f ca="1"/>
        <v>0.84373388783820091</v>
      </c>
      <c r="X5018" s="2">
        <f ca="1"/>
        <v>39.895554232786267</v>
      </c>
      <c r="AG5018" s="2">
        <f ca="1"/>
        <v>7.8350357397406922E-2</v>
      </c>
      <c r="AH5018" s="2" t="str">
        <f ca="1"/>
        <v>OK</v>
      </c>
    </row>
    <row r="5019" spans="2:34" x14ac:dyDescent="0.2">
      <c r="B5019" s="2">
        <f ca="1"/>
        <v>4.5731917884432649E-2</v>
      </c>
      <c r="O5019" s="2">
        <f ca="1"/>
        <v>-1.1451318005709152</v>
      </c>
      <c r="X5019" s="2">
        <f ca="1"/>
        <v>41.680946851177588</v>
      </c>
      <c r="AG5019" s="2">
        <f ca="1"/>
        <v>0.32056329638799186</v>
      </c>
      <c r="AH5019" s="2" t="str">
        <f ca="1"/>
        <v>OK</v>
      </c>
    </row>
    <row r="5020" spans="2:34" x14ac:dyDescent="0.2">
      <c r="B5020" s="2">
        <f ca="1"/>
        <v>0.59313504071977596</v>
      </c>
      <c r="O5020" s="2">
        <f ca="1"/>
        <v>1.1071250181931609</v>
      </c>
      <c r="X5020" s="2">
        <f ca="1"/>
        <v>31.936563462764621</v>
      </c>
      <c r="AG5020" s="2">
        <f ca="1"/>
        <v>0.34677738501224553</v>
      </c>
      <c r="AH5020" s="2" t="str">
        <f ca="1"/>
        <v>OK</v>
      </c>
    </row>
    <row r="5021" spans="2:34" x14ac:dyDescent="0.2">
      <c r="B5021" s="2">
        <f ca="1"/>
        <v>0.26098507607446408</v>
      </c>
      <c r="O5021" s="2">
        <f ca="1"/>
        <v>-0.20115449698530127</v>
      </c>
      <c r="X5021" s="2">
        <f ca="1"/>
        <v>46.247461112048939</v>
      </c>
      <c r="AG5021" s="2">
        <f ca="1"/>
        <v>2.1329291712913756E-2</v>
      </c>
      <c r="AH5021" s="2" t="str">
        <f ca="1"/>
        <v>Good</v>
      </c>
    </row>
    <row r="5022" spans="2:34" x14ac:dyDescent="0.2">
      <c r="B5022" s="2">
        <f ca="1"/>
        <v>0.55243039287942475</v>
      </c>
      <c r="O5022" s="2">
        <f ca="1"/>
        <v>0.87223684863553208</v>
      </c>
      <c r="X5022" s="2">
        <f ca="1"/>
        <v>45.970590932790117</v>
      </c>
      <c r="AG5022" s="2">
        <f ca="1"/>
        <v>0.34487512433256029</v>
      </c>
      <c r="AH5022" s="2" t="str">
        <f ca="1"/>
        <v>OK</v>
      </c>
    </row>
    <row r="5023" spans="2:34" x14ac:dyDescent="0.2">
      <c r="B5023" s="2">
        <f ca="1"/>
        <v>0.43777851219641839</v>
      </c>
      <c r="O5023" s="2">
        <f ca="1"/>
        <v>-8.7483293183911598E-2</v>
      </c>
      <c r="X5023" s="2">
        <f ca="1"/>
        <v>29.382981355733296</v>
      </c>
      <c r="AG5023" s="2">
        <f ca="1"/>
        <v>0.36945047460252356</v>
      </c>
      <c r="AH5023" s="2" t="str">
        <f ca="1"/>
        <v>OK</v>
      </c>
    </row>
    <row r="5024" spans="2:34" x14ac:dyDescent="0.2">
      <c r="B5024" s="2">
        <f ca="1"/>
        <v>0.2166790402622969</v>
      </c>
      <c r="O5024" s="2">
        <f ca="1"/>
        <v>0.66921668167365667</v>
      </c>
      <c r="X5024" s="2">
        <f ca="1"/>
        <v>16.740110223682059</v>
      </c>
      <c r="AG5024" s="2">
        <f ca="1"/>
        <v>0.84712547558306106</v>
      </c>
      <c r="AH5024" s="2" t="str">
        <f ca="1"/>
        <v>Bad</v>
      </c>
    </row>
    <row r="5025" spans="2:34" x14ac:dyDescent="0.2">
      <c r="B5025" s="2">
        <f ca="1"/>
        <v>0.90155379628920662</v>
      </c>
      <c r="O5025" s="2">
        <f ca="1"/>
        <v>0.46943465962907915</v>
      </c>
      <c r="X5025" s="2">
        <f ca="1"/>
        <v>63.469546240939763</v>
      </c>
      <c r="AG5025" s="2">
        <f ca="1"/>
        <v>0.61435708994984717</v>
      </c>
      <c r="AH5025" s="2" t="str">
        <f ca="1"/>
        <v>Bad</v>
      </c>
    </row>
    <row r="5026" spans="2:34" x14ac:dyDescent="0.2">
      <c r="B5026" s="2">
        <f ca="1"/>
        <v>0.7357010357662086</v>
      </c>
      <c r="O5026" s="2">
        <f ca="1"/>
        <v>0.35537893437171247</v>
      </c>
      <c r="X5026" s="2">
        <f ca="1"/>
        <v>44.614636683382855</v>
      </c>
      <c r="AG5026" s="2">
        <f ca="1"/>
        <v>0.5528060439705873</v>
      </c>
      <c r="AH5026" s="2" t="str">
        <f ca="1"/>
        <v>Bad</v>
      </c>
    </row>
    <row r="5027" spans="2:34" x14ac:dyDescent="0.2">
      <c r="B5027" s="2">
        <f ca="1"/>
        <v>0.48761917896506368</v>
      </c>
      <c r="O5027" s="2">
        <f ca="1"/>
        <v>-1.0657028407155751</v>
      </c>
      <c r="X5027" s="2">
        <f ca="1"/>
        <v>19.384252766961072</v>
      </c>
      <c r="AG5027" s="2">
        <f ca="1"/>
        <v>0.51400893320866881</v>
      </c>
      <c r="AH5027" s="2" t="str">
        <f ca="1"/>
        <v>Bad</v>
      </c>
    </row>
    <row r="5028" spans="2:34" x14ac:dyDescent="0.2">
      <c r="B5028" s="2">
        <f ca="1"/>
        <v>3.9072586531827547E-2</v>
      </c>
      <c r="O5028" s="2">
        <f ca="1"/>
        <v>0.13038502940257157</v>
      </c>
      <c r="X5028" s="2">
        <f ca="1"/>
        <v>50.916462097475765</v>
      </c>
      <c r="AG5028" s="2">
        <f ca="1"/>
        <v>0.46653192704807522</v>
      </c>
      <c r="AH5028" s="2" t="str">
        <f ca="1"/>
        <v>Bad</v>
      </c>
    </row>
    <row r="5029" spans="2:34" x14ac:dyDescent="0.2">
      <c r="B5029" s="2">
        <f ca="1"/>
        <v>0.44373540760902097</v>
      </c>
      <c r="O5029" s="2">
        <f ca="1"/>
        <v>-0.9482806029936004</v>
      </c>
      <c r="X5029" s="2">
        <f ca="1"/>
        <v>34.562155688321397</v>
      </c>
      <c r="AG5029" s="2">
        <f ca="1"/>
        <v>0.64539347282433068</v>
      </c>
      <c r="AH5029" s="2" t="str">
        <f ca="1"/>
        <v>Bad</v>
      </c>
    </row>
    <row r="5030" spans="2:34" x14ac:dyDescent="0.2">
      <c r="B5030" s="2">
        <f ca="1"/>
        <v>0.85798998902690182</v>
      </c>
      <c r="O5030" s="2">
        <f ca="1"/>
        <v>-2.6368723839199176E-2</v>
      </c>
      <c r="X5030" s="2">
        <f ca="1"/>
        <v>63.719104984144145</v>
      </c>
      <c r="AG5030" s="2">
        <f ca="1"/>
        <v>0.86032325392349884</v>
      </c>
      <c r="AH5030" s="2" t="str">
        <f ca="1"/>
        <v>Bad</v>
      </c>
    </row>
    <row r="5031" spans="2:34" x14ac:dyDescent="0.2">
      <c r="B5031" s="2">
        <f ca="1"/>
        <v>0.3663384791697748</v>
      </c>
      <c r="O5031" s="2">
        <f ca="1"/>
        <v>-0.96210399220197418</v>
      </c>
      <c r="X5031" s="2">
        <f ca="1"/>
        <v>51.123695968411475</v>
      </c>
      <c r="AG5031" s="2">
        <f ca="1"/>
        <v>0.33211010436746835</v>
      </c>
      <c r="AH5031" s="2" t="str">
        <f ca="1"/>
        <v>OK</v>
      </c>
    </row>
    <row r="5032" spans="2:34" x14ac:dyDescent="0.2">
      <c r="B5032" s="2">
        <f ca="1"/>
        <v>0.12004642471019933</v>
      </c>
      <c r="O5032" s="2">
        <f ca="1"/>
        <v>0.72209977274706716</v>
      </c>
      <c r="X5032" s="2">
        <f ca="1"/>
        <v>26.082340137438969</v>
      </c>
      <c r="AG5032" s="2">
        <f ca="1"/>
        <v>0.24976435738675051</v>
      </c>
      <c r="AH5032" s="2" t="str">
        <f ca="1"/>
        <v>OK</v>
      </c>
    </row>
    <row r="5033" spans="2:34" x14ac:dyDescent="0.2">
      <c r="B5033" s="2">
        <f ca="1"/>
        <v>2.633400004108033E-2</v>
      </c>
      <c r="O5033" s="2">
        <f ca="1"/>
        <v>-0.55321721822398262</v>
      </c>
      <c r="X5033" s="2">
        <f ca="1"/>
        <v>39.0603435960412</v>
      </c>
      <c r="AG5033" s="2">
        <f ca="1"/>
        <v>0.12358138327696722</v>
      </c>
      <c r="AH5033" s="2" t="str">
        <f ca="1"/>
        <v>OK</v>
      </c>
    </row>
    <row r="5034" spans="2:34" x14ac:dyDescent="0.2">
      <c r="B5034" s="2">
        <f ca="1"/>
        <v>0.25773210884403097</v>
      </c>
      <c r="O5034" s="2">
        <f ca="1"/>
        <v>0.4981213995947763</v>
      </c>
      <c r="X5034" s="2">
        <f ca="1"/>
        <v>51.333274857111718</v>
      </c>
      <c r="AG5034" s="2">
        <f ca="1"/>
        <v>0.42803674904152134</v>
      </c>
      <c r="AH5034" s="2" t="str">
        <f ca="1"/>
        <v>Bad</v>
      </c>
    </row>
    <row r="5035" spans="2:34" x14ac:dyDescent="0.2">
      <c r="B5035" s="2">
        <f ca="1"/>
        <v>0.9770894026783854</v>
      </c>
      <c r="O5035" s="2">
        <f ca="1"/>
        <v>-0.57312780465982827</v>
      </c>
      <c r="X5035" s="2">
        <f ca="1"/>
        <v>61.232842672918018</v>
      </c>
      <c r="AG5035" s="2">
        <f ca="1"/>
        <v>0.9524655452262436</v>
      </c>
      <c r="AH5035" s="2" t="str">
        <f ca="1"/>
        <v>Bad</v>
      </c>
    </row>
    <row r="5036" spans="2:34" x14ac:dyDescent="0.2">
      <c r="B5036" s="2">
        <f ca="1"/>
        <v>0.34098313311118722</v>
      </c>
      <c r="O5036" s="2">
        <f ca="1"/>
        <v>1.1892079250151166</v>
      </c>
      <c r="X5036" s="2">
        <f ca="1"/>
        <v>23.396392865884202</v>
      </c>
      <c r="AG5036" s="2">
        <f ca="1"/>
        <v>0.34406515893386924</v>
      </c>
      <c r="AH5036" s="2" t="str">
        <f ca="1"/>
        <v>OK</v>
      </c>
    </row>
    <row r="5037" spans="2:34" x14ac:dyDescent="0.2">
      <c r="B5037" s="2">
        <f ca="1"/>
        <v>9.6480590139814026E-2</v>
      </c>
      <c r="O5037" s="2">
        <f ca="1"/>
        <v>-4.8558861242183081E-2</v>
      </c>
      <c r="X5037" s="2">
        <f ca="1"/>
        <v>28.299099702574551</v>
      </c>
      <c r="AG5037" s="2">
        <f ca="1"/>
        <v>0.62626797643981891</v>
      </c>
      <c r="AH5037" s="2" t="str">
        <f ca="1"/>
        <v>Bad</v>
      </c>
    </row>
    <row r="5038" spans="2:34" x14ac:dyDescent="0.2">
      <c r="B5038" s="2">
        <f ca="1"/>
        <v>0.1317021074130702</v>
      </c>
      <c r="O5038" s="2">
        <f ca="1"/>
        <v>0.68568858021609069</v>
      </c>
      <c r="X5038" s="2">
        <f ca="1"/>
        <v>43.315676586912573</v>
      </c>
      <c r="AG5038" s="2">
        <f ca="1"/>
        <v>0.62787027462480993</v>
      </c>
      <c r="AH5038" s="2" t="str">
        <f ca="1"/>
        <v>Bad</v>
      </c>
    </row>
    <row r="5039" spans="2:34" x14ac:dyDescent="0.2">
      <c r="B5039" s="2">
        <f ca="1"/>
        <v>0.35049882366964136</v>
      </c>
      <c r="O5039" s="2">
        <f ca="1"/>
        <v>-0.47225185161056504</v>
      </c>
      <c r="X5039" s="2">
        <f ca="1"/>
        <v>52.392838030711076</v>
      </c>
      <c r="AG5039" s="2">
        <f ca="1"/>
        <v>0.57283996957048355</v>
      </c>
      <c r="AH5039" s="2" t="str">
        <f ca="1"/>
        <v>Bad</v>
      </c>
    </row>
    <row r="5040" spans="2:34" x14ac:dyDescent="0.2">
      <c r="B5040" s="2">
        <f ca="1"/>
        <v>0.67813866508659437</v>
      </c>
      <c r="O5040" s="2">
        <f ca="1"/>
        <v>0.39885196860572109</v>
      </c>
      <c r="X5040" s="2">
        <f ca="1"/>
        <v>33.886321136494544</v>
      </c>
      <c r="AG5040" s="2">
        <f ca="1"/>
        <v>0.39870880629877514</v>
      </c>
      <c r="AH5040" s="2" t="str">
        <f ca="1"/>
        <v>OK</v>
      </c>
    </row>
    <row r="5041" spans="2:34" x14ac:dyDescent="0.2">
      <c r="B5041" s="2">
        <f ca="1"/>
        <v>0.12228561596995813</v>
      </c>
      <c r="O5041" s="2">
        <f ca="1"/>
        <v>0.42451654970202063</v>
      </c>
      <c r="X5041" s="2">
        <f ca="1"/>
        <v>24.787287552013161</v>
      </c>
      <c r="AG5041" s="2">
        <f ca="1"/>
        <v>4.0252503572768106E-2</v>
      </c>
      <c r="AH5041" s="2" t="str">
        <f ca="1"/>
        <v>Good</v>
      </c>
    </row>
    <row r="5042" spans="2:34" x14ac:dyDescent="0.2">
      <c r="B5042" s="2">
        <f ca="1"/>
        <v>0.59835997020431742</v>
      </c>
      <c r="O5042" s="2">
        <f ca="1"/>
        <v>-0.13816065629178595</v>
      </c>
      <c r="X5042" s="2">
        <f ca="1"/>
        <v>55.863019963170828</v>
      </c>
      <c r="AG5042" s="2">
        <f ca="1"/>
        <v>0.68758255622360687</v>
      </c>
      <c r="AH5042" s="2" t="str">
        <f ca="1"/>
        <v>Bad</v>
      </c>
    </row>
    <row r="5043" spans="2:34" x14ac:dyDescent="0.2">
      <c r="B5043" s="2">
        <f ca="1"/>
        <v>0.85545660602812768</v>
      </c>
      <c r="O5043" s="2">
        <f ca="1"/>
        <v>0.97810304027847317</v>
      </c>
      <c r="X5043" s="2">
        <f ca="1"/>
        <v>37.377859996250265</v>
      </c>
      <c r="AG5043" s="2">
        <f ca="1"/>
        <v>0.4117243492637328</v>
      </c>
      <c r="AH5043" s="2" t="str">
        <f ca="1"/>
        <v>Bad</v>
      </c>
    </row>
    <row r="5044" spans="2:34" x14ac:dyDescent="0.2">
      <c r="B5044" s="2">
        <f ca="1"/>
        <v>0.77297836648695584</v>
      </c>
      <c r="O5044" s="2">
        <f ca="1"/>
        <v>1.7472040124507164</v>
      </c>
      <c r="X5044" s="2">
        <f ca="1"/>
        <v>37.696142819886362</v>
      </c>
      <c r="AG5044" s="2">
        <f ca="1"/>
        <v>0.89787142008949417</v>
      </c>
      <c r="AH5044" s="2" t="str">
        <f ca="1"/>
        <v>Bad</v>
      </c>
    </row>
    <row r="5045" spans="2:34" x14ac:dyDescent="0.2">
      <c r="B5045" s="2">
        <f ca="1"/>
        <v>0.28887526629367288</v>
      </c>
      <c r="O5045" s="2">
        <f ca="1"/>
        <v>-0.20890966268934175</v>
      </c>
      <c r="X5045" s="2">
        <f ca="1"/>
        <v>63.651925670749009</v>
      </c>
      <c r="AG5045" s="2">
        <f ca="1"/>
        <v>0.15263135559963614</v>
      </c>
      <c r="AH5045" s="2" t="str">
        <f ca="1"/>
        <v>OK</v>
      </c>
    </row>
    <row r="5046" spans="2:34" x14ac:dyDescent="0.2">
      <c r="B5046" s="2">
        <f ca="1"/>
        <v>0.58879464898832512</v>
      </c>
      <c r="O5046" s="2">
        <f ca="1"/>
        <v>-1.2572262785758535</v>
      </c>
      <c r="X5046" s="2">
        <f ca="1"/>
        <v>43.501583752929008</v>
      </c>
      <c r="AG5046" s="2">
        <f ca="1"/>
        <v>0.58838760597561413</v>
      </c>
      <c r="AH5046" s="2" t="str">
        <f ca="1"/>
        <v>Bad</v>
      </c>
    </row>
    <row r="5047" spans="2:34" x14ac:dyDescent="0.2">
      <c r="B5047" s="2">
        <f ca="1"/>
        <v>0.40775975246946317</v>
      </c>
      <c r="O5047" s="2">
        <f ca="1"/>
        <v>-0.71477038266503901</v>
      </c>
      <c r="X5047" s="2">
        <f ca="1"/>
        <v>50.32794568989825</v>
      </c>
      <c r="AG5047" s="2">
        <f ca="1"/>
        <v>5.4742109023413699E-2</v>
      </c>
      <c r="AH5047" s="2" t="str">
        <f ca="1"/>
        <v>OK</v>
      </c>
    </row>
    <row r="5048" spans="2:34" x14ac:dyDescent="0.2">
      <c r="B5048" s="2">
        <f ca="1"/>
        <v>0.76895853055598495</v>
      </c>
      <c r="O5048" s="2">
        <f ca="1"/>
        <v>9.4652671822698223E-2</v>
      </c>
      <c r="X5048" s="2">
        <f ca="1"/>
        <v>44.228458303238014</v>
      </c>
      <c r="AG5048" s="2">
        <f ca="1"/>
        <v>0.14890920095083748</v>
      </c>
      <c r="AH5048" s="2" t="str">
        <f ca="1"/>
        <v>OK</v>
      </c>
    </row>
    <row r="5049" spans="2:34" x14ac:dyDescent="0.2">
      <c r="B5049" s="2">
        <f ca="1"/>
        <v>0.8619392897417959</v>
      </c>
      <c r="O5049" s="2">
        <f ca="1"/>
        <v>-0.78756534464488637</v>
      </c>
      <c r="X5049" s="2">
        <f ca="1"/>
        <v>68.919297453704218</v>
      </c>
      <c r="AG5049" s="2">
        <f ca="1"/>
        <v>0.37191500904804653</v>
      </c>
      <c r="AH5049" s="2" t="str">
        <f ca="1"/>
        <v>OK</v>
      </c>
    </row>
    <row r="5050" spans="2:34" x14ac:dyDescent="0.2">
      <c r="B5050" s="2">
        <f ca="1"/>
        <v>0.43178796061346025</v>
      </c>
      <c r="O5050" s="2">
        <f ca="1"/>
        <v>-0.95413828120871913</v>
      </c>
      <c r="X5050" s="2">
        <f ca="1"/>
        <v>44.866069752840083</v>
      </c>
      <c r="AG5050" s="2">
        <f ca="1"/>
        <v>0.40316062338991721</v>
      </c>
      <c r="AH5050" s="2" t="str">
        <f ca="1"/>
        <v>Bad</v>
      </c>
    </row>
    <row r="5051" spans="2:34" x14ac:dyDescent="0.2">
      <c r="B5051" s="2">
        <f ca="1"/>
        <v>0.33957795622846976</v>
      </c>
      <c r="O5051" s="2">
        <f ca="1"/>
        <v>0.67732888047688211</v>
      </c>
      <c r="X5051" s="2">
        <f ca="1"/>
        <v>78.813824254172189</v>
      </c>
      <c r="AG5051" s="2">
        <f ca="1"/>
        <v>0.26349331039671764</v>
      </c>
      <c r="AH5051" s="2" t="str">
        <f ca="1"/>
        <v>OK</v>
      </c>
    </row>
    <row r="5052" spans="2:34" x14ac:dyDescent="0.2">
      <c r="B5052" s="2">
        <f ca="1"/>
        <v>0.32504534437180821</v>
      </c>
      <c r="O5052" s="2">
        <f ca="1"/>
        <v>0.41772399559633011</v>
      </c>
      <c r="X5052" s="2">
        <f ca="1"/>
        <v>46.068143018162992</v>
      </c>
      <c r="AG5052" s="2">
        <f ca="1"/>
        <v>8.6326877718701178E-2</v>
      </c>
      <c r="AH5052" s="2" t="str">
        <f ca="1"/>
        <v>OK</v>
      </c>
    </row>
    <row r="5053" spans="2:34" x14ac:dyDescent="0.2">
      <c r="B5053" s="2">
        <f ca="1"/>
        <v>0.4644097478153415</v>
      </c>
      <c r="O5053" s="2">
        <f ca="1"/>
        <v>0.24421611848216501</v>
      </c>
      <c r="X5053" s="2">
        <f ca="1"/>
        <v>53.265255742194611</v>
      </c>
      <c r="AG5053" s="2">
        <f ca="1"/>
        <v>0.73173968751279639</v>
      </c>
      <c r="AH5053" s="2" t="str">
        <f ca="1"/>
        <v>Bad</v>
      </c>
    </row>
    <row r="5054" spans="2:34" x14ac:dyDescent="0.2">
      <c r="B5054" s="2">
        <f ca="1"/>
        <v>0.84829090092239934</v>
      </c>
      <c r="O5054" s="2">
        <f ca="1"/>
        <v>1.9069066758609872</v>
      </c>
      <c r="X5054" s="2">
        <f ca="1"/>
        <v>32.813653469483434</v>
      </c>
      <c r="AG5054" s="2">
        <f ca="1"/>
        <v>0.42746082416667397</v>
      </c>
      <c r="AH5054" s="2" t="str">
        <f ca="1"/>
        <v>Bad</v>
      </c>
    </row>
    <row r="5055" spans="2:34" x14ac:dyDescent="0.2">
      <c r="B5055" s="2">
        <f ca="1"/>
        <v>0.45371715060180362</v>
      </c>
      <c r="O5055" s="2">
        <f ca="1"/>
        <v>-8.6923779438295851E-2</v>
      </c>
      <c r="X5055" s="2">
        <f ca="1"/>
        <v>61.124908403014842</v>
      </c>
      <c r="AG5055" s="2">
        <f ca="1"/>
        <v>0.69438367125217715</v>
      </c>
      <c r="AH5055" s="2" t="str">
        <f ca="1"/>
        <v>Bad</v>
      </c>
    </row>
    <row r="5056" spans="2:34" x14ac:dyDescent="0.2">
      <c r="B5056" s="2">
        <f ca="1"/>
        <v>2.5655537865505451E-2</v>
      </c>
      <c r="O5056" s="2">
        <f ca="1"/>
        <v>1.7151663170285758</v>
      </c>
      <c r="X5056" s="2">
        <f ca="1"/>
        <v>61.782530098584488</v>
      </c>
      <c r="AG5056" s="2">
        <f ca="1"/>
        <v>0.23728264262933774</v>
      </c>
      <c r="AH5056" s="2" t="str">
        <f ca="1"/>
        <v>OK</v>
      </c>
    </row>
    <row r="5057" spans="2:34" x14ac:dyDescent="0.2">
      <c r="B5057" s="2">
        <f ca="1"/>
        <v>0.40937424692174451</v>
      </c>
      <c r="O5057" s="2">
        <f ca="1"/>
        <v>-6.6885851064788964E-3</v>
      </c>
      <c r="X5057" s="2">
        <f ca="1"/>
        <v>75.928869043631877</v>
      </c>
      <c r="AG5057" s="2">
        <f ca="1"/>
        <v>0.43559041270649446</v>
      </c>
      <c r="AH5057" s="2" t="str">
        <f ca="1"/>
        <v>Bad</v>
      </c>
    </row>
    <row r="5058" spans="2:34" x14ac:dyDescent="0.2">
      <c r="B5058" s="2">
        <f ca="1"/>
        <v>0.42987196892081614</v>
      </c>
      <c r="O5058" s="2">
        <f ca="1"/>
        <v>0.97664961828722274</v>
      </c>
      <c r="X5058" s="2">
        <f ca="1"/>
        <v>52.515123077854959</v>
      </c>
      <c r="AG5058" s="2">
        <f ca="1"/>
        <v>0.16175502336455039</v>
      </c>
      <c r="AH5058" s="2" t="str">
        <f ca="1"/>
        <v>OK</v>
      </c>
    </row>
    <row r="5059" spans="2:34" x14ac:dyDescent="0.2">
      <c r="B5059" s="2">
        <f ca="1"/>
        <v>0.59482898166996945</v>
      </c>
      <c r="O5059" s="2">
        <f ca="1"/>
        <v>0.59830001028118474</v>
      </c>
      <c r="X5059" s="2">
        <f ca="1"/>
        <v>43.937542670354041</v>
      </c>
      <c r="AG5059" s="2">
        <f ca="1"/>
        <v>0.7649595703308667</v>
      </c>
      <c r="AH5059" s="2" t="str">
        <f ca="1"/>
        <v>Bad</v>
      </c>
    </row>
    <row r="5060" spans="2:34" x14ac:dyDescent="0.2">
      <c r="B5060" s="2">
        <f ca="1"/>
        <v>0.91711597568696401</v>
      </c>
      <c r="O5060" s="2">
        <f ca="1"/>
        <v>-1.6411114625539363</v>
      </c>
      <c r="X5060" s="2">
        <f ca="1"/>
        <v>28.166480249276059</v>
      </c>
      <c r="AG5060" s="2">
        <f ca="1"/>
        <v>1.3715937155009961E-2</v>
      </c>
      <c r="AH5060" s="2" t="str">
        <f ca="1"/>
        <v>Good</v>
      </c>
    </row>
    <row r="5061" spans="2:34" x14ac:dyDescent="0.2">
      <c r="B5061" s="2">
        <f ca="1"/>
        <v>0.45555389356241571</v>
      </c>
      <c r="O5061" s="2">
        <f ca="1"/>
        <v>0.21738693328244713</v>
      </c>
      <c r="X5061" s="2">
        <f ca="1"/>
        <v>36.348861806027017</v>
      </c>
      <c r="AG5061" s="2">
        <f ca="1"/>
        <v>0.76522363922144532</v>
      </c>
      <c r="AH5061" s="2" t="str">
        <f ca="1"/>
        <v>Bad</v>
      </c>
    </row>
    <row r="5062" spans="2:34" x14ac:dyDescent="0.2">
      <c r="B5062" s="2">
        <f ca="1"/>
        <v>0.571917112550409</v>
      </c>
      <c r="O5062" s="2">
        <f ca="1"/>
        <v>-1.1067094351137952</v>
      </c>
      <c r="X5062" s="2">
        <f ca="1"/>
        <v>47.012889124465403</v>
      </c>
      <c r="AG5062" s="2">
        <f ca="1"/>
        <v>0.43245010350119517</v>
      </c>
      <c r="AH5062" s="2" t="str">
        <f ca="1"/>
        <v>Bad</v>
      </c>
    </row>
    <row r="5063" spans="2:34" x14ac:dyDescent="0.2">
      <c r="B5063" s="2">
        <f ca="1"/>
        <v>0.8038738022726688</v>
      </c>
      <c r="O5063" s="2">
        <f ca="1"/>
        <v>-0.84844678019701181</v>
      </c>
      <c r="X5063" s="2">
        <f ca="1"/>
        <v>48.272740828044796</v>
      </c>
      <c r="AG5063" s="2">
        <f ca="1"/>
        <v>0.99076933742003792</v>
      </c>
      <c r="AH5063" s="2" t="str">
        <f ca="1"/>
        <v>Bad</v>
      </c>
    </row>
    <row r="5064" spans="2:34" x14ac:dyDescent="0.2">
      <c r="B5064" s="2">
        <f ca="1"/>
        <v>0.43221039369166281</v>
      </c>
      <c r="O5064" s="2">
        <f ca="1"/>
        <v>-8.8343855389177939E-2</v>
      </c>
      <c r="X5064" s="2">
        <f ca="1"/>
        <v>86.291574904060951</v>
      </c>
      <c r="AG5064" s="2">
        <f ca="1"/>
        <v>0.39268386302643954</v>
      </c>
      <c r="AH5064" s="2" t="str">
        <f ca="1"/>
        <v>OK</v>
      </c>
    </row>
    <row r="5065" spans="2:34" x14ac:dyDescent="0.2">
      <c r="B5065" s="2">
        <f ca="1"/>
        <v>0.34263607348414582</v>
      </c>
      <c r="O5065" s="2">
        <f ca="1"/>
        <v>-1.5682739484389565</v>
      </c>
      <c r="X5065" s="2">
        <f ca="1"/>
        <v>39.478094019305928</v>
      </c>
      <c r="AG5065" s="2">
        <f ca="1"/>
        <v>0.7631746864065303</v>
      </c>
      <c r="AH5065" s="2" t="str">
        <f ca="1"/>
        <v>Bad</v>
      </c>
    </row>
    <row r="5066" spans="2:34" x14ac:dyDescent="0.2">
      <c r="B5066" s="2">
        <f ca="1"/>
        <v>0.52418210414827882</v>
      </c>
      <c r="O5066" s="2">
        <f ca="1"/>
        <v>-0.11998885650925079</v>
      </c>
      <c r="X5066" s="2">
        <f ca="1"/>
        <v>57.97242062336003</v>
      </c>
      <c r="AG5066" s="2">
        <f ca="1"/>
        <v>0.83241504601823979</v>
      </c>
      <c r="AH5066" s="2" t="str">
        <f ca="1"/>
        <v>Bad</v>
      </c>
    </row>
    <row r="5067" spans="2:34" x14ac:dyDescent="0.2">
      <c r="B5067" s="2">
        <f ca="1"/>
        <v>0.39077522950119659</v>
      </c>
      <c r="O5067" s="2">
        <f ca="1"/>
        <v>-0.84707039451395505</v>
      </c>
      <c r="X5067" s="2">
        <f ca="1"/>
        <v>50.586860159330918</v>
      </c>
      <c r="AG5067" s="2">
        <f ca="1"/>
        <v>0.70229069268535027</v>
      </c>
      <c r="AH5067" s="2" t="str">
        <f ca="1"/>
        <v>Bad</v>
      </c>
    </row>
    <row r="5068" spans="2:34" x14ac:dyDescent="0.2">
      <c r="B5068" s="2">
        <f ca="1"/>
        <v>0.28703627786135066</v>
      </c>
      <c r="O5068" s="2">
        <f ca="1"/>
        <v>-0.84651460542924706</v>
      </c>
      <c r="X5068" s="2">
        <f ca="1"/>
        <v>17.08302668561133</v>
      </c>
      <c r="AG5068" s="2">
        <f ca="1"/>
        <v>0.31138676079310379</v>
      </c>
      <c r="AH5068" s="2" t="str">
        <f ca="1"/>
        <v>OK</v>
      </c>
    </row>
    <row r="5069" spans="2:34" x14ac:dyDescent="0.2">
      <c r="B5069" s="2">
        <f ca="1"/>
        <v>0.94320414786421769</v>
      </c>
      <c r="O5069" s="2">
        <f ca="1"/>
        <v>0.62300671574663857</v>
      </c>
      <c r="X5069" s="2">
        <f ca="1"/>
        <v>49.243082217913766</v>
      </c>
      <c r="AG5069" s="2">
        <f ca="1"/>
        <v>0.93044156180726678</v>
      </c>
      <c r="AH5069" s="2" t="str">
        <f ca="1"/>
        <v>Bad</v>
      </c>
    </row>
    <row r="5070" spans="2:34" x14ac:dyDescent="0.2">
      <c r="B5070" s="2">
        <f ca="1"/>
        <v>0.37279966094534944</v>
      </c>
      <c r="O5070" s="2">
        <f ca="1"/>
        <v>-0.2709166676109252</v>
      </c>
      <c r="X5070" s="2">
        <f ca="1"/>
        <v>48.022909951443225</v>
      </c>
      <c r="AG5070" s="2">
        <f ca="1"/>
        <v>0.40986781990242704</v>
      </c>
      <c r="AH5070" s="2" t="str">
        <f ca="1"/>
        <v>Bad</v>
      </c>
    </row>
    <row r="5071" spans="2:34" x14ac:dyDescent="0.2">
      <c r="B5071" s="2">
        <f ca="1"/>
        <v>0.93616392159767026</v>
      </c>
      <c r="O5071" s="2">
        <f ca="1"/>
        <v>2.3989370794416125</v>
      </c>
      <c r="X5071" s="2">
        <f ca="1"/>
        <v>52.181064942551707</v>
      </c>
      <c r="AG5071" s="2">
        <f ca="1"/>
        <v>0.82346192882490943</v>
      </c>
      <c r="AH5071" s="2" t="str">
        <f ca="1"/>
        <v>Bad</v>
      </c>
    </row>
    <row r="5072" spans="2:34" x14ac:dyDescent="0.2">
      <c r="B5072" s="2">
        <f ca="1"/>
        <v>1.0850883344988071E-2</v>
      </c>
      <c r="O5072" s="2">
        <f ca="1"/>
        <v>-0.2763841140221282</v>
      </c>
      <c r="X5072" s="2">
        <f ca="1"/>
        <v>41.36269581249951</v>
      </c>
      <c r="AG5072" s="2">
        <f ca="1"/>
        <v>0.74778124401446799</v>
      </c>
      <c r="AH5072" s="2" t="str">
        <f ca="1"/>
        <v>Bad</v>
      </c>
    </row>
    <row r="5073" spans="2:34" x14ac:dyDescent="0.2">
      <c r="B5073" s="2">
        <f ca="1"/>
        <v>0.90425446983844382</v>
      </c>
      <c r="O5073" s="2">
        <f ca="1"/>
        <v>0.69092955882399565</v>
      </c>
      <c r="X5073" s="2">
        <f ca="1"/>
        <v>53.505964307339568</v>
      </c>
      <c r="AG5073" s="2">
        <f ca="1"/>
        <v>8.3949380997795364E-2</v>
      </c>
      <c r="AH5073" s="2" t="str">
        <f ca="1"/>
        <v>OK</v>
      </c>
    </row>
    <row r="5074" spans="2:34" x14ac:dyDescent="0.2">
      <c r="B5074" s="2">
        <f ca="1"/>
        <v>0.15793698199193473</v>
      </c>
      <c r="O5074" s="2">
        <f ca="1"/>
        <v>1.2739177092907037</v>
      </c>
      <c r="X5074" s="2">
        <f ca="1"/>
        <v>28.784584029206638</v>
      </c>
      <c r="AG5074" s="2">
        <f ca="1"/>
        <v>0.10498104301706634</v>
      </c>
      <c r="AH5074" s="2" t="str">
        <f ca="1"/>
        <v>OK</v>
      </c>
    </row>
    <row r="5075" spans="2:34" x14ac:dyDescent="0.2">
      <c r="B5075" s="2">
        <f ca="1"/>
        <v>0.45218079298361724</v>
      </c>
      <c r="O5075" s="2">
        <f ca="1"/>
        <v>0.13200487445670761</v>
      </c>
      <c r="X5075" s="2">
        <f ca="1"/>
        <v>78.082919127983772</v>
      </c>
      <c r="AG5075" s="2">
        <f ca="1"/>
        <v>9.6416822225327437E-2</v>
      </c>
      <c r="AH5075" s="2" t="str">
        <f ca="1"/>
        <v>OK</v>
      </c>
    </row>
    <row r="5076" spans="2:34" x14ac:dyDescent="0.2">
      <c r="B5076" s="2">
        <f ca="1"/>
        <v>0.15115729343064044</v>
      </c>
      <c r="O5076" s="2">
        <f ca="1"/>
        <v>0.53950578579957087</v>
      </c>
      <c r="X5076" s="2">
        <f ca="1"/>
        <v>53.02159268444116</v>
      </c>
      <c r="AG5076" s="2">
        <f ca="1"/>
        <v>0.56119573373847387</v>
      </c>
      <c r="AH5076" s="2" t="str">
        <f ca="1"/>
        <v>Bad</v>
      </c>
    </row>
    <row r="5077" spans="2:34" x14ac:dyDescent="0.2">
      <c r="B5077" s="2">
        <f ca="1"/>
        <v>0.20890898886381271</v>
      </c>
      <c r="O5077" s="2">
        <f ca="1"/>
        <v>1.3051939793258835</v>
      </c>
      <c r="X5077" s="2">
        <f ca="1"/>
        <v>69.482741113893638</v>
      </c>
      <c r="AG5077" s="2">
        <f ca="1"/>
        <v>0.57552116567288891</v>
      </c>
      <c r="AH5077" s="2" t="str">
        <f ca="1"/>
        <v>Bad</v>
      </c>
    </row>
    <row r="5078" spans="2:34" x14ac:dyDescent="0.2">
      <c r="B5078" s="2">
        <f ca="1"/>
        <v>0.73988313627893754</v>
      </c>
      <c r="O5078" s="2">
        <f ca="1"/>
        <v>-0.46290050690814538</v>
      </c>
      <c r="X5078" s="2">
        <f ca="1"/>
        <v>38.988253488066519</v>
      </c>
      <c r="AG5078" s="2">
        <f ca="1"/>
        <v>0.41315945546925659</v>
      </c>
      <c r="AH5078" s="2" t="str">
        <f ca="1"/>
        <v>Bad</v>
      </c>
    </row>
    <row r="5079" spans="2:34" x14ac:dyDescent="0.2">
      <c r="B5079" s="2">
        <f ca="1"/>
        <v>0.24515446248772177</v>
      </c>
      <c r="O5079" s="2">
        <f ca="1"/>
        <v>1.1690040769970427</v>
      </c>
      <c r="X5079" s="2">
        <f ca="1"/>
        <v>42.199129847196382</v>
      </c>
      <c r="AG5079" s="2">
        <f ca="1"/>
        <v>0.77429144424508278</v>
      </c>
      <c r="AH5079" s="2" t="str">
        <f ca="1"/>
        <v>Bad</v>
      </c>
    </row>
    <row r="5080" spans="2:34" x14ac:dyDescent="0.2">
      <c r="B5080" s="2">
        <f ca="1"/>
        <v>0.69712180248843691</v>
      </c>
      <c r="O5080" s="2">
        <f ca="1"/>
        <v>1.6971039952650657</v>
      </c>
      <c r="X5080" s="2">
        <f ca="1"/>
        <v>47.036065962297997</v>
      </c>
      <c r="AG5080" s="2">
        <f ca="1"/>
        <v>0.54569686833559028</v>
      </c>
      <c r="AH5080" s="2" t="str">
        <f ca="1"/>
        <v>Bad</v>
      </c>
    </row>
    <row r="5081" spans="2:34" x14ac:dyDescent="0.2">
      <c r="B5081" s="2">
        <f ca="1"/>
        <v>0.18790925234857214</v>
      </c>
      <c r="O5081" s="2">
        <f ca="1"/>
        <v>0.70173325789601626</v>
      </c>
      <c r="X5081" s="2">
        <f ca="1"/>
        <v>42.946638509076706</v>
      </c>
      <c r="AG5081" s="2">
        <f ca="1"/>
        <v>5.2248556398048818E-2</v>
      </c>
      <c r="AH5081" s="2" t="str">
        <f ca="1"/>
        <v>OK</v>
      </c>
    </row>
    <row r="5082" spans="2:34" x14ac:dyDescent="0.2">
      <c r="B5082" s="2">
        <f ca="1"/>
        <v>0.69649990372612147</v>
      </c>
      <c r="O5082" s="2">
        <f ca="1"/>
        <v>-0.5851469115006086</v>
      </c>
      <c r="X5082" s="2">
        <f ca="1"/>
        <v>48.313206568639501</v>
      </c>
      <c r="AG5082" s="2">
        <f ca="1"/>
        <v>0.81527209282667146</v>
      </c>
      <c r="AH5082" s="2" t="str">
        <f ca="1"/>
        <v>Bad</v>
      </c>
    </row>
    <row r="5083" spans="2:34" x14ac:dyDescent="0.2">
      <c r="B5083" s="2">
        <f ca="1"/>
        <v>9.4500820118858408E-2</v>
      </c>
      <c r="O5083" s="2">
        <f ca="1"/>
        <v>-2.12173194702163</v>
      </c>
      <c r="X5083" s="2">
        <f ca="1"/>
        <v>46.068615188970242</v>
      </c>
      <c r="AG5083" s="2">
        <f ca="1"/>
        <v>3.7683831159643022E-2</v>
      </c>
      <c r="AH5083" s="2" t="str">
        <f ca="1"/>
        <v>Good</v>
      </c>
    </row>
    <row r="5084" spans="2:34" x14ac:dyDescent="0.2">
      <c r="B5084" s="2">
        <f ca="1"/>
        <v>0.4065014147275563</v>
      </c>
      <c r="O5084" s="2">
        <f ca="1"/>
        <v>-0.91063903772627119</v>
      </c>
      <c r="X5084" s="2">
        <f ca="1"/>
        <v>53.839971946651886</v>
      </c>
      <c r="AG5084" s="2">
        <f ca="1"/>
        <v>0.10083092593927701</v>
      </c>
      <c r="AH5084" s="2" t="str">
        <f ca="1"/>
        <v>OK</v>
      </c>
    </row>
    <row r="5085" spans="2:34" x14ac:dyDescent="0.2">
      <c r="B5085" s="2">
        <f ca="1"/>
        <v>0.37529713106849516</v>
      </c>
      <c r="O5085" s="2">
        <f ca="1"/>
        <v>1.2267179171632909</v>
      </c>
      <c r="X5085" s="2">
        <f ca="1"/>
        <v>28.743534683888225</v>
      </c>
      <c r="AG5085" s="2">
        <f ca="1"/>
        <v>0.78030355814607999</v>
      </c>
      <c r="AH5085" s="2" t="str">
        <f ca="1"/>
        <v>Bad</v>
      </c>
    </row>
    <row r="5086" spans="2:34" x14ac:dyDescent="0.2">
      <c r="B5086" s="2">
        <f ca="1"/>
        <v>0.21097789138716871</v>
      </c>
      <c r="O5086" s="2">
        <f ca="1"/>
        <v>-0.96652592408015914</v>
      </c>
      <c r="X5086" s="2">
        <f ca="1"/>
        <v>52.632437613091028</v>
      </c>
      <c r="AG5086" s="2">
        <f ca="1"/>
        <v>3.5783280955265617E-2</v>
      </c>
      <c r="AH5086" s="2" t="str">
        <f ca="1"/>
        <v>Good</v>
      </c>
    </row>
    <row r="5087" spans="2:34" x14ac:dyDescent="0.2">
      <c r="B5087" s="2">
        <f ca="1"/>
        <v>0.21191957247042548</v>
      </c>
      <c r="O5087" s="2">
        <f ca="1"/>
        <v>-0.87652484961115062</v>
      </c>
      <c r="X5087" s="2">
        <f ca="1"/>
        <v>37.424244240419554</v>
      </c>
      <c r="AG5087" s="2">
        <f ca="1"/>
        <v>2.1766898935705159E-2</v>
      </c>
      <c r="AH5087" s="2" t="str">
        <f ca="1"/>
        <v>Good</v>
      </c>
    </row>
    <row r="5088" spans="2:34" x14ac:dyDescent="0.2">
      <c r="B5088" s="2">
        <f ca="1"/>
        <v>0.49465250960597551</v>
      </c>
      <c r="O5088" s="2">
        <f ca="1"/>
        <v>1.8107798591343953</v>
      </c>
      <c r="X5088" s="2">
        <f ca="1"/>
        <v>80.686567060353113</v>
      </c>
      <c r="AG5088" s="2">
        <f ca="1"/>
        <v>0.89686543924257056</v>
      </c>
      <c r="AH5088" s="2" t="str">
        <f ca="1"/>
        <v>Bad</v>
      </c>
    </row>
    <row r="5089" spans="2:34" x14ac:dyDescent="0.2">
      <c r="B5089" s="2">
        <f ca="1"/>
        <v>0.50743527397796062</v>
      </c>
      <c r="O5089" s="2">
        <f ca="1"/>
        <v>-0.34085008709178666</v>
      </c>
      <c r="X5089" s="2">
        <f ca="1"/>
        <v>42.860697423249917</v>
      </c>
      <c r="AG5089" s="2">
        <f ca="1"/>
        <v>0.30778037254113388</v>
      </c>
      <c r="AH5089" s="2" t="str">
        <f ca="1"/>
        <v>OK</v>
      </c>
    </row>
    <row r="5090" spans="2:34" x14ac:dyDescent="0.2">
      <c r="B5090" s="2">
        <f ca="1"/>
        <v>0.9453773283987783</v>
      </c>
      <c r="O5090" s="2">
        <f ca="1"/>
        <v>-0.41279312219120512</v>
      </c>
      <c r="X5090" s="2">
        <f ca="1"/>
        <v>30.440823726555433</v>
      </c>
      <c r="AG5090" s="2">
        <f ca="1"/>
        <v>1.2234405760302103E-2</v>
      </c>
      <c r="AH5090" s="2" t="str">
        <f ca="1"/>
        <v>Good</v>
      </c>
    </row>
    <row r="5091" spans="2:34" x14ac:dyDescent="0.2">
      <c r="B5091" s="2">
        <f ca="1"/>
        <v>0.54962685708774184</v>
      </c>
      <c r="O5091" s="2">
        <f ca="1"/>
        <v>-0.85284462611544154</v>
      </c>
      <c r="X5091" s="2">
        <f ca="1"/>
        <v>69.432787801331642</v>
      </c>
      <c r="AG5091" s="2">
        <f ca="1"/>
        <v>0.86529261769483212</v>
      </c>
      <c r="AH5091" s="2" t="str">
        <f ca="1"/>
        <v>Bad</v>
      </c>
    </row>
    <row r="5092" spans="2:34" x14ac:dyDescent="0.2">
      <c r="B5092" s="2">
        <f ca="1"/>
        <v>0.59046354306857296</v>
      </c>
      <c r="O5092" s="2">
        <f ca="1"/>
        <v>0.4338629706714619</v>
      </c>
      <c r="X5092" s="2">
        <f ca="1"/>
        <v>19.300073744261162</v>
      </c>
      <c r="AG5092" s="2">
        <f ca="1"/>
        <v>0.94153535674770605</v>
      </c>
      <c r="AH5092" s="2" t="str">
        <f ca="1"/>
        <v>Bad</v>
      </c>
    </row>
    <row r="5093" spans="2:34" x14ac:dyDescent="0.2">
      <c r="B5093" s="2">
        <f ca="1"/>
        <v>0.54180398468150481</v>
      </c>
      <c r="O5093" s="2">
        <f ca="1"/>
        <v>-0.46500898409488106</v>
      </c>
      <c r="X5093" s="2">
        <f ca="1"/>
        <v>100.6960575010843</v>
      </c>
      <c r="AG5093" s="2">
        <f ca="1"/>
        <v>0.13208553724271566</v>
      </c>
      <c r="AH5093" s="2" t="str">
        <f ca="1"/>
        <v>OK</v>
      </c>
    </row>
    <row r="5094" spans="2:34" x14ac:dyDescent="0.2">
      <c r="B5094" s="2">
        <f ca="1"/>
        <v>0.84229139936364827</v>
      </c>
      <c r="O5094" s="2">
        <f ca="1"/>
        <v>5.1873634342331928E-2</v>
      </c>
      <c r="X5094" s="2">
        <f ca="1"/>
        <v>52.120141912015931</v>
      </c>
      <c r="AG5094" s="2">
        <f ca="1"/>
        <v>0.19934089033990232</v>
      </c>
      <c r="AH5094" s="2" t="str">
        <f ca="1"/>
        <v>OK</v>
      </c>
    </row>
    <row r="5095" spans="2:34" x14ac:dyDescent="0.2">
      <c r="B5095" s="2">
        <f ca="1"/>
        <v>0.18259620471660587</v>
      </c>
      <c r="O5095" s="2">
        <f ca="1"/>
        <v>-1.4636178515598122</v>
      </c>
      <c r="X5095" s="2">
        <f ca="1"/>
        <v>63.20515875224325</v>
      </c>
      <c r="AG5095" s="2">
        <f ca="1"/>
        <v>0.52565470311219831</v>
      </c>
      <c r="AH5095" s="2" t="str">
        <f ca="1"/>
        <v>Bad</v>
      </c>
    </row>
    <row r="5096" spans="2:34" x14ac:dyDescent="0.2">
      <c r="B5096" s="2">
        <f ca="1"/>
        <v>0.97365116409244612</v>
      </c>
      <c r="O5096" s="2">
        <f ca="1"/>
        <v>-1.0364553784363348</v>
      </c>
      <c r="X5096" s="2">
        <f ca="1"/>
        <v>78.624988983488734</v>
      </c>
      <c r="AG5096" s="2">
        <f ca="1"/>
        <v>3.2890429952706413E-2</v>
      </c>
      <c r="AH5096" s="2" t="str">
        <f ca="1"/>
        <v>Good</v>
      </c>
    </row>
    <row r="5097" spans="2:34" x14ac:dyDescent="0.2">
      <c r="B5097" s="2">
        <f ca="1"/>
        <v>0.72039993524968482</v>
      </c>
      <c r="O5097" s="2">
        <f ca="1"/>
        <v>0.95130754199277767</v>
      </c>
      <c r="X5097" s="2">
        <f ca="1"/>
        <v>50.389824362489968</v>
      </c>
      <c r="AG5097" s="2">
        <f ca="1"/>
        <v>0.63533574636243273</v>
      </c>
      <c r="AH5097" s="2" t="str">
        <f ca="1"/>
        <v>Bad</v>
      </c>
    </row>
    <row r="5098" spans="2:34" x14ac:dyDescent="0.2">
      <c r="B5098" s="2">
        <f ca="1"/>
        <v>0.97818755610661223</v>
      </c>
      <c r="O5098" s="2">
        <f ca="1"/>
        <v>0.8365482927822907</v>
      </c>
      <c r="X5098" s="2">
        <f ca="1"/>
        <v>30.824428584673736</v>
      </c>
      <c r="AG5098" s="2">
        <f ca="1"/>
        <v>0.37992488707314331</v>
      </c>
      <c r="AH5098" s="2" t="str">
        <f ca="1"/>
        <v>OK</v>
      </c>
    </row>
    <row r="5099" spans="2:34" x14ac:dyDescent="0.2">
      <c r="B5099" s="2">
        <f ca="1"/>
        <v>0.91940994434695655</v>
      </c>
      <c r="O5099" s="2">
        <f ca="1"/>
        <v>-0.59980844531309829</v>
      </c>
      <c r="X5099" s="2">
        <f ca="1"/>
        <v>21.898186501240122</v>
      </c>
      <c r="AG5099" s="2">
        <f ca="1"/>
        <v>0.47190229754376944</v>
      </c>
      <c r="AH5099" s="2" t="str">
        <f ca="1"/>
        <v>Bad</v>
      </c>
    </row>
    <row r="5100" spans="2:34" x14ac:dyDescent="0.2">
      <c r="B5100" s="2">
        <f ca="1"/>
        <v>0.40434860442291565</v>
      </c>
      <c r="O5100" s="2">
        <f ca="1"/>
        <v>0.23561096093243122</v>
      </c>
      <c r="X5100" s="2">
        <f ca="1"/>
        <v>56.293256772307174</v>
      </c>
      <c r="AG5100" s="2">
        <f ca="1"/>
        <v>0.11247498079899998</v>
      </c>
      <c r="AH5100" s="2" t="str">
        <f ca="1"/>
        <v>OK</v>
      </c>
    </row>
    <row r="5101" spans="2:34" x14ac:dyDescent="0.2">
      <c r="B5101" s="2">
        <f ca="1"/>
        <v>5.1171949631390712E-2</v>
      </c>
      <c r="O5101" s="2">
        <f ca="1"/>
        <v>-0.77176981263406419</v>
      </c>
      <c r="X5101" s="2">
        <f ca="1"/>
        <v>34.173821477886229</v>
      </c>
      <c r="AG5101" s="2">
        <f ca="1"/>
        <v>0.90299356373494288</v>
      </c>
      <c r="AH5101" s="2" t="str">
        <f ca="1"/>
        <v>Bad</v>
      </c>
    </row>
    <row r="5102" spans="2:34" x14ac:dyDescent="0.2">
      <c r="B5102" s="2">
        <f ca="1"/>
        <v>0.57712601403799346</v>
      </c>
      <c r="O5102" s="2">
        <f ca="1"/>
        <v>4.4414511821861916E-2</v>
      </c>
      <c r="X5102" s="2">
        <f ca="1"/>
        <v>59.615746790488316</v>
      </c>
      <c r="AG5102" s="2">
        <f ca="1"/>
        <v>0.42855378009404999</v>
      </c>
      <c r="AH5102" s="2" t="str">
        <f ca="1"/>
        <v>Bad</v>
      </c>
    </row>
    <row r="5103" spans="2:34" x14ac:dyDescent="0.2">
      <c r="B5103" s="2">
        <f ca="1"/>
        <v>0.88668390821657583</v>
      </c>
      <c r="O5103" s="2">
        <f ca="1"/>
        <v>1.157912056476422</v>
      </c>
      <c r="X5103" s="2">
        <f ca="1"/>
        <v>52.374541856526697</v>
      </c>
      <c r="AG5103" s="2">
        <f ca="1"/>
        <v>0.57328491535378401</v>
      </c>
      <c r="AH5103" s="2" t="str">
        <f ca="1"/>
        <v>Bad</v>
      </c>
    </row>
    <row r="5104" spans="2:34" x14ac:dyDescent="0.2">
      <c r="B5104" s="2">
        <f ca="1"/>
        <v>0.46744485863615992</v>
      </c>
      <c r="O5104" s="2">
        <f ca="1"/>
        <v>-0.51200537991663819</v>
      </c>
      <c r="X5104" s="2">
        <f ca="1"/>
        <v>40.571063483927354</v>
      </c>
      <c r="AG5104" s="2">
        <f ca="1"/>
        <v>0.38801664016614712</v>
      </c>
      <c r="AH5104" s="2" t="str">
        <f ca="1"/>
        <v>OK</v>
      </c>
    </row>
    <row r="5105" spans="2:34" x14ac:dyDescent="0.2">
      <c r="B5105" s="2">
        <f ca="1"/>
        <v>0.8911409727883064</v>
      </c>
      <c r="O5105" s="2">
        <f ca="1"/>
        <v>-4.7901397629935144E-2</v>
      </c>
      <c r="X5105" s="2">
        <f ca="1"/>
        <v>45.675668979222444</v>
      </c>
      <c r="AG5105" s="2">
        <f ca="1"/>
        <v>0.71271883160611438</v>
      </c>
      <c r="AH5105" s="2" t="str">
        <f ca="1"/>
        <v>Bad</v>
      </c>
    </row>
    <row r="5106" spans="2:34" x14ac:dyDescent="0.2">
      <c r="B5106" s="2">
        <f ca="1"/>
        <v>8.3294955472425602E-2</v>
      </c>
      <c r="O5106" s="2">
        <f ca="1"/>
        <v>-0.41001017230205744</v>
      </c>
      <c r="X5106" s="2">
        <f ca="1"/>
        <v>64.444024384960784</v>
      </c>
      <c r="AG5106" s="2">
        <f ca="1"/>
        <v>0.50488888559880785</v>
      </c>
      <c r="AH5106" s="2" t="str">
        <f ca="1"/>
        <v>Bad</v>
      </c>
    </row>
    <row r="5107" spans="2:34" x14ac:dyDescent="0.2">
      <c r="B5107" s="2">
        <f ca="1"/>
        <v>0.79342306990381228</v>
      </c>
      <c r="O5107" s="2">
        <f ca="1"/>
        <v>-1.2788270351690435E-2</v>
      </c>
      <c r="X5107" s="2">
        <f ca="1"/>
        <v>51.808791284003846</v>
      </c>
      <c r="AG5107" s="2">
        <f ca="1"/>
        <v>0.11078770926214632</v>
      </c>
      <c r="AH5107" s="2" t="str">
        <f ca="1"/>
        <v>OK</v>
      </c>
    </row>
    <row r="5108" spans="2:34" x14ac:dyDescent="0.2">
      <c r="B5108" s="2">
        <f ca="1"/>
        <v>0.82075608364212282</v>
      </c>
      <c r="O5108" s="2">
        <f ca="1"/>
        <v>0.30842029730709147</v>
      </c>
      <c r="X5108" s="2">
        <f ca="1"/>
        <v>80.010805188276549</v>
      </c>
      <c r="AG5108" s="2">
        <f ca="1"/>
        <v>0.74447675005550007</v>
      </c>
      <c r="AH5108" s="2" t="str">
        <f ca="1"/>
        <v>Bad</v>
      </c>
    </row>
    <row r="5109" spans="2:34" x14ac:dyDescent="0.2">
      <c r="B5109" s="2">
        <f ca="1"/>
        <v>0.10744515902348306</v>
      </c>
      <c r="O5109" s="2">
        <f ca="1"/>
        <v>-5.8821275653428021E-3</v>
      </c>
      <c r="X5109" s="2">
        <f ca="1"/>
        <v>39.771204131931448</v>
      </c>
      <c r="AG5109" s="2">
        <f ca="1"/>
        <v>0.51974649275529905</v>
      </c>
      <c r="AH5109" s="2" t="str">
        <f ca="1"/>
        <v>Bad</v>
      </c>
    </row>
    <row r="5110" spans="2:34" x14ac:dyDescent="0.2">
      <c r="B5110" s="2">
        <f ca="1"/>
        <v>3.7187216927430322E-2</v>
      </c>
      <c r="O5110" s="2">
        <f ca="1"/>
        <v>0.39832970339987678</v>
      </c>
      <c r="X5110" s="2">
        <f ca="1"/>
        <v>76.443578920603017</v>
      </c>
      <c r="AG5110" s="2">
        <f ca="1"/>
        <v>0.11323828180677675</v>
      </c>
      <c r="AH5110" s="2" t="str">
        <f ca="1"/>
        <v>OK</v>
      </c>
    </row>
    <row r="5111" spans="2:34" x14ac:dyDescent="0.2">
      <c r="B5111" s="2">
        <f ca="1"/>
        <v>0.59962884164325803</v>
      </c>
      <c r="O5111" s="2">
        <f ca="1"/>
        <v>-2.8318793942441221</v>
      </c>
      <c r="X5111" s="2">
        <f ca="1"/>
        <v>66.249928411157725</v>
      </c>
      <c r="AG5111" s="2">
        <f ca="1"/>
        <v>0.88403785035435378</v>
      </c>
      <c r="AH5111" s="2" t="str">
        <f ca="1"/>
        <v>Bad</v>
      </c>
    </row>
    <row r="5112" spans="2:34" x14ac:dyDescent="0.2">
      <c r="B5112" s="2">
        <f ca="1"/>
        <v>0.69704572613763172</v>
      </c>
      <c r="O5112" s="2">
        <f ca="1"/>
        <v>-0.98489115341239397</v>
      </c>
      <c r="X5112" s="2">
        <f ca="1"/>
        <v>27.404066580179812</v>
      </c>
      <c r="AG5112" s="2">
        <f ca="1"/>
        <v>0.34978848588159228</v>
      </c>
      <c r="AH5112" s="2" t="str">
        <f ca="1"/>
        <v>OK</v>
      </c>
    </row>
    <row r="5113" spans="2:34" x14ac:dyDescent="0.2">
      <c r="B5113" s="2">
        <f ca="1"/>
        <v>0.83965428040483503</v>
      </c>
      <c r="O5113" s="2">
        <f ca="1"/>
        <v>-0.5349816069660368</v>
      </c>
      <c r="X5113" s="2">
        <f ca="1"/>
        <v>79.154865071043119</v>
      </c>
      <c r="AG5113" s="2">
        <f ca="1"/>
        <v>0.84393162760873408</v>
      </c>
      <c r="AH5113" s="2" t="str">
        <f ca="1"/>
        <v>Bad</v>
      </c>
    </row>
    <row r="5114" spans="2:34" x14ac:dyDescent="0.2">
      <c r="B5114" s="2">
        <f ca="1"/>
        <v>0.62063969740665081</v>
      </c>
      <c r="O5114" s="2">
        <f ca="1"/>
        <v>1.979754417664414</v>
      </c>
      <c r="X5114" s="2">
        <f ca="1"/>
        <v>71.55682349093864</v>
      </c>
      <c r="AG5114" s="2">
        <f ca="1"/>
        <v>0.35698223383240912</v>
      </c>
      <c r="AH5114" s="2" t="str">
        <f ca="1"/>
        <v>OK</v>
      </c>
    </row>
    <row r="5115" spans="2:34" x14ac:dyDescent="0.2">
      <c r="B5115" s="2">
        <f ca="1"/>
        <v>0.32047746746710537</v>
      </c>
      <c r="O5115" s="2">
        <f ca="1"/>
        <v>4.6433596650219608E-3</v>
      </c>
      <c r="X5115" s="2">
        <f ca="1"/>
        <v>39.174757694378933</v>
      </c>
      <c r="AG5115" s="2">
        <f ca="1"/>
        <v>0.67496353888690019</v>
      </c>
      <c r="AH5115" s="2" t="str">
        <f ca="1"/>
        <v>Bad</v>
      </c>
    </row>
    <row r="5116" spans="2:34" x14ac:dyDescent="0.2">
      <c r="B5116" s="2">
        <f ca="1"/>
        <v>0.98872467103663264</v>
      </c>
      <c r="O5116" s="2">
        <f ca="1"/>
        <v>0.96904674034923344</v>
      </c>
      <c r="X5116" s="2">
        <f ca="1"/>
        <v>33.636068029072334</v>
      </c>
      <c r="AG5116" s="2">
        <f ca="1"/>
        <v>0.63436859983867744</v>
      </c>
      <c r="AH5116" s="2" t="str">
        <f ca="1"/>
        <v>Bad</v>
      </c>
    </row>
    <row r="5117" spans="2:34" x14ac:dyDescent="0.2">
      <c r="B5117" s="2">
        <f ca="1"/>
        <v>0.42256681320915401</v>
      </c>
      <c r="O5117" s="2">
        <f ca="1"/>
        <v>0.93527681553886199</v>
      </c>
      <c r="X5117" s="2">
        <f ca="1"/>
        <v>72.241673168142682</v>
      </c>
      <c r="AG5117" s="2">
        <f ca="1"/>
        <v>0.24352092134784775</v>
      </c>
      <c r="AH5117" s="2" t="str">
        <f ca="1"/>
        <v>OK</v>
      </c>
    </row>
    <row r="5118" spans="2:34" x14ac:dyDescent="0.2">
      <c r="B5118" s="2">
        <f ca="1"/>
        <v>0.35611040022765383</v>
      </c>
      <c r="O5118" s="2">
        <f ca="1"/>
        <v>-0.97607079011745257</v>
      </c>
      <c r="X5118" s="2">
        <f ca="1"/>
        <v>39.310206760560909</v>
      </c>
      <c r="AG5118" s="2">
        <f ca="1"/>
        <v>1.5450736152717637E-2</v>
      </c>
      <c r="AH5118" s="2" t="str">
        <f ca="1"/>
        <v>Good</v>
      </c>
    </row>
    <row r="5119" spans="2:34" x14ac:dyDescent="0.2">
      <c r="B5119" s="2">
        <f ca="1"/>
        <v>0.82701162344038703</v>
      </c>
      <c r="O5119" s="2">
        <f ca="1"/>
        <v>-1.2584002861035184</v>
      </c>
      <c r="X5119" s="2">
        <f ca="1"/>
        <v>57.713624778210779</v>
      </c>
      <c r="AG5119" s="2">
        <f ca="1"/>
        <v>0.40702875428065233</v>
      </c>
      <c r="AH5119" s="2" t="str">
        <f ca="1"/>
        <v>Bad</v>
      </c>
    </row>
    <row r="5120" spans="2:34" x14ac:dyDescent="0.2">
      <c r="B5120" s="2">
        <f ca="1"/>
        <v>0.45790509155500403</v>
      </c>
      <c r="O5120" s="2">
        <f ca="1"/>
        <v>2.0953697826076851</v>
      </c>
      <c r="X5120" s="2">
        <f ca="1"/>
        <v>29.834770059578982</v>
      </c>
      <c r="AG5120" s="2">
        <f ca="1"/>
        <v>0.65922917848054663</v>
      </c>
      <c r="AH5120" s="2" t="str">
        <f ca="1"/>
        <v>Bad</v>
      </c>
    </row>
    <row r="5121" spans="2:34" x14ac:dyDescent="0.2">
      <c r="B5121" s="2">
        <f ca="1"/>
        <v>0.77981515948033442</v>
      </c>
      <c r="O5121" s="2">
        <f ca="1"/>
        <v>1.1039160953550493</v>
      </c>
      <c r="X5121" s="2">
        <f ca="1"/>
        <v>61.502002671835086</v>
      </c>
      <c r="AG5121" s="2">
        <f ca="1"/>
        <v>0.72288520884781193</v>
      </c>
      <c r="AH5121" s="2" t="str">
        <f ca="1"/>
        <v>Bad</v>
      </c>
    </row>
    <row r="5122" spans="2:34" x14ac:dyDescent="0.2">
      <c r="B5122" s="2">
        <f ca="1"/>
        <v>0.35961194344144332</v>
      </c>
      <c r="O5122" s="2">
        <f ca="1"/>
        <v>0.2828628257261967</v>
      </c>
      <c r="X5122" s="2">
        <f ca="1"/>
        <v>75.199394200680217</v>
      </c>
      <c r="AG5122" s="2">
        <f ca="1"/>
        <v>0.30117571784726693</v>
      </c>
      <c r="AH5122" s="2" t="str">
        <f ca="1"/>
        <v>OK</v>
      </c>
    </row>
    <row r="5123" spans="2:34" x14ac:dyDescent="0.2">
      <c r="B5123" s="2">
        <f ca="1"/>
        <v>0.92855187109738502</v>
      </c>
      <c r="O5123" s="2">
        <f ca="1"/>
        <v>-0.93600210691500685</v>
      </c>
      <c r="X5123" s="2">
        <f ca="1"/>
        <v>54.08971752461931</v>
      </c>
      <c r="AG5123" s="2">
        <f ca="1"/>
        <v>0.87416503472946561</v>
      </c>
      <c r="AH5123" s="2" t="str">
        <f ca="1"/>
        <v>Bad</v>
      </c>
    </row>
    <row r="5124" spans="2:34" x14ac:dyDescent="0.2">
      <c r="B5124" s="2">
        <f ca="1"/>
        <v>0.62895392877946121</v>
      </c>
      <c r="O5124" s="2">
        <f ca="1"/>
        <v>1.6065616058111283</v>
      </c>
      <c r="X5124" s="2">
        <f ca="1"/>
        <v>34.614362366762677</v>
      </c>
      <c r="AG5124" s="2">
        <f ca="1"/>
        <v>0.88298676489533223</v>
      </c>
      <c r="AH5124" s="2" t="str">
        <f ca="1"/>
        <v>Bad</v>
      </c>
    </row>
    <row r="5125" spans="2:34" x14ac:dyDescent="0.2">
      <c r="B5125" s="2">
        <f ca="1"/>
        <v>0.84174720937733927</v>
      </c>
      <c r="O5125" s="2">
        <f ca="1"/>
        <v>-1.3613196582403673</v>
      </c>
      <c r="X5125" s="2">
        <f ca="1"/>
        <v>57.97959708104522</v>
      </c>
      <c r="AG5125" s="2">
        <f ca="1"/>
        <v>0.99046007566687688</v>
      </c>
      <c r="AH5125" s="2" t="str">
        <f ca="1"/>
        <v>Bad</v>
      </c>
    </row>
    <row r="5126" spans="2:34" x14ac:dyDescent="0.2">
      <c r="B5126" s="2">
        <f ca="1"/>
        <v>0.53114978719857531</v>
      </c>
      <c r="O5126" s="2">
        <f ca="1"/>
        <v>-1.0396010482669493</v>
      </c>
      <c r="X5126" s="2">
        <f ca="1"/>
        <v>39.570527212558289</v>
      </c>
      <c r="AG5126" s="2">
        <f ca="1"/>
        <v>0.12079943885280886</v>
      </c>
      <c r="AH5126" s="2" t="str">
        <f ca="1"/>
        <v>OK</v>
      </c>
    </row>
    <row r="5127" spans="2:34" x14ac:dyDescent="0.2">
      <c r="B5127" s="2">
        <f ca="1"/>
        <v>0.64025629124865358</v>
      </c>
      <c r="O5127" s="2">
        <f ca="1"/>
        <v>1.8478158957299287</v>
      </c>
      <c r="X5127" s="2">
        <f ca="1"/>
        <v>66.554243984364717</v>
      </c>
      <c r="AG5127" s="2">
        <f ca="1"/>
        <v>9.0989135826861078E-2</v>
      </c>
      <c r="AH5127" s="2" t="str">
        <f ca="1"/>
        <v>OK</v>
      </c>
    </row>
    <row r="5128" spans="2:34" x14ac:dyDescent="0.2">
      <c r="B5128" s="2">
        <f ca="1"/>
        <v>0.29724417286666127</v>
      </c>
      <c r="O5128" s="2">
        <f ca="1"/>
        <v>0.36368674753825458</v>
      </c>
      <c r="X5128" s="2">
        <f ca="1"/>
        <v>46.567760692905452</v>
      </c>
      <c r="AG5128" s="2">
        <f ca="1"/>
        <v>0.43144014838277944</v>
      </c>
      <c r="AH5128" s="2" t="str">
        <f ca="1"/>
        <v>Bad</v>
      </c>
    </row>
    <row r="5129" spans="2:34" x14ac:dyDescent="0.2">
      <c r="B5129" s="2">
        <f ca="1"/>
        <v>0.84988626669560841</v>
      </c>
      <c r="O5129" s="2">
        <f ca="1"/>
        <v>-0.54298128349951269</v>
      </c>
      <c r="X5129" s="2">
        <f ca="1"/>
        <v>74.475101039135637</v>
      </c>
      <c r="AG5129" s="2">
        <f ca="1"/>
        <v>3.2519167918214853E-2</v>
      </c>
      <c r="AH5129" s="2" t="str">
        <f ca="1"/>
        <v>Good</v>
      </c>
    </row>
    <row r="5130" spans="2:34" x14ac:dyDescent="0.2">
      <c r="B5130" s="2">
        <f ca="1"/>
        <v>0.67191576376686646</v>
      </c>
      <c r="O5130" s="2">
        <f ca="1"/>
        <v>0.26938023972099867</v>
      </c>
      <c r="X5130" s="2">
        <f ca="1"/>
        <v>39.391406463283566</v>
      </c>
      <c r="AG5130" s="2">
        <f ca="1"/>
        <v>0.14132944588657748</v>
      </c>
      <c r="AH5130" s="2" t="str">
        <f ca="1"/>
        <v>OK</v>
      </c>
    </row>
    <row r="5131" spans="2:34" x14ac:dyDescent="0.2">
      <c r="B5131" s="2">
        <f ca="1"/>
        <v>0.83076736003460683</v>
      </c>
      <c r="O5131" s="2">
        <f ca="1"/>
        <v>-0.59933119904452681</v>
      </c>
      <c r="X5131" s="2">
        <f ca="1"/>
        <v>28.993810786541911</v>
      </c>
      <c r="AG5131" s="2">
        <f ca="1"/>
        <v>0.11529118299564711</v>
      </c>
      <c r="AH5131" s="2" t="str">
        <f ca="1"/>
        <v>OK</v>
      </c>
    </row>
    <row r="5132" spans="2:34" x14ac:dyDescent="0.2">
      <c r="B5132" s="2">
        <f ca="1"/>
        <v>2.2366941412961028E-2</v>
      </c>
      <c r="O5132" s="2">
        <f ca="1"/>
        <v>-0.69144818918814166</v>
      </c>
      <c r="X5132" s="2">
        <f ca="1"/>
        <v>49.083215832457718</v>
      </c>
      <c r="AG5132" s="2">
        <f ca="1"/>
        <v>0.32523227265673404</v>
      </c>
      <c r="AH5132" s="2" t="str">
        <f ca="1"/>
        <v>OK</v>
      </c>
    </row>
    <row r="5133" spans="2:34" x14ac:dyDescent="0.2">
      <c r="B5133" s="2">
        <f ca="1"/>
        <v>0.401922857686283</v>
      </c>
      <c r="O5133" s="2">
        <f ca="1"/>
        <v>-7.0088302495313115E-2</v>
      </c>
      <c r="X5133" s="2">
        <f ca="1"/>
        <v>70.653459911714222</v>
      </c>
      <c r="AG5133" s="2">
        <f ca="1"/>
        <v>0.84610378389558405</v>
      </c>
      <c r="AH5133" s="2" t="str">
        <f ca="1"/>
        <v>Bad</v>
      </c>
    </row>
    <row r="5134" spans="2:34" x14ac:dyDescent="0.2">
      <c r="B5134" s="2">
        <f ca="1"/>
        <v>0.48697213118694926</v>
      </c>
      <c r="O5134" s="2">
        <f ca="1"/>
        <v>-1.1843358699634949</v>
      </c>
      <c r="X5134" s="2">
        <f ca="1"/>
        <v>51.742506103243677</v>
      </c>
      <c r="AG5134" s="2">
        <f ca="1"/>
        <v>0.4781595969359953</v>
      </c>
      <c r="AH5134" s="2" t="str">
        <f ca="1"/>
        <v>Bad</v>
      </c>
    </row>
    <row r="5135" spans="2:34" x14ac:dyDescent="0.2">
      <c r="B5135" s="2">
        <f ca="1"/>
        <v>0.22906051406879002</v>
      </c>
      <c r="O5135" s="2">
        <f ca="1"/>
        <v>-0.30120554115579595</v>
      </c>
      <c r="X5135" s="2">
        <f ca="1"/>
        <v>41.521954938572925</v>
      </c>
      <c r="AG5135" s="2">
        <f ca="1"/>
        <v>0.22807883961644193</v>
      </c>
      <c r="AH5135" s="2" t="str">
        <f ca="1"/>
        <v>OK</v>
      </c>
    </row>
    <row r="5136" spans="2:34" x14ac:dyDescent="0.2">
      <c r="B5136" s="2">
        <f ca="1"/>
        <v>0.18003092882610217</v>
      </c>
      <c r="O5136" s="2">
        <f ca="1"/>
        <v>0.43860278431548333</v>
      </c>
      <c r="X5136" s="2">
        <f ca="1"/>
        <v>29.59801368245753</v>
      </c>
      <c r="AG5136" s="2">
        <f ca="1"/>
        <v>0.35810431184729974</v>
      </c>
      <c r="AH5136" s="2" t="str">
        <f ca="1"/>
        <v>OK</v>
      </c>
    </row>
    <row r="5137" spans="2:34" x14ac:dyDescent="0.2">
      <c r="B5137" s="2">
        <f ca="1"/>
        <v>0.14055898796631383</v>
      </c>
      <c r="O5137" s="2">
        <f ca="1"/>
        <v>-1.0832609637098629</v>
      </c>
      <c r="X5137" s="2">
        <f ca="1"/>
        <v>44.523639806452081</v>
      </c>
      <c r="AG5137" s="2">
        <f ca="1"/>
        <v>1.3765622945853373E-2</v>
      </c>
      <c r="AH5137" s="2" t="str">
        <f ca="1"/>
        <v>Good</v>
      </c>
    </row>
    <row r="5138" spans="2:34" x14ac:dyDescent="0.2">
      <c r="B5138" s="2">
        <f ca="1"/>
        <v>0.84884292047160392</v>
      </c>
      <c r="O5138" s="2">
        <f ca="1"/>
        <v>1.1065994474387857</v>
      </c>
      <c r="X5138" s="2">
        <f ca="1"/>
        <v>81.813262067917407</v>
      </c>
      <c r="AG5138" s="2">
        <f ca="1"/>
        <v>0.78921015499176295</v>
      </c>
      <c r="AH5138" s="2" t="str">
        <f ca="1"/>
        <v>Bad</v>
      </c>
    </row>
    <row r="5139" spans="2:34" x14ac:dyDescent="0.2">
      <c r="B5139" s="2">
        <f ca="1"/>
        <v>0.58240321123998617</v>
      </c>
      <c r="O5139" s="2">
        <f ca="1"/>
        <v>-9.9618974568511029E-2</v>
      </c>
      <c r="X5139" s="2">
        <f ca="1"/>
        <v>33.307522503616568</v>
      </c>
      <c r="AG5139" s="2">
        <f ca="1"/>
        <v>5.5417661061050838E-2</v>
      </c>
      <c r="AH5139" s="2" t="str">
        <f ca="1"/>
        <v>OK</v>
      </c>
    </row>
    <row r="5140" spans="2:34" x14ac:dyDescent="0.2">
      <c r="B5140" s="2">
        <f ca="1"/>
        <v>0.91076110399619958</v>
      </c>
      <c r="O5140" s="2">
        <f ca="1"/>
        <v>0.34562629950390505</v>
      </c>
      <c r="X5140" s="2">
        <f ca="1"/>
        <v>48.312765047057994</v>
      </c>
      <c r="AG5140" s="2">
        <f ca="1"/>
        <v>0.72045215725484257</v>
      </c>
      <c r="AH5140" s="2" t="str">
        <f ca="1"/>
        <v>Bad</v>
      </c>
    </row>
    <row r="5141" spans="2:34" x14ac:dyDescent="0.2">
      <c r="B5141" s="2">
        <f ca="1"/>
        <v>0.34750719471342273</v>
      </c>
      <c r="O5141" s="2">
        <f ca="1"/>
        <v>0.91060985076201573</v>
      </c>
      <c r="X5141" s="2">
        <f ca="1"/>
        <v>35.417105812709202</v>
      </c>
      <c r="AG5141" s="2">
        <f ca="1"/>
        <v>6.7552236410779454E-3</v>
      </c>
      <c r="AH5141" s="2" t="str">
        <f ca="1"/>
        <v>Good</v>
      </c>
    </row>
    <row r="5142" spans="2:34" x14ac:dyDescent="0.2">
      <c r="B5142" s="2">
        <f ca="1"/>
        <v>0.95156571150712921</v>
      </c>
      <c r="O5142" s="2">
        <f ca="1"/>
        <v>1.4535818444290385</v>
      </c>
      <c r="X5142" s="2">
        <f ca="1"/>
        <v>44.937215948137663</v>
      </c>
      <c r="AG5142" s="2">
        <f ca="1"/>
        <v>0.90104717002869639</v>
      </c>
      <c r="AH5142" s="2" t="str">
        <f ca="1"/>
        <v>Bad</v>
      </c>
    </row>
    <row r="5143" spans="2:34" x14ac:dyDescent="0.2">
      <c r="B5143" s="2">
        <f ca="1"/>
        <v>0.30889932207118953</v>
      </c>
      <c r="O5143" s="2">
        <f ca="1"/>
        <v>0.70657932849584681</v>
      </c>
      <c r="X5143" s="2">
        <f ca="1"/>
        <v>27.371402908412822</v>
      </c>
      <c r="AG5143" s="2">
        <f ca="1"/>
        <v>0.74191864269928787</v>
      </c>
      <c r="AH5143" s="2" t="str">
        <f ca="1"/>
        <v>Bad</v>
      </c>
    </row>
    <row r="5144" spans="2:34" x14ac:dyDescent="0.2">
      <c r="B5144" s="2">
        <f ca="1"/>
        <v>0.51830963240553007</v>
      </c>
      <c r="O5144" s="2">
        <f ca="1"/>
        <v>-1.1189338354954159</v>
      </c>
      <c r="X5144" s="2">
        <f ca="1"/>
        <v>29.52403616512904</v>
      </c>
      <c r="AG5144" s="2">
        <f ca="1"/>
        <v>0.21227020120920415</v>
      </c>
      <c r="AH5144" s="2" t="str">
        <f ca="1"/>
        <v>OK</v>
      </c>
    </row>
    <row r="5145" spans="2:34" x14ac:dyDescent="0.2">
      <c r="B5145" s="2">
        <f ca="1"/>
        <v>0.75208552223970049</v>
      </c>
      <c r="O5145" s="2">
        <f ca="1"/>
        <v>1.9583532617987232E-2</v>
      </c>
      <c r="X5145" s="2">
        <f ca="1"/>
        <v>30.225983702025452</v>
      </c>
      <c r="AG5145" s="2">
        <f ca="1"/>
        <v>0.20651595474740314</v>
      </c>
      <c r="AH5145" s="2" t="str">
        <f ca="1"/>
        <v>OK</v>
      </c>
    </row>
    <row r="5146" spans="2:34" x14ac:dyDescent="0.2">
      <c r="B5146" s="2">
        <f ca="1"/>
        <v>0.52126836674292187</v>
      </c>
      <c r="O5146" s="2">
        <f ca="1"/>
        <v>0.51177944886420812</v>
      </c>
      <c r="X5146" s="2">
        <f ca="1"/>
        <v>63.96526172440921</v>
      </c>
      <c r="AG5146" s="2">
        <f ca="1"/>
        <v>0.84912338024130651</v>
      </c>
      <c r="AH5146" s="2" t="str">
        <f ca="1"/>
        <v>Bad</v>
      </c>
    </row>
    <row r="5147" spans="2:34" x14ac:dyDescent="0.2">
      <c r="B5147" s="2">
        <f ca="1"/>
        <v>0.96636265364144114</v>
      </c>
      <c r="O5147" s="2">
        <f ca="1"/>
        <v>0.29819637387436931</v>
      </c>
      <c r="X5147" s="2">
        <f ca="1"/>
        <v>50.891112650828788</v>
      </c>
      <c r="AG5147" s="2">
        <f ca="1"/>
        <v>0.86663075118573052</v>
      </c>
      <c r="AH5147" s="2" t="str">
        <f ca="1"/>
        <v>Bad</v>
      </c>
    </row>
    <row r="5148" spans="2:34" x14ac:dyDescent="0.2">
      <c r="B5148" s="2">
        <f ca="1"/>
        <v>0.22795261871783423</v>
      </c>
      <c r="O5148" s="2">
        <f ca="1"/>
        <v>-2.2636341738623336</v>
      </c>
      <c r="X5148" s="2">
        <f ca="1"/>
        <v>88.644397822733936</v>
      </c>
      <c r="AG5148" s="2">
        <f ca="1"/>
        <v>0.88612897242980049</v>
      </c>
      <c r="AH5148" s="2" t="str">
        <f ca="1"/>
        <v>Bad</v>
      </c>
    </row>
    <row r="5149" spans="2:34" x14ac:dyDescent="0.2">
      <c r="B5149" s="2">
        <f ca="1"/>
        <v>0.52532799549840981</v>
      </c>
      <c r="O5149" s="2">
        <f ca="1"/>
        <v>-0.4582810176475417</v>
      </c>
      <c r="X5149" s="2">
        <f ca="1"/>
        <v>53.052966947919522</v>
      </c>
      <c r="AG5149" s="2">
        <f ca="1"/>
        <v>0.32888053359291991</v>
      </c>
      <c r="AH5149" s="2" t="str">
        <f ca="1"/>
        <v>OK</v>
      </c>
    </row>
    <row r="5150" spans="2:34" x14ac:dyDescent="0.2">
      <c r="B5150" s="2">
        <f ca="1"/>
        <v>0.75217173805205495</v>
      </c>
      <c r="O5150" s="2">
        <f ca="1"/>
        <v>-0.54235659727662622</v>
      </c>
      <c r="X5150" s="2">
        <f ca="1"/>
        <v>35.329300669126468</v>
      </c>
      <c r="AG5150" s="2">
        <f ca="1"/>
        <v>0.57712169508365174</v>
      </c>
      <c r="AH5150" s="2" t="str">
        <f ca="1"/>
        <v>Bad</v>
      </c>
    </row>
    <row r="5151" spans="2:34" x14ac:dyDescent="0.2">
      <c r="B5151" s="2">
        <f ca="1"/>
        <v>0.53954821721071711</v>
      </c>
      <c r="O5151" s="2">
        <f ca="1"/>
        <v>1.1309360154059556</v>
      </c>
      <c r="X5151" s="2">
        <f ca="1"/>
        <v>39.493882957456627</v>
      </c>
      <c r="AG5151" s="2">
        <f ca="1"/>
        <v>0.36653261266193993</v>
      </c>
      <c r="AH5151" s="2" t="str">
        <f ca="1"/>
        <v>OK</v>
      </c>
    </row>
    <row r="5152" spans="2:34" x14ac:dyDescent="0.2">
      <c r="B5152" s="2">
        <f ca="1"/>
        <v>0.50723096081352992</v>
      </c>
      <c r="O5152" s="2">
        <f ca="1"/>
        <v>1.4588977966663252</v>
      </c>
      <c r="X5152" s="2">
        <f ca="1"/>
        <v>66.617709674131532</v>
      </c>
      <c r="AG5152" s="2">
        <f ca="1"/>
        <v>0.68736848136261042</v>
      </c>
      <c r="AH5152" s="2" t="str">
        <f ca="1"/>
        <v>Bad</v>
      </c>
    </row>
    <row r="5153" spans="2:34" x14ac:dyDescent="0.2">
      <c r="B5153" s="2">
        <f ca="1"/>
        <v>0.50942806838020593</v>
      </c>
      <c r="O5153" s="2">
        <f ca="1"/>
        <v>0.57163610268266118</v>
      </c>
      <c r="X5153" s="2">
        <f ca="1"/>
        <v>34.282828313437008</v>
      </c>
      <c r="AG5153" s="2">
        <f ca="1"/>
        <v>0.91370405003939537</v>
      </c>
      <c r="AH5153" s="2" t="str">
        <f ca="1"/>
        <v>Bad</v>
      </c>
    </row>
    <row r="5154" spans="2:34" x14ac:dyDescent="0.2">
      <c r="B5154" s="2">
        <f ca="1"/>
        <v>0.72871803848286043</v>
      </c>
      <c r="O5154" s="2">
        <f ca="1"/>
        <v>0.46334723572167913</v>
      </c>
      <c r="X5154" s="2">
        <f ca="1"/>
        <v>64.988112861122218</v>
      </c>
      <c r="AG5154" s="2">
        <f ca="1"/>
        <v>0.64722899183851612</v>
      </c>
      <c r="AH5154" s="2" t="str">
        <f ca="1"/>
        <v>Bad</v>
      </c>
    </row>
    <row r="5155" spans="2:34" x14ac:dyDescent="0.2">
      <c r="B5155" s="2">
        <f ca="1"/>
        <v>0.80395817626531074</v>
      </c>
      <c r="O5155" s="2">
        <f ca="1"/>
        <v>0.68507685492329751</v>
      </c>
      <c r="X5155" s="2">
        <f ca="1"/>
        <v>69.078536206576302</v>
      </c>
      <c r="AG5155" s="2">
        <f ca="1"/>
        <v>0.56798091550857266</v>
      </c>
      <c r="AH5155" s="2" t="str">
        <f ca="1"/>
        <v>Bad</v>
      </c>
    </row>
    <row r="5156" spans="2:34" x14ac:dyDescent="0.2">
      <c r="B5156" s="2">
        <f ca="1"/>
        <v>0.75857714036647561</v>
      </c>
      <c r="O5156" s="2">
        <f ca="1"/>
        <v>-0.1618061016450055</v>
      </c>
      <c r="X5156" s="2">
        <f ca="1"/>
        <v>54.710540371447742</v>
      </c>
      <c r="AG5156" s="2">
        <f ca="1"/>
        <v>0.594361812127707</v>
      </c>
      <c r="AH5156" s="2" t="str">
        <f ca="1"/>
        <v>Bad</v>
      </c>
    </row>
    <row r="5157" spans="2:34" x14ac:dyDescent="0.2">
      <c r="B5157" s="2">
        <f ca="1"/>
        <v>0.42037894906414208</v>
      </c>
      <c r="O5157" s="2">
        <f ca="1"/>
        <v>-1.2485684685785376</v>
      </c>
      <c r="X5157" s="2">
        <f ca="1"/>
        <v>91.061152490856117</v>
      </c>
      <c r="AG5157" s="2">
        <f ca="1"/>
        <v>0.53316373736631806</v>
      </c>
      <c r="AH5157" s="2" t="str">
        <f ca="1"/>
        <v>Bad</v>
      </c>
    </row>
    <row r="5158" spans="2:34" x14ac:dyDescent="0.2">
      <c r="B5158" s="2">
        <f ca="1"/>
        <v>0.61858222268256702</v>
      </c>
      <c r="O5158" s="2">
        <f ca="1"/>
        <v>-1.42946111919911</v>
      </c>
      <c r="X5158" s="2">
        <f ca="1"/>
        <v>64.794470912298394</v>
      </c>
      <c r="AG5158" s="2">
        <f ca="1"/>
        <v>0.91093622405963215</v>
      </c>
      <c r="AH5158" s="2" t="str">
        <f ca="1"/>
        <v>Bad</v>
      </c>
    </row>
    <row r="5159" spans="2:34" x14ac:dyDescent="0.2">
      <c r="B5159" s="2">
        <f ca="1"/>
        <v>0.35704099400757672</v>
      </c>
      <c r="O5159" s="2">
        <f ca="1"/>
        <v>-1.2342872613946654</v>
      </c>
      <c r="X5159" s="2">
        <f ca="1"/>
        <v>41.754653548117162</v>
      </c>
      <c r="AG5159" s="2">
        <f ca="1"/>
        <v>0.75070438458831257</v>
      </c>
      <c r="AH5159" s="2" t="str">
        <f ca="1"/>
        <v>Bad</v>
      </c>
    </row>
    <row r="5160" spans="2:34" x14ac:dyDescent="0.2">
      <c r="B5160" s="2">
        <f ca="1"/>
        <v>0.98141815572855307</v>
      </c>
      <c r="O5160" s="2">
        <f ca="1"/>
        <v>-0.39494320765634655</v>
      </c>
      <c r="X5160" s="2">
        <f ca="1"/>
        <v>63.426633234024088</v>
      </c>
      <c r="AG5160" s="2">
        <f ca="1"/>
        <v>0.49173820139684254</v>
      </c>
      <c r="AH5160" s="2" t="str">
        <f ca="1"/>
        <v>Bad</v>
      </c>
    </row>
    <row r="5161" spans="2:34" x14ac:dyDescent="0.2">
      <c r="B5161" s="2">
        <f ca="1"/>
        <v>2.3246901473268577E-2</v>
      </c>
      <c r="O5161" s="2">
        <f ca="1"/>
        <v>0.37374200612086278</v>
      </c>
      <c r="X5161" s="2">
        <f ca="1"/>
        <v>48.888220992749069</v>
      </c>
      <c r="AG5161" s="2">
        <f ca="1"/>
        <v>0.81725817276025658</v>
      </c>
      <c r="AH5161" s="2" t="str">
        <f ca="1"/>
        <v>Bad</v>
      </c>
    </row>
    <row r="5162" spans="2:34" x14ac:dyDescent="0.2">
      <c r="B5162" s="2">
        <f ca="1"/>
        <v>0.31029429953479903</v>
      </c>
      <c r="O5162" s="2">
        <f ca="1"/>
        <v>2.5075760688196649</v>
      </c>
      <c r="X5162" s="2">
        <f ca="1"/>
        <v>46.50855927184157</v>
      </c>
      <c r="AG5162" s="2">
        <f ca="1"/>
        <v>0.29208134977517464</v>
      </c>
      <c r="AH5162" s="2" t="str">
        <f ca="1"/>
        <v>OK</v>
      </c>
    </row>
    <row r="5163" spans="2:34" x14ac:dyDescent="0.2">
      <c r="B5163" s="2">
        <f ca="1"/>
        <v>0.37699782259321646</v>
      </c>
      <c r="O5163" s="2">
        <f ca="1"/>
        <v>0.63211387198664137</v>
      </c>
      <c r="X5163" s="2">
        <f ca="1"/>
        <v>43.588054150619143</v>
      </c>
      <c r="AG5163" s="2">
        <f ca="1"/>
        <v>0.99278397897851645</v>
      </c>
      <c r="AH5163" s="2" t="str">
        <f ca="1"/>
        <v>Bad</v>
      </c>
    </row>
    <row r="5164" spans="2:34" x14ac:dyDescent="0.2">
      <c r="B5164" s="2">
        <f ca="1"/>
        <v>0.53803664176361021</v>
      </c>
      <c r="O5164" s="2">
        <f ca="1"/>
        <v>1.1511262738363612</v>
      </c>
      <c r="X5164" s="2">
        <f ca="1"/>
        <v>17.893533740729225</v>
      </c>
      <c r="AG5164" s="2">
        <f ca="1"/>
        <v>0.48934402248337761</v>
      </c>
      <c r="AH5164" s="2" t="str">
        <f ca="1"/>
        <v>Bad</v>
      </c>
    </row>
    <row r="5165" spans="2:34" x14ac:dyDescent="0.2">
      <c r="B5165" s="2">
        <f ca="1"/>
        <v>0.41036798348341819</v>
      </c>
      <c r="O5165" s="2">
        <f ca="1"/>
        <v>0.70039201405633622</v>
      </c>
      <c r="X5165" s="2">
        <f ca="1"/>
        <v>81.323917448691589</v>
      </c>
      <c r="AG5165" s="2">
        <f ca="1"/>
        <v>0.9147142437264375</v>
      </c>
      <c r="AH5165" s="2" t="str">
        <f ca="1"/>
        <v>Bad</v>
      </c>
    </row>
    <row r="5166" spans="2:34" x14ac:dyDescent="0.2">
      <c r="B5166" s="2">
        <f ca="1"/>
        <v>0.89515601592927685</v>
      </c>
      <c r="O5166" s="2">
        <f ca="1"/>
        <v>-1.2973563418113294</v>
      </c>
      <c r="X5166" s="2">
        <f ca="1"/>
        <v>34.980794592337659</v>
      </c>
      <c r="AG5166" s="2">
        <f ca="1"/>
        <v>0.27248664881777573</v>
      </c>
      <c r="AH5166" s="2" t="str">
        <f ca="1"/>
        <v>OK</v>
      </c>
    </row>
    <row r="5167" spans="2:34" x14ac:dyDescent="0.2">
      <c r="B5167" s="2">
        <f ca="1"/>
        <v>0.19028251141879649</v>
      </c>
      <c r="O5167" s="2">
        <f ca="1"/>
        <v>-0.34325476341353184</v>
      </c>
      <c r="X5167" s="2">
        <f ca="1"/>
        <v>76.399622983118874</v>
      </c>
      <c r="AG5167" s="2">
        <f ca="1"/>
        <v>0.51024744756838913</v>
      </c>
      <c r="AH5167" s="2" t="str">
        <f ca="1"/>
        <v>Bad</v>
      </c>
    </row>
    <row r="5168" spans="2:34" x14ac:dyDescent="0.2">
      <c r="B5168" s="2">
        <f ca="1"/>
        <v>0.94154303690711116</v>
      </c>
      <c r="O5168" s="2">
        <f ca="1"/>
        <v>-0.62116256713850804</v>
      </c>
      <c r="X5168" s="2">
        <f ca="1"/>
        <v>59.60572561977304</v>
      </c>
      <c r="AG5168" s="2">
        <f ca="1"/>
        <v>0.94519665421931531</v>
      </c>
      <c r="AH5168" s="2" t="str">
        <f ca="1"/>
        <v>Bad</v>
      </c>
    </row>
    <row r="5169" spans="2:34" x14ac:dyDescent="0.2">
      <c r="B5169" s="2">
        <f ca="1"/>
        <v>0.89254796734031472</v>
      </c>
      <c r="O5169" s="2">
        <f ca="1"/>
        <v>-1.0365779120041478</v>
      </c>
      <c r="X5169" s="2">
        <f ca="1"/>
        <v>60.869598217549353</v>
      </c>
      <c r="AG5169" s="2">
        <f ca="1"/>
        <v>0.90658431295270114</v>
      </c>
      <c r="AH5169" s="2" t="str">
        <f ca="1"/>
        <v>Bad</v>
      </c>
    </row>
    <row r="5170" spans="2:34" x14ac:dyDescent="0.2">
      <c r="B5170" s="2">
        <f ca="1"/>
        <v>0.56171602774904295</v>
      </c>
      <c r="O5170" s="2">
        <f ca="1"/>
        <v>0.4114897146008431</v>
      </c>
      <c r="X5170" s="2">
        <f ca="1"/>
        <v>42.729089438865969</v>
      </c>
      <c r="AG5170" s="2">
        <f ca="1"/>
        <v>0.1114300321377184</v>
      </c>
      <c r="AH5170" s="2" t="str">
        <f ca="1"/>
        <v>OK</v>
      </c>
    </row>
    <row r="5171" spans="2:34" x14ac:dyDescent="0.2">
      <c r="B5171" s="2">
        <f ca="1"/>
        <v>0.82649912783037727</v>
      </c>
      <c r="O5171" s="2">
        <f ca="1"/>
        <v>0.58190156109651059</v>
      </c>
      <c r="X5171" s="2">
        <f ca="1"/>
        <v>40.067757409993625</v>
      </c>
      <c r="AG5171" s="2">
        <f ca="1"/>
        <v>0.55827743678104613</v>
      </c>
      <c r="AH5171" s="2" t="str">
        <f ca="1"/>
        <v>Bad</v>
      </c>
    </row>
    <row r="5172" spans="2:34" x14ac:dyDescent="0.2">
      <c r="B5172" s="2">
        <f ca="1"/>
        <v>0.97071118611867346</v>
      </c>
      <c r="O5172" s="2">
        <f ca="1"/>
        <v>-0.81023730358075285</v>
      </c>
      <c r="X5172" s="2">
        <f ca="1"/>
        <v>50.174908525773169</v>
      </c>
      <c r="AG5172" s="2">
        <f ca="1"/>
        <v>4.5199843368559423E-2</v>
      </c>
      <c r="AH5172" s="2" t="str">
        <f ca="1"/>
        <v>Good</v>
      </c>
    </row>
    <row r="5173" spans="2:34" x14ac:dyDescent="0.2">
      <c r="B5173" s="2">
        <f ca="1"/>
        <v>0.89065748644929532</v>
      </c>
      <c r="O5173" s="2">
        <f ca="1"/>
        <v>0.35425547247827371</v>
      </c>
      <c r="X5173" s="2">
        <f ca="1"/>
        <v>39.24014036965761</v>
      </c>
      <c r="AG5173" s="2">
        <f ca="1"/>
        <v>0.29548933300828462</v>
      </c>
      <c r="AH5173" s="2" t="str">
        <f ca="1"/>
        <v>OK</v>
      </c>
    </row>
    <row r="5174" spans="2:34" x14ac:dyDescent="0.2">
      <c r="B5174" s="2">
        <f ca="1"/>
        <v>0.7758138079144008</v>
      </c>
      <c r="O5174" s="2">
        <f ca="1"/>
        <v>-1.2646526337333095</v>
      </c>
      <c r="X5174" s="2">
        <f ca="1"/>
        <v>88.453439605996181</v>
      </c>
      <c r="AG5174" s="2">
        <f ca="1"/>
        <v>0.93726934783092841</v>
      </c>
      <c r="AH5174" s="2" t="str">
        <f ca="1"/>
        <v>Bad</v>
      </c>
    </row>
    <row r="5175" spans="2:34" x14ac:dyDescent="0.2">
      <c r="B5175" s="2">
        <f ca="1"/>
        <v>8.8191328276232994E-2</v>
      </c>
      <c r="O5175" s="2">
        <f ca="1"/>
        <v>1.218670200301498</v>
      </c>
      <c r="X5175" s="2">
        <f ca="1"/>
        <v>39.145261358005513</v>
      </c>
      <c r="AG5175" s="2">
        <f ca="1"/>
        <v>0.36531003220735547</v>
      </c>
      <c r="AH5175" s="2" t="str">
        <f ca="1"/>
        <v>OK</v>
      </c>
    </row>
    <row r="5176" spans="2:34" x14ac:dyDescent="0.2">
      <c r="B5176" s="2">
        <f ca="1"/>
        <v>0.56069286863998324</v>
      </c>
      <c r="O5176" s="2">
        <f ca="1"/>
        <v>-9.142372229264363E-2</v>
      </c>
      <c r="X5176" s="2">
        <f ca="1"/>
        <v>37.259272401355744</v>
      </c>
      <c r="AG5176" s="2">
        <f ca="1"/>
        <v>0.24640664956530589</v>
      </c>
      <c r="AH5176" s="2" t="str">
        <f ca="1"/>
        <v>OK</v>
      </c>
    </row>
    <row r="5177" spans="2:34" x14ac:dyDescent="0.2">
      <c r="B5177" s="2">
        <f ca="1"/>
        <v>0.47644168890135985</v>
      </c>
      <c r="O5177" s="2">
        <f ca="1"/>
        <v>-0.1654088932219891</v>
      </c>
      <c r="X5177" s="2">
        <f ca="1"/>
        <v>83.228278488880846</v>
      </c>
      <c r="AG5177" s="2">
        <f ca="1"/>
        <v>0.99666677339706866</v>
      </c>
      <c r="AH5177" s="2" t="str">
        <f ca="1"/>
        <v>Bad</v>
      </c>
    </row>
    <row r="5178" spans="2:34" x14ac:dyDescent="0.2">
      <c r="B5178" s="2">
        <f ca="1"/>
        <v>0.43961415116493541</v>
      </c>
      <c r="O5178" s="2">
        <f ca="1"/>
        <v>0.27380948950815354</v>
      </c>
      <c r="X5178" s="2">
        <f ca="1"/>
        <v>17.696890864645063</v>
      </c>
      <c r="AG5178" s="2">
        <f ca="1"/>
        <v>0.54826309545752849</v>
      </c>
      <c r="AH5178" s="2" t="str">
        <f ca="1"/>
        <v>Bad</v>
      </c>
    </row>
    <row r="5179" spans="2:34" x14ac:dyDescent="0.2">
      <c r="B5179" s="2">
        <f ca="1"/>
        <v>0.12827799980744858</v>
      </c>
      <c r="O5179" s="2">
        <f ca="1"/>
        <v>-1.1024670459554524</v>
      </c>
      <c r="X5179" s="2">
        <f ca="1"/>
        <v>35.287252663797013</v>
      </c>
      <c r="AG5179" s="2">
        <f ca="1"/>
        <v>0.74082312841756881</v>
      </c>
      <c r="AH5179" s="2" t="str">
        <f ca="1"/>
        <v>Bad</v>
      </c>
    </row>
    <row r="5180" spans="2:34" x14ac:dyDescent="0.2">
      <c r="B5180" s="2">
        <f ca="1"/>
        <v>0.71472836122829819</v>
      </c>
      <c r="O5180" s="2">
        <f ca="1"/>
        <v>-0.95996853616213751</v>
      </c>
      <c r="X5180" s="2">
        <f ca="1"/>
        <v>39.342130408368703</v>
      </c>
      <c r="AG5180" s="2">
        <f ca="1"/>
        <v>0.99603906437696343</v>
      </c>
      <c r="AH5180" s="2" t="str">
        <f ca="1"/>
        <v>Bad</v>
      </c>
    </row>
    <row r="5181" spans="2:34" x14ac:dyDescent="0.2">
      <c r="B5181" s="2">
        <f ca="1"/>
        <v>2.3244880311263039E-2</v>
      </c>
      <c r="O5181" s="2">
        <f ca="1"/>
        <v>0.29682794450119765</v>
      </c>
      <c r="X5181" s="2">
        <f ca="1"/>
        <v>46.061389396201861</v>
      </c>
      <c r="AG5181" s="2">
        <f ca="1"/>
        <v>0.67027127930001629</v>
      </c>
      <c r="AH5181" s="2" t="str">
        <f ca="1"/>
        <v>Bad</v>
      </c>
    </row>
    <row r="5182" spans="2:34" x14ac:dyDescent="0.2">
      <c r="B5182" s="2">
        <f ca="1"/>
        <v>0.92292967818272742</v>
      </c>
      <c r="O5182" s="2">
        <f ca="1"/>
        <v>0.6029797566789874</v>
      </c>
      <c r="X5182" s="2">
        <f ca="1"/>
        <v>48.323939683872084</v>
      </c>
      <c r="AG5182" s="2">
        <f ca="1"/>
        <v>0.60669234398112759</v>
      </c>
      <c r="AH5182" s="2" t="str">
        <f ca="1"/>
        <v>Bad</v>
      </c>
    </row>
    <row r="5183" spans="2:34" x14ac:dyDescent="0.2">
      <c r="B5183" s="2">
        <f ca="1"/>
        <v>0.12036619168629037</v>
      </c>
      <c r="O5183" s="2">
        <f ca="1"/>
        <v>0.8050708749309875</v>
      </c>
      <c r="X5183" s="2">
        <f ca="1"/>
        <v>48.43074027757779</v>
      </c>
      <c r="AG5183" s="2">
        <f ca="1"/>
        <v>0.96578370018396908</v>
      </c>
      <c r="AH5183" s="2" t="str">
        <f ca="1"/>
        <v>Bad</v>
      </c>
    </row>
    <row r="5184" spans="2:34" x14ac:dyDescent="0.2">
      <c r="B5184" s="2">
        <f ca="1"/>
        <v>0.36322508556981425</v>
      </c>
      <c r="O5184" s="2">
        <f ca="1"/>
        <v>0.16668384302136868</v>
      </c>
      <c r="X5184" s="2">
        <f ca="1"/>
        <v>54.399212048031352</v>
      </c>
      <c r="AG5184" s="2">
        <f ca="1"/>
        <v>0.68405119991498231</v>
      </c>
      <c r="AH5184" s="2" t="str">
        <f ca="1"/>
        <v>Bad</v>
      </c>
    </row>
    <row r="5185" spans="2:34" x14ac:dyDescent="0.2">
      <c r="B5185" s="2">
        <f ca="1"/>
        <v>0.85612137623785367</v>
      </c>
      <c r="O5185" s="2">
        <f ca="1"/>
        <v>0.28467014906311322</v>
      </c>
      <c r="X5185" s="2">
        <f ca="1"/>
        <v>41.613240062529059</v>
      </c>
      <c r="AG5185" s="2">
        <f ca="1"/>
        <v>0.70292277035603568</v>
      </c>
      <c r="AH5185" s="2" t="str">
        <f ca="1"/>
        <v>Bad</v>
      </c>
    </row>
    <row r="5186" spans="2:34" x14ac:dyDescent="0.2">
      <c r="B5186" s="2">
        <f ca="1"/>
        <v>0.45712505620054178</v>
      </c>
      <c r="O5186" s="2">
        <f ca="1"/>
        <v>-1.4956931173905985</v>
      </c>
      <c r="X5186" s="2">
        <f ca="1"/>
        <v>27.592536726937993</v>
      </c>
      <c r="AG5186" s="2">
        <f ca="1"/>
        <v>0.77030981977074298</v>
      </c>
      <c r="AH5186" s="2" t="str">
        <f ca="1"/>
        <v>Bad</v>
      </c>
    </row>
    <row r="5187" spans="2:34" x14ac:dyDescent="0.2">
      <c r="B5187" s="2">
        <f ca="1"/>
        <v>0.38997145807301026</v>
      </c>
      <c r="O5187" s="2">
        <f ca="1"/>
        <v>1.6442918648601661</v>
      </c>
      <c r="X5187" s="2">
        <f ca="1"/>
        <v>35.344810247654792</v>
      </c>
      <c r="AG5187" s="2">
        <f ca="1"/>
        <v>0.27170206633235305</v>
      </c>
      <c r="AH5187" s="2" t="str">
        <f ca="1"/>
        <v>OK</v>
      </c>
    </row>
    <row r="5188" spans="2:34" x14ac:dyDescent="0.2">
      <c r="B5188" s="2">
        <f ca="1"/>
        <v>0.42505046867119556</v>
      </c>
      <c r="O5188" s="2">
        <f ca="1"/>
        <v>8.5086663383486791E-2</v>
      </c>
      <c r="X5188" s="2">
        <f ca="1"/>
        <v>22.108909277713003</v>
      </c>
      <c r="AG5188" s="2">
        <f ca="1"/>
        <v>5.9054472485327247E-2</v>
      </c>
      <c r="AH5188" s="2" t="str">
        <f ca="1"/>
        <v>OK</v>
      </c>
    </row>
    <row r="5189" spans="2:34" x14ac:dyDescent="0.2">
      <c r="B5189" s="2">
        <f ca="1"/>
        <v>0.20337720315372865</v>
      </c>
      <c r="O5189" s="2">
        <f ca="1"/>
        <v>-0.5454696223649308</v>
      </c>
      <c r="X5189" s="2">
        <f ca="1"/>
        <v>64.793561908107321</v>
      </c>
      <c r="AG5189" s="2">
        <f ca="1"/>
        <v>0.62435528485344727</v>
      </c>
      <c r="AH5189" s="2" t="str">
        <f ca="1"/>
        <v>Bad</v>
      </c>
    </row>
    <row r="5190" spans="2:34" x14ac:dyDescent="0.2">
      <c r="B5190" s="2">
        <f ca="1"/>
        <v>0.86181772272789559</v>
      </c>
      <c r="O5190" s="2">
        <f ca="1"/>
        <v>-0.44048580265731196</v>
      </c>
      <c r="X5190" s="2">
        <f ca="1"/>
        <v>86.769283187403119</v>
      </c>
      <c r="AG5190" s="2">
        <f ca="1"/>
        <v>0.45433099865911708</v>
      </c>
      <c r="AH5190" s="2" t="str">
        <f ca="1"/>
        <v>Bad</v>
      </c>
    </row>
    <row r="5191" spans="2:34" x14ac:dyDescent="0.2">
      <c r="B5191" s="2">
        <f ca="1"/>
        <v>0.70598470922683831</v>
      </c>
      <c r="O5191" s="2">
        <f ca="1"/>
        <v>0.77224891526780848</v>
      </c>
      <c r="X5191" s="2">
        <f ca="1"/>
        <v>48.728632528148097</v>
      </c>
      <c r="AG5191" s="2">
        <f ca="1"/>
        <v>0.58303180967388557</v>
      </c>
      <c r="AH5191" s="2" t="str">
        <f ca="1"/>
        <v>Bad</v>
      </c>
    </row>
    <row r="5192" spans="2:34" x14ac:dyDescent="0.2">
      <c r="B5192" s="2">
        <f ca="1"/>
        <v>0.65465953646626129</v>
      </c>
      <c r="O5192" s="2">
        <f ca="1"/>
        <v>-0.66363176498422183</v>
      </c>
      <c r="X5192" s="2">
        <f ca="1"/>
        <v>48.744158076292607</v>
      </c>
      <c r="AG5192" s="2">
        <f ca="1"/>
        <v>0.66675472030712624</v>
      </c>
      <c r="AH5192" s="2" t="str">
        <f ca="1"/>
        <v>Bad</v>
      </c>
    </row>
    <row r="5193" spans="2:34" x14ac:dyDescent="0.2">
      <c r="B5193" s="2">
        <f ca="1"/>
        <v>0.36101118730956783</v>
      </c>
      <c r="O5193" s="2">
        <f ca="1"/>
        <v>-1.0243564939903234</v>
      </c>
      <c r="X5193" s="2">
        <f ca="1"/>
        <v>39.985026920624037</v>
      </c>
      <c r="AG5193" s="2">
        <f ca="1"/>
        <v>0.6223264536605897</v>
      </c>
      <c r="AH5193" s="2" t="str">
        <f ca="1"/>
        <v>Bad</v>
      </c>
    </row>
    <row r="5194" spans="2:34" x14ac:dyDescent="0.2">
      <c r="B5194" s="2">
        <f ca="1"/>
        <v>0.89156926776751044</v>
      </c>
      <c r="O5194" s="2">
        <f ca="1"/>
        <v>-0.56861360999909838</v>
      </c>
      <c r="X5194" s="2">
        <f ca="1"/>
        <v>54.841870993594426</v>
      </c>
      <c r="AG5194" s="2">
        <f ca="1"/>
        <v>0.67643777704826236</v>
      </c>
      <c r="AH5194" s="2" t="str">
        <f ca="1"/>
        <v>Bad</v>
      </c>
    </row>
    <row r="5195" spans="2:34" x14ac:dyDescent="0.2">
      <c r="B5195" s="2">
        <f ca="1"/>
        <v>0.24473535488626919</v>
      </c>
      <c r="O5195" s="2">
        <f ca="1"/>
        <v>-0.11089645515007043</v>
      </c>
      <c r="X5195" s="2">
        <f ca="1"/>
        <v>62.118098603513651</v>
      </c>
      <c r="AG5195" s="2">
        <f ca="1"/>
        <v>5.9122081828725914E-2</v>
      </c>
      <c r="AH5195" s="2" t="str">
        <f ca="1"/>
        <v>OK</v>
      </c>
    </row>
    <row r="5196" spans="2:34" x14ac:dyDescent="0.2">
      <c r="B5196" s="2">
        <f ca="1"/>
        <v>0.67282255919941303</v>
      </c>
      <c r="O5196" s="2">
        <f ca="1"/>
        <v>-1.5210228647856738</v>
      </c>
      <c r="X5196" s="2">
        <f ca="1"/>
        <v>56.260438958305564</v>
      </c>
      <c r="AG5196" s="2">
        <f ca="1"/>
        <v>7.423345488934574E-2</v>
      </c>
      <c r="AH5196" s="2" t="str">
        <f ca="1"/>
        <v>OK</v>
      </c>
    </row>
    <row r="5197" spans="2:34" x14ac:dyDescent="0.2">
      <c r="B5197" s="2">
        <f ca="1"/>
        <v>0.89611564842619518</v>
      </c>
      <c r="O5197" s="2">
        <f ca="1"/>
        <v>-1.81658897628167</v>
      </c>
      <c r="X5197" s="2">
        <f ca="1"/>
        <v>70.590693296700451</v>
      </c>
      <c r="AG5197" s="2">
        <f ca="1"/>
        <v>0.54893182501665061</v>
      </c>
      <c r="AH5197" s="2" t="str">
        <f ca="1"/>
        <v>Bad</v>
      </c>
    </row>
    <row r="5198" spans="2:34" x14ac:dyDescent="0.2">
      <c r="B5198" s="2">
        <f ca="1"/>
        <v>0.42007017329228669</v>
      </c>
      <c r="O5198" s="2">
        <f ca="1"/>
        <v>-0.45205061141873493</v>
      </c>
      <c r="X5198" s="2">
        <f ca="1"/>
        <v>34.838797323618785</v>
      </c>
      <c r="AG5198" s="2">
        <f ca="1"/>
        <v>0.11468445198293042</v>
      </c>
      <c r="AH5198" s="2" t="str">
        <f ca="1"/>
        <v>OK</v>
      </c>
    </row>
    <row r="5199" spans="2:34" x14ac:dyDescent="0.2">
      <c r="B5199" s="2">
        <f ca="1"/>
        <v>0.11620653641164158</v>
      </c>
      <c r="O5199" s="2">
        <f ca="1"/>
        <v>1.1068224998803491</v>
      </c>
      <c r="X5199" s="2">
        <f ca="1"/>
        <v>32.140556893197513</v>
      </c>
      <c r="AG5199" s="2">
        <f ca="1"/>
        <v>0.67648420902566508</v>
      </c>
      <c r="AH5199" s="2" t="str">
        <f ca="1"/>
        <v>Bad</v>
      </c>
    </row>
    <row r="5200" spans="2:34" x14ac:dyDescent="0.2">
      <c r="B5200" s="2">
        <f ca="1"/>
        <v>0.58107185030312403</v>
      </c>
      <c r="O5200" s="2">
        <f ca="1"/>
        <v>-0.8364231785981654</v>
      </c>
      <c r="X5200" s="2">
        <f ca="1"/>
        <v>70.06908673918592</v>
      </c>
      <c r="AG5200" s="2">
        <f ca="1"/>
        <v>0.53409053318768129</v>
      </c>
      <c r="AH5200" s="2" t="str">
        <f ca="1"/>
        <v>Bad</v>
      </c>
    </row>
    <row r="5201" spans="2:34" x14ac:dyDescent="0.2">
      <c r="B5201" s="2">
        <f ca="1"/>
        <v>0.25611977491749882</v>
      </c>
      <c r="O5201" s="2">
        <f ca="1"/>
        <v>4.043065812660176</v>
      </c>
      <c r="X5201" s="2">
        <f ca="1"/>
        <v>53.320086217047447</v>
      </c>
      <c r="AG5201" s="2">
        <f ca="1"/>
        <v>0.18502427265137977</v>
      </c>
      <c r="AH5201" s="2" t="str">
        <f ca="1"/>
        <v>OK</v>
      </c>
    </row>
    <row r="5202" spans="2:34" x14ac:dyDescent="0.2">
      <c r="B5202" s="2">
        <f ca="1"/>
        <v>0.2604907000422072</v>
      </c>
      <c r="O5202" s="2">
        <f ca="1"/>
        <v>-0.72405854224459765</v>
      </c>
      <c r="X5202" s="2">
        <f ca="1"/>
        <v>54.152545660680708</v>
      </c>
      <c r="AG5202" s="2">
        <f ca="1"/>
        <v>0.27535806195564971</v>
      </c>
      <c r="AH5202" s="2" t="str">
        <f ca="1"/>
        <v>OK</v>
      </c>
    </row>
    <row r="5203" spans="2:34" x14ac:dyDescent="0.2">
      <c r="B5203" s="2">
        <f ca="1"/>
        <v>0.49713719617233521</v>
      </c>
      <c r="O5203" s="2">
        <f ca="1"/>
        <v>1.0458906408404927</v>
      </c>
      <c r="X5203" s="2">
        <f ca="1"/>
        <v>57.654416196092768</v>
      </c>
      <c r="AG5203" s="2">
        <f ca="1"/>
        <v>0.78128748965856953</v>
      </c>
      <c r="AH5203" s="2" t="str">
        <f ca="1"/>
        <v>Bad</v>
      </c>
    </row>
    <row r="5204" spans="2:34" x14ac:dyDescent="0.2">
      <c r="B5204" s="2">
        <f ca="1"/>
        <v>0.81169677885590064</v>
      </c>
      <c r="O5204" s="2">
        <f ca="1"/>
        <v>1.0312309601899274</v>
      </c>
      <c r="X5204" s="2">
        <f ca="1"/>
        <v>28.840521761101225</v>
      </c>
      <c r="AG5204" s="2">
        <f ca="1"/>
        <v>0.82328078146161454</v>
      </c>
      <c r="AH5204" s="2" t="str">
        <f ca="1"/>
        <v>Bad</v>
      </c>
    </row>
    <row r="5205" spans="2:34" x14ac:dyDescent="0.2">
      <c r="B5205" s="2">
        <f ca="1"/>
        <v>0.31217113921230477</v>
      </c>
      <c r="O5205" s="2">
        <f ca="1"/>
        <v>0.94876558268371491</v>
      </c>
      <c r="X5205" s="2">
        <f ca="1"/>
        <v>35.47870704552804</v>
      </c>
      <c r="AG5205" s="2">
        <f ca="1"/>
        <v>0.14796573368319721</v>
      </c>
      <c r="AH5205" s="2" t="str">
        <f ca="1"/>
        <v>OK</v>
      </c>
    </row>
    <row r="5206" spans="2:34" x14ac:dyDescent="0.2">
      <c r="B5206" s="2">
        <f ca="1"/>
        <v>0.90272482543607047</v>
      </c>
      <c r="O5206" s="2">
        <f ca="1"/>
        <v>0.99608215300416658</v>
      </c>
      <c r="X5206" s="2">
        <f ca="1"/>
        <v>39.86429649831522</v>
      </c>
      <c r="AG5206" s="2">
        <f ca="1"/>
        <v>0.83977356058741925</v>
      </c>
      <c r="AH5206" s="2" t="str">
        <f ca="1"/>
        <v>Bad</v>
      </c>
    </row>
    <row r="5207" spans="2:34" x14ac:dyDescent="0.2">
      <c r="B5207" s="2">
        <f ca="1"/>
        <v>0.63998888681098132</v>
      </c>
      <c r="O5207" s="2">
        <f ca="1"/>
        <v>1.5285503484151985</v>
      </c>
      <c r="X5207" s="2">
        <f ca="1"/>
        <v>51.410179911265246</v>
      </c>
      <c r="AG5207" s="2">
        <f ca="1"/>
        <v>0.93733254731987259</v>
      </c>
      <c r="AH5207" s="2" t="str">
        <f ca="1"/>
        <v>Bad</v>
      </c>
    </row>
    <row r="5208" spans="2:34" x14ac:dyDescent="0.2">
      <c r="B5208" s="2">
        <f ca="1"/>
        <v>0.23382387062766763</v>
      </c>
      <c r="O5208" s="2">
        <f ca="1"/>
        <v>-1.113120382990763</v>
      </c>
      <c r="X5208" s="2">
        <f ca="1"/>
        <v>35.559283396032946</v>
      </c>
      <c r="AG5208" s="2">
        <f ca="1"/>
        <v>0.46221490230522644</v>
      </c>
      <c r="AH5208" s="2" t="str">
        <f ca="1"/>
        <v>Bad</v>
      </c>
    </row>
    <row r="5209" spans="2:34" x14ac:dyDescent="0.2">
      <c r="B5209" s="2">
        <f ca="1"/>
        <v>0.85703280122085301</v>
      </c>
      <c r="O5209" s="2">
        <f ca="1"/>
        <v>-0.17059135141738629</v>
      </c>
      <c r="X5209" s="2">
        <f ca="1"/>
        <v>47.624028029794943</v>
      </c>
      <c r="AG5209" s="2">
        <f ca="1"/>
        <v>0.17155566040017711</v>
      </c>
      <c r="AH5209" s="2" t="str">
        <f ca="1"/>
        <v>OK</v>
      </c>
    </row>
    <row r="5210" spans="2:34" x14ac:dyDescent="0.2">
      <c r="B5210" s="2">
        <f ca="1"/>
        <v>0.85169060176147404</v>
      </c>
      <c r="O5210" s="2">
        <f ca="1"/>
        <v>-1.3444851027721024E-2</v>
      </c>
      <c r="X5210" s="2">
        <f ca="1"/>
        <v>47.592106245022094</v>
      </c>
      <c r="AG5210" s="2">
        <f ca="1"/>
        <v>0.6927066176630996</v>
      </c>
      <c r="AH5210" s="2" t="str">
        <f ca="1"/>
        <v>Bad</v>
      </c>
    </row>
    <row r="5211" spans="2:34" x14ac:dyDescent="0.2">
      <c r="B5211" s="2">
        <f ca="1"/>
        <v>0.74810202207922494</v>
      </c>
      <c r="O5211" s="2">
        <f ca="1"/>
        <v>-1.9618027284028889</v>
      </c>
      <c r="X5211" s="2">
        <f ca="1"/>
        <v>58.5044389143549</v>
      </c>
      <c r="AG5211" s="2">
        <f ca="1"/>
        <v>7.2462693189303984E-2</v>
      </c>
      <c r="AH5211" s="2" t="str">
        <f ca="1"/>
        <v>OK</v>
      </c>
    </row>
    <row r="5212" spans="2:34" x14ac:dyDescent="0.2">
      <c r="B5212" s="2">
        <f ca="1"/>
        <v>0.53499396108668362</v>
      </c>
      <c r="O5212" s="2">
        <f ca="1"/>
        <v>-5.3994035366989358E-2</v>
      </c>
      <c r="X5212" s="2">
        <f ca="1"/>
        <v>75.466696987422722</v>
      </c>
      <c r="AG5212" s="2">
        <f ca="1"/>
        <v>0.80434718821819051</v>
      </c>
      <c r="AH5212" s="2" t="str">
        <f ca="1"/>
        <v>Bad</v>
      </c>
    </row>
    <row r="5213" spans="2:34" x14ac:dyDescent="0.2">
      <c r="B5213" s="2">
        <f ca="1"/>
        <v>0.76351210329367514</v>
      </c>
      <c r="O5213" s="2">
        <f ca="1"/>
        <v>-0.49790910375471253</v>
      </c>
      <c r="X5213" s="2">
        <f ca="1"/>
        <v>36.550660409844362</v>
      </c>
      <c r="AG5213" s="2">
        <f ca="1"/>
        <v>0.85410935629560836</v>
      </c>
      <c r="AH5213" s="2" t="str">
        <f ca="1"/>
        <v>Bad</v>
      </c>
    </row>
    <row r="5214" spans="2:34" x14ac:dyDescent="0.2">
      <c r="B5214" s="2">
        <f ca="1"/>
        <v>0.50905933494576416</v>
      </c>
      <c r="O5214" s="2">
        <f ca="1"/>
        <v>0.85134818561431613</v>
      </c>
      <c r="X5214" s="2">
        <f ca="1"/>
        <v>90.037919487193363</v>
      </c>
      <c r="AG5214" s="2">
        <f ca="1"/>
        <v>0.424497666927661</v>
      </c>
      <c r="AH5214" s="2" t="str">
        <f ca="1"/>
        <v>Bad</v>
      </c>
    </row>
    <row r="5215" spans="2:34" x14ac:dyDescent="0.2">
      <c r="B5215" s="2">
        <f ca="1"/>
        <v>0.72582144084253009</v>
      </c>
      <c r="O5215" s="2">
        <f ca="1"/>
        <v>0.37722549186173354</v>
      </c>
      <c r="X5215" s="2">
        <f ca="1"/>
        <v>62.448193668062252</v>
      </c>
      <c r="AG5215" s="2">
        <f ca="1"/>
        <v>0.45134177792553509</v>
      </c>
      <c r="AH5215" s="2" t="str">
        <f ca="1"/>
        <v>Bad</v>
      </c>
    </row>
    <row r="5216" spans="2:34" x14ac:dyDescent="0.2">
      <c r="B5216" s="2">
        <f ca="1"/>
        <v>0.73527866163331801</v>
      </c>
      <c r="O5216" s="2">
        <f ca="1"/>
        <v>5.3474594382330362E-2</v>
      </c>
      <c r="X5216" s="2">
        <f ca="1"/>
        <v>22.623104812517127</v>
      </c>
      <c r="AG5216" s="2">
        <f ca="1"/>
        <v>0.20827148736722179</v>
      </c>
      <c r="AH5216" s="2" t="str">
        <f ca="1"/>
        <v>OK</v>
      </c>
    </row>
    <row r="5217" spans="2:34" x14ac:dyDescent="0.2">
      <c r="B5217" s="2">
        <f ca="1"/>
        <v>0.56466107555202338</v>
      </c>
      <c r="O5217" s="2">
        <f ca="1"/>
        <v>-0.71139012024364545</v>
      </c>
      <c r="X5217" s="2">
        <f ca="1"/>
        <v>43.524583817211287</v>
      </c>
      <c r="AG5217" s="2">
        <f ca="1"/>
        <v>0.46448002429549473</v>
      </c>
      <c r="AH5217" s="2" t="str">
        <f ca="1"/>
        <v>Bad</v>
      </c>
    </row>
    <row r="5218" spans="2:34" x14ac:dyDescent="0.2">
      <c r="B5218" s="2">
        <f ca="1"/>
        <v>0.46447387635480086</v>
      </c>
      <c r="O5218" s="2">
        <f ca="1"/>
        <v>1.6760541541870444</v>
      </c>
      <c r="X5218" s="2">
        <f ca="1"/>
        <v>34.054023270493218</v>
      </c>
      <c r="AG5218" s="2">
        <f ca="1"/>
        <v>0.72513877310636321</v>
      </c>
      <c r="AH5218" s="2" t="str">
        <f ca="1"/>
        <v>Bad</v>
      </c>
    </row>
    <row r="5219" spans="2:34" x14ac:dyDescent="0.2">
      <c r="B5219" s="2">
        <f ca="1"/>
        <v>8.3199672039864891E-2</v>
      </c>
      <c r="O5219" s="2">
        <f ca="1"/>
        <v>-0.62428761903380303</v>
      </c>
      <c r="X5219" s="2">
        <f ca="1"/>
        <v>22.187982581779121</v>
      </c>
      <c r="AG5219" s="2">
        <f ca="1"/>
        <v>5.4199989542993432E-3</v>
      </c>
      <c r="AH5219" s="2" t="str">
        <f ca="1"/>
        <v>Good</v>
      </c>
    </row>
    <row r="5220" spans="2:34" x14ac:dyDescent="0.2">
      <c r="B5220" s="2">
        <f ca="1"/>
        <v>0.99937848345258606</v>
      </c>
      <c r="O5220" s="2">
        <f ca="1"/>
        <v>0.4567021104825455</v>
      </c>
      <c r="X5220" s="2">
        <f ca="1"/>
        <v>50.465222343308724</v>
      </c>
      <c r="AG5220" s="2">
        <f ca="1"/>
        <v>1.4033412897871411E-2</v>
      </c>
      <c r="AH5220" s="2" t="str">
        <f ca="1"/>
        <v>Good</v>
      </c>
    </row>
    <row r="5221" spans="2:34" x14ac:dyDescent="0.2">
      <c r="B5221" s="2">
        <f ca="1"/>
        <v>0.63990912702765579</v>
      </c>
      <c r="O5221" s="2">
        <f ca="1"/>
        <v>-5.9523943395780286E-2</v>
      </c>
      <c r="X5221" s="2">
        <f ca="1"/>
        <v>45.420083071025402</v>
      </c>
      <c r="AG5221" s="2">
        <f ca="1"/>
        <v>0.7312367857208053</v>
      </c>
      <c r="AH5221" s="2" t="str">
        <f ca="1"/>
        <v>Bad</v>
      </c>
    </row>
    <row r="5222" spans="2:34" x14ac:dyDescent="0.2">
      <c r="B5222" s="2">
        <f ca="1"/>
        <v>0.66927068236481935</v>
      </c>
      <c r="O5222" s="2">
        <f ca="1"/>
        <v>-1.3814966507145439</v>
      </c>
      <c r="X5222" s="2">
        <f ca="1"/>
        <v>60.975823769035415</v>
      </c>
      <c r="AG5222" s="2">
        <f ca="1"/>
        <v>2.1668749864518722E-2</v>
      </c>
      <c r="AH5222" s="2" t="str">
        <f ca="1"/>
        <v>Good</v>
      </c>
    </row>
    <row r="5223" spans="2:34" x14ac:dyDescent="0.2">
      <c r="B5223" s="2">
        <f ca="1"/>
        <v>0.94837507132176069</v>
      </c>
      <c r="O5223" s="2">
        <f ca="1"/>
        <v>-0.13371419878005264</v>
      </c>
      <c r="X5223" s="2">
        <f ca="1"/>
        <v>51.281111153662103</v>
      </c>
      <c r="AG5223" s="2">
        <f ca="1"/>
        <v>0.51614219546895113</v>
      </c>
      <c r="AH5223" s="2" t="str">
        <f ca="1"/>
        <v>Bad</v>
      </c>
    </row>
    <row r="5224" spans="2:34" x14ac:dyDescent="0.2">
      <c r="B5224" s="2">
        <f ca="1"/>
        <v>0.10594522817246421</v>
      </c>
      <c r="O5224" s="2">
        <f ca="1"/>
        <v>2.413059007331567E-2</v>
      </c>
      <c r="X5224" s="2">
        <f ca="1"/>
        <v>66.848564482447202</v>
      </c>
      <c r="AG5224" s="2">
        <f ca="1"/>
        <v>0.52848430796048018</v>
      </c>
      <c r="AH5224" s="2" t="str">
        <f ca="1"/>
        <v>Bad</v>
      </c>
    </row>
    <row r="5225" spans="2:34" x14ac:dyDescent="0.2">
      <c r="B5225" s="2">
        <f ca="1"/>
        <v>0.15845908773067285</v>
      </c>
      <c r="O5225" s="2">
        <f ca="1"/>
        <v>0.81820673554061385</v>
      </c>
      <c r="X5225" s="2">
        <f ca="1"/>
        <v>40.598718466040673</v>
      </c>
      <c r="AG5225" s="2">
        <f ca="1"/>
        <v>0.98356689954516541</v>
      </c>
      <c r="AH5225" s="2" t="str">
        <f ca="1"/>
        <v>Bad</v>
      </c>
    </row>
    <row r="5226" spans="2:34" x14ac:dyDescent="0.2">
      <c r="B5226" s="2">
        <f ca="1"/>
        <v>0.71148184085426314</v>
      </c>
      <c r="O5226" s="2">
        <f ca="1"/>
        <v>-0.90595291128176503</v>
      </c>
      <c r="X5226" s="2">
        <f ca="1"/>
        <v>61.360441673668262</v>
      </c>
      <c r="AG5226" s="2">
        <f ca="1"/>
        <v>0.339499916207332</v>
      </c>
      <c r="AH5226" s="2" t="str">
        <f ca="1"/>
        <v>OK</v>
      </c>
    </row>
    <row r="5227" spans="2:34" x14ac:dyDescent="0.2">
      <c r="B5227" s="2">
        <f ca="1"/>
        <v>0.27956756085498369</v>
      </c>
      <c r="O5227" s="2">
        <f ca="1"/>
        <v>1.3580995076068632</v>
      </c>
      <c r="X5227" s="2">
        <f ca="1"/>
        <v>41.909956794996958</v>
      </c>
      <c r="AG5227" s="2">
        <f ca="1"/>
        <v>0.21377174242263219</v>
      </c>
      <c r="AH5227" s="2" t="str">
        <f ca="1"/>
        <v>OK</v>
      </c>
    </row>
    <row r="5228" spans="2:34" x14ac:dyDescent="0.2">
      <c r="B5228" s="2">
        <f ca="1"/>
        <v>0.17803523187462722</v>
      </c>
      <c r="O5228" s="2">
        <f ca="1"/>
        <v>9.3327362782612514E-2</v>
      </c>
      <c r="X5228" s="2">
        <f ca="1"/>
        <v>22.749347361990665</v>
      </c>
      <c r="AG5228" s="2">
        <f ca="1"/>
        <v>0.64725531614771614</v>
      </c>
      <c r="AH5228" s="2" t="str">
        <f ca="1"/>
        <v>Bad</v>
      </c>
    </row>
    <row r="5229" spans="2:34" x14ac:dyDescent="0.2">
      <c r="B5229" s="2">
        <f ca="1"/>
        <v>6.0309078094472168E-2</v>
      </c>
      <c r="O5229" s="2">
        <f ca="1"/>
        <v>0.21052545357204785</v>
      </c>
      <c r="X5229" s="2">
        <f ca="1"/>
        <v>72.598807276906768</v>
      </c>
      <c r="AG5229" s="2">
        <f ca="1"/>
        <v>0.26763296906797174</v>
      </c>
      <c r="AH5229" s="2" t="str">
        <f ca="1"/>
        <v>OK</v>
      </c>
    </row>
    <row r="5230" spans="2:34" x14ac:dyDescent="0.2">
      <c r="B5230" s="2">
        <f ca="1"/>
        <v>0.37300300395122687</v>
      </c>
      <c r="O5230" s="2">
        <f ca="1"/>
        <v>0.14956976772732256</v>
      </c>
      <c r="X5230" s="2">
        <f ca="1"/>
        <v>37.006089482260293</v>
      </c>
      <c r="AG5230" s="2">
        <f ca="1"/>
        <v>0.96088693386991375</v>
      </c>
      <c r="AH5230" s="2" t="str">
        <f ca="1"/>
        <v>Bad</v>
      </c>
    </row>
    <row r="5231" spans="2:34" x14ac:dyDescent="0.2">
      <c r="B5231" s="2">
        <f ca="1"/>
        <v>0.79243025533678058</v>
      </c>
      <c r="O5231" s="2">
        <f ca="1"/>
        <v>1.1364789105306432</v>
      </c>
      <c r="X5231" s="2">
        <f ca="1"/>
        <v>68.472090335648431</v>
      </c>
      <c r="AG5231" s="2">
        <f ca="1"/>
        <v>0.64071274473343975</v>
      </c>
      <c r="AH5231" s="2" t="str">
        <f ca="1"/>
        <v>Bad</v>
      </c>
    </row>
    <row r="5232" spans="2:34" x14ac:dyDescent="0.2">
      <c r="B5232" s="2">
        <f ca="1"/>
        <v>0.79538856468061669</v>
      </c>
      <c r="O5232" s="2">
        <f ca="1"/>
        <v>0.46365451572326966</v>
      </c>
      <c r="X5232" s="2">
        <f ca="1"/>
        <v>43.241024072844112</v>
      </c>
      <c r="AG5232" s="2">
        <f ca="1"/>
        <v>0.26921752007723265</v>
      </c>
      <c r="AH5232" s="2" t="str">
        <f ca="1"/>
        <v>OK</v>
      </c>
    </row>
    <row r="5233" spans="2:34" x14ac:dyDescent="0.2">
      <c r="B5233" s="2">
        <f ca="1"/>
        <v>0.26550750060648798</v>
      </c>
      <c r="O5233" s="2">
        <f ca="1"/>
        <v>-1.380153628011475</v>
      </c>
      <c r="X5233" s="2">
        <f ca="1"/>
        <v>52.710417660798129</v>
      </c>
      <c r="AG5233" s="2">
        <f ca="1"/>
        <v>0.28593386168293633</v>
      </c>
      <c r="AH5233" s="2" t="str">
        <f ca="1"/>
        <v>OK</v>
      </c>
    </row>
    <row r="5234" spans="2:34" x14ac:dyDescent="0.2">
      <c r="B5234" s="2">
        <f ca="1"/>
        <v>0.27813134498740011</v>
      </c>
      <c r="O5234" s="2">
        <f ca="1"/>
        <v>0.23828120120951923</v>
      </c>
      <c r="X5234" s="2">
        <f ca="1"/>
        <v>40.154531090481527</v>
      </c>
      <c r="AG5234" s="2">
        <f ca="1"/>
        <v>0.54826115612129134</v>
      </c>
      <c r="AH5234" s="2" t="str">
        <f ca="1"/>
        <v>Bad</v>
      </c>
    </row>
    <row r="5235" spans="2:34" x14ac:dyDescent="0.2">
      <c r="B5235" s="2">
        <f ca="1"/>
        <v>9.7593354060268256E-2</v>
      </c>
      <c r="O5235" s="2">
        <f ca="1"/>
        <v>-1.1502238813647865</v>
      </c>
      <c r="X5235" s="2">
        <f ca="1"/>
        <v>35.109388306034674</v>
      </c>
      <c r="AG5235" s="2">
        <f ca="1"/>
        <v>0.87997819919043829</v>
      </c>
      <c r="AH5235" s="2" t="str">
        <f ca="1"/>
        <v>Bad</v>
      </c>
    </row>
    <row r="5236" spans="2:34" x14ac:dyDescent="0.2">
      <c r="B5236" s="2">
        <f ca="1"/>
        <v>0.5138820622593343</v>
      </c>
      <c r="O5236" s="2">
        <f ca="1"/>
        <v>1.7840047634541647</v>
      </c>
      <c r="X5236" s="2">
        <f ca="1"/>
        <v>65.791792657414078</v>
      </c>
      <c r="AG5236" s="2">
        <f ca="1"/>
        <v>0.87760848792335944</v>
      </c>
      <c r="AH5236" s="2" t="str">
        <f ca="1"/>
        <v>Bad</v>
      </c>
    </row>
    <row r="5237" spans="2:34" x14ac:dyDescent="0.2">
      <c r="B5237" s="2">
        <f ca="1"/>
        <v>0.26245745512016794</v>
      </c>
      <c r="O5237" s="2">
        <f ca="1"/>
        <v>1.1561876364387269</v>
      </c>
      <c r="X5237" s="2">
        <f ca="1"/>
        <v>44.873163793093376</v>
      </c>
      <c r="AG5237" s="2">
        <f ca="1"/>
        <v>0.92389885665067073</v>
      </c>
      <c r="AH5237" s="2" t="str">
        <f ca="1"/>
        <v>Bad</v>
      </c>
    </row>
    <row r="5238" spans="2:34" x14ac:dyDescent="0.2">
      <c r="B5238" s="2">
        <f ca="1"/>
        <v>0.32583474773937038</v>
      </c>
      <c r="O5238" s="2">
        <f ca="1"/>
        <v>-1.0939462504917237</v>
      </c>
      <c r="X5238" s="2">
        <f ca="1"/>
        <v>34.43177461008554</v>
      </c>
      <c r="AG5238" s="2">
        <f ca="1"/>
        <v>3.0964894778293672E-3</v>
      </c>
      <c r="AH5238" s="2" t="str">
        <f ca="1"/>
        <v>Good</v>
      </c>
    </row>
    <row r="5239" spans="2:34" x14ac:dyDescent="0.2">
      <c r="B5239" s="2">
        <f ca="1"/>
        <v>0.19196449504714796</v>
      </c>
      <c r="O5239" s="2">
        <f ca="1"/>
        <v>1.2357966582867854</v>
      </c>
      <c r="X5239" s="2">
        <f ca="1"/>
        <v>30.40120179369563</v>
      </c>
      <c r="AG5239" s="2">
        <f ca="1"/>
        <v>0.76135051297038614</v>
      </c>
      <c r="AH5239" s="2" t="str">
        <f ca="1"/>
        <v>Bad</v>
      </c>
    </row>
    <row r="5240" spans="2:34" x14ac:dyDescent="0.2">
      <c r="B5240" s="2">
        <f ca="1"/>
        <v>0.52085460442429343</v>
      </c>
      <c r="O5240" s="2">
        <f ca="1"/>
        <v>0.27432273871315588</v>
      </c>
      <c r="X5240" s="2">
        <f ca="1"/>
        <v>34.151927248321599</v>
      </c>
      <c r="AG5240" s="2">
        <f ca="1"/>
        <v>0.16594212288502197</v>
      </c>
      <c r="AH5240" s="2" t="str">
        <f ca="1"/>
        <v>OK</v>
      </c>
    </row>
    <row r="5241" spans="2:34" x14ac:dyDescent="0.2">
      <c r="B5241" s="2">
        <f ca="1"/>
        <v>4.5266170390613203E-2</v>
      </c>
      <c r="O5241" s="2">
        <f ca="1"/>
        <v>-0.63703966358292541</v>
      </c>
      <c r="X5241" s="2">
        <f ca="1"/>
        <v>77.732092955299862</v>
      </c>
      <c r="AG5241" s="2">
        <f ca="1"/>
        <v>0.77175730107686502</v>
      </c>
      <c r="AH5241" s="2" t="str">
        <f ca="1"/>
        <v>Bad</v>
      </c>
    </row>
    <row r="5242" spans="2:34" x14ac:dyDescent="0.2">
      <c r="B5242" s="2">
        <f ca="1"/>
        <v>0.1190272256853997</v>
      </c>
      <c r="O5242" s="2">
        <f ca="1"/>
        <v>2.0591727183416357</v>
      </c>
      <c r="X5242" s="2">
        <f ca="1"/>
        <v>45.419501892251091</v>
      </c>
      <c r="AG5242" s="2">
        <f ca="1"/>
        <v>0.25408127722535956</v>
      </c>
      <c r="AH5242" s="2" t="str">
        <f ca="1"/>
        <v>OK</v>
      </c>
    </row>
    <row r="5243" spans="2:34" x14ac:dyDescent="0.2">
      <c r="B5243" s="2">
        <f ca="1"/>
        <v>0.35667560578285196</v>
      </c>
      <c r="O5243" s="2">
        <f ca="1"/>
        <v>-0.67890101938488456</v>
      </c>
      <c r="X5243" s="2">
        <f ca="1"/>
        <v>45.443032558489108</v>
      </c>
      <c r="AG5243" s="2">
        <f ca="1"/>
        <v>0.35707559596498495</v>
      </c>
      <c r="AH5243" s="2" t="str">
        <f ca="1"/>
        <v>OK</v>
      </c>
    </row>
    <row r="5244" spans="2:34" x14ac:dyDescent="0.2">
      <c r="B5244" s="2">
        <f ca="1"/>
        <v>0.64364964065465147</v>
      </c>
      <c r="O5244" s="2">
        <f ca="1"/>
        <v>-0.57602989312911845</v>
      </c>
      <c r="X5244" s="2">
        <f ca="1"/>
        <v>51.447861074230389</v>
      </c>
      <c r="AG5244" s="2">
        <f ca="1"/>
        <v>0.65202999333324141</v>
      </c>
      <c r="AH5244" s="2" t="str">
        <f ca="1"/>
        <v>Bad</v>
      </c>
    </row>
    <row r="5245" spans="2:34" x14ac:dyDescent="0.2">
      <c r="B5245" s="2">
        <f ca="1"/>
        <v>6.3159566592459138E-2</v>
      </c>
      <c r="O5245" s="2">
        <f ca="1"/>
        <v>-1.365099202275982</v>
      </c>
      <c r="X5245" s="2">
        <f ca="1"/>
        <v>45.063180207367921</v>
      </c>
      <c r="AG5245" s="2">
        <f ca="1"/>
        <v>0.89623098442611049</v>
      </c>
      <c r="AH5245" s="2" t="str">
        <f ca="1"/>
        <v>Bad</v>
      </c>
    </row>
    <row r="5246" spans="2:34" x14ac:dyDescent="0.2">
      <c r="B5246" s="2">
        <f ca="1"/>
        <v>0.92771009843464713</v>
      </c>
      <c r="O5246" s="2">
        <f ca="1"/>
        <v>-0.32526234359716072</v>
      </c>
      <c r="X5246" s="2">
        <f ca="1"/>
        <v>44.617896534776392</v>
      </c>
      <c r="AG5246" s="2">
        <f ca="1"/>
        <v>0.73569414720106541</v>
      </c>
      <c r="AH5246" s="2" t="str">
        <f ca="1"/>
        <v>Bad</v>
      </c>
    </row>
    <row r="5247" spans="2:34" x14ac:dyDescent="0.2">
      <c r="B5247" s="2">
        <f ca="1"/>
        <v>0.89193197822925185</v>
      </c>
      <c r="O5247" s="2">
        <f ca="1"/>
        <v>0.69374055275453117</v>
      </c>
      <c r="X5247" s="2">
        <f ca="1"/>
        <v>60.424878998506124</v>
      </c>
      <c r="AG5247" s="2">
        <f ca="1"/>
        <v>6.1223380352969148E-2</v>
      </c>
      <c r="AH5247" s="2" t="str">
        <f ca="1"/>
        <v>OK</v>
      </c>
    </row>
    <row r="5248" spans="2:34" x14ac:dyDescent="0.2">
      <c r="B5248" s="2">
        <f ca="1"/>
        <v>0.18628389690911606</v>
      </c>
      <c r="O5248" s="2">
        <f ca="1"/>
        <v>-0.64104551987708647</v>
      </c>
      <c r="X5248" s="2">
        <f ca="1"/>
        <v>55.860652872566604</v>
      </c>
      <c r="AG5248" s="2">
        <f ca="1"/>
        <v>0.29166064555555948</v>
      </c>
      <c r="AH5248" s="2" t="str">
        <f ca="1"/>
        <v>OK</v>
      </c>
    </row>
    <row r="5249" spans="2:34" x14ac:dyDescent="0.2">
      <c r="B5249" s="2">
        <f ca="1"/>
        <v>0.91337804366533204</v>
      </c>
      <c r="O5249" s="2">
        <f ca="1"/>
        <v>2.0761785511668212</v>
      </c>
      <c r="X5249" s="2">
        <f ca="1"/>
        <v>41.6974207079165</v>
      </c>
      <c r="AG5249" s="2">
        <f ca="1"/>
        <v>0.5514927026437435</v>
      </c>
      <c r="AH5249" s="2" t="str">
        <f ca="1"/>
        <v>Bad</v>
      </c>
    </row>
    <row r="5250" spans="2:34" x14ac:dyDescent="0.2">
      <c r="B5250" s="2">
        <f ca="1"/>
        <v>7.2275694724783346E-2</v>
      </c>
      <c r="O5250" s="2">
        <f ca="1"/>
        <v>-2.9039210102146256E-2</v>
      </c>
      <c r="X5250" s="2">
        <f ca="1"/>
        <v>52.574364641788129</v>
      </c>
      <c r="AG5250" s="2">
        <f ca="1"/>
        <v>0.63108582104157596</v>
      </c>
      <c r="AH5250" s="2" t="str">
        <f ca="1"/>
        <v>Bad</v>
      </c>
    </row>
    <row r="5251" spans="2:34" x14ac:dyDescent="0.2">
      <c r="B5251" s="2">
        <f ca="1"/>
        <v>0.66595330120501495</v>
      </c>
      <c r="O5251" s="2">
        <f ca="1"/>
        <v>0.33062715345124266</v>
      </c>
      <c r="X5251" s="2">
        <f ca="1"/>
        <v>36.093840831714644</v>
      </c>
      <c r="AG5251" s="2">
        <f ca="1"/>
        <v>0.60652965353654809</v>
      </c>
      <c r="AH5251" s="2" t="str">
        <f ca="1"/>
        <v>Bad</v>
      </c>
    </row>
    <row r="5252" spans="2:34" x14ac:dyDescent="0.2">
      <c r="B5252" s="2">
        <f ca="1"/>
        <v>0.83287465707385966</v>
      </c>
      <c r="O5252" s="2">
        <f ca="1"/>
        <v>-1.4172814406803047</v>
      </c>
      <c r="X5252" s="2">
        <f ca="1"/>
        <v>37.647374337583493</v>
      </c>
      <c r="AG5252" s="2">
        <f ca="1"/>
        <v>0.6582389444277712</v>
      </c>
      <c r="AH5252" s="2" t="str">
        <f ca="1"/>
        <v>Bad</v>
      </c>
    </row>
    <row r="5253" spans="2:34" x14ac:dyDescent="0.2">
      <c r="B5253" s="2">
        <f ca="1"/>
        <v>0.94188429796328643</v>
      </c>
      <c r="O5253" s="2">
        <f ca="1"/>
        <v>1.1600790203213796</v>
      </c>
      <c r="X5253" s="2">
        <f ca="1"/>
        <v>54.24167735448161</v>
      </c>
      <c r="AG5253" s="2">
        <f ca="1"/>
        <v>0.39824719545597587</v>
      </c>
      <c r="AH5253" s="2" t="str">
        <f ca="1"/>
        <v>OK</v>
      </c>
    </row>
    <row r="5254" spans="2:34" x14ac:dyDescent="0.2">
      <c r="B5254" s="2">
        <f ca="1"/>
        <v>0.17116897950151655</v>
      </c>
      <c r="O5254" s="2">
        <f ca="1"/>
        <v>1.0388611069372864</v>
      </c>
      <c r="X5254" s="2">
        <f ca="1"/>
        <v>57.315614733542155</v>
      </c>
      <c r="AG5254" s="2">
        <f ca="1"/>
        <v>0.5024066289522453</v>
      </c>
      <c r="AH5254" s="2" t="str">
        <f ca="1"/>
        <v>Bad</v>
      </c>
    </row>
    <row r="5255" spans="2:34" x14ac:dyDescent="0.2">
      <c r="B5255" s="2">
        <f ca="1"/>
        <v>0.22816037892008723</v>
      </c>
      <c r="O5255" s="2">
        <f ca="1"/>
        <v>-0.54632139936968827</v>
      </c>
      <c r="X5255" s="2">
        <f ca="1"/>
        <v>54.161551162877331</v>
      </c>
      <c r="AG5255" s="2">
        <f ca="1"/>
        <v>0.87118977604222092</v>
      </c>
      <c r="AH5255" s="2" t="str">
        <f ca="1"/>
        <v>Bad</v>
      </c>
    </row>
    <row r="5256" spans="2:34" x14ac:dyDescent="0.2">
      <c r="B5256" s="2">
        <f ca="1"/>
        <v>0.63619075957505289</v>
      </c>
      <c r="O5256" s="2">
        <f ca="1"/>
        <v>-1.1644473770180266</v>
      </c>
      <c r="X5256" s="2">
        <f ca="1"/>
        <v>61.424020586785048</v>
      </c>
      <c r="AG5256" s="2">
        <f ca="1"/>
        <v>0.59279297143724752</v>
      </c>
      <c r="AH5256" s="2" t="str">
        <f ca="1"/>
        <v>Bad</v>
      </c>
    </row>
    <row r="5257" spans="2:34" x14ac:dyDescent="0.2">
      <c r="B5257" s="2">
        <f ca="1"/>
        <v>0.29608768193802093</v>
      </c>
      <c r="O5257" s="2">
        <f ca="1"/>
        <v>-1.7548218088404117</v>
      </c>
      <c r="X5257" s="2">
        <f ca="1"/>
        <v>77.885510070891442</v>
      </c>
      <c r="AG5257" s="2">
        <f ca="1"/>
        <v>0.28893545221272565</v>
      </c>
      <c r="AH5257" s="2" t="str">
        <f ca="1"/>
        <v>OK</v>
      </c>
    </row>
    <row r="5258" spans="2:34" x14ac:dyDescent="0.2">
      <c r="B5258" s="2">
        <f ca="1"/>
        <v>0.67539598353224917</v>
      </c>
      <c r="O5258" s="2">
        <f ca="1"/>
        <v>1.1471151189913171</v>
      </c>
      <c r="X5258" s="2">
        <f ca="1"/>
        <v>95.510275201598645</v>
      </c>
      <c r="AG5258" s="2">
        <f ca="1"/>
        <v>0.47760839221927176</v>
      </c>
      <c r="AH5258" s="2" t="str">
        <f ca="1"/>
        <v>Bad</v>
      </c>
    </row>
    <row r="5259" spans="2:34" x14ac:dyDescent="0.2">
      <c r="B5259" s="2">
        <f ca="1"/>
        <v>0.19861963806391536</v>
      </c>
      <c r="O5259" s="2">
        <f ca="1"/>
        <v>-0.30927038183668748</v>
      </c>
      <c r="X5259" s="2">
        <f ca="1"/>
        <v>31.927561518318136</v>
      </c>
      <c r="AG5259" s="2">
        <f ca="1"/>
        <v>0.7706417143920774</v>
      </c>
      <c r="AH5259" s="2" t="str">
        <f ca="1"/>
        <v>Bad</v>
      </c>
    </row>
    <row r="5260" spans="2:34" x14ac:dyDescent="0.2">
      <c r="B5260" s="2">
        <f ca="1"/>
        <v>0.84647683387151051</v>
      </c>
      <c r="O5260" s="2">
        <f ca="1"/>
        <v>-1.5334695584580285</v>
      </c>
      <c r="X5260" s="2">
        <f ca="1"/>
        <v>45.832282306626233</v>
      </c>
      <c r="AG5260" s="2">
        <f ca="1"/>
        <v>9.3946637662503996E-2</v>
      </c>
      <c r="AH5260" s="2" t="str">
        <f ca="1"/>
        <v>OK</v>
      </c>
    </row>
    <row r="5261" spans="2:34" x14ac:dyDescent="0.2">
      <c r="B5261" s="2">
        <f ca="1"/>
        <v>7.2048279600443355E-2</v>
      </c>
      <c r="O5261" s="2">
        <f ca="1"/>
        <v>-3.1577414507119421</v>
      </c>
      <c r="X5261" s="2">
        <f ca="1"/>
        <v>24.497371490960926</v>
      </c>
      <c r="AG5261" s="2">
        <f ca="1"/>
        <v>0.74513470536598114</v>
      </c>
      <c r="AH5261" s="2" t="str">
        <f ca="1"/>
        <v>Bad</v>
      </c>
    </row>
    <row r="5262" spans="2:34" x14ac:dyDescent="0.2">
      <c r="B5262" s="2">
        <f ca="1"/>
        <v>0.7204978175026604</v>
      </c>
      <c r="O5262" s="2">
        <f ca="1"/>
        <v>0.92498149259067453</v>
      </c>
      <c r="X5262" s="2">
        <f ca="1"/>
        <v>56.989927822723971</v>
      </c>
      <c r="AG5262" s="2">
        <f ca="1"/>
        <v>0.24000622817632999</v>
      </c>
      <c r="AH5262" s="2" t="str">
        <f ca="1"/>
        <v>OK</v>
      </c>
    </row>
    <row r="5263" spans="2:34" x14ac:dyDescent="0.2">
      <c r="B5263" s="2">
        <f ca="1"/>
        <v>0.31878608111536377</v>
      </c>
      <c r="O5263" s="2">
        <f ca="1"/>
        <v>5.9429666939064915E-2</v>
      </c>
      <c r="X5263" s="2">
        <f ca="1"/>
        <v>50.883312159023085</v>
      </c>
      <c r="AG5263" s="2">
        <f ca="1"/>
        <v>0.32828767464697739</v>
      </c>
      <c r="AH5263" s="2" t="str">
        <f ca="1"/>
        <v>OK</v>
      </c>
    </row>
    <row r="5264" spans="2:34" x14ac:dyDescent="0.2">
      <c r="B5264" s="2">
        <f ca="1"/>
        <v>0.10177817515548337</v>
      </c>
      <c r="O5264" s="2">
        <f ca="1"/>
        <v>0.39795099596894346</v>
      </c>
      <c r="X5264" s="2">
        <f ca="1"/>
        <v>33.450453491314477</v>
      </c>
      <c r="AG5264" s="2">
        <f ca="1"/>
        <v>0.80733753164140021</v>
      </c>
      <c r="AH5264" s="2" t="str">
        <f ca="1"/>
        <v>Bad</v>
      </c>
    </row>
    <row r="5265" spans="2:34" x14ac:dyDescent="0.2">
      <c r="B5265" s="2">
        <f ca="1"/>
        <v>0.97091308673312615</v>
      </c>
      <c r="O5265" s="2">
        <f ca="1"/>
        <v>-0.97502510688792299</v>
      </c>
      <c r="X5265" s="2">
        <f ca="1"/>
        <v>80.68847654417587</v>
      </c>
      <c r="AG5265" s="2">
        <f ca="1"/>
        <v>0.69590417012057348</v>
      </c>
      <c r="AH5265" s="2" t="str">
        <f ca="1"/>
        <v>Bad</v>
      </c>
    </row>
    <row r="5266" spans="2:34" x14ac:dyDescent="0.2">
      <c r="B5266" s="2">
        <f ca="1"/>
        <v>0.55097727714320799</v>
      </c>
      <c r="O5266" s="2">
        <f ca="1"/>
        <v>0.1073234647587409</v>
      </c>
      <c r="X5266" s="2">
        <f ca="1"/>
        <v>38.215871061232235</v>
      </c>
      <c r="AG5266" s="2">
        <f ca="1"/>
        <v>0.61940681898033212</v>
      </c>
      <c r="AH5266" s="2" t="str">
        <f ca="1"/>
        <v>Bad</v>
      </c>
    </row>
    <row r="5267" spans="2:34" x14ac:dyDescent="0.2">
      <c r="B5267" s="2">
        <f ca="1"/>
        <v>0.44399201799910393</v>
      </c>
      <c r="O5267" s="2">
        <f ca="1"/>
        <v>-3.1143185488227254E-2</v>
      </c>
      <c r="X5267" s="2">
        <f ca="1"/>
        <v>46.374290096065103</v>
      </c>
      <c r="AG5267" s="2">
        <f ca="1"/>
        <v>0.90516528570616828</v>
      </c>
      <c r="AH5267" s="2" t="str">
        <f ca="1"/>
        <v>Bad</v>
      </c>
    </row>
    <row r="5268" spans="2:34" x14ac:dyDescent="0.2">
      <c r="B5268" s="2">
        <f ca="1"/>
        <v>0.503604116632969</v>
      </c>
      <c r="O5268" s="2">
        <f ca="1"/>
        <v>0.36938027353695863</v>
      </c>
      <c r="X5268" s="2">
        <f ca="1"/>
        <v>35.166309115440896</v>
      </c>
      <c r="AG5268" s="2">
        <f ca="1"/>
        <v>5.451104527784012E-2</v>
      </c>
      <c r="AH5268" s="2" t="str">
        <f ca="1"/>
        <v>OK</v>
      </c>
    </row>
    <row r="5269" spans="2:34" x14ac:dyDescent="0.2">
      <c r="B5269" s="2">
        <f ca="1"/>
        <v>3.0111174086393078E-2</v>
      </c>
      <c r="O5269" s="2">
        <f ca="1"/>
        <v>0.28999156528974085</v>
      </c>
      <c r="X5269" s="2">
        <f ca="1"/>
        <v>40.99408006154151</v>
      </c>
      <c r="AG5269" s="2">
        <f ca="1"/>
        <v>0.18428163984562973</v>
      </c>
      <c r="AH5269" s="2" t="str">
        <f ca="1"/>
        <v>OK</v>
      </c>
    </row>
    <row r="5270" spans="2:34" x14ac:dyDescent="0.2">
      <c r="B5270" s="2">
        <f ca="1"/>
        <v>0.60397300893196393</v>
      </c>
      <c r="O5270" s="2">
        <f ca="1"/>
        <v>0.59122442039151113</v>
      </c>
      <c r="X5270" s="2">
        <f ca="1"/>
        <v>66.193239862761132</v>
      </c>
      <c r="AG5270" s="2">
        <f ca="1"/>
        <v>0.10104356438497986</v>
      </c>
      <c r="AH5270" s="2" t="str">
        <f ca="1"/>
        <v>OK</v>
      </c>
    </row>
    <row r="5271" spans="2:34" x14ac:dyDescent="0.2">
      <c r="B5271" s="2">
        <f ca="1"/>
        <v>0.81106766955926446</v>
      </c>
      <c r="O5271" s="2">
        <f ca="1"/>
        <v>-0.2506244614357348</v>
      </c>
      <c r="X5271" s="2">
        <f ca="1"/>
        <v>22.588531940703799</v>
      </c>
      <c r="AG5271" s="2">
        <f ca="1"/>
        <v>0.22593137036091848</v>
      </c>
      <c r="AH5271" s="2" t="str">
        <f ca="1"/>
        <v>OK</v>
      </c>
    </row>
    <row r="5272" spans="2:34" x14ac:dyDescent="0.2">
      <c r="B5272" s="2">
        <f ca="1"/>
        <v>0.45052654158086947</v>
      </c>
      <c r="O5272" s="2">
        <f ca="1"/>
        <v>-1.8901085737454164</v>
      </c>
      <c r="X5272" s="2">
        <f ca="1"/>
        <v>28.483174223668158</v>
      </c>
      <c r="AG5272" s="2">
        <f ca="1"/>
        <v>0.95620019742093354</v>
      </c>
      <c r="AH5272" s="2" t="str">
        <f ca="1"/>
        <v>Bad</v>
      </c>
    </row>
    <row r="5273" spans="2:34" x14ac:dyDescent="0.2">
      <c r="B5273" s="2">
        <f ca="1"/>
        <v>0.85332844144853759</v>
      </c>
      <c r="O5273" s="2">
        <f ca="1"/>
        <v>-0.6818859207935366</v>
      </c>
      <c r="X5273" s="2">
        <f ca="1"/>
        <v>65.46577640921987</v>
      </c>
      <c r="AG5273" s="2">
        <f ca="1"/>
        <v>0.42540650533066104</v>
      </c>
      <c r="AH5273" s="2" t="str">
        <f ca="1"/>
        <v>Bad</v>
      </c>
    </row>
    <row r="5274" spans="2:34" x14ac:dyDescent="0.2">
      <c r="B5274" s="2">
        <f ca="1"/>
        <v>0.47732385082787676</v>
      </c>
      <c r="O5274" s="2">
        <f ca="1"/>
        <v>-0.81752459163275792</v>
      </c>
      <c r="X5274" s="2">
        <f ca="1"/>
        <v>38.187660971098033</v>
      </c>
      <c r="AG5274" s="2">
        <f ca="1"/>
        <v>0.98346651719372913</v>
      </c>
      <c r="AH5274" s="2" t="str">
        <f ca="1"/>
        <v>Bad</v>
      </c>
    </row>
    <row r="5275" spans="2:34" x14ac:dyDescent="0.2">
      <c r="B5275" s="2">
        <f ca="1"/>
        <v>0.75369183300872122</v>
      </c>
      <c r="O5275" s="2">
        <f ca="1"/>
        <v>0.16032339622216679</v>
      </c>
      <c r="X5275" s="2">
        <f ca="1"/>
        <v>24.162892789050396</v>
      </c>
      <c r="AG5275" s="2">
        <f ca="1"/>
        <v>0.21738753659253374</v>
      </c>
      <c r="AH5275" s="2" t="str">
        <f ca="1"/>
        <v>OK</v>
      </c>
    </row>
    <row r="5276" spans="2:34" x14ac:dyDescent="0.2">
      <c r="B5276" s="2">
        <f ca="1"/>
        <v>0.39024033804317337</v>
      </c>
      <c r="O5276" s="2">
        <f ca="1"/>
        <v>-1.2633765180618184</v>
      </c>
      <c r="X5276" s="2">
        <f ca="1"/>
        <v>38.000954989596771</v>
      </c>
      <c r="AG5276" s="2">
        <f ca="1"/>
        <v>0.4323414628127733</v>
      </c>
      <c r="AH5276" s="2" t="str">
        <f ca="1"/>
        <v>Bad</v>
      </c>
    </row>
    <row r="5277" spans="2:34" x14ac:dyDescent="0.2">
      <c r="B5277" s="2">
        <f ca="1"/>
        <v>0.47708650549994625</v>
      </c>
      <c r="O5277" s="2">
        <f ca="1"/>
        <v>-0.44530566463607579</v>
      </c>
      <c r="X5277" s="2">
        <f ca="1"/>
        <v>50.126048782544572</v>
      </c>
      <c r="AG5277" s="2">
        <f ca="1"/>
        <v>0.29878652895105762</v>
      </c>
      <c r="AH5277" s="2" t="str">
        <f ca="1"/>
        <v>OK</v>
      </c>
    </row>
    <row r="5278" spans="2:34" x14ac:dyDescent="0.2">
      <c r="B5278" s="2">
        <f ca="1"/>
        <v>0.15673806767856058</v>
      </c>
      <c r="O5278" s="2">
        <f ca="1"/>
        <v>-0.2283493566229518</v>
      </c>
      <c r="X5278" s="2">
        <f ca="1"/>
        <v>39.768351972954228</v>
      </c>
      <c r="AG5278" s="2">
        <f ca="1"/>
        <v>0.85573783789573121</v>
      </c>
      <c r="AH5278" s="2" t="str">
        <f ca="1"/>
        <v>Bad</v>
      </c>
    </row>
    <row r="5279" spans="2:34" x14ac:dyDescent="0.2">
      <c r="B5279" s="2">
        <f ca="1"/>
        <v>0.30054675631154892</v>
      </c>
      <c r="O5279" s="2">
        <f ca="1"/>
        <v>0.3589340712364652</v>
      </c>
      <c r="X5279" s="2">
        <f ca="1"/>
        <v>43.804946791337215</v>
      </c>
      <c r="AG5279" s="2">
        <f ca="1"/>
        <v>0.28286167992219724</v>
      </c>
      <c r="AH5279" s="2" t="str">
        <f ca="1"/>
        <v>OK</v>
      </c>
    </row>
    <row r="5280" spans="2:34" x14ac:dyDescent="0.2">
      <c r="B5280" s="2">
        <f ca="1"/>
        <v>0.21754456557415902</v>
      </c>
      <c r="O5280" s="2">
        <f ca="1"/>
        <v>-0.31268497735480627</v>
      </c>
      <c r="X5280" s="2">
        <f ca="1"/>
        <v>46.199278935522386</v>
      </c>
      <c r="AG5280" s="2">
        <f ca="1"/>
        <v>0.74582900848399647</v>
      </c>
      <c r="AH5280" s="2" t="str">
        <f ca="1"/>
        <v>Bad</v>
      </c>
    </row>
    <row r="5281" spans="2:34" x14ac:dyDescent="0.2">
      <c r="B5281" s="2">
        <f ca="1"/>
        <v>7.8338134783124014E-2</v>
      </c>
      <c r="O5281" s="2">
        <f ca="1"/>
        <v>-1.9424848946027113</v>
      </c>
      <c r="X5281" s="2">
        <f ca="1"/>
        <v>46.636846794128402</v>
      </c>
      <c r="AG5281" s="2">
        <f ca="1"/>
        <v>0.17840525568603405</v>
      </c>
      <c r="AH5281" s="2" t="str">
        <f ca="1"/>
        <v>OK</v>
      </c>
    </row>
    <row r="5282" spans="2:34" x14ac:dyDescent="0.2">
      <c r="B5282" s="2">
        <f ca="1"/>
        <v>0.70834560304150962</v>
      </c>
      <c r="O5282" s="2">
        <f ca="1"/>
        <v>-1.2875120974499896</v>
      </c>
      <c r="X5282" s="2">
        <f ca="1"/>
        <v>89.475477013057315</v>
      </c>
      <c r="AG5282" s="2">
        <f ca="1"/>
        <v>0.18357397592939151</v>
      </c>
      <c r="AH5282" s="2" t="str">
        <f ca="1"/>
        <v>OK</v>
      </c>
    </row>
    <row r="5283" spans="2:34" x14ac:dyDescent="0.2">
      <c r="B5283" s="2">
        <f ca="1"/>
        <v>4.5934319717017669E-2</v>
      </c>
      <c r="O5283" s="2">
        <f ca="1"/>
        <v>-0.46805721052992222</v>
      </c>
      <c r="X5283" s="2">
        <f ca="1"/>
        <v>35.780317599099774</v>
      </c>
      <c r="AG5283" s="2">
        <f ca="1"/>
        <v>0.6264292368205604</v>
      </c>
      <c r="AH5283" s="2" t="str">
        <f ca="1"/>
        <v>Bad</v>
      </c>
    </row>
    <row r="5284" spans="2:34" x14ac:dyDescent="0.2">
      <c r="B5284" s="2">
        <f ca="1"/>
        <v>0.43279151661586357</v>
      </c>
      <c r="O5284" s="2">
        <f ca="1"/>
        <v>-0.96167690748311907</v>
      </c>
      <c r="X5284" s="2">
        <f ca="1"/>
        <v>66.383451280760355</v>
      </c>
      <c r="AG5284" s="2">
        <f ca="1"/>
        <v>3.9908341085816978E-2</v>
      </c>
      <c r="AH5284" s="2" t="str">
        <f ca="1"/>
        <v>Good</v>
      </c>
    </row>
    <row r="5285" spans="2:34" x14ac:dyDescent="0.2">
      <c r="B5285" s="2">
        <f ca="1"/>
        <v>0.77959519847655478</v>
      </c>
      <c r="O5285" s="2">
        <f ca="1"/>
        <v>6.9436061490590256E-2</v>
      </c>
      <c r="X5285" s="2">
        <f ca="1"/>
        <v>43.182573525189639</v>
      </c>
      <c r="AG5285" s="2">
        <f ca="1"/>
        <v>0.95533639481621813</v>
      </c>
      <c r="AH5285" s="2" t="str">
        <f ca="1"/>
        <v>Bad</v>
      </c>
    </row>
    <row r="5286" spans="2:34" x14ac:dyDescent="0.2">
      <c r="B5286" s="2">
        <f ca="1"/>
        <v>0.43692313837187569</v>
      </c>
      <c r="O5286" s="2">
        <f ca="1"/>
        <v>0.20744131519141876</v>
      </c>
      <c r="X5286" s="2">
        <f ca="1"/>
        <v>56.608907984341734</v>
      </c>
      <c r="AG5286" s="2">
        <f ca="1"/>
        <v>0.14761357219174109</v>
      </c>
      <c r="AH5286" s="2" t="str">
        <f ca="1"/>
        <v>OK</v>
      </c>
    </row>
    <row r="5287" spans="2:34" x14ac:dyDescent="0.2">
      <c r="B5287" s="2">
        <f ca="1"/>
        <v>0.39180974104000366</v>
      </c>
      <c r="O5287" s="2">
        <f ca="1"/>
        <v>1.0036514441763082</v>
      </c>
      <c r="X5287" s="2">
        <f ca="1"/>
        <v>51.149033537330702</v>
      </c>
      <c r="AG5287" s="2">
        <f ca="1"/>
        <v>7.0500326974894945E-2</v>
      </c>
      <c r="AH5287" s="2" t="str">
        <f ca="1"/>
        <v>OK</v>
      </c>
    </row>
    <row r="5288" spans="2:34" x14ac:dyDescent="0.2">
      <c r="B5288" s="2">
        <f ca="1"/>
        <v>0.65376321356237788</v>
      </c>
      <c r="O5288" s="2">
        <f ca="1"/>
        <v>-4.1575222415211784E-2</v>
      </c>
      <c r="X5288" s="2">
        <f ca="1"/>
        <v>34.473822636527295</v>
      </c>
      <c r="AG5288" s="2">
        <f ca="1"/>
        <v>0.28438061305513318</v>
      </c>
      <c r="AH5288" s="2" t="str">
        <f ca="1"/>
        <v>OK</v>
      </c>
    </row>
    <row r="5289" spans="2:34" x14ac:dyDescent="0.2">
      <c r="B5289" s="2">
        <f ca="1"/>
        <v>0.24951169863168521</v>
      </c>
      <c r="O5289" s="2">
        <f ca="1"/>
        <v>0.16621869983421178</v>
      </c>
      <c r="X5289" s="2">
        <f ca="1"/>
        <v>25.16003345161436</v>
      </c>
      <c r="AG5289" s="2">
        <f ca="1"/>
        <v>0.70841253450611741</v>
      </c>
      <c r="AH5289" s="2" t="str">
        <f ca="1"/>
        <v>Bad</v>
      </c>
    </row>
    <row r="5290" spans="2:34" x14ac:dyDescent="0.2">
      <c r="B5290" s="2">
        <f ca="1"/>
        <v>0.32063785519310839</v>
      </c>
      <c r="O5290" s="2">
        <f ca="1"/>
        <v>2.1959379717115136E-2</v>
      </c>
      <c r="X5290" s="2">
        <f ca="1"/>
        <v>50.917867641345602</v>
      </c>
      <c r="AG5290" s="2">
        <f ca="1"/>
        <v>0.83383139124945682</v>
      </c>
      <c r="AH5290" s="2" t="str">
        <f ca="1"/>
        <v>Bad</v>
      </c>
    </row>
    <row r="5291" spans="2:34" x14ac:dyDescent="0.2">
      <c r="B5291" s="2">
        <f ca="1"/>
        <v>7.1152938010552225E-2</v>
      </c>
      <c r="O5291" s="2">
        <f ca="1"/>
        <v>-0.39359525196360184</v>
      </c>
      <c r="X5291" s="2">
        <f ca="1"/>
        <v>65.037851297356212</v>
      </c>
      <c r="AG5291" s="2">
        <f ca="1"/>
        <v>0.97861562689692372</v>
      </c>
      <c r="AH5291" s="2" t="str">
        <f ca="1"/>
        <v>Bad</v>
      </c>
    </row>
    <row r="5292" spans="2:34" x14ac:dyDescent="0.2">
      <c r="B5292" s="2">
        <f ca="1"/>
        <v>0.5933811648668248</v>
      </c>
      <c r="O5292" s="2">
        <f ca="1"/>
        <v>1.2362408539031846</v>
      </c>
      <c r="X5292" s="2">
        <f ca="1"/>
        <v>37.938419387340893</v>
      </c>
      <c r="AG5292" s="2">
        <f ca="1"/>
        <v>0.51056039549322962</v>
      </c>
      <c r="AH5292" s="2" t="str">
        <f ca="1"/>
        <v>Bad</v>
      </c>
    </row>
    <row r="5293" spans="2:34" x14ac:dyDescent="0.2">
      <c r="B5293" s="2">
        <f ca="1"/>
        <v>0.15449550326976835</v>
      </c>
      <c r="O5293" s="2">
        <f ca="1"/>
        <v>0.3785127982436659</v>
      </c>
      <c r="X5293" s="2">
        <f ca="1"/>
        <v>52.259654316305813</v>
      </c>
      <c r="AG5293" s="2">
        <f ca="1"/>
        <v>0.43591955049816877</v>
      </c>
      <c r="AH5293" s="2" t="str">
        <f ca="1"/>
        <v>Bad</v>
      </c>
    </row>
    <row r="5294" spans="2:34" x14ac:dyDescent="0.2">
      <c r="B5294" s="2">
        <f ca="1"/>
        <v>0.36688274258519327</v>
      </c>
      <c r="O5294" s="2">
        <f ca="1"/>
        <v>-0.49932567211238987</v>
      </c>
      <c r="X5294" s="2">
        <f ca="1"/>
        <v>52.932440138548955</v>
      </c>
      <c r="AG5294" s="2">
        <f ca="1"/>
        <v>9.4037044678558779E-2</v>
      </c>
      <c r="AH5294" s="2" t="str">
        <f ca="1"/>
        <v>OK</v>
      </c>
    </row>
    <row r="5295" spans="2:34" x14ac:dyDescent="0.2">
      <c r="B5295" s="2">
        <f ca="1"/>
        <v>0.79151435015184979</v>
      </c>
      <c r="O5295" s="2">
        <f ca="1"/>
        <v>1.1060643127208536</v>
      </c>
      <c r="X5295" s="2">
        <f ca="1"/>
        <v>32.343146597948959</v>
      </c>
      <c r="AG5295" s="2">
        <f ca="1"/>
        <v>0.59161951395903878</v>
      </c>
      <c r="AH5295" s="2" t="str">
        <f ca="1"/>
        <v>Bad</v>
      </c>
    </row>
    <row r="5296" spans="2:34" x14ac:dyDescent="0.2">
      <c r="B5296" s="2">
        <f ca="1"/>
        <v>0.47597372726479814</v>
      </c>
      <c r="O5296" s="2">
        <f ca="1"/>
        <v>2.3700441265584642</v>
      </c>
      <c r="X5296" s="2">
        <f ca="1"/>
        <v>40.830453452230614</v>
      </c>
      <c r="AG5296" s="2">
        <f ca="1"/>
        <v>0.46437753616871991</v>
      </c>
      <c r="AH5296" s="2" t="str">
        <f ca="1"/>
        <v>Bad</v>
      </c>
    </row>
    <row r="5297" spans="2:34" x14ac:dyDescent="0.2">
      <c r="B5297" s="2">
        <f ca="1"/>
        <v>2.7939760489707366E-2</v>
      </c>
      <c r="O5297" s="2">
        <f ca="1"/>
        <v>-1.1014446817791295</v>
      </c>
      <c r="X5297" s="2">
        <f ca="1"/>
        <v>30.787607090479344</v>
      </c>
      <c r="AG5297" s="2">
        <f ca="1"/>
        <v>0.41257180037679531</v>
      </c>
      <c r="AH5297" s="2" t="str">
        <f ca="1"/>
        <v>Bad</v>
      </c>
    </row>
    <row r="5298" spans="2:34" x14ac:dyDescent="0.2">
      <c r="B5298" s="2">
        <f ca="1"/>
        <v>0.87700071318327355</v>
      </c>
      <c r="O5298" s="2">
        <f ca="1"/>
        <v>-0.35686901505028684</v>
      </c>
      <c r="X5298" s="2">
        <f ca="1"/>
        <v>69.149288112042981</v>
      </c>
      <c r="AG5298" s="2">
        <f ca="1"/>
        <v>0.57386647617963882</v>
      </c>
      <c r="AH5298" s="2" t="str">
        <f ca="1"/>
        <v>Bad</v>
      </c>
    </row>
    <row r="5299" spans="2:34" x14ac:dyDescent="0.2">
      <c r="B5299" s="2">
        <f ca="1"/>
        <v>0.83886000598092458</v>
      </c>
      <c r="O5299" s="2">
        <f ca="1"/>
        <v>0.81021066927860164</v>
      </c>
      <c r="X5299" s="2">
        <f ca="1"/>
        <v>46.526523447469287</v>
      </c>
      <c r="AG5299" s="2">
        <f ca="1"/>
        <v>2.9612009858813959E-2</v>
      </c>
      <c r="AH5299" s="2" t="str">
        <f ca="1"/>
        <v>Good</v>
      </c>
    </row>
    <row r="5300" spans="2:34" x14ac:dyDescent="0.2">
      <c r="B5300" s="2">
        <f ca="1"/>
        <v>0.91704198070097731</v>
      </c>
      <c r="O5300" s="2">
        <f ca="1"/>
        <v>1.8438262097493709</v>
      </c>
      <c r="X5300" s="2">
        <f ca="1"/>
        <v>79.709028377841577</v>
      </c>
      <c r="AG5300" s="2">
        <f ca="1"/>
        <v>0.27191788052616817</v>
      </c>
      <c r="AH5300" s="2" t="str">
        <f ca="1"/>
        <v>OK</v>
      </c>
    </row>
    <row r="5301" spans="2:34" x14ac:dyDescent="0.2">
      <c r="B5301" s="2">
        <f ca="1"/>
        <v>9.4869726479845262E-2</v>
      </c>
      <c r="O5301" s="2">
        <f ca="1"/>
        <v>1.5119946447020085</v>
      </c>
      <c r="X5301" s="2">
        <f ca="1"/>
        <v>64.647046173934257</v>
      </c>
      <c r="AG5301" s="2">
        <f ca="1"/>
        <v>0.13859075339893923</v>
      </c>
      <c r="AH5301" s="2" t="str">
        <f ca="1"/>
        <v>OK</v>
      </c>
    </row>
    <row r="5302" spans="2:34" x14ac:dyDescent="0.2">
      <c r="B5302" s="2">
        <f ca="1"/>
        <v>0.73548917910337575</v>
      </c>
      <c r="O5302" s="2">
        <f ca="1"/>
        <v>-0.79483160074555848</v>
      </c>
      <c r="X5302" s="2">
        <f ca="1"/>
        <v>56.67834510057385</v>
      </c>
      <c r="AG5302" s="2">
        <f ca="1"/>
        <v>0.14392191856659453</v>
      </c>
      <c r="AH5302" s="2" t="str">
        <f ca="1"/>
        <v>OK</v>
      </c>
    </row>
    <row r="5303" spans="2:34" x14ac:dyDescent="0.2">
      <c r="B5303" s="2">
        <f ca="1"/>
        <v>0.61590589757768499</v>
      </c>
      <c r="O5303" s="2">
        <f ca="1"/>
        <v>1.1297773469567265</v>
      </c>
      <c r="X5303" s="2">
        <f ca="1"/>
        <v>52.84659033613562</v>
      </c>
      <c r="AG5303" s="2">
        <f ca="1"/>
        <v>7.550297924038829E-2</v>
      </c>
      <c r="AH5303" s="2" t="str">
        <f ca="1"/>
        <v>OK</v>
      </c>
    </row>
    <row r="5304" spans="2:34" x14ac:dyDescent="0.2">
      <c r="B5304" s="2">
        <f ca="1"/>
        <v>0.16249560941721763</v>
      </c>
      <c r="O5304" s="2">
        <f ca="1"/>
        <v>-0.34310690507506786</v>
      </c>
      <c r="X5304" s="2">
        <f ca="1"/>
        <v>50.552558412217422</v>
      </c>
      <c r="AG5304" s="2">
        <f ca="1"/>
        <v>0.81235919935741396</v>
      </c>
      <c r="AH5304" s="2" t="str">
        <f ca="1"/>
        <v>Bad</v>
      </c>
    </row>
    <row r="5305" spans="2:34" x14ac:dyDescent="0.2">
      <c r="B5305" s="2">
        <f ca="1"/>
        <v>4.5897450278537422E-2</v>
      </c>
      <c r="O5305" s="2">
        <f ca="1"/>
        <v>7.8535387109264679E-2</v>
      </c>
      <c r="X5305" s="2">
        <f ca="1"/>
        <v>123.25307101580599</v>
      </c>
      <c r="AG5305" s="2">
        <f ca="1"/>
        <v>0.82557148135243041</v>
      </c>
      <c r="AH5305" s="2" t="str">
        <f ca="1"/>
        <v>Bad</v>
      </c>
    </row>
    <row r="5306" spans="2:34" x14ac:dyDescent="0.2">
      <c r="B5306" s="2">
        <f ca="1"/>
        <v>0.43049522635308191</v>
      </c>
      <c r="O5306" s="2">
        <f ca="1"/>
        <v>0.11343643021819248</v>
      </c>
      <c r="X5306" s="2">
        <f ca="1"/>
        <v>64.223644092424124</v>
      </c>
      <c r="AG5306" s="2">
        <f ca="1"/>
        <v>0.92696532535766818</v>
      </c>
      <c r="AH5306" s="2" t="str">
        <f ca="1"/>
        <v>Bad</v>
      </c>
    </row>
    <row r="5307" spans="2:34" x14ac:dyDescent="0.2">
      <c r="B5307" s="2">
        <f ca="1"/>
        <v>0.70853354521230383</v>
      </c>
      <c r="O5307" s="2">
        <f ca="1"/>
        <v>0.68352271515510499</v>
      </c>
      <c r="X5307" s="2">
        <f ca="1"/>
        <v>68.19074543180308</v>
      </c>
      <c r="AG5307" s="2">
        <f ca="1"/>
        <v>0.26070937101363389</v>
      </c>
      <c r="AH5307" s="2" t="str">
        <f ca="1"/>
        <v>OK</v>
      </c>
    </row>
    <row r="5308" spans="2:34" x14ac:dyDescent="0.2">
      <c r="B5308" s="2">
        <f ca="1"/>
        <v>0.79306079308786859</v>
      </c>
      <c r="O5308" s="2">
        <f ca="1"/>
        <v>-0.34687319547350881</v>
      </c>
      <c r="X5308" s="2">
        <f ca="1"/>
        <v>42.856617708288042</v>
      </c>
      <c r="AG5308" s="2">
        <f ca="1"/>
        <v>0.24156929731469456</v>
      </c>
      <c r="AH5308" s="2" t="str">
        <f ca="1"/>
        <v>OK</v>
      </c>
    </row>
    <row r="5309" spans="2:34" x14ac:dyDescent="0.2">
      <c r="B5309" s="2">
        <f ca="1"/>
        <v>0.43711406546732046</v>
      </c>
      <c r="O5309" s="2">
        <f ca="1"/>
        <v>-0.26157041525380981</v>
      </c>
      <c r="X5309" s="2">
        <f ca="1"/>
        <v>32.036336795846253</v>
      </c>
      <c r="AG5309" s="2">
        <f ca="1"/>
        <v>0.67286976513738672</v>
      </c>
      <c r="AH5309" s="2" t="str">
        <f ca="1"/>
        <v>Bad</v>
      </c>
    </row>
    <row r="5310" spans="2:34" x14ac:dyDescent="0.2">
      <c r="B5310" s="2">
        <f ca="1"/>
        <v>4.1315846819423685E-2</v>
      </c>
      <c r="O5310" s="2">
        <f ca="1"/>
        <v>0.15192009640905926</v>
      </c>
      <c r="X5310" s="2">
        <f ca="1"/>
        <v>64.668111629005736</v>
      </c>
      <c r="AG5310" s="2">
        <f ca="1"/>
        <v>0.1517378118011059</v>
      </c>
      <c r="AH5310" s="2" t="str">
        <f ca="1"/>
        <v>OK</v>
      </c>
    </row>
    <row r="5311" spans="2:34" x14ac:dyDescent="0.2">
      <c r="B5311" s="2">
        <f ca="1"/>
        <v>0.54849225073907948</v>
      </c>
      <c r="O5311" s="2">
        <f ca="1"/>
        <v>0.76797251413855672</v>
      </c>
      <c r="X5311" s="2">
        <f ca="1"/>
        <v>59.253070894646385</v>
      </c>
      <c r="AG5311" s="2">
        <f ca="1"/>
        <v>0.93607569364891052</v>
      </c>
      <c r="AH5311" s="2" t="str">
        <f ca="1"/>
        <v>Bad</v>
      </c>
    </row>
    <row r="5312" spans="2:34" x14ac:dyDescent="0.2">
      <c r="B5312" s="2">
        <f ca="1"/>
        <v>0.80731025363075859</v>
      </c>
      <c r="O5312" s="2">
        <f ca="1"/>
        <v>0.59048588830688831</v>
      </c>
      <c r="X5312" s="2">
        <f ca="1"/>
        <v>68.619801498542657</v>
      </c>
      <c r="AG5312" s="2">
        <f ca="1"/>
        <v>0.85694463131886911</v>
      </c>
      <c r="AH5312" s="2" t="str">
        <f ca="1"/>
        <v>Bad</v>
      </c>
    </row>
    <row r="5313" spans="2:34" x14ac:dyDescent="0.2">
      <c r="B5313" s="2">
        <f ca="1"/>
        <v>0.49597355093765949</v>
      </c>
      <c r="O5313" s="2">
        <f ca="1"/>
        <v>-1.3257975178261565</v>
      </c>
      <c r="X5313" s="2">
        <f ca="1"/>
        <v>33.281534129851686</v>
      </c>
      <c r="AG5313" s="2">
        <f ca="1"/>
        <v>0.5742240510987886</v>
      </c>
      <c r="AH5313" s="2" t="str">
        <f ca="1"/>
        <v>Bad</v>
      </c>
    </row>
    <row r="5314" spans="2:34" x14ac:dyDescent="0.2">
      <c r="B5314" s="2">
        <f ca="1"/>
        <v>5.5635794131901006E-2</v>
      </c>
      <c r="O5314" s="2">
        <f ca="1"/>
        <v>1.7343921824706559</v>
      </c>
      <c r="X5314" s="2">
        <f ca="1"/>
        <v>69.66107121790445</v>
      </c>
      <c r="AG5314" s="2">
        <f ca="1"/>
        <v>0.73443116497564387</v>
      </c>
      <c r="AH5314" s="2" t="str">
        <f ca="1"/>
        <v>Bad</v>
      </c>
    </row>
    <row r="5315" spans="2:34" x14ac:dyDescent="0.2">
      <c r="B5315" s="2">
        <f ca="1"/>
        <v>7.7057622226734512E-2</v>
      </c>
      <c r="O5315" s="2">
        <f ca="1"/>
        <v>0.24105112495597225</v>
      </c>
      <c r="X5315" s="2">
        <f ca="1"/>
        <v>46.49355500159399</v>
      </c>
      <c r="AG5315" s="2">
        <f ca="1"/>
        <v>0.1061607144089769</v>
      </c>
      <c r="AH5315" s="2" t="str">
        <f ca="1"/>
        <v>OK</v>
      </c>
    </row>
    <row r="5316" spans="2:34" x14ac:dyDescent="0.2">
      <c r="B5316" s="2">
        <f ca="1"/>
        <v>0.3815439778561529</v>
      </c>
      <c r="O5316" s="2">
        <f ca="1"/>
        <v>-1.765362307431245</v>
      </c>
      <c r="X5316" s="2">
        <f ca="1"/>
        <v>22.721996112053805</v>
      </c>
      <c r="AG5316" s="2">
        <f ca="1"/>
        <v>0.27230100667160073</v>
      </c>
      <c r="AH5316" s="2" t="str">
        <f ca="1"/>
        <v>OK</v>
      </c>
    </row>
    <row r="5317" spans="2:34" x14ac:dyDescent="0.2">
      <c r="B5317" s="2">
        <f ca="1"/>
        <v>0.64535602678071391</v>
      </c>
      <c r="O5317" s="2">
        <f ca="1"/>
        <v>-1.5016043179021186</v>
      </c>
      <c r="X5317" s="2">
        <f ca="1"/>
        <v>48.605230694634692</v>
      </c>
      <c r="AG5317" s="2">
        <f ca="1"/>
        <v>0.58522146624029281</v>
      </c>
      <c r="AH5317" s="2" t="str">
        <f ca="1"/>
        <v>Bad</v>
      </c>
    </row>
    <row r="5318" spans="2:34" x14ac:dyDescent="0.2">
      <c r="B5318" s="2">
        <f ca="1"/>
        <v>0.15499892923190295</v>
      </c>
      <c r="O5318" s="2">
        <f ca="1"/>
        <v>1.16352056697218</v>
      </c>
      <c r="X5318" s="2">
        <f ca="1"/>
        <v>62.413285281208218</v>
      </c>
      <c r="AG5318" s="2">
        <f ca="1"/>
        <v>0.27049723588489938</v>
      </c>
      <c r="AH5318" s="2" t="str">
        <f ca="1"/>
        <v>OK</v>
      </c>
    </row>
    <row r="5319" spans="2:34" x14ac:dyDescent="0.2">
      <c r="B5319" s="2">
        <f ca="1"/>
        <v>0.18309863749501898</v>
      </c>
      <c r="O5319" s="2">
        <f ca="1"/>
        <v>0.52751361278306985</v>
      </c>
      <c r="X5319" s="2">
        <f ca="1"/>
        <v>23.847344257543437</v>
      </c>
      <c r="AG5319" s="2">
        <f ca="1"/>
        <v>0.37385313710999202</v>
      </c>
      <c r="AH5319" s="2" t="str">
        <f ca="1"/>
        <v>OK</v>
      </c>
    </row>
    <row r="5320" spans="2:34" x14ac:dyDescent="0.2">
      <c r="B5320" s="2">
        <f ca="1"/>
        <v>0.52150908503831017</v>
      </c>
      <c r="O5320" s="2">
        <f ca="1"/>
        <v>1.8913997427102891</v>
      </c>
      <c r="X5320" s="2">
        <f ca="1"/>
        <v>56.933493881708372</v>
      </c>
      <c r="AG5320" s="2">
        <f ca="1"/>
        <v>0.11423353253492352</v>
      </c>
      <c r="AH5320" s="2" t="str">
        <f ca="1"/>
        <v>OK</v>
      </c>
    </row>
    <row r="5321" spans="2:34" x14ac:dyDescent="0.2">
      <c r="B5321" s="2">
        <f ca="1"/>
        <v>0.244278617895755</v>
      </c>
      <c r="O5321" s="2">
        <f ca="1"/>
        <v>-0.20418588581190428</v>
      </c>
      <c r="X5321" s="2">
        <f ca="1"/>
        <v>24.955977608539929</v>
      </c>
      <c r="AG5321" s="2">
        <f ca="1"/>
        <v>0.62811802160972152</v>
      </c>
      <c r="AH5321" s="2" t="str">
        <f ca="1"/>
        <v>Bad</v>
      </c>
    </row>
    <row r="5322" spans="2:34" x14ac:dyDescent="0.2">
      <c r="B5322" s="2">
        <f ca="1"/>
        <v>0.25241132184380644</v>
      </c>
      <c r="O5322" s="2">
        <f ca="1"/>
        <v>1.3960248310987278</v>
      </c>
      <c r="X5322" s="2">
        <f ca="1"/>
        <v>47.079940005694411</v>
      </c>
      <c r="AG5322" s="2">
        <f ca="1"/>
        <v>0.50321580738126337</v>
      </c>
      <c r="AH5322" s="2" t="str">
        <f ca="1"/>
        <v>Bad</v>
      </c>
    </row>
    <row r="5323" spans="2:34" x14ac:dyDescent="0.2">
      <c r="B5323" s="2">
        <f ca="1"/>
        <v>0.92188193532999008</v>
      </c>
      <c r="O5323" s="2">
        <f ca="1"/>
        <v>-1.111967330273385</v>
      </c>
      <c r="X5323" s="2">
        <f ca="1"/>
        <v>43.2673194908729</v>
      </c>
      <c r="AG5323" s="2">
        <f ca="1"/>
        <v>0.12214364786198595</v>
      </c>
      <c r="AH5323" s="2" t="str">
        <f ca="1"/>
        <v>OK</v>
      </c>
    </row>
    <row r="5324" spans="2:34" x14ac:dyDescent="0.2">
      <c r="B5324" s="2">
        <f ca="1"/>
        <v>0.94110561337967313</v>
      </c>
      <c r="O5324" s="2">
        <f ca="1"/>
        <v>-0.52977486051427358</v>
      </c>
      <c r="X5324" s="2">
        <f ca="1"/>
        <v>41.743845440269709</v>
      </c>
      <c r="AG5324" s="2">
        <f ca="1"/>
        <v>0.51622625683130341</v>
      </c>
      <c r="AH5324" s="2" t="str">
        <f ca="1"/>
        <v>Bad</v>
      </c>
    </row>
    <row r="5325" spans="2:34" x14ac:dyDescent="0.2">
      <c r="B5325" s="2">
        <f ca="1"/>
        <v>0.42709544707339275</v>
      </c>
      <c r="O5325" s="2">
        <f ca="1"/>
        <v>1.4568880376973965</v>
      </c>
      <c r="X5325" s="2">
        <f ca="1"/>
        <v>78.845844853205122</v>
      </c>
      <c r="AG5325" s="2">
        <f ca="1"/>
        <v>0.59632720340798429</v>
      </c>
      <c r="AH5325" s="2" t="str">
        <f ca="1"/>
        <v>Bad</v>
      </c>
    </row>
    <row r="5326" spans="2:34" x14ac:dyDescent="0.2">
      <c r="B5326" s="2">
        <f ca="1"/>
        <v>4.651429010299335E-2</v>
      </c>
      <c r="O5326" s="2">
        <f ca="1"/>
        <v>-1.7974827565245521</v>
      </c>
      <c r="X5326" s="2">
        <f ca="1"/>
        <v>20.264853881252051</v>
      </c>
      <c r="AG5326" s="2">
        <f ca="1"/>
        <v>0.74272202957505207</v>
      </c>
      <c r="AH5326" s="2" t="str">
        <f ca="1"/>
        <v>Bad</v>
      </c>
    </row>
    <row r="5327" spans="2:34" x14ac:dyDescent="0.2">
      <c r="B5327" s="2">
        <f ca="1"/>
        <v>0.91303245171745817</v>
      </c>
      <c r="O5327" s="2">
        <f ca="1"/>
        <v>0.93545333208956183</v>
      </c>
      <c r="X5327" s="2">
        <f ca="1"/>
        <v>57.088481693708594</v>
      </c>
      <c r="AG5327" s="2">
        <f ca="1"/>
        <v>0.70721549115785676</v>
      </c>
      <c r="AH5327" s="2" t="str">
        <f ca="1"/>
        <v>Bad</v>
      </c>
    </row>
    <row r="5328" spans="2:34" x14ac:dyDescent="0.2">
      <c r="B5328" s="2">
        <f ca="1"/>
        <v>0.56184995266425131</v>
      </c>
      <c r="O5328" s="2">
        <f ca="1"/>
        <v>-0.64464125210752166</v>
      </c>
      <c r="X5328" s="2">
        <f ca="1"/>
        <v>41.153279575704261</v>
      </c>
      <c r="AG5328" s="2">
        <f ca="1"/>
        <v>0.71175935084429698</v>
      </c>
      <c r="AH5328" s="2" t="str">
        <f ca="1"/>
        <v>Bad</v>
      </c>
    </row>
    <row r="5329" spans="2:34" x14ac:dyDescent="0.2">
      <c r="B5329" s="2">
        <f ca="1"/>
        <v>0.74226433906351641</v>
      </c>
      <c r="O5329" s="2">
        <f ca="1"/>
        <v>-0.25403126867902398</v>
      </c>
      <c r="X5329" s="2">
        <f ca="1"/>
        <v>37.811005628098229</v>
      </c>
      <c r="AG5329" s="2">
        <f ca="1"/>
        <v>0.36355360483979537</v>
      </c>
      <c r="AH5329" s="2" t="str">
        <f ca="1"/>
        <v>OK</v>
      </c>
    </row>
    <row r="5330" spans="2:34" x14ac:dyDescent="0.2">
      <c r="B5330" s="2">
        <f ca="1"/>
        <v>0.32100881019943883</v>
      </c>
      <c r="O5330" s="2">
        <f ca="1"/>
        <v>1.3190190179870929</v>
      </c>
      <c r="X5330" s="2">
        <f ca="1"/>
        <v>46.580958296486614</v>
      </c>
      <c r="AG5330" s="2">
        <f ca="1"/>
        <v>0.8969546933186987</v>
      </c>
      <c r="AH5330" s="2" t="str">
        <f ca="1"/>
        <v>Bad</v>
      </c>
    </row>
    <row r="5331" spans="2:34" x14ac:dyDescent="0.2">
      <c r="B5331" s="2">
        <f ca="1"/>
        <v>0.64349826070512628</v>
      </c>
      <c r="O5331" s="2">
        <f ca="1"/>
        <v>-3.7820485806916181E-2</v>
      </c>
      <c r="X5331" s="2">
        <f ca="1"/>
        <v>40.652136512315067</v>
      </c>
      <c r="AG5331" s="2">
        <f ca="1"/>
        <v>8.3776111586343127E-2</v>
      </c>
      <c r="AH5331" s="2" t="str">
        <f ca="1"/>
        <v>OK</v>
      </c>
    </row>
    <row r="5332" spans="2:34" x14ac:dyDescent="0.2">
      <c r="B5332" s="2">
        <f ca="1"/>
        <v>4.0850019802401771E-2</v>
      </c>
      <c r="O5332" s="2">
        <f ca="1"/>
        <v>0.6358830688723216</v>
      </c>
      <c r="X5332" s="2">
        <f ca="1"/>
        <v>41.143501271585706</v>
      </c>
      <c r="AG5332" s="2">
        <f ca="1"/>
        <v>0.84031792097154479</v>
      </c>
      <c r="AH5332" s="2" t="str">
        <f ca="1"/>
        <v>Bad</v>
      </c>
    </row>
    <row r="5333" spans="2:34" x14ac:dyDescent="0.2">
      <c r="B5333" s="2">
        <f ca="1"/>
        <v>7.6680505679034283E-3</v>
      </c>
      <c r="O5333" s="2">
        <f ca="1"/>
        <v>-1.0121061642166298</v>
      </c>
      <c r="X5333" s="2">
        <f ca="1"/>
        <v>70.279036910830797</v>
      </c>
      <c r="AG5333" s="2">
        <f ca="1"/>
        <v>0.83361620907299239</v>
      </c>
      <c r="AH5333" s="2" t="str">
        <f ca="1"/>
        <v>Bad</v>
      </c>
    </row>
    <row r="5334" spans="2:34" x14ac:dyDescent="0.2">
      <c r="B5334" s="2">
        <f ca="1"/>
        <v>0.10107424057370906</v>
      </c>
      <c r="O5334" s="2">
        <f ca="1"/>
        <v>-1.0458763033111862</v>
      </c>
      <c r="X5334" s="2">
        <f ca="1"/>
        <v>44.116443470791189</v>
      </c>
      <c r="AG5334" s="2">
        <f ca="1"/>
        <v>0.15886809843165417</v>
      </c>
      <c r="AH5334" s="2" t="str">
        <f ca="1"/>
        <v>OK</v>
      </c>
    </row>
    <row r="5335" spans="2:34" x14ac:dyDescent="0.2">
      <c r="B5335" s="2">
        <f ca="1"/>
        <v>0.26772717991765127</v>
      </c>
      <c r="O5335" s="2">
        <f ca="1"/>
        <v>-1.5832893598178226</v>
      </c>
      <c r="X5335" s="2">
        <f ca="1"/>
        <v>55.4746152314301</v>
      </c>
      <c r="AG5335" s="2">
        <f ca="1"/>
        <v>0.54679453094976127</v>
      </c>
      <c r="AH5335" s="2" t="str">
        <f ca="1"/>
        <v>Bad</v>
      </c>
    </row>
    <row r="5336" spans="2:34" x14ac:dyDescent="0.2">
      <c r="B5336" s="2">
        <f ca="1"/>
        <v>0.91938291028735764</v>
      </c>
      <c r="O5336" s="2">
        <f ca="1"/>
        <v>-3.1884824335603352</v>
      </c>
      <c r="X5336" s="2">
        <f ca="1"/>
        <v>76.721246744476943</v>
      </c>
      <c r="AG5336" s="2">
        <f ca="1"/>
        <v>0.96917402634847605</v>
      </c>
      <c r="AH5336" s="2" t="str">
        <f ca="1"/>
        <v>Bad</v>
      </c>
    </row>
    <row r="5337" spans="2:34" x14ac:dyDescent="0.2">
      <c r="B5337" s="2">
        <f ca="1"/>
        <v>3.4368118181315799E-2</v>
      </c>
      <c r="O5337" s="2">
        <f ca="1"/>
        <v>-0.55741777775890888</v>
      </c>
      <c r="X5337" s="2">
        <f ca="1"/>
        <v>54.196992962196624</v>
      </c>
      <c r="AG5337" s="2">
        <f ca="1"/>
        <v>8.4180213623524569E-2</v>
      </c>
      <c r="AH5337" s="2" t="str">
        <f ca="1"/>
        <v>OK</v>
      </c>
    </row>
    <row r="5338" spans="2:34" x14ac:dyDescent="0.2">
      <c r="B5338" s="2">
        <f ca="1"/>
        <v>0.43294626955091986</v>
      </c>
      <c r="O5338" s="2">
        <f ca="1"/>
        <v>-1.3041271817965239</v>
      </c>
      <c r="X5338" s="2">
        <f ca="1"/>
        <v>59.130630743213466</v>
      </c>
      <c r="AG5338" s="2">
        <f ca="1"/>
        <v>0.42752545690441357</v>
      </c>
      <c r="AH5338" s="2" t="str">
        <f ca="1"/>
        <v>Bad</v>
      </c>
    </row>
    <row r="5339" spans="2:34" x14ac:dyDescent="0.2">
      <c r="B5339" s="2">
        <f ca="1"/>
        <v>0.75877916103313314</v>
      </c>
      <c r="O5339" s="2">
        <f ca="1"/>
        <v>0.80968029605468861</v>
      </c>
      <c r="X5339" s="2">
        <f ca="1"/>
        <v>41.363989642493195</v>
      </c>
      <c r="AG5339" s="2">
        <f ca="1"/>
        <v>0.63486129862120078</v>
      </c>
      <c r="AH5339" s="2" t="str">
        <f ca="1"/>
        <v>Bad</v>
      </c>
    </row>
    <row r="5340" spans="2:34" x14ac:dyDescent="0.2">
      <c r="B5340" s="2">
        <f ca="1"/>
        <v>0.17914520921481758</v>
      </c>
      <c r="O5340" s="2">
        <f ca="1"/>
        <v>-0.34738479237165759</v>
      </c>
      <c r="X5340" s="2">
        <f ca="1"/>
        <v>49.701491124474401</v>
      </c>
      <c r="AG5340" s="2">
        <f ca="1"/>
        <v>0.24946257367692182</v>
      </c>
      <c r="AH5340" s="2" t="str">
        <f ca="1"/>
        <v>OK</v>
      </c>
    </row>
    <row r="5341" spans="2:34" x14ac:dyDescent="0.2">
      <c r="B5341" s="2">
        <f ca="1"/>
        <v>0.2924844929347421</v>
      </c>
      <c r="O5341" s="2">
        <f ca="1"/>
        <v>-0.59034337633973311</v>
      </c>
      <c r="X5341" s="2">
        <f ca="1"/>
        <v>58.194163878359674</v>
      </c>
      <c r="AG5341" s="2">
        <f ca="1"/>
        <v>0.76893162700928119</v>
      </c>
      <c r="AH5341" s="2" t="str">
        <f ca="1"/>
        <v>Bad</v>
      </c>
    </row>
    <row r="5342" spans="2:34" x14ac:dyDescent="0.2">
      <c r="B5342" s="2">
        <f ca="1"/>
        <v>9.4299521566275635E-2</v>
      </c>
      <c r="O5342" s="2">
        <f ca="1"/>
        <v>-0.53032872872339376</v>
      </c>
      <c r="X5342" s="2">
        <f ca="1"/>
        <v>77.989416816484436</v>
      </c>
      <c r="AG5342" s="2">
        <f ca="1"/>
        <v>0.2081347223322576</v>
      </c>
      <c r="AH5342" s="2" t="str">
        <f ca="1"/>
        <v>OK</v>
      </c>
    </row>
    <row r="5343" spans="2:34" x14ac:dyDescent="0.2">
      <c r="B5343" s="2">
        <f ca="1"/>
        <v>0.36259755301888918</v>
      </c>
      <c r="O5343" s="2">
        <f ca="1"/>
        <v>0.83995743590793215</v>
      </c>
      <c r="X5343" s="2">
        <f ca="1"/>
        <v>49.695382085160304</v>
      </c>
      <c r="AG5343" s="2">
        <f ca="1"/>
        <v>0.55781704355308204</v>
      </c>
      <c r="AH5343" s="2" t="str">
        <f ca="1"/>
        <v>Bad</v>
      </c>
    </row>
    <row r="5344" spans="2:34" x14ac:dyDescent="0.2">
      <c r="B5344" s="2">
        <f ca="1"/>
        <v>0.32401695119579466</v>
      </c>
      <c r="O5344" s="2">
        <f ca="1"/>
        <v>1.4320402941733841</v>
      </c>
      <c r="X5344" s="2">
        <f ca="1"/>
        <v>66.610064560183375</v>
      </c>
      <c r="AG5344" s="2">
        <f ca="1"/>
        <v>9.9384266804104504E-2</v>
      </c>
      <c r="AH5344" s="2" t="str">
        <f ca="1"/>
        <v>OK</v>
      </c>
    </row>
    <row r="5345" spans="2:34" x14ac:dyDescent="0.2">
      <c r="B5345" s="2">
        <f ca="1"/>
        <v>0.3423536901319808</v>
      </c>
      <c r="O5345" s="2">
        <f ca="1"/>
        <v>-0.68961466156883389</v>
      </c>
      <c r="X5345" s="2">
        <f ca="1"/>
        <v>48.583973359314747</v>
      </c>
      <c r="AG5345" s="2">
        <f ca="1"/>
        <v>0.6733835829739423</v>
      </c>
      <c r="AH5345" s="2" t="str">
        <f ca="1"/>
        <v>Bad</v>
      </c>
    </row>
    <row r="5346" spans="2:34" x14ac:dyDescent="0.2">
      <c r="B5346" s="2">
        <f ca="1"/>
        <v>7.235091536102134E-2</v>
      </c>
      <c r="O5346" s="2">
        <f ca="1"/>
        <v>-1.7536151197428849</v>
      </c>
      <c r="X5346" s="2">
        <f ca="1"/>
        <v>63.581213182452146</v>
      </c>
      <c r="AG5346" s="2">
        <f ca="1"/>
        <v>0.52465827896576811</v>
      </c>
      <c r="AH5346" s="2" t="str">
        <f ca="1"/>
        <v>Bad</v>
      </c>
    </row>
    <row r="5347" spans="2:34" x14ac:dyDescent="0.2">
      <c r="B5347" s="2">
        <f ca="1"/>
        <v>0.95606538495110338</v>
      </c>
      <c r="O5347" s="2">
        <f ca="1"/>
        <v>0.87779185077185329</v>
      </c>
      <c r="X5347" s="2">
        <f ca="1"/>
        <v>43.944735401317878</v>
      </c>
      <c r="AG5347" s="2">
        <f ca="1"/>
        <v>0.15956038920958715</v>
      </c>
      <c r="AH5347" s="2" t="str">
        <f ca="1"/>
        <v>OK</v>
      </c>
    </row>
    <row r="5348" spans="2:34" x14ac:dyDescent="0.2">
      <c r="B5348" s="2">
        <f ca="1"/>
        <v>0.87862312191470648</v>
      </c>
      <c r="O5348" s="2">
        <f ca="1"/>
        <v>-1.5280078931463856E-2</v>
      </c>
      <c r="X5348" s="2">
        <f ca="1"/>
        <v>31.532014690511563</v>
      </c>
      <c r="AG5348" s="2">
        <f ca="1"/>
        <v>0.95660164523908731</v>
      </c>
      <c r="AH5348" s="2" t="str">
        <f ca="1"/>
        <v>Bad</v>
      </c>
    </row>
    <row r="5349" spans="2:34" x14ac:dyDescent="0.2">
      <c r="B5349" s="2">
        <f ca="1"/>
        <v>0.4693213671418428</v>
      </c>
      <c r="O5349" s="2">
        <f ca="1"/>
        <v>0.9341056721353741</v>
      </c>
      <c r="X5349" s="2">
        <f ca="1"/>
        <v>36.813172280652822</v>
      </c>
      <c r="AG5349" s="2">
        <f ca="1"/>
        <v>0.92439868428541505</v>
      </c>
      <c r="AH5349" s="2" t="str">
        <f ca="1"/>
        <v>Bad</v>
      </c>
    </row>
    <row r="5350" spans="2:34" x14ac:dyDescent="0.2">
      <c r="B5350" s="2">
        <f ca="1"/>
        <v>0.6780347674789764</v>
      </c>
      <c r="O5350" s="2">
        <f ca="1"/>
        <v>-1.462994933019476</v>
      </c>
      <c r="X5350" s="2">
        <f ca="1"/>
        <v>29.997858938194568</v>
      </c>
      <c r="AG5350" s="2">
        <f ca="1"/>
        <v>6.0266456084923758E-2</v>
      </c>
      <c r="AH5350" s="2" t="str">
        <f ca="1"/>
        <v>OK</v>
      </c>
    </row>
    <row r="5351" spans="2:34" x14ac:dyDescent="0.2">
      <c r="B5351" s="2">
        <f ca="1"/>
        <v>0.29657849979314799</v>
      </c>
      <c r="O5351" s="2">
        <f ca="1"/>
        <v>-0.51105009848253402</v>
      </c>
      <c r="X5351" s="2">
        <f ca="1"/>
        <v>80.851602479167838</v>
      </c>
      <c r="AG5351" s="2">
        <f ca="1"/>
        <v>0.67234521980837259</v>
      </c>
      <c r="AH5351" s="2" t="str">
        <f ca="1"/>
        <v>Bad</v>
      </c>
    </row>
    <row r="5352" spans="2:34" x14ac:dyDescent="0.2">
      <c r="B5352" s="2">
        <f ca="1"/>
        <v>0.36083817815728825</v>
      </c>
      <c r="O5352" s="2">
        <f ca="1"/>
        <v>-0.50220186872900785</v>
      </c>
      <c r="X5352" s="2">
        <f ca="1"/>
        <v>43.471586018493333</v>
      </c>
      <c r="AG5352" s="2">
        <f ca="1"/>
        <v>0.28858157728088019</v>
      </c>
      <c r="AH5352" s="2" t="str">
        <f ca="1"/>
        <v>OK</v>
      </c>
    </row>
    <row r="5353" spans="2:34" x14ac:dyDescent="0.2">
      <c r="B5353" s="2">
        <f ca="1"/>
        <v>0.42171445669399765</v>
      </c>
      <c r="O5353" s="2">
        <f ca="1"/>
        <v>-1.0634232827667192</v>
      </c>
      <c r="X5353" s="2">
        <f ca="1"/>
        <v>60.635321480340281</v>
      </c>
      <c r="AG5353" s="2">
        <f ca="1"/>
        <v>0.56757304808892006</v>
      </c>
      <c r="AH5353" s="2" t="str">
        <f ca="1"/>
        <v>Bad</v>
      </c>
    </row>
    <row r="5354" spans="2:34" x14ac:dyDescent="0.2">
      <c r="B5354" s="2">
        <f ca="1"/>
        <v>0.16566039368386631</v>
      </c>
      <c r="O5354" s="2">
        <f ca="1"/>
        <v>0.39176595078906645</v>
      </c>
      <c r="X5354" s="2">
        <f ca="1"/>
        <v>27.993368686298567</v>
      </c>
      <c r="AG5354" s="2">
        <f ca="1"/>
        <v>0.64064988204117879</v>
      </c>
      <c r="AH5354" s="2" t="str">
        <f ca="1"/>
        <v>Bad</v>
      </c>
    </row>
    <row r="5355" spans="2:34" x14ac:dyDescent="0.2">
      <c r="B5355" s="2">
        <f ca="1"/>
        <v>0.40164481091854554</v>
      </c>
      <c r="O5355" s="2">
        <f ca="1"/>
        <v>-2.1939060177518899</v>
      </c>
      <c r="X5355" s="2">
        <f ca="1"/>
        <v>70.657995109128478</v>
      </c>
      <c r="AG5355" s="2">
        <f ca="1"/>
        <v>0.65237981409133483</v>
      </c>
      <c r="AH5355" s="2" t="str">
        <f ca="1"/>
        <v>Bad</v>
      </c>
    </row>
    <row r="5356" spans="2:34" x14ac:dyDescent="0.2">
      <c r="B5356" s="2">
        <f ca="1"/>
        <v>0.38510970920011656</v>
      </c>
      <c r="O5356" s="2">
        <f ca="1"/>
        <v>6.6073634218732871E-2</v>
      </c>
      <c r="X5356" s="2">
        <f ca="1"/>
        <v>29.467423862247525</v>
      </c>
      <c r="AG5356" s="2">
        <f ca="1"/>
        <v>0.36066466898181937</v>
      </c>
      <c r="AH5356" s="2" t="str">
        <f ca="1"/>
        <v>OK</v>
      </c>
    </row>
    <row r="5357" spans="2:34" x14ac:dyDescent="0.2">
      <c r="B5357" s="2">
        <f ca="1"/>
        <v>0.37439990395496481</v>
      </c>
      <c r="O5357" s="2">
        <f ca="1"/>
        <v>-0.22076200990737899</v>
      </c>
      <c r="X5357" s="2">
        <f ca="1"/>
        <v>41.81531891021941</v>
      </c>
      <c r="AG5357" s="2">
        <f ca="1"/>
        <v>0.29157241275746326</v>
      </c>
      <c r="AH5357" s="2" t="str">
        <f ca="1"/>
        <v>OK</v>
      </c>
    </row>
    <row r="5358" spans="2:34" x14ac:dyDescent="0.2">
      <c r="B5358" s="2">
        <f ca="1"/>
        <v>0.38233999934802432</v>
      </c>
      <c r="O5358" s="2">
        <f ca="1"/>
        <v>0.65565975845093594</v>
      </c>
      <c r="X5358" s="2">
        <f ca="1"/>
        <v>43.988545552738714</v>
      </c>
      <c r="AG5358" s="2">
        <f ca="1"/>
        <v>0.31381614505135103</v>
      </c>
      <c r="AH5358" s="2" t="str">
        <f ca="1"/>
        <v>OK</v>
      </c>
    </row>
    <row r="5359" spans="2:34" x14ac:dyDescent="0.2">
      <c r="B5359" s="2">
        <f ca="1"/>
        <v>0.40995971588187241</v>
      </c>
      <c r="O5359" s="2">
        <f ca="1"/>
        <v>-0.19099556372766485</v>
      </c>
      <c r="X5359" s="2">
        <f ca="1"/>
        <v>31.601048765369299</v>
      </c>
      <c r="AG5359" s="2">
        <f ca="1"/>
        <v>0.41282938171076022</v>
      </c>
      <c r="AH5359" s="2" t="str">
        <f ca="1"/>
        <v>Bad</v>
      </c>
    </row>
    <row r="5360" spans="2:34" x14ac:dyDescent="0.2">
      <c r="B5360" s="2">
        <f ca="1"/>
        <v>0.61723687008596451</v>
      </c>
      <c r="O5360" s="2">
        <f ca="1"/>
        <v>-0.71809094413438457</v>
      </c>
      <c r="X5360" s="2">
        <f ca="1"/>
        <v>21.563994835293418</v>
      </c>
      <c r="AG5360" s="2">
        <f ca="1"/>
        <v>0.17195927993609206</v>
      </c>
      <c r="AH5360" s="2" t="str">
        <f ca="1"/>
        <v>OK</v>
      </c>
    </row>
    <row r="5361" spans="2:34" x14ac:dyDescent="0.2">
      <c r="B5361" s="2">
        <f ca="1"/>
        <v>0.20484310209428735</v>
      </c>
      <c r="O5361" s="2">
        <f ca="1"/>
        <v>-0.82718252481497412</v>
      </c>
      <c r="X5361" s="2">
        <f ca="1"/>
        <v>59.143245597271275</v>
      </c>
      <c r="AG5361" s="2">
        <f ca="1"/>
        <v>0.58586458599777069</v>
      </c>
      <c r="AH5361" s="2" t="str">
        <f ca="1"/>
        <v>Bad</v>
      </c>
    </row>
    <row r="5362" spans="2:34" x14ac:dyDescent="0.2">
      <c r="B5362" s="2">
        <f ca="1"/>
        <v>5.5244351588199514E-2</v>
      </c>
      <c r="O5362" s="2">
        <f ca="1"/>
        <v>-0.39862566800975041</v>
      </c>
      <c r="X5362" s="2">
        <f ca="1"/>
        <v>51.627854498321867</v>
      </c>
      <c r="AG5362" s="2">
        <f ca="1"/>
        <v>0.32872349045860205</v>
      </c>
      <c r="AH5362" s="2" t="str">
        <f ca="1"/>
        <v>OK</v>
      </c>
    </row>
    <row r="5363" spans="2:34" x14ac:dyDescent="0.2">
      <c r="B5363" s="2">
        <f ca="1"/>
        <v>0.37034497148165757</v>
      </c>
      <c r="O5363" s="2">
        <f ca="1"/>
        <v>2.2417655549683162</v>
      </c>
      <c r="X5363" s="2">
        <f ca="1"/>
        <v>45.022152753548241</v>
      </c>
      <c r="AG5363" s="2">
        <f ca="1"/>
        <v>0.60968334454012374</v>
      </c>
      <c r="AH5363" s="2" t="str">
        <f ca="1"/>
        <v>Bad</v>
      </c>
    </row>
    <row r="5364" spans="2:34" x14ac:dyDescent="0.2">
      <c r="B5364" s="2">
        <f ca="1"/>
        <v>0.23190675825007978</v>
      </c>
      <c r="O5364" s="2">
        <f ca="1"/>
        <v>0.29272898180452328</v>
      </c>
      <c r="X5364" s="2">
        <f ca="1"/>
        <v>37.832279216477758</v>
      </c>
      <c r="AG5364" s="2">
        <f ca="1"/>
        <v>0.96153386977816702</v>
      </c>
      <c r="AH5364" s="2" t="str">
        <f ca="1"/>
        <v>Bad</v>
      </c>
    </row>
    <row r="5365" spans="2:34" x14ac:dyDescent="0.2">
      <c r="B5365" s="2">
        <f ca="1"/>
        <v>0.35427177845178504</v>
      </c>
      <c r="O5365" s="2">
        <f ca="1"/>
        <v>-2.3421680754565308</v>
      </c>
      <c r="X5365" s="2">
        <f ca="1"/>
        <v>37.975820449394632</v>
      </c>
      <c r="AG5365" s="2">
        <f ca="1"/>
        <v>0.61329233833340768</v>
      </c>
      <c r="AH5365" s="2" t="str">
        <f ca="1"/>
        <v>Bad</v>
      </c>
    </row>
    <row r="5366" spans="2:34" x14ac:dyDescent="0.2">
      <c r="B5366" s="2">
        <f ca="1"/>
        <v>0.47199489518449744</v>
      </c>
      <c r="O5366" s="2">
        <f ca="1"/>
        <v>0.97966294090781081</v>
      </c>
      <c r="X5366" s="2">
        <f ca="1"/>
        <v>39.061426864039291</v>
      </c>
      <c r="AG5366" s="2">
        <f ca="1"/>
        <v>0.20292687710373958</v>
      </c>
      <c r="AH5366" s="2" t="str">
        <f ca="1"/>
        <v>OK</v>
      </c>
    </row>
    <row r="5367" spans="2:34" x14ac:dyDescent="0.2">
      <c r="B5367" s="2">
        <f ca="1"/>
        <v>0.13679314736671966</v>
      </c>
      <c r="O5367" s="2">
        <f ca="1"/>
        <v>-1.8395403465731015</v>
      </c>
      <c r="X5367" s="2">
        <f ca="1"/>
        <v>44.754221060449943</v>
      </c>
      <c r="AG5367" s="2">
        <f ca="1"/>
        <v>0.57726452417543328</v>
      </c>
      <c r="AH5367" s="2" t="str">
        <f ca="1"/>
        <v>Bad</v>
      </c>
    </row>
    <row r="5368" spans="2:34" x14ac:dyDescent="0.2">
      <c r="B5368" s="2">
        <f ca="1"/>
        <v>0.84164380867278155</v>
      </c>
      <c r="O5368" s="2">
        <f ca="1"/>
        <v>-0.15760241026717603</v>
      </c>
      <c r="X5368" s="2">
        <f ca="1"/>
        <v>62.257804016395113</v>
      </c>
      <c r="AG5368" s="2">
        <f ca="1"/>
        <v>0.62011679643443807</v>
      </c>
      <c r="AH5368" s="2" t="str">
        <f ca="1"/>
        <v>Bad</v>
      </c>
    </row>
    <row r="5369" spans="2:34" x14ac:dyDescent="0.2">
      <c r="B5369" s="2">
        <f ca="1"/>
        <v>0.93533737109428738</v>
      </c>
      <c r="O5369" s="2">
        <f ca="1"/>
        <v>-1.6113736660063169</v>
      </c>
      <c r="X5369" s="2">
        <f ca="1"/>
        <v>55.13714766699556</v>
      </c>
      <c r="AG5369" s="2">
        <f ca="1"/>
        <v>0.44742199226341883</v>
      </c>
      <c r="AH5369" s="2" t="str">
        <f ca="1"/>
        <v>Bad</v>
      </c>
    </row>
    <row r="5370" spans="2:34" x14ac:dyDescent="0.2">
      <c r="B5370" s="2">
        <f ca="1"/>
        <v>0.39602736558894058</v>
      </c>
      <c r="O5370" s="2">
        <f ca="1"/>
        <v>1.2148521719596002</v>
      </c>
      <c r="X5370" s="2">
        <f ca="1"/>
        <v>110.65562482247185</v>
      </c>
      <c r="AG5370" s="2">
        <f ca="1"/>
        <v>0.55129897812445483</v>
      </c>
      <c r="AH5370" s="2" t="str">
        <f ca="1"/>
        <v>Bad</v>
      </c>
    </row>
    <row r="5371" spans="2:34" x14ac:dyDescent="0.2">
      <c r="B5371" s="2">
        <f ca="1"/>
        <v>0.78435828420805076</v>
      </c>
      <c r="O5371" s="2">
        <f ca="1"/>
        <v>1.0491778518461079</v>
      </c>
      <c r="X5371" s="2">
        <f ca="1"/>
        <v>43.303630830865842</v>
      </c>
      <c r="AG5371" s="2">
        <f ca="1"/>
        <v>0.13145518658040722</v>
      </c>
      <c r="AH5371" s="2" t="str">
        <f ca="1"/>
        <v>OK</v>
      </c>
    </row>
    <row r="5372" spans="2:34" x14ac:dyDescent="0.2">
      <c r="B5372" s="2">
        <f ca="1"/>
        <v>0.34561757144566219</v>
      </c>
      <c r="O5372" s="2">
        <f ca="1"/>
        <v>-0.59520657340452054</v>
      </c>
      <c r="X5372" s="2">
        <f ca="1"/>
        <v>52.684317073128199</v>
      </c>
      <c r="AG5372" s="2">
        <f ca="1"/>
        <v>9.8297340927144816E-5</v>
      </c>
      <c r="AH5372" s="2" t="str">
        <f ca="1"/>
        <v>Good</v>
      </c>
    </row>
    <row r="5373" spans="2:34" x14ac:dyDescent="0.2">
      <c r="B5373" s="2">
        <f ca="1"/>
        <v>0.75997888602174157</v>
      </c>
      <c r="O5373" s="2">
        <f ca="1"/>
        <v>-0.28516019465009473</v>
      </c>
      <c r="X5373" s="2">
        <f ca="1"/>
        <v>40.525624346357588</v>
      </c>
      <c r="AG5373" s="2">
        <f ca="1"/>
        <v>0.37208031218306137</v>
      </c>
      <c r="AH5373" s="2" t="str">
        <f ca="1"/>
        <v>OK</v>
      </c>
    </row>
    <row r="5374" spans="2:34" x14ac:dyDescent="0.2">
      <c r="B5374" s="2">
        <f ca="1"/>
        <v>0.14617372273414797</v>
      </c>
      <c r="O5374" s="2">
        <f ca="1"/>
        <v>-0.63190275233914972</v>
      </c>
      <c r="X5374" s="2">
        <f ca="1"/>
        <v>47.596724547981644</v>
      </c>
      <c r="AG5374" s="2">
        <f ca="1"/>
        <v>0.40992879977124663</v>
      </c>
      <c r="AH5374" s="2" t="str">
        <f ca="1"/>
        <v>Bad</v>
      </c>
    </row>
    <row r="5375" spans="2:34" x14ac:dyDescent="0.2">
      <c r="B5375" s="2">
        <f ca="1"/>
        <v>0.44781638182059758</v>
      </c>
      <c r="O5375" s="2">
        <f ca="1"/>
        <v>0.95209409207656814</v>
      </c>
      <c r="X5375" s="2">
        <f ca="1"/>
        <v>76.225481187382698</v>
      </c>
      <c r="AG5375" s="2">
        <f ca="1"/>
        <v>0.27966906903315869</v>
      </c>
      <c r="AH5375" s="2" t="str">
        <f ca="1"/>
        <v>OK</v>
      </c>
    </row>
    <row r="5376" spans="2:34" x14ac:dyDescent="0.2">
      <c r="B5376" s="2">
        <f ca="1"/>
        <v>0.59180945508386928</v>
      </c>
      <c r="O5376" s="2">
        <f ca="1"/>
        <v>0.75126357549448719</v>
      </c>
      <c r="X5376" s="2">
        <f ca="1"/>
        <v>54.255035899696608</v>
      </c>
      <c r="AG5376" s="2">
        <f ca="1"/>
        <v>0.46330997480444358</v>
      </c>
      <c r="AH5376" s="2" t="str">
        <f ca="1"/>
        <v>Bad</v>
      </c>
    </row>
    <row r="5377" spans="2:34" x14ac:dyDescent="0.2">
      <c r="B5377" s="2">
        <f ca="1"/>
        <v>0.83352870813049806</v>
      </c>
      <c r="O5377" s="2">
        <f ca="1"/>
        <v>-0.59522165234233115</v>
      </c>
      <c r="X5377" s="2">
        <f ca="1"/>
        <v>53.905635018618923</v>
      </c>
      <c r="AG5377" s="2">
        <f ca="1"/>
        <v>7.1273967717346842E-3</v>
      </c>
      <c r="AH5377" s="2" t="str">
        <f ca="1"/>
        <v>Good</v>
      </c>
    </row>
    <row r="5378" spans="2:34" x14ac:dyDescent="0.2">
      <c r="B5378" s="2">
        <f ca="1"/>
        <v>0.89702998078772778</v>
      </c>
      <c r="O5378" s="2">
        <f ca="1"/>
        <v>-0.41165748594810758</v>
      </c>
      <c r="X5378" s="2">
        <f ca="1"/>
        <v>30.118320311926862</v>
      </c>
      <c r="AG5378" s="2">
        <f ca="1"/>
        <v>0.1337383484299548</v>
      </c>
      <c r="AH5378" s="2" t="str">
        <f ca="1"/>
        <v>OK</v>
      </c>
    </row>
    <row r="5379" spans="2:34" x14ac:dyDescent="0.2">
      <c r="B5379" s="2">
        <f ca="1"/>
        <v>0.5246862606374354</v>
      </c>
      <c r="O5379" s="2">
        <f ca="1"/>
        <v>-0.95078503386949709</v>
      </c>
      <c r="X5379" s="2">
        <f ca="1"/>
        <v>79.619748413754849</v>
      </c>
      <c r="AG5379" s="2">
        <f ca="1"/>
        <v>0.79056521622444076</v>
      </c>
      <c r="AH5379" s="2" t="str">
        <f ca="1"/>
        <v>Bad</v>
      </c>
    </row>
    <row r="5380" spans="2:34" x14ac:dyDescent="0.2">
      <c r="B5380" s="2">
        <f ca="1"/>
        <v>0.94428431741419039</v>
      </c>
      <c r="O5380" s="2">
        <f ca="1"/>
        <v>0.37989746734022256</v>
      </c>
      <c r="X5380" s="2">
        <f ca="1"/>
        <v>22.029219036249454</v>
      </c>
      <c r="AG5380" s="2">
        <f ca="1"/>
        <v>1.1178746241756077E-2</v>
      </c>
      <c r="AH5380" s="2" t="str">
        <f ca="1"/>
        <v>Good</v>
      </c>
    </row>
    <row r="5381" spans="2:34" x14ac:dyDescent="0.2">
      <c r="B5381" s="2">
        <f ca="1"/>
        <v>0.62292476669792962</v>
      </c>
      <c r="O5381" s="2">
        <f ca="1"/>
        <v>-0.14948471702213706</v>
      </c>
      <c r="X5381" s="2">
        <f ca="1"/>
        <v>56.177916191889771</v>
      </c>
      <c r="AG5381" s="2">
        <f ca="1"/>
        <v>0.18829980572946692</v>
      </c>
      <c r="AH5381" s="2" t="str">
        <f ca="1"/>
        <v>OK</v>
      </c>
    </row>
    <row r="5382" spans="2:34" x14ac:dyDescent="0.2">
      <c r="B5382" s="2">
        <f ca="1"/>
        <v>0.43757214365009944</v>
      </c>
      <c r="O5382" s="2">
        <f ca="1"/>
        <v>-0.77174023881045706</v>
      </c>
      <c r="X5382" s="2">
        <f ca="1"/>
        <v>31.122487940688607</v>
      </c>
      <c r="AG5382" s="2">
        <f ca="1"/>
        <v>0.49527236520206475</v>
      </c>
      <c r="AH5382" s="2" t="str">
        <f ca="1"/>
        <v>Bad</v>
      </c>
    </row>
    <row r="5383" spans="2:34" x14ac:dyDescent="0.2">
      <c r="B5383" s="2">
        <f ca="1"/>
        <v>6.7917292593673295E-3</v>
      </c>
      <c r="O5383" s="2">
        <f ca="1"/>
        <v>-0.16850573456341714</v>
      </c>
      <c r="X5383" s="2">
        <f ca="1"/>
        <v>61.062077684114769</v>
      </c>
      <c r="AG5383" s="2">
        <f ca="1"/>
        <v>0.94095927425250836</v>
      </c>
      <c r="AH5383" s="2" t="str">
        <f ca="1"/>
        <v>Bad</v>
      </c>
    </row>
    <row r="5384" spans="2:34" x14ac:dyDescent="0.2">
      <c r="B5384" s="2">
        <f ca="1"/>
        <v>0.44310915836502907</v>
      </c>
      <c r="O5384" s="2">
        <f ca="1"/>
        <v>-3.5276757392948929E-2</v>
      </c>
      <c r="X5384" s="2">
        <f ca="1"/>
        <v>42.206915567989256</v>
      </c>
      <c r="AG5384" s="2">
        <f ca="1"/>
        <v>0.75058585834312552</v>
      </c>
      <c r="AH5384" s="2" t="str">
        <f ca="1"/>
        <v>Bad</v>
      </c>
    </row>
    <row r="5385" spans="2:34" x14ac:dyDescent="0.2">
      <c r="B5385" s="2">
        <f ca="1"/>
        <v>0.82311785077315869</v>
      </c>
      <c r="O5385" s="2">
        <f ca="1"/>
        <v>1.3367360872684555</v>
      </c>
      <c r="X5385" s="2">
        <f ca="1"/>
        <v>48.640797854057737</v>
      </c>
      <c r="AG5385" s="2">
        <f ca="1"/>
        <v>0.64164072730684141</v>
      </c>
      <c r="AH5385" s="2" t="str">
        <f ca="1"/>
        <v>Bad</v>
      </c>
    </row>
    <row r="5386" spans="2:34" x14ac:dyDescent="0.2">
      <c r="B5386" s="2">
        <f ca="1"/>
        <v>0.66253234029154284</v>
      </c>
      <c r="O5386" s="2">
        <f ca="1"/>
        <v>-0.13036394123650638</v>
      </c>
      <c r="X5386" s="2">
        <f ca="1"/>
        <v>61.129776577753901</v>
      </c>
      <c r="AG5386" s="2">
        <f ca="1"/>
        <v>0.89208580501787016</v>
      </c>
      <c r="AH5386" s="2" t="str">
        <f ca="1"/>
        <v>Bad</v>
      </c>
    </row>
    <row r="5387" spans="2:34" x14ac:dyDescent="0.2">
      <c r="B5387" s="2">
        <f ca="1"/>
        <v>0.63326320748576315</v>
      </c>
      <c r="O5387" s="2">
        <f ca="1"/>
        <v>-0.73423580675434275</v>
      </c>
      <c r="X5387" s="2">
        <f ca="1"/>
        <v>46.515196261311338</v>
      </c>
      <c r="AG5387" s="2">
        <f ca="1"/>
        <v>5.1051306929119411E-2</v>
      </c>
      <c r="AH5387" s="2" t="str">
        <f ca="1"/>
        <v>OK</v>
      </c>
    </row>
    <row r="5388" spans="2:34" x14ac:dyDescent="0.2">
      <c r="B5388" s="2">
        <f ca="1"/>
        <v>0.44333553101759948</v>
      </c>
      <c r="O5388" s="2">
        <f ca="1"/>
        <v>-1.5273897633262838</v>
      </c>
      <c r="X5388" s="2">
        <f ca="1"/>
        <v>68.345298769401964</v>
      </c>
      <c r="AG5388" s="2">
        <f ca="1"/>
        <v>0.37849214314088186</v>
      </c>
      <c r="AH5388" s="2" t="str">
        <f ca="1"/>
        <v>OK</v>
      </c>
    </row>
    <row r="5389" spans="2:34" x14ac:dyDescent="0.2">
      <c r="B5389" s="2">
        <f ca="1"/>
        <v>0.3983299522539312</v>
      </c>
      <c r="O5389" s="2">
        <f ca="1"/>
        <v>0.4797197994085225</v>
      </c>
      <c r="X5389" s="2">
        <f ca="1"/>
        <v>71.245539091547897</v>
      </c>
      <c r="AG5389" s="2">
        <f ca="1"/>
        <v>0.89735244753255361</v>
      </c>
      <c r="AH5389" s="2" t="str">
        <f ca="1"/>
        <v>Bad</v>
      </c>
    </row>
    <row r="5390" spans="2:34" x14ac:dyDescent="0.2">
      <c r="B5390" s="2">
        <f ca="1"/>
        <v>0.72175858234939749</v>
      </c>
      <c r="O5390" s="2">
        <f ca="1"/>
        <v>-0.65175674063945344</v>
      </c>
      <c r="X5390" s="2">
        <f ca="1"/>
        <v>41.460658642261492</v>
      </c>
      <c r="AG5390" s="2">
        <f ca="1"/>
        <v>0.71464090668504032</v>
      </c>
      <c r="AH5390" s="2" t="str">
        <f ca="1"/>
        <v>Bad</v>
      </c>
    </row>
    <row r="5391" spans="2:34" x14ac:dyDescent="0.2">
      <c r="B5391" s="2">
        <f ca="1"/>
        <v>0.93596381100519532</v>
      </c>
      <c r="O5391" s="2">
        <f ca="1"/>
        <v>-1.2509074228253172</v>
      </c>
      <c r="X5391" s="2">
        <f ca="1"/>
        <v>56.771761240132392</v>
      </c>
      <c r="AG5391" s="2">
        <f ca="1"/>
        <v>0.3526732460954638</v>
      </c>
      <c r="AH5391" s="2" t="str">
        <f ca="1"/>
        <v>OK</v>
      </c>
    </row>
    <row r="5392" spans="2:34" x14ac:dyDescent="0.2">
      <c r="B5392" s="2">
        <f ca="1"/>
        <v>0.92118323150289783</v>
      </c>
      <c r="O5392" s="2">
        <f ca="1"/>
        <v>-1.5779995363368882</v>
      </c>
      <c r="X5392" s="2">
        <f ca="1"/>
        <v>68.395685470440739</v>
      </c>
      <c r="AG5392" s="2">
        <f ca="1"/>
        <v>0.53601602939829451</v>
      </c>
      <c r="AH5392" s="2" t="str">
        <f ca="1"/>
        <v>Bad</v>
      </c>
    </row>
    <row r="5393" spans="2:34" x14ac:dyDescent="0.2">
      <c r="B5393" s="2">
        <f ca="1"/>
        <v>0.39430409812231026</v>
      </c>
      <c r="O5393" s="2">
        <f ca="1"/>
        <v>-0.13405692680824532</v>
      </c>
      <c r="X5393" s="2">
        <f ca="1"/>
        <v>54.677658542016516</v>
      </c>
      <c r="AG5393" s="2">
        <f ca="1"/>
        <v>0.10017003021191462</v>
      </c>
      <c r="AH5393" s="2" t="str">
        <f ca="1"/>
        <v>OK</v>
      </c>
    </row>
    <row r="5394" spans="2:34" x14ac:dyDescent="0.2">
      <c r="B5394" s="2">
        <f ca="1"/>
        <v>0.31651716404882624</v>
      </c>
      <c r="O5394" s="2">
        <f ca="1"/>
        <v>2.8971995322121569E-4</v>
      </c>
      <c r="X5394" s="2">
        <f ca="1"/>
        <v>30.775209059487612</v>
      </c>
      <c r="AG5394" s="2">
        <f ca="1"/>
        <v>0.97847221365867698</v>
      </c>
      <c r="AH5394" s="2" t="str">
        <f ca="1"/>
        <v>Bad</v>
      </c>
    </row>
    <row r="5395" spans="2:34" x14ac:dyDescent="0.2">
      <c r="B5395" s="2">
        <f ca="1"/>
        <v>0.28302003133210141</v>
      </c>
      <c r="O5395" s="2">
        <f ca="1"/>
        <v>-0.93761596176944151</v>
      </c>
      <c r="X5395" s="2">
        <f ca="1"/>
        <v>70.929369164670646</v>
      </c>
      <c r="AG5395" s="2">
        <f ca="1"/>
        <v>0.42099020626448524</v>
      </c>
      <c r="AH5395" s="2" t="str">
        <f ca="1"/>
        <v>Bad</v>
      </c>
    </row>
    <row r="5396" spans="2:34" x14ac:dyDescent="0.2">
      <c r="B5396" s="2">
        <f ca="1"/>
        <v>0.69914203079879478</v>
      </c>
      <c r="O5396" s="2">
        <f ca="1"/>
        <v>-0.45972964599853422</v>
      </c>
      <c r="X5396" s="2">
        <f ca="1"/>
        <v>56.315869210820779</v>
      </c>
      <c r="AG5396" s="2">
        <f ca="1"/>
        <v>0.13623979428511768</v>
      </c>
      <c r="AH5396" s="2" t="str">
        <f ca="1"/>
        <v>OK</v>
      </c>
    </row>
    <row r="5397" spans="2:34" x14ac:dyDescent="0.2">
      <c r="B5397" s="2">
        <f ca="1"/>
        <v>0.47021847550521301</v>
      </c>
      <c r="O5397" s="2">
        <f ca="1"/>
        <v>-0.2922105428956141</v>
      </c>
      <c r="X5397" s="2">
        <f ca="1"/>
        <v>37.049035556621668</v>
      </c>
      <c r="AG5397" s="2">
        <f ca="1"/>
        <v>0.57179007967138684</v>
      </c>
      <c r="AH5397" s="2" t="str">
        <f ca="1"/>
        <v>Bad</v>
      </c>
    </row>
    <row r="5398" spans="2:34" x14ac:dyDescent="0.2">
      <c r="B5398" s="2">
        <f ca="1"/>
        <v>0.45950372624547042</v>
      </c>
      <c r="O5398" s="2">
        <f ca="1"/>
        <v>-1.1725541501273167</v>
      </c>
      <c r="X5398" s="2">
        <f ca="1"/>
        <v>44.178569538526169</v>
      </c>
      <c r="AG5398" s="2">
        <f ca="1"/>
        <v>0.4709590126748322</v>
      </c>
      <c r="AH5398" s="2" t="str">
        <f ca="1"/>
        <v>Bad</v>
      </c>
    </row>
    <row r="5399" spans="2:34" x14ac:dyDescent="0.2">
      <c r="B5399" s="2">
        <f ca="1"/>
        <v>0.30422739254877373</v>
      </c>
      <c r="O5399" s="2">
        <f ca="1"/>
        <v>1.4351668168132017</v>
      </c>
      <c r="X5399" s="2">
        <f ca="1"/>
        <v>49.783796478203691</v>
      </c>
      <c r="AG5399" s="2">
        <f ca="1"/>
        <v>3.9504146850891431E-2</v>
      </c>
      <c r="AH5399" s="2" t="str">
        <f ca="1"/>
        <v>Good</v>
      </c>
    </row>
    <row r="5400" spans="2:34" x14ac:dyDescent="0.2">
      <c r="B5400" s="2">
        <f ca="1"/>
        <v>0.27660383726441262</v>
      </c>
      <c r="O5400" s="2">
        <f ca="1"/>
        <v>-3.8503068165336635E-2</v>
      </c>
      <c r="X5400" s="2">
        <f ca="1"/>
        <v>31.271260242140421</v>
      </c>
      <c r="AG5400" s="2">
        <f ca="1"/>
        <v>1.327153460218522E-2</v>
      </c>
      <c r="AH5400" s="2" t="str">
        <f ca="1"/>
        <v>Good</v>
      </c>
    </row>
    <row r="5401" spans="2:34" x14ac:dyDescent="0.2">
      <c r="B5401" s="2">
        <f ca="1"/>
        <v>0.34873358117107456</v>
      </c>
      <c r="O5401" s="2">
        <f ca="1"/>
        <v>0.18319201496590024</v>
      </c>
      <c r="X5401" s="2">
        <f ca="1"/>
        <v>58.977803056197338</v>
      </c>
      <c r="AG5401" s="2">
        <f ca="1"/>
        <v>0.83197522841243954</v>
      </c>
      <c r="AH5401" s="2" t="str">
        <f ca="1"/>
        <v>Bad</v>
      </c>
    </row>
    <row r="5402" spans="2:34" x14ac:dyDescent="0.2">
      <c r="B5402" s="2">
        <f ca="1"/>
        <v>0.91099650596085646</v>
      </c>
      <c r="O5402" s="2">
        <f ca="1"/>
        <v>0.77740875445805002</v>
      </c>
      <c r="X5402" s="2">
        <f ca="1"/>
        <v>44.981659473619906</v>
      </c>
      <c r="AG5402" s="2">
        <f ca="1"/>
        <v>0.42854175184281118</v>
      </c>
      <c r="AH5402" s="2" t="str">
        <f ca="1"/>
        <v>Bad</v>
      </c>
    </row>
    <row r="5403" spans="2:34" x14ac:dyDescent="0.2">
      <c r="B5403" s="2">
        <f ca="1"/>
        <v>0.67591769922737144</v>
      </c>
      <c r="O5403" s="2">
        <f ca="1"/>
        <v>1.1308906809627808</v>
      </c>
      <c r="X5403" s="2">
        <f ca="1"/>
        <v>59.584538284090421</v>
      </c>
      <c r="AG5403" s="2">
        <f ca="1"/>
        <v>0.19173652508423245</v>
      </c>
      <c r="AH5403" s="2" t="str">
        <f ca="1"/>
        <v>OK</v>
      </c>
    </row>
    <row r="5404" spans="2:34" x14ac:dyDescent="0.2">
      <c r="B5404" s="2">
        <f ca="1"/>
        <v>0.91525380268123846</v>
      </c>
      <c r="O5404" s="2">
        <f ca="1"/>
        <v>-1.0486867797016799</v>
      </c>
      <c r="X5404" s="2">
        <f ca="1"/>
        <v>52.708507262090009</v>
      </c>
      <c r="AG5404" s="2">
        <f ca="1"/>
        <v>5.119317003793733E-2</v>
      </c>
      <c r="AH5404" s="2" t="str">
        <f ca="1"/>
        <v>OK</v>
      </c>
    </row>
    <row r="5405" spans="2:34" x14ac:dyDescent="0.2">
      <c r="B5405" s="2">
        <f ca="1"/>
        <v>0.58189043934121765</v>
      </c>
      <c r="O5405" s="2">
        <f ca="1"/>
        <v>-0.47509290453988595</v>
      </c>
      <c r="X5405" s="2">
        <f ca="1"/>
        <v>35.001528452558496</v>
      </c>
      <c r="AG5405" s="2">
        <f ca="1"/>
        <v>0.43296193427265472</v>
      </c>
      <c r="AH5405" s="2" t="str">
        <f ca="1"/>
        <v>Bad</v>
      </c>
    </row>
    <row r="5406" spans="2:34" x14ac:dyDescent="0.2">
      <c r="B5406" s="2">
        <f ca="1"/>
        <v>0.96994374537668149</v>
      </c>
      <c r="O5406" s="2">
        <f ca="1"/>
        <v>1.0383869243363755</v>
      </c>
      <c r="X5406" s="2">
        <f ca="1"/>
        <v>60.946184113854194</v>
      </c>
      <c r="AG5406" s="2">
        <f ca="1"/>
        <v>0.96387367715046302</v>
      </c>
      <c r="AH5406" s="2" t="str">
        <f ca="1"/>
        <v>Bad</v>
      </c>
    </row>
    <row r="5407" spans="2:34" x14ac:dyDescent="0.2">
      <c r="B5407" s="2">
        <f ca="1"/>
        <v>0.78008186646821609</v>
      </c>
      <c r="O5407" s="2">
        <f ca="1"/>
        <v>-0.32790148232053368</v>
      </c>
      <c r="X5407" s="2">
        <f ca="1"/>
        <v>36.362266068127035</v>
      </c>
      <c r="AG5407" s="2">
        <f ca="1"/>
        <v>0.89366267306511404</v>
      </c>
      <c r="AH5407" s="2" t="str">
        <f ca="1"/>
        <v>Bad</v>
      </c>
    </row>
    <row r="5408" spans="2:34" x14ac:dyDescent="0.2">
      <c r="B5408" s="2">
        <f ca="1"/>
        <v>0.61381495800838382</v>
      </c>
      <c r="O5408" s="2">
        <f ca="1"/>
        <v>-1.7382237158402105</v>
      </c>
      <c r="X5408" s="2">
        <f ca="1"/>
        <v>48.22872566354522</v>
      </c>
      <c r="AG5408" s="2">
        <f ca="1"/>
        <v>0.91238374271534739</v>
      </c>
      <c r="AH5408" s="2" t="str">
        <f ca="1"/>
        <v>Bad</v>
      </c>
    </row>
    <row r="5409" spans="2:34" x14ac:dyDescent="0.2">
      <c r="B5409" s="2">
        <f ca="1"/>
        <v>9.2691578398305108E-2</v>
      </c>
      <c r="O5409" s="2">
        <f ca="1"/>
        <v>0.65684262667321947</v>
      </c>
      <c r="X5409" s="2">
        <f ca="1"/>
        <v>84.911639643703737</v>
      </c>
      <c r="AG5409" s="2">
        <f ca="1"/>
        <v>0.34743444647342603</v>
      </c>
      <c r="AH5409" s="2" t="str">
        <f ca="1"/>
        <v>OK</v>
      </c>
    </row>
    <row r="5410" spans="2:34" x14ac:dyDescent="0.2">
      <c r="B5410" s="2">
        <f ca="1"/>
        <v>0.85982847022173559</v>
      </c>
      <c r="O5410" s="2">
        <f ca="1"/>
        <v>0.82540920641840221</v>
      </c>
      <c r="X5410" s="2">
        <f ca="1"/>
        <v>26.386684979354147</v>
      </c>
      <c r="AG5410" s="2">
        <f ca="1"/>
        <v>0.30423430298791665</v>
      </c>
      <c r="AH5410" s="2" t="str">
        <f ca="1"/>
        <v>OK</v>
      </c>
    </row>
    <row r="5411" spans="2:34" x14ac:dyDescent="0.2">
      <c r="B5411" s="2">
        <f ca="1"/>
        <v>0.2830352088521062</v>
      </c>
      <c r="O5411" s="2">
        <f ca="1"/>
        <v>0.41142740957813889</v>
      </c>
      <c r="X5411" s="2">
        <f ca="1"/>
        <v>32.722059724907226</v>
      </c>
      <c r="AG5411" s="2">
        <f ca="1"/>
        <v>0.34984610482621847</v>
      </c>
      <c r="AH5411" s="2" t="str">
        <f ca="1"/>
        <v>OK</v>
      </c>
    </row>
    <row r="5412" spans="2:34" x14ac:dyDescent="0.2">
      <c r="B5412" s="2">
        <f ca="1"/>
        <v>4.0228196748868461E-2</v>
      </c>
      <c r="O5412" s="2">
        <f ca="1"/>
        <v>0.16884442738856392</v>
      </c>
      <c r="X5412" s="2">
        <f ca="1"/>
        <v>49.245024200660126</v>
      </c>
      <c r="AG5412" s="2">
        <f ca="1"/>
        <v>0.26032173713380891</v>
      </c>
      <c r="AH5412" s="2" t="str">
        <f ca="1"/>
        <v>OK</v>
      </c>
    </row>
    <row r="5413" spans="2:34" x14ac:dyDescent="0.2">
      <c r="B5413" s="2">
        <f ca="1"/>
        <v>0.92129261482822455</v>
      </c>
      <c r="O5413" s="2">
        <f ca="1"/>
        <v>0.2502251881348373</v>
      </c>
      <c r="X5413" s="2">
        <f ca="1"/>
        <v>47.339507919766774</v>
      </c>
      <c r="AG5413" s="2">
        <f ca="1"/>
        <v>0.31250176703101706</v>
      </c>
      <c r="AH5413" s="2" t="str">
        <f ca="1"/>
        <v>OK</v>
      </c>
    </row>
    <row r="5414" spans="2:34" x14ac:dyDescent="0.2">
      <c r="B5414" s="2">
        <f ca="1"/>
        <v>0.85029936932909944</v>
      </c>
      <c r="O5414" s="2">
        <f ca="1"/>
        <v>-0.7882800728509094</v>
      </c>
      <c r="X5414" s="2">
        <f ca="1"/>
        <v>34.646032830247307</v>
      </c>
      <c r="AG5414" s="2">
        <f ca="1"/>
        <v>0.68587029699123181</v>
      </c>
      <c r="AH5414" s="2" t="str">
        <f ca="1"/>
        <v>Bad</v>
      </c>
    </row>
    <row r="5415" spans="2:34" x14ac:dyDescent="0.2">
      <c r="B5415" s="2">
        <f ca="1"/>
        <v>0.44093511602870916</v>
      </c>
      <c r="O5415" s="2">
        <f ca="1"/>
        <v>-0.62537305986157565</v>
      </c>
      <c r="X5415" s="2">
        <f ca="1"/>
        <v>47.81024227334477</v>
      </c>
      <c r="AG5415" s="2">
        <f ca="1"/>
        <v>0.60062958663550226</v>
      </c>
      <c r="AH5415" s="2" t="str">
        <f ca="1"/>
        <v>Bad</v>
      </c>
    </row>
    <row r="5416" spans="2:34" x14ac:dyDescent="0.2">
      <c r="B5416" s="2">
        <f ca="1"/>
        <v>0.28820831856002216</v>
      </c>
      <c r="O5416" s="2">
        <f ca="1"/>
        <v>0.31350648560553385</v>
      </c>
      <c r="X5416" s="2">
        <f ca="1"/>
        <v>42.62549103542721</v>
      </c>
      <c r="AG5416" s="2">
        <f ca="1"/>
        <v>0.95770860122797141</v>
      </c>
      <c r="AH5416" s="2" t="str">
        <f ca="1"/>
        <v>Bad</v>
      </c>
    </row>
    <row r="5417" spans="2:34" x14ac:dyDescent="0.2">
      <c r="B5417" s="2">
        <f ca="1"/>
        <v>0.19066018140251262</v>
      </c>
      <c r="O5417" s="2">
        <f ca="1"/>
        <v>6.0463201989992423E-2</v>
      </c>
      <c r="X5417" s="2">
        <f ca="1"/>
        <v>62.858442247897123</v>
      </c>
      <c r="AG5417" s="2">
        <f ca="1"/>
        <v>0.19599684231826009</v>
      </c>
      <c r="AH5417" s="2" t="str">
        <f ca="1"/>
        <v>OK</v>
      </c>
    </row>
    <row r="5418" spans="2:34" x14ac:dyDescent="0.2">
      <c r="B5418" s="2">
        <f ca="1"/>
        <v>0.48754424012776365</v>
      </c>
      <c r="O5418" s="2">
        <f ca="1"/>
        <v>-9.627756196777415E-2</v>
      </c>
      <c r="X5418" s="2">
        <f ca="1"/>
        <v>49.322885882371551</v>
      </c>
      <c r="AG5418" s="2">
        <f ca="1"/>
        <v>0.4020351673653908</v>
      </c>
      <c r="AH5418" s="2" t="str">
        <f ca="1"/>
        <v>Bad</v>
      </c>
    </row>
    <row r="5419" spans="2:34" x14ac:dyDescent="0.2">
      <c r="B5419" s="2">
        <f ca="1"/>
        <v>0.27248442588968702</v>
      </c>
      <c r="O5419" s="2">
        <f ca="1"/>
        <v>-3.5479136525993984</v>
      </c>
      <c r="X5419" s="2">
        <f ca="1"/>
        <v>67.289164572860315</v>
      </c>
      <c r="AG5419" s="2">
        <f ca="1"/>
        <v>0.8121514290207672</v>
      </c>
      <c r="AH5419" s="2" t="str">
        <f ca="1"/>
        <v>Bad</v>
      </c>
    </row>
    <row r="5420" spans="2:34" x14ac:dyDescent="0.2">
      <c r="B5420" s="2">
        <f ca="1"/>
        <v>0.23906253232162422</v>
      </c>
      <c r="O5420" s="2">
        <f ca="1"/>
        <v>0.2814040640684346</v>
      </c>
      <c r="X5420" s="2">
        <f ca="1"/>
        <v>41.651233506378702</v>
      </c>
      <c r="AG5420" s="2">
        <f ca="1"/>
        <v>2.1927295190463436E-2</v>
      </c>
      <c r="AH5420" s="2" t="str">
        <f ca="1"/>
        <v>Good</v>
      </c>
    </row>
    <row r="5421" spans="2:34" x14ac:dyDescent="0.2">
      <c r="B5421" s="2">
        <f ca="1"/>
        <v>0.28913115274516654</v>
      </c>
      <c r="O5421" s="2">
        <f ca="1"/>
        <v>0.7140065283066781</v>
      </c>
      <c r="X5421" s="2">
        <f ca="1"/>
        <v>21.283305027896688</v>
      </c>
      <c r="AG5421" s="2">
        <f ca="1"/>
        <v>0.76127309509911312</v>
      </c>
      <c r="AH5421" s="2" t="str">
        <f ca="1"/>
        <v>Bad</v>
      </c>
    </row>
    <row r="5422" spans="2:34" x14ac:dyDescent="0.2">
      <c r="B5422" s="2">
        <f ca="1"/>
        <v>0.77192596680975556</v>
      </c>
      <c r="O5422" s="2">
        <f ca="1"/>
        <v>-1.3080884618444095</v>
      </c>
      <c r="X5422" s="2">
        <f ca="1"/>
        <v>32.658913990607218</v>
      </c>
      <c r="AG5422" s="2">
        <f ca="1"/>
        <v>0.93093337781297758</v>
      </c>
      <c r="AH5422" s="2" t="str">
        <f ca="1"/>
        <v>Bad</v>
      </c>
    </row>
    <row r="5423" spans="2:34" x14ac:dyDescent="0.2">
      <c r="B5423" s="2">
        <f ca="1"/>
        <v>5.4640659624904941E-3</v>
      </c>
      <c r="O5423" s="2">
        <f ca="1"/>
        <v>-0.19612880499303659</v>
      </c>
      <c r="X5423" s="2">
        <f ca="1"/>
        <v>33.516365325022825</v>
      </c>
      <c r="AG5423" s="2">
        <f ca="1"/>
        <v>0.67496616229129902</v>
      </c>
      <c r="AH5423" s="2" t="str">
        <f ca="1"/>
        <v>Bad</v>
      </c>
    </row>
    <row r="5424" spans="2:34" x14ac:dyDescent="0.2">
      <c r="B5424" s="2">
        <f ca="1"/>
        <v>0.56713561973252546</v>
      </c>
      <c r="O5424" s="2">
        <f ca="1"/>
        <v>0.78389515615702765</v>
      </c>
      <c r="X5424" s="2">
        <f ca="1"/>
        <v>37.132508030566413</v>
      </c>
      <c r="AG5424" s="2">
        <f ca="1"/>
        <v>0.79182630140844945</v>
      </c>
      <c r="AH5424" s="2" t="str">
        <f ca="1"/>
        <v>Bad</v>
      </c>
    </row>
    <row r="5425" spans="2:34" x14ac:dyDescent="0.2">
      <c r="B5425" s="2">
        <f ca="1"/>
        <v>0.66582817666819794</v>
      </c>
      <c r="O5425" s="2">
        <f ca="1"/>
        <v>1.0856021518980368</v>
      </c>
      <c r="X5425" s="2">
        <f ca="1"/>
        <v>52.493574788536151</v>
      </c>
      <c r="AG5425" s="2">
        <f ca="1"/>
        <v>0.46652769551017892</v>
      </c>
      <c r="AH5425" s="2" t="str">
        <f ca="1"/>
        <v>Bad</v>
      </c>
    </row>
    <row r="5426" spans="2:34" x14ac:dyDescent="0.2">
      <c r="B5426" s="2">
        <f ca="1"/>
        <v>0.45765006537142594</v>
      </c>
      <c r="O5426" s="2">
        <f ca="1"/>
        <v>0.2637511423236904</v>
      </c>
      <c r="X5426" s="2">
        <f ca="1"/>
        <v>58.191002794434119</v>
      </c>
      <c r="AG5426" s="2">
        <f ca="1"/>
        <v>0.23627844852473778</v>
      </c>
      <c r="AH5426" s="2" t="str">
        <f ca="1"/>
        <v>OK</v>
      </c>
    </row>
    <row r="5427" spans="2:34" x14ac:dyDescent="0.2">
      <c r="B5427" s="2">
        <f ca="1"/>
        <v>0.87192172704370496</v>
      </c>
      <c r="O5427" s="2">
        <f ca="1"/>
        <v>0.19326672067738368</v>
      </c>
      <c r="X5427" s="2">
        <f ca="1"/>
        <v>34.016119315675844</v>
      </c>
      <c r="AG5427" s="2">
        <f ca="1"/>
        <v>0.35352350290602064</v>
      </c>
      <c r="AH5427" s="2" t="str">
        <f ca="1"/>
        <v>OK</v>
      </c>
    </row>
    <row r="5428" spans="2:34" x14ac:dyDescent="0.2">
      <c r="B5428" s="2">
        <f ca="1"/>
        <v>0.16060508542396379</v>
      </c>
      <c r="O5428" s="2">
        <f ca="1"/>
        <v>0.75151439248998697</v>
      </c>
      <c r="X5428" s="2">
        <f ca="1"/>
        <v>31.080693520565433</v>
      </c>
      <c r="AG5428" s="2">
        <f ca="1"/>
        <v>3.8877386527410129E-2</v>
      </c>
      <c r="AH5428" s="2" t="str">
        <f ca="1"/>
        <v>Good</v>
      </c>
    </row>
    <row r="5429" spans="2:34" x14ac:dyDescent="0.2">
      <c r="B5429" s="2">
        <f ca="1"/>
        <v>0.92997409996139324</v>
      </c>
      <c r="O5429" s="2">
        <f ca="1"/>
        <v>-0.26998061440327414</v>
      </c>
      <c r="X5429" s="2">
        <f ca="1"/>
        <v>35.679888839373348</v>
      </c>
      <c r="AG5429" s="2">
        <f ca="1"/>
        <v>0.94425827317061484</v>
      </c>
      <c r="AH5429" s="2" t="str">
        <f ca="1"/>
        <v>Bad</v>
      </c>
    </row>
    <row r="5430" spans="2:34" x14ac:dyDescent="0.2">
      <c r="B5430" s="2">
        <f ca="1"/>
        <v>0.69947628755314617</v>
      </c>
      <c r="O5430" s="2">
        <f ca="1"/>
        <v>0.76751534218677631</v>
      </c>
      <c r="X5430" s="2">
        <f ca="1"/>
        <v>53.3777983286638</v>
      </c>
      <c r="AG5430" s="2">
        <f ca="1"/>
        <v>0.21245706080990234</v>
      </c>
      <c r="AH5430" s="2" t="str">
        <f ca="1"/>
        <v>OK</v>
      </c>
    </row>
    <row r="5431" spans="2:34" x14ac:dyDescent="0.2">
      <c r="B5431" s="2">
        <f ca="1"/>
        <v>0.60218574568061034</v>
      </c>
      <c r="O5431" s="2">
        <f ca="1"/>
        <v>-0.92239722171759386</v>
      </c>
      <c r="X5431" s="2">
        <f ca="1"/>
        <v>23.434828994992522</v>
      </c>
      <c r="AG5431" s="2">
        <f ca="1"/>
        <v>0.29502735171264938</v>
      </c>
      <c r="AH5431" s="2" t="str">
        <f ca="1"/>
        <v>OK</v>
      </c>
    </row>
    <row r="5432" spans="2:34" x14ac:dyDescent="0.2">
      <c r="B5432" s="2">
        <f ca="1"/>
        <v>0.96515750811687595</v>
      </c>
      <c r="O5432" s="2">
        <f ca="1"/>
        <v>-4.4614998014883007E-2</v>
      </c>
      <c r="X5432" s="2">
        <f ca="1"/>
        <v>41.739959744614779</v>
      </c>
      <c r="AG5432" s="2">
        <f ca="1"/>
        <v>0.76617904875390108</v>
      </c>
      <c r="AH5432" s="2" t="str">
        <f ca="1"/>
        <v>Bad</v>
      </c>
    </row>
    <row r="5433" spans="2:34" x14ac:dyDescent="0.2">
      <c r="B5433" s="2">
        <f ca="1"/>
        <v>0.39718637396905976</v>
      </c>
      <c r="O5433" s="2">
        <f ca="1"/>
        <v>0.42125810594600083</v>
      </c>
      <c r="X5433" s="2">
        <f ca="1"/>
        <v>42.33913795904121</v>
      </c>
      <c r="AG5433" s="2">
        <f ca="1"/>
        <v>0.6177291335125501</v>
      </c>
      <c r="AH5433" s="2" t="str">
        <f ca="1"/>
        <v>Bad</v>
      </c>
    </row>
    <row r="5434" spans="2:34" x14ac:dyDescent="0.2">
      <c r="B5434" s="2">
        <f ca="1"/>
        <v>0.16724385556691623</v>
      </c>
      <c r="O5434" s="2">
        <f ca="1"/>
        <v>-0.53796241021690538</v>
      </c>
      <c r="X5434" s="2">
        <f ca="1"/>
        <v>34.881746705513848</v>
      </c>
      <c r="AG5434" s="2">
        <f ca="1"/>
        <v>0.84975086201898753</v>
      </c>
      <c r="AH5434" s="2" t="str">
        <f ca="1"/>
        <v>Bad</v>
      </c>
    </row>
    <row r="5435" spans="2:34" x14ac:dyDescent="0.2">
      <c r="B5435" s="2">
        <f ca="1"/>
        <v>0.3512635577822969</v>
      </c>
      <c r="O5435" s="2">
        <f ca="1"/>
        <v>0.50116255436822577</v>
      </c>
      <c r="X5435" s="2">
        <f ca="1"/>
        <v>78.290487327517468</v>
      </c>
      <c r="AG5435" s="2">
        <f ca="1"/>
        <v>0.43770051170856039</v>
      </c>
      <c r="AH5435" s="2" t="str">
        <f ca="1"/>
        <v>Bad</v>
      </c>
    </row>
    <row r="5436" spans="2:34" x14ac:dyDescent="0.2">
      <c r="B5436" s="2">
        <f ca="1"/>
        <v>0.50353332972920839</v>
      </c>
      <c r="O5436" s="2">
        <f ca="1"/>
        <v>0.57304831694120684</v>
      </c>
      <c r="X5436" s="2">
        <f ca="1"/>
        <v>57.954775128510072</v>
      </c>
      <c r="AG5436" s="2">
        <f ca="1"/>
        <v>8.453916536156636E-2</v>
      </c>
      <c r="AH5436" s="2" t="str">
        <f ca="1"/>
        <v>OK</v>
      </c>
    </row>
    <row r="5437" spans="2:34" x14ac:dyDescent="0.2">
      <c r="B5437" s="2">
        <f ca="1"/>
        <v>0.5645544796822024</v>
      </c>
      <c r="O5437" s="2">
        <f ca="1"/>
        <v>-1.2636685022294467</v>
      </c>
      <c r="X5437" s="2">
        <f ca="1"/>
        <v>98.22189637063633</v>
      </c>
      <c r="AG5437" s="2">
        <f ca="1"/>
        <v>0.50113379036460071</v>
      </c>
      <c r="AH5437" s="2" t="str">
        <f ca="1"/>
        <v>Bad</v>
      </c>
    </row>
    <row r="5438" spans="2:34" x14ac:dyDescent="0.2">
      <c r="B5438" s="2">
        <f ca="1"/>
        <v>0.55995714811116115</v>
      </c>
      <c r="O5438" s="2">
        <f ca="1"/>
        <v>-1.082335883119798</v>
      </c>
      <c r="X5438" s="2">
        <f ca="1"/>
        <v>60.64353589682262</v>
      </c>
      <c r="AG5438" s="2">
        <f ca="1"/>
        <v>0.72585798322916961</v>
      </c>
      <c r="AH5438" s="2" t="str">
        <f ca="1"/>
        <v>Bad</v>
      </c>
    </row>
    <row r="5439" spans="2:34" x14ac:dyDescent="0.2">
      <c r="B5439" s="2">
        <f ca="1"/>
        <v>0.46868582642469092</v>
      </c>
      <c r="O5439" s="2">
        <f ca="1"/>
        <v>0.2974162801793554</v>
      </c>
      <c r="X5439" s="2">
        <f ca="1"/>
        <v>31.108621272968627</v>
      </c>
      <c r="AG5439" s="2">
        <f ca="1"/>
        <v>0.54459459787830622</v>
      </c>
      <c r="AH5439" s="2" t="str">
        <f ca="1"/>
        <v>Bad</v>
      </c>
    </row>
    <row r="5440" spans="2:34" x14ac:dyDescent="0.2">
      <c r="B5440" s="2">
        <f ca="1"/>
        <v>0.98574777377063771</v>
      </c>
      <c r="O5440" s="2">
        <f ca="1"/>
        <v>1.474045177849383</v>
      </c>
      <c r="X5440" s="2">
        <f ca="1"/>
        <v>26.541658231298587</v>
      </c>
      <c r="AG5440" s="2">
        <f ca="1"/>
        <v>0.42001609111799465</v>
      </c>
      <c r="AH5440" s="2" t="str">
        <f ca="1"/>
        <v>Bad</v>
      </c>
    </row>
    <row r="5441" spans="2:34" x14ac:dyDescent="0.2">
      <c r="B5441" s="2">
        <f ca="1"/>
        <v>0.55106415972583012</v>
      </c>
      <c r="O5441" s="2">
        <f ca="1"/>
        <v>-0.88504092813597091</v>
      </c>
      <c r="X5441" s="2">
        <f ca="1"/>
        <v>54.554196682291661</v>
      </c>
      <c r="AG5441" s="2">
        <f ca="1"/>
        <v>0.95793491687117727</v>
      </c>
      <c r="AH5441" s="2" t="str">
        <f ca="1"/>
        <v>Bad</v>
      </c>
    </row>
    <row r="5442" spans="2:34" x14ac:dyDescent="0.2">
      <c r="B5442" s="2">
        <f ca="1"/>
        <v>0.15269008814126361</v>
      </c>
      <c r="O5442" s="2">
        <f ca="1"/>
        <v>0.50358024950369518</v>
      </c>
      <c r="X5442" s="2">
        <f ca="1"/>
        <v>42.333558363222465</v>
      </c>
      <c r="AG5442" s="2">
        <f ca="1"/>
        <v>0.31472173454210939</v>
      </c>
      <c r="AH5442" s="2" t="str">
        <f ca="1"/>
        <v>OK</v>
      </c>
    </row>
    <row r="5443" spans="2:34" x14ac:dyDescent="0.2">
      <c r="B5443" s="2">
        <f ca="1"/>
        <v>0.37587443093559458</v>
      </c>
      <c r="O5443" s="2">
        <f ca="1"/>
        <v>-0.2678541642848436</v>
      </c>
      <c r="X5443" s="2">
        <f ca="1"/>
        <v>29.227407476459714</v>
      </c>
      <c r="AG5443" s="2">
        <f ca="1"/>
        <v>6.0535531394810382E-2</v>
      </c>
      <c r="AH5443" s="2" t="str">
        <f ca="1"/>
        <v>OK</v>
      </c>
    </row>
    <row r="5444" spans="2:34" x14ac:dyDescent="0.2">
      <c r="B5444" s="2">
        <f ca="1"/>
        <v>0.2482145072136519</v>
      </c>
      <c r="O5444" s="2">
        <f ca="1"/>
        <v>0.86151206991203844</v>
      </c>
      <c r="X5444" s="2">
        <f ca="1"/>
        <v>83.451587597089301</v>
      </c>
      <c r="AG5444" s="2">
        <f ca="1"/>
        <v>0.1997436856887258</v>
      </c>
      <c r="AH5444" s="2" t="str">
        <f ca="1"/>
        <v>OK</v>
      </c>
    </row>
    <row r="5445" spans="2:34" x14ac:dyDescent="0.2">
      <c r="B5445" s="2">
        <f ca="1"/>
        <v>0.15471000085753284</v>
      </c>
      <c r="O5445" s="2">
        <f ca="1"/>
        <v>0.51526227627013288</v>
      </c>
      <c r="X5445" s="2">
        <f ca="1"/>
        <v>31.533829198231032</v>
      </c>
      <c r="AG5445" s="2">
        <f ca="1"/>
        <v>0.14673303934662307</v>
      </c>
      <c r="AH5445" s="2" t="str">
        <f ca="1"/>
        <v>OK</v>
      </c>
    </row>
    <row r="5446" spans="2:34" x14ac:dyDescent="0.2">
      <c r="B5446" s="2">
        <f ca="1"/>
        <v>0.32182107988087605</v>
      </c>
      <c r="O5446" s="2">
        <f ca="1"/>
        <v>0.12697520011652141</v>
      </c>
      <c r="X5446" s="2">
        <f ca="1"/>
        <v>43.23451610620539</v>
      </c>
      <c r="AG5446" s="2">
        <f ca="1"/>
        <v>0.8776826992590907</v>
      </c>
      <c r="AH5446" s="2" t="str">
        <f ca="1"/>
        <v>Bad</v>
      </c>
    </row>
    <row r="5447" spans="2:34" x14ac:dyDescent="0.2">
      <c r="B5447" s="2">
        <f ca="1"/>
        <v>0.92285615218709638</v>
      </c>
      <c r="O5447" s="2">
        <f ca="1"/>
        <v>-0.89986747894749353</v>
      </c>
      <c r="X5447" s="2">
        <f ca="1"/>
        <v>61.298065752993239</v>
      </c>
      <c r="AG5447" s="2">
        <f ca="1"/>
        <v>0.42750429508416476</v>
      </c>
      <c r="AH5447" s="2" t="str">
        <f ca="1"/>
        <v>Bad</v>
      </c>
    </row>
    <row r="5448" spans="2:34" x14ac:dyDescent="0.2">
      <c r="B5448" s="2">
        <f ca="1"/>
        <v>0.51345556230844935</v>
      </c>
      <c r="O5448" s="2">
        <f ca="1"/>
        <v>-0.63074686788928669</v>
      </c>
      <c r="X5448" s="2">
        <f ca="1"/>
        <v>43.133386935795741</v>
      </c>
      <c r="AG5448" s="2">
        <f ca="1"/>
        <v>9.2582873469306604E-2</v>
      </c>
      <c r="AH5448" s="2" t="str">
        <f ca="1"/>
        <v>OK</v>
      </c>
    </row>
    <row r="5449" spans="2:34" x14ac:dyDescent="0.2">
      <c r="B5449" s="2">
        <f ca="1"/>
        <v>0.54231572766913083</v>
      </c>
      <c r="O5449" s="2">
        <f ca="1"/>
        <v>0.35583587304815972</v>
      </c>
      <c r="X5449" s="2">
        <f ca="1"/>
        <v>40.206886330444718</v>
      </c>
      <c r="AG5449" s="2">
        <f ca="1"/>
        <v>0.45497037821955866</v>
      </c>
      <c r="AH5449" s="2" t="str">
        <f ca="1"/>
        <v>Bad</v>
      </c>
    </row>
    <row r="5450" spans="2:34" x14ac:dyDescent="0.2">
      <c r="B5450" s="2">
        <f ca="1"/>
        <v>0.69974732367802983</v>
      </c>
      <c r="O5450" s="2">
        <f ca="1"/>
        <v>-1.7787700195163714</v>
      </c>
      <c r="X5450" s="2">
        <f ca="1"/>
        <v>58.079792497267995</v>
      </c>
      <c r="AG5450" s="2">
        <f ca="1"/>
        <v>4.4549974460605046E-2</v>
      </c>
      <c r="AH5450" s="2" t="str">
        <f ca="1"/>
        <v>Good</v>
      </c>
    </row>
    <row r="5451" spans="2:34" x14ac:dyDescent="0.2">
      <c r="B5451" s="2">
        <f ca="1"/>
        <v>0.69207018655153307</v>
      </c>
      <c r="O5451" s="2">
        <f ca="1"/>
        <v>0.84678814059634189</v>
      </c>
      <c r="X5451" s="2">
        <f ca="1"/>
        <v>77.582031457456196</v>
      </c>
      <c r="AG5451" s="2">
        <f ca="1"/>
        <v>0.90872991676456971</v>
      </c>
      <c r="AH5451" s="2" t="str">
        <f ca="1"/>
        <v>Bad</v>
      </c>
    </row>
    <row r="5452" spans="2:34" x14ac:dyDescent="0.2">
      <c r="B5452" s="2">
        <f ca="1"/>
        <v>0.18344100084310466</v>
      </c>
      <c r="O5452" s="2">
        <f ca="1"/>
        <v>-1.9652140142803867</v>
      </c>
      <c r="X5452" s="2">
        <f ca="1"/>
        <v>44.508041745235545</v>
      </c>
      <c r="AG5452" s="2">
        <f ca="1"/>
        <v>0.23516998970381597</v>
      </c>
      <c r="AH5452" s="2" t="str">
        <f ca="1"/>
        <v>OK</v>
      </c>
    </row>
    <row r="5453" spans="2:34" x14ac:dyDescent="0.2">
      <c r="B5453" s="2">
        <f ca="1"/>
        <v>6.3705719969526786E-3</v>
      </c>
      <c r="O5453" s="2">
        <f ca="1"/>
        <v>-0.25865542483786014</v>
      </c>
      <c r="X5453" s="2">
        <f ca="1"/>
        <v>58.881070792692903</v>
      </c>
      <c r="AG5453" s="2">
        <f ca="1"/>
        <v>0.9347822636901395</v>
      </c>
      <c r="AH5453" s="2" t="str">
        <f ca="1"/>
        <v>Bad</v>
      </c>
    </row>
    <row r="5454" spans="2:34" x14ac:dyDescent="0.2">
      <c r="B5454" s="2">
        <f ca="1"/>
        <v>0.40433789808563514</v>
      </c>
      <c r="O5454" s="2">
        <f ca="1"/>
        <v>-7.7827817306286975E-2</v>
      </c>
      <c r="X5454" s="2">
        <f ca="1"/>
        <v>45.722136705478079</v>
      </c>
      <c r="AG5454" s="2">
        <f ca="1"/>
        <v>0.4277990587395617</v>
      </c>
      <c r="AH5454" s="2" t="str">
        <f ca="1"/>
        <v>Bad</v>
      </c>
    </row>
    <row r="5455" spans="2:34" x14ac:dyDescent="0.2">
      <c r="B5455" s="2">
        <f ca="1"/>
        <v>0.21933382195628592</v>
      </c>
      <c r="O5455" s="2">
        <f ca="1"/>
        <v>1.4889474629693031</v>
      </c>
      <c r="X5455" s="2">
        <f ca="1"/>
        <v>69.986880374993689</v>
      </c>
      <c r="AG5455" s="2">
        <f ca="1"/>
        <v>0.12025371734385604</v>
      </c>
      <c r="AH5455" s="2" t="str">
        <f ca="1"/>
        <v>OK</v>
      </c>
    </row>
    <row r="5456" spans="2:34" x14ac:dyDescent="0.2">
      <c r="B5456" s="2">
        <f ca="1"/>
        <v>0.13371735262218176</v>
      </c>
      <c r="O5456" s="2">
        <f ca="1"/>
        <v>0.26830582568832217</v>
      </c>
      <c r="X5456" s="2">
        <f ca="1"/>
        <v>56.58638052367462</v>
      </c>
      <c r="AG5456" s="2">
        <f ca="1"/>
        <v>0.11615993884859344</v>
      </c>
      <c r="AH5456" s="2" t="str">
        <f ca="1"/>
        <v>OK</v>
      </c>
    </row>
    <row r="5457" spans="2:34" x14ac:dyDescent="0.2">
      <c r="B5457" s="2">
        <f ca="1"/>
        <v>0.35245254899149292</v>
      </c>
      <c r="O5457" s="2">
        <f ca="1"/>
        <v>2.2344437264012402</v>
      </c>
      <c r="X5457" s="2">
        <f ca="1"/>
        <v>57.80184626378977</v>
      </c>
      <c r="AG5457" s="2">
        <f ca="1"/>
        <v>5.9745189201652948E-2</v>
      </c>
      <c r="AH5457" s="2" t="str">
        <f ca="1"/>
        <v>OK</v>
      </c>
    </row>
    <row r="5458" spans="2:34" x14ac:dyDescent="0.2">
      <c r="B5458" s="2">
        <f ca="1"/>
        <v>0.81426085698213013</v>
      </c>
      <c r="O5458" s="2">
        <f ca="1"/>
        <v>-0.75409435404988268</v>
      </c>
      <c r="X5458" s="2">
        <f ca="1"/>
        <v>56.658127390740901</v>
      </c>
      <c r="AG5458" s="2">
        <f ca="1"/>
        <v>0.61924554485923911</v>
      </c>
      <c r="AH5458" s="2" t="str">
        <f ca="1"/>
        <v>Bad</v>
      </c>
    </row>
    <row r="5459" spans="2:34" x14ac:dyDescent="0.2">
      <c r="B5459" s="2">
        <f ca="1"/>
        <v>4.0993391550914193E-2</v>
      </c>
      <c r="O5459" s="2">
        <f ca="1"/>
        <v>0.33630774454561563</v>
      </c>
      <c r="X5459" s="2">
        <f ca="1"/>
        <v>24.740655478963404</v>
      </c>
      <c r="AG5459" s="2">
        <f ca="1"/>
        <v>0.17116224377442735</v>
      </c>
      <c r="AH5459" s="2" t="str">
        <f ca="1"/>
        <v>OK</v>
      </c>
    </row>
    <row r="5460" spans="2:34" x14ac:dyDescent="0.2">
      <c r="B5460" s="2">
        <f ca="1"/>
        <v>0.74587011303381323</v>
      </c>
      <c r="O5460" s="2">
        <f ca="1"/>
        <v>-0.61136234656448607</v>
      </c>
      <c r="X5460" s="2">
        <f ca="1"/>
        <v>29.614613527323833</v>
      </c>
      <c r="AG5460" s="2">
        <f ca="1"/>
        <v>0.7379811836796053</v>
      </c>
      <c r="AH5460" s="2" t="str">
        <f ca="1"/>
        <v>Bad</v>
      </c>
    </row>
    <row r="5461" spans="2:34" x14ac:dyDescent="0.2">
      <c r="B5461" s="2">
        <f ca="1"/>
        <v>0.82161354357042571</v>
      </c>
      <c r="O5461" s="2">
        <f ca="1"/>
        <v>-0.55208999914120649</v>
      </c>
      <c r="X5461" s="2">
        <f ca="1"/>
        <v>35.872434413644505</v>
      </c>
      <c r="AG5461" s="2">
        <f ca="1"/>
        <v>0.8488200237923853</v>
      </c>
      <c r="AH5461" s="2" t="str">
        <f ca="1"/>
        <v>Bad</v>
      </c>
    </row>
    <row r="5462" spans="2:34" x14ac:dyDescent="0.2">
      <c r="B5462" s="2">
        <f ca="1"/>
        <v>0.76675371677082671</v>
      </c>
      <c r="O5462" s="2">
        <f ca="1"/>
        <v>-0.39098390186172877</v>
      </c>
      <c r="X5462" s="2">
        <f ca="1"/>
        <v>32.361822920980956</v>
      </c>
      <c r="AG5462" s="2">
        <f ca="1"/>
        <v>0.65873357673398059</v>
      </c>
      <c r="AH5462" s="2" t="str">
        <f ca="1"/>
        <v>Bad</v>
      </c>
    </row>
    <row r="5463" spans="2:34" x14ac:dyDescent="0.2">
      <c r="B5463" s="2">
        <f ca="1"/>
        <v>0.14388337239763005</v>
      </c>
      <c r="O5463" s="2">
        <f ca="1"/>
        <v>-0.71652551160276723</v>
      </c>
      <c r="X5463" s="2">
        <f ca="1"/>
        <v>35.165846071865722</v>
      </c>
      <c r="AG5463" s="2">
        <f ca="1"/>
        <v>0.42042590764236754</v>
      </c>
      <c r="AH5463" s="2" t="str">
        <f ca="1"/>
        <v>Bad</v>
      </c>
    </row>
    <row r="5464" spans="2:34" x14ac:dyDescent="0.2">
      <c r="B5464" s="2">
        <f ca="1"/>
        <v>0.98935355404594616</v>
      </c>
      <c r="O5464" s="2">
        <f ca="1"/>
        <v>0.18014389968910802</v>
      </c>
      <c r="X5464" s="2">
        <f ca="1"/>
        <v>42.270197996295465</v>
      </c>
      <c r="AG5464" s="2">
        <f ca="1"/>
        <v>0.73200357365513047</v>
      </c>
      <c r="AH5464" s="2" t="str">
        <f ca="1"/>
        <v>Bad</v>
      </c>
    </row>
    <row r="5465" spans="2:34" x14ac:dyDescent="0.2">
      <c r="B5465" s="2">
        <f ca="1"/>
        <v>0.97686524420928111</v>
      </c>
      <c r="O5465" s="2">
        <f ca="1"/>
        <v>1.3214224852274266</v>
      </c>
      <c r="X5465" s="2">
        <f ca="1"/>
        <v>57.474699223119224</v>
      </c>
      <c r="AG5465" s="2">
        <f ca="1"/>
        <v>0.39390972613541742</v>
      </c>
      <c r="AH5465" s="2" t="str">
        <f ca="1"/>
        <v>OK</v>
      </c>
    </row>
    <row r="5466" spans="2:34" x14ac:dyDescent="0.2">
      <c r="B5466" s="2">
        <f ca="1"/>
        <v>0.48682252747088506</v>
      </c>
      <c r="O5466" s="2">
        <f ca="1"/>
        <v>-0.29539621710114966</v>
      </c>
      <c r="X5466" s="2">
        <f ca="1"/>
        <v>53.538266578431823</v>
      </c>
      <c r="AG5466" s="2">
        <f ca="1"/>
        <v>0.69487513365605302</v>
      </c>
      <c r="AH5466" s="2" t="str">
        <f ca="1"/>
        <v>Bad</v>
      </c>
    </row>
    <row r="5467" spans="2:34" x14ac:dyDescent="0.2">
      <c r="B5467" s="2">
        <f ca="1"/>
        <v>5.6624929572391514E-2</v>
      </c>
      <c r="O5467" s="2">
        <f ca="1"/>
        <v>0.34594581250541567</v>
      </c>
      <c r="X5467" s="2">
        <f ca="1"/>
        <v>65.151027964542095</v>
      </c>
      <c r="AG5467" s="2">
        <f ca="1"/>
        <v>0.1651126929785649</v>
      </c>
      <c r="AH5467" s="2" t="str">
        <f ca="1"/>
        <v>OK</v>
      </c>
    </row>
    <row r="5468" spans="2:34" x14ac:dyDescent="0.2">
      <c r="B5468" s="2">
        <f ca="1"/>
        <v>0.99967997973287637</v>
      </c>
      <c r="O5468" s="2">
        <f ca="1"/>
        <v>0.38703190883543848</v>
      </c>
      <c r="X5468" s="2">
        <f ca="1"/>
        <v>46.525414364293134</v>
      </c>
      <c r="AG5468" s="2">
        <f ca="1"/>
        <v>0.45508506025807938</v>
      </c>
      <c r="AH5468" s="2" t="str">
        <f ca="1"/>
        <v>Bad</v>
      </c>
    </row>
    <row r="5469" spans="2:34" x14ac:dyDescent="0.2">
      <c r="B5469" s="2">
        <f ca="1"/>
        <v>0.71636001808444227</v>
      </c>
      <c r="O5469" s="2">
        <f ca="1"/>
        <v>0.25375538868827457</v>
      </c>
      <c r="X5469" s="2">
        <f ca="1"/>
        <v>45.108190347672775</v>
      </c>
      <c r="AG5469" s="2">
        <f ca="1"/>
        <v>0.46345679319550648</v>
      </c>
      <c r="AH5469" s="2" t="str">
        <f ca="1"/>
        <v>Bad</v>
      </c>
    </row>
    <row r="5470" spans="2:34" x14ac:dyDescent="0.2">
      <c r="B5470" s="2">
        <f ca="1"/>
        <v>0.32835403468889934</v>
      </c>
      <c r="O5470" s="2">
        <f ca="1"/>
        <v>0.91684195184618356</v>
      </c>
      <c r="X5470" s="2">
        <f ca="1"/>
        <v>44.648890366197861</v>
      </c>
      <c r="AG5470" s="2">
        <f ca="1"/>
        <v>7.9460745432998525E-2</v>
      </c>
      <c r="AH5470" s="2" t="str">
        <f ca="1"/>
        <v>OK</v>
      </c>
    </row>
    <row r="5471" spans="2:34" x14ac:dyDescent="0.2">
      <c r="B5471" s="2">
        <f ca="1"/>
        <v>0.71056606938504951</v>
      </c>
      <c r="O5471" s="2">
        <f ca="1"/>
        <v>0.21061590198717994</v>
      </c>
      <c r="X5471" s="2">
        <f ca="1"/>
        <v>36.524242086123522</v>
      </c>
      <c r="AG5471" s="2">
        <f ca="1"/>
        <v>0.37542552015258157</v>
      </c>
      <c r="AH5471" s="2" t="str">
        <f ca="1"/>
        <v>OK</v>
      </c>
    </row>
    <row r="5472" spans="2:34" x14ac:dyDescent="0.2">
      <c r="B5472" s="2">
        <f ca="1"/>
        <v>0.46214035798966946</v>
      </c>
      <c r="O5472" s="2">
        <f ca="1"/>
        <v>1.570885308094933</v>
      </c>
      <c r="X5472" s="2">
        <f ca="1"/>
        <v>43.006268854667049</v>
      </c>
      <c r="AG5472" s="2">
        <f ca="1"/>
        <v>0.42073594294718752</v>
      </c>
      <c r="AH5472" s="2" t="str">
        <f ca="1"/>
        <v>Bad</v>
      </c>
    </row>
    <row r="5473" spans="2:34" x14ac:dyDescent="0.2">
      <c r="B5473" s="2">
        <f ca="1"/>
        <v>0.7663641159465322</v>
      </c>
      <c r="O5473" s="2">
        <f ca="1"/>
        <v>-0.86940003377510555</v>
      </c>
      <c r="X5473" s="2">
        <f ca="1"/>
        <v>48.617656914949087</v>
      </c>
      <c r="AG5473" s="2">
        <f ca="1"/>
        <v>0.53555877139205332</v>
      </c>
      <c r="AH5473" s="2" t="str">
        <f ca="1"/>
        <v>Bad</v>
      </c>
    </row>
    <row r="5474" spans="2:34" x14ac:dyDescent="0.2">
      <c r="B5474" s="2">
        <f ca="1"/>
        <v>0.40710457911411013</v>
      </c>
      <c r="O5474" s="2">
        <f ca="1"/>
        <v>-1.5110415534547521</v>
      </c>
      <c r="X5474" s="2">
        <f ca="1"/>
        <v>33.60145686351963</v>
      </c>
      <c r="AG5474" s="2">
        <f ca="1"/>
        <v>0.39603077114637064</v>
      </c>
      <c r="AH5474" s="2" t="str">
        <f ca="1"/>
        <v>OK</v>
      </c>
    </row>
    <row r="5475" spans="2:34" x14ac:dyDescent="0.2">
      <c r="B5475" s="2">
        <f ca="1"/>
        <v>0.35974709655271786</v>
      </c>
      <c r="O5475" s="2">
        <f ca="1"/>
        <v>0.16371764341748052</v>
      </c>
      <c r="X5475" s="2">
        <f ca="1"/>
        <v>67.39363368970038</v>
      </c>
      <c r="AG5475" s="2">
        <f ca="1"/>
        <v>0.17523819625966164</v>
      </c>
      <c r="AH5475" s="2" t="str">
        <f ca="1"/>
        <v>OK</v>
      </c>
    </row>
    <row r="5476" spans="2:34" x14ac:dyDescent="0.2">
      <c r="B5476" s="2">
        <f ca="1"/>
        <v>0.20445814993808131</v>
      </c>
      <c r="O5476" s="2">
        <f ca="1"/>
        <v>0.53727979883098786</v>
      </c>
      <c r="X5476" s="2">
        <f ca="1"/>
        <v>33.034317561193703</v>
      </c>
      <c r="AG5476" s="2">
        <f ca="1"/>
        <v>0.7975459106321614</v>
      </c>
      <c r="AH5476" s="2" t="str">
        <f ca="1"/>
        <v>Bad</v>
      </c>
    </row>
    <row r="5477" spans="2:34" x14ac:dyDescent="0.2">
      <c r="B5477" s="2">
        <f ca="1"/>
        <v>0.87506954200370468</v>
      </c>
      <c r="O5477" s="2">
        <f ca="1"/>
        <v>0.69877768458035716</v>
      </c>
      <c r="X5477" s="2">
        <f ca="1"/>
        <v>33.53602752488564</v>
      </c>
      <c r="AG5477" s="2">
        <f ca="1"/>
        <v>0.24605647432517586</v>
      </c>
      <c r="AH5477" s="2" t="str">
        <f ca="1"/>
        <v>OK</v>
      </c>
    </row>
    <row r="5478" spans="2:34" x14ac:dyDescent="0.2">
      <c r="B5478" s="2">
        <f ca="1"/>
        <v>0.76962062730671099</v>
      </c>
      <c r="O5478" s="2">
        <f ca="1"/>
        <v>0.45224558702772771</v>
      </c>
      <c r="X5478" s="2">
        <f ca="1"/>
        <v>33.862983605525613</v>
      </c>
      <c r="AG5478" s="2">
        <f ca="1"/>
        <v>0.95851576772105362</v>
      </c>
      <c r="AH5478" s="2" t="str">
        <f ca="1"/>
        <v>Bad</v>
      </c>
    </row>
    <row r="5479" spans="2:34" x14ac:dyDescent="0.2">
      <c r="B5479" s="2">
        <f ca="1"/>
        <v>0.56529436275657541</v>
      </c>
      <c r="O5479" s="2">
        <f ca="1"/>
        <v>1.2948239874556264</v>
      </c>
      <c r="X5479" s="2">
        <f ca="1"/>
        <v>63.100863922593966</v>
      </c>
      <c r="AG5479" s="2">
        <f ca="1"/>
        <v>0.85395673001576311</v>
      </c>
      <c r="AH5479" s="2" t="str">
        <f ca="1"/>
        <v>Bad</v>
      </c>
    </row>
    <row r="5480" spans="2:34" x14ac:dyDescent="0.2">
      <c r="B5480" s="2">
        <f ca="1"/>
        <v>0.67184051108593268</v>
      </c>
      <c r="O5480" s="2">
        <f ca="1"/>
        <v>0.57638252401978429</v>
      </c>
      <c r="X5480" s="2">
        <f ca="1"/>
        <v>31.625281207354913</v>
      </c>
      <c r="AG5480" s="2">
        <f ca="1"/>
        <v>0.17051638542139225</v>
      </c>
      <c r="AH5480" s="2" t="str">
        <f ca="1"/>
        <v>OK</v>
      </c>
    </row>
    <row r="5481" spans="2:34" x14ac:dyDescent="0.2">
      <c r="B5481" s="2">
        <f ca="1"/>
        <v>7.5634504863160146E-2</v>
      </c>
      <c r="O5481" s="2">
        <f ca="1"/>
        <v>-1.6317422733657228</v>
      </c>
      <c r="X5481" s="2">
        <f ca="1"/>
        <v>49.349915170950482</v>
      </c>
      <c r="AG5481" s="2">
        <f ca="1"/>
        <v>0.17568630782322536</v>
      </c>
      <c r="AH5481" s="2" t="str">
        <f ca="1"/>
        <v>OK</v>
      </c>
    </row>
    <row r="5482" spans="2:34" x14ac:dyDescent="0.2">
      <c r="B5482" s="2">
        <f ca="1"/>
        <v>2.9041554771207512E-2</v>
      </c>
      <c r="O5482" s="2">
        <f ca="1"/>
        <v>-0.49065455809723185</v>
      </c>
      <c r="X5482" s="2">
        <f ca="1"/>
        <v>63.525065796328057</v>
      </c>
      <c r="AG5482" s="2">
        <f ca="1"/>
        <v>4.2119666470630701E-2</v>
      </c>
      <c r="AH5482" s="2" t="str">
        <f ca="1"/>
        <v>Good</v>
      </c>
    </row>
    <row r="5483" spans="2:34" x14ac:dyDescent="0.2">
      <c r="B5483" s="2">
        <f ca="1"/>
        <v>0.80764581749343733</v>
      </c>
      <c r="O5483" s="2">
        <f ca="1"/>
        <v>-0.57604952766949469</v>
      </c>
      <c r="X5483" s="2">
        <f ca="1"/>
        <v>45.853502950594624</v>
      </c>
      <c r="AG5483" s="2">
        <f ca="1"/>
        <v>0.91883303748194689</v>
      </c>
      <c r="AH5483" s="2" t="str">
        <f ca="1"/>
        <v>Bad</v>
      </c>
    </row>
    <row r="5484" spans="2:34" x14ac:dyDescent="0.2">
      <c r="B5484" s="2">
        <f ca="1"/>
        <v>0.3258185844853243</v>
      </c>
      <c r="O5484" s="2">
        <f ca="1"/>
        <v>-0.62812870414520949</v>
      </c>
      <c r="X5484" s="2">
        <f ca="1"/>
        <v>36.14047960355164</v>
      </c>
      <c r="AG5484" s="2">
        <f ca="1"/>
        <v>0.86099339840079026</v>
      </c>
      <c r="AH5484" s="2" t="str">
        <f ca="1"/>
        <v>Bad</v>
      </c>
    </row>
    <row r="5485" spans="2:34" x14ac:dyDescent="0.2">
      <c r="B5485" s="2">
        <f ca="1"/>
        <v>0.88790146725402708</v>
      </c>
      <c r="O5485" s="2">
        <f ca="1"/>
        <v>-0.6598916228487639</v>
      </c>
      <c r="X5485" s="2">
        <f ca="1"/>
        <v>57.15553816602413</v>
      </c>
      <c r="AG5485" s="2">
        <f ca="1"/>
        <v>8.5931892671539112E-2</v>
      </c>
      <c r="AH5485" s="2" t="str">
        <f ca="1"/>
        <v>OK</v>
      </c>
    </row>
    <row r="5486" spans="2:34" x14ac:dyDescent="0.2">
      <c r="B5486" s="2">
        <f ca="1"/>
        <v>0.63907985194888184</v>
      </c>
      <c r="O5486" s="2">
        <f ca="1"/>
        <v>-1.01775611532739</v>
      </c>
      <c r="X5486" s="2">
        <f ca="1"/>
        <v>35.293998758617775</v>
      </c>
      <c r="AG5486" s="2">
        <f ca="1"/>
        <v>0.82404220835605613</v>
      </c>
      <c r="AH5486" s="2" t="str">
        <f ca="1"/>
        <v>Bad</v>
      </c>
    </row>
    <row r="5487" spans="2:34" x14ac:dyDescent="0.2">
      <c r="B5487" s="2">
        <f ca="1"/>
        <v>0.34038887020628228</v>
      </c>
      <c r="O5487" s="2">
        <f ca="1"/>
        <v>-0.19920620832166647</v>
      </c>
      <c r="X5487" s="2">
        <f ca="1"/>
        <v>117.94255856618213</v>
      </c>
      <c r="AG5487" s="2">
        <f ca="1"/>
        <v>0.52557852880741418</v>
      </c>
      <c r="AH5487" s="2" t="str">
        <f ca="1"/>
        <v>Bad</v>
      </c>
    </row>
    <row r="5488" spans="2:34" x14ac:dyDescent="0.2">
      <c r="B5488" s="2">
        <f ca="1"/>
        <v>0.9876113897179295</v>
      </c>
      <c r="O5488" s="2">
        <f ca="1"/>
        <v>0.11106941346882276</v>
      </c>
      <c r="X5488" s="2">
        <f ca="1"/>
        <v>43.950722503266135</v>
      </c>
      <c r="AG5488" s="2">
        <f ca="1"/>
        <v>8.396344355328611E-2</v>
      </c>
      <c r="AH5488" s="2" t="str">
        <f ca="1"/>
        <v>OK</v>
      </c>
    </row>
    <row r="5489" spans="2:34" x14ac:dyDescent="0.2">
      <c r="B5489" s="2">
        <f ca="1"/>
        <v>0.40604721393588661</v>
      </c>
      <c r="O5489" s="2">
        <f ca="1"/>
        <v>-0.59566105191689345</v>
      </c>
      <c r="X5489" s="2">
        <f ca="1"/>
        <v>42.073794562354045</v>
      </c>
      <c r="AG5489" s="2">
        <f ca="1"/>
        <v>2.1404622260192019E-2</v>
      </c>
      <c r="AH5489" s="2" t="str">
        <f ca="1"/>
        <v>Good</v>
      </c>
    </row>
    <row r="5490" spans="2:34" x14ac:dyDescent="0.2">
      <c r="B5490" s="2">
        <f ca="1"/>
        <v>0.49268674819496661</v>
      </c>
      <c r="O5490" s="2">
        <f ca="1"/>
        <v>-1.3749109717901662</v>
      </c>
      <c r="X5490" s="2">
        <f ca="1"/>
        <v>44.283293972115644</v>
      </c>
      <c r="AG5490" s="2">
        <f ca="1"/>
        <v>0.76243716995551258</v>
      </c>
      <c r="AH5490" s="2" t="str">
        <f ca="1"/>
        <v>Bad</v>
      </c>
    </row>
    <row r="5491" spans="2:34" x14ac:dyDescent="0.2">
      <c r="B5491" s="2">
        <f ca="1"/>
        <v>0.86951538414524432</v>
      </c>
      <c r="O5491" s="2">
        <f ca="1"/>
        <v>1.2690709051914832</v>
      </c>
      <c r="X5491" s="2">
        <f ca="1"/>
        <v>31.488005008102885</v>
      </c>
      <c r="AG5491" s="2">
        <f ca="1"/>
        <v>0.72318984910124962</v>
      </c>
      <c r="AH5491" s="2" t="str">
        <f ca="1"/>
        <v>Bad</v>
      </c>
    </row>
    <row r="5492" spans="2:34" x14ac:dyDescent="0.2">
      <c r="B5492" s="2">
        <f ca="1"/>
        <v>0.34368894175316878</v>
      </c>
      <c r="O5492" s="2">
        <f ca="1"/>
        <v>-0.42441047560489392</v>
      </c>
      <c r="X5492" s="2">
        <f ca="1"/>
        <v>41.145097060972368</v>
      </c>
      <c r="AG5492" s="2">
        <f ca="1"/>
        <v>0.31227079891771159</v>
      </c>
      <c r="AH5492" s="2" t="str">
        <f ca="1"/>
        <v>OK</v>
      </c>
    </row>
    <row r="5493" spans="2:34" x14ac:dyDescent="0.2">
      <c r="B5493" s="2">
        <f ca="1"/>
        <v>0.97769003753105177</v>
      </c>
      <c r="O5493" s="2">
        <f ca="1"/>
        <v>0.41292375260695269</v>
      </c>
      <c r="X5493" s="2">
        <f ca="1"/>
        <v>46.251420212511974</v>
      </c>
      <c r="AG5493" s="2">
        <f ca="1"/>
        <v>0.54186137744479512</v>
      </c>
      <c r="AH5493" s="2" t="str">
        <f ca="1"/>
        <v>Bad</v>
      </c>
    </row>
    <row r="5494" spans="2:34" x14ac:dyDescent="0.2">
      <c r="B5494" s="2">
        <f ca="1"/>
        <v>0.6613564824777991</v>
      </c>
      <c r="O5494" s="2">
        <f ca="1"/>
        <v>0.84939042310419244</v>
      </c>
      <c r="X5494" s="2">
        <f ca="1"/>
        <v>37.388684607114619</v>
      </c>
      <c r="AG5494" s="2">
        <f ca="1"/>
        <v>4.686461962661248E-2</v>
      </c>
      <c r="AH5494" s="2" t="str">
        <f ca="1"/>
        <v>Good</v>
      </c>
    </row>
    <row r="5495" spans="2:34" x14ac:dyDescent="0.2">
      <c r="B5495" s="2">
        <f ca="1"/>
        <v>0.60517817783537531</v>
      </c>
      <c r="O5495" s="2">
        <f ca="1"/>
        <v>-0.23187030461978111</v>
      </c>
      <c r="X5495" s="2">
        <f ca="1"/>
        <v>55.242649459816242</v>
      </c>
      <c r="AG5495" s="2">
        <f ca="1"/>
        <v>0.50188264491232526</v>
      </c>
      <c r="AH5495" s="2" t="str">
        <f ca="1"/>
        <v>Bad</v>
      </c>
    </row>
    <row r="5496" spans="2:34" x14ac:dyDescent="0.2">
      <c r="B5496" s="2">
        <f ca="1"/>
        <v>0.13480865278838161</v>
      </c>
      <c r="O5496" s="2">
        <f ca="1"/>
        <v>0.6179614278242791</v>
      </c>
      <c r="X5496" s="2">
        <f ca="1"/>
        <v>21.168413183145148</v>
      </c>
      <c r="AG5496" s="2">
        <f ca="1"/>
        <v>0.77970441143244917</v>
      </c>
      <c r="AH5496" s="2" t="str">
        <f ca="1"/>
        <v>Bad</v>
      </c>
    </row>
    <row r="5497" spans="2:34" x14ac:dyDescent="0.2">
      <c r="B5497" s="2">
        <f ca="1"/>
        <v>0.13036951977468769</v>
      </c>
      <c r="O5497" s="2">
        <f ca="1"/>
        <v>-0.98417800416407242</v>
      </c>
      <c r="X5497" s="2">
        <f ca="1"/>
        <v>48.844562516691703</v>
      </c>
      <c r="AG5497" s="2">
        <f ca="1"/>
        <v>0.11550810465816741</v>
      </c>
      <c r="AH5497" s="2" t="str">
        <f ca="1"/>
        <v>OK</v>
      </c>
    </row>
    <row r="5498" spans="2:34" x14ac:dyDescent="0.2">
      <c r="B5498" s="2">
        <f ca="1"/>
        <v>0.82275523100017733</v>
      </c>
      <c r="O5498" s="2">
        <f ca="1"/>
        <v>0.89165362849622165</v>
      </c>
      <c r="X5498" s="2">
        <f ca="1"/>
        <v>60.399066857475731</v>
      </c>
      <c r="AG5498" s="2">
        <f ca="1"/>
        <v>0.43695460352206106</v>
      </c>
      <c r="AH5498" s="2" t="str">
        <f ca="1"/>
        <v>Bad</v>
      </c>
    </row>
    <row r="5499" spans="2:34" x14ac:dyDescent="0.2">
      <c r="B5499" s="2">
        <f ca="1"/>
        <v>0.66580719355429618</v>
      </c>
      <c r="O5499" s="2">
        <f ca="1"/>
        <v>-1.1726174105868359</v>
      </c>
      <c r="X5499" s="2">
        <f ca="1"/>
        <v>41.366083246913703</v>
      </c>
      <c r="AG5499" s="2">
        <f ca="1"/>
        <v>0.59595621682771371</v>
      </c>
      <c r="AH5499" s="2" t="str">
        <f ca="1"/>
        <v>Bad</v>
      </c>
    </row>
    <row r="5500" spans="2:34" x14ac:dyDescent="0.2">
      <c r="B5500" s="2">
        <f ca="1"/>
        <v>0.81254245170102579</v>
      </c>
      <c r="O5500" s="2">
        <f ca="1"/>
        <v>1.7867570846746217</v>
      </c>
      <c r="X5500" s="2">
        <f ca="1"/>
        <v>39.205797873077202</v>
      </c>
      <c r="AG5500" s="2">
        <f ca="1"/>
        <v>0.2330040994577367</v>
      </c>
      <c r="AH5500" s="2" t="str">
        <f ca="1"/>
        <v>OK</v>
      </c>
    </row>
    <row r="5501" spans="2:34" x14ac:dyDescent="0.2">
      <c r="B5501" s="2">
        <f ca="1"/>
        <v>0.51382313577917449</v>
      </c>
      <c r="O5501" s="2">
        <f ca="1"/>
        <v>-1.9859735544134876</v>
      </c>
      <c r="X5501" s="2">
        <f ca="1"/>
        <v>18.256340889138464</v>
      </c>
      <c r="AG5501" s="2">
        <f ca="1"/>
        <v>0.42080656568587638</v>
      </c>
      <c r="AH5501" s="2" t="str">
        <f ca="1"/>
        <v>Bad</v>
      </c>
    </row>
    <row r="5502" spans="2:34" x14ac:dyDescent="0.2">
      <c r="B5502" s="2">
        <f ca="1"/>
        <v>6.0040076583510515E-2</v>
      </c>
      <c r="O5502" s="2">
        <f ca="1"/>
        <v>-0.90423126872744464</v>
      </c>
      <c r="X5502" s="2">
        <f ca="1"/>
        <v>53.173688295448478</v>
      </c>
      <c r="AG5502" s="2">
        <f ca="1"/>
        <v>0.73735743482622818</v>
      </c>
      <c r="AH5502" s="2" t="str">
        <f ca="1"/>
        <v>Bad</v>
      </c>
    </row>
    <row r="5503" spans="2:34" x14ac:dyDescent="0.2">
      <c r="B5503" s="2">
        <f ca="1"/>
        <v>0.11569503360629274</v>
      </c>
      <c r="O5503" s="2">
        <f ca="1"/>
        <v>-2.4638156125582498</v>
      </c>
      <c r="X5503" s="2">
        <f ca="1"/>
        <v>38.742257082531964</v>
      </c>
      <c r="AG5503" s="2">
        <f ca="1"/>
        <v>0.51320917666727861</v>
      </c>
      <c r="AH5503" s="2" t="str">
        <f ca="1"/>
        <v>Bad</v>
      </c>
    </row>
    <row r="5504" spans="2:34" x14ac:dyDescent="0.2">
      <c r="B5504" s="2">
        <f ca="1"/>
        <v>0.71453551138365046</v>
      </c>
      <c r="O5504" s="2">
        <f ca="1"/>
        <v>-0.71602319732805619</v>
      </c>
      <c r="X5504" s="2">
        <f ca="1"/>
        <v>47.420695936647874</v>
      </c>
      <c r="AG5504" s="2">
        <f ca="1"/>
        <v>0.22224535480096819</v>
      </c>
      <c r="AH5504" s="2" t="str">
        <f ca="1"/>
        <v>OK</v>
      </c>
    </row>
    <row r="5505" spans="2:34" x14ac:dyDescent="0.2">
      <c r="B5505" s="2">
        <f ca="1"/>
        <v>5.0362205715000607E-2</v>
      </c>
      <c r="O5505" s="2">
        <f ca="1"/>
        <v>1.2276289783405245</v>
      </c>
      <c r="X5505" s="2">
        <f ca="1"/>
        <v>51.415589872560609</v>
      </c>
      <c r="AG5505" s="2">
        <f ca="1"/>
        <v>0.73791827478537741</v>
      </c>
      <c r="AH5505" s="2" t="str">
        <f ca="1"/>
        <v>Bad</v>
      </c>
    </row>
    <row r="5506" spans="2:34" x14ac:dyDescent="0.2">
      <c r="B5506" s="2">
        <f ca="1"/>
        <v>0.15943558650375644</v>
      </c>
      <c r="O5506" s="2">
        <f ca="1"/>
        <v>-0.259060552951561</v>
      </c>
      <c r="X5506" s="2">
        <f ca="1"/>
        <v>69.222041357876392</v>
      </c>
      <c r="AG5506" s="2">
        <f ca="1"/>
        <v>0.81102057282515316</v>
      </c>
      <c r="AH5506" s="2" t="str">
        <f ca="1"/>
        <v>Bad</v>
      </c>
    </row>
    <row r="5507" spans="2:34" x14ac:dyDescent="0.2">
      <c r="B5507" s="2">
        <f ca="1"/>
        <v>0.19730945557144919</v>
      </c>
      <c r="O5507" s="2">
        <f ca="1"/>
        <v>-0.8640954509698171</v>
      </c>
      <c r="X5507" s="2">
        <f ca="1"/>
        <v>67.142902954091198</v>
      </c>
      <c r="AG5507" s="2">
        <f ca="1"/>
        <v>0.38758362959970882</v>
      </c>
      <c r="AH5507" s="2" t="str">
        <f ca="1"/>
        <v>OK</v>
      </c>
    </row>
    <row r="5508" spans="2:34" x14ac:dyDescent="0.2">
      <c r="B5508" s="2">
        <f ca="1"/>
        <v>0.56545268413787309</v>
      </c>
      <c r="O5508" s="2">
        <f ca="1"/>
        <v>0.62973501015104272</v>
      </c>
      <c r="X5508" s="2">
        <f ca="1"/>
        <v>44.712312745954847</v>
      </c>
      <c r="AG5508" s="2">
        <f ca="1"/>
        <v>0.11484504850185839</v>
      </c>
      <c r="AH5508" s="2" t="str">
        <f ca="1"/>
        <v>OK</v>
      </c>
    </row>
    <row r="5509" spans="2:34" x14ac:dyDescent="0.2">
      <c r="B5509" s="2">
        <f ca="1"/>
        <v>0.21977439555258549</v>
      </c>
      <c r="O5509" s="2">
        <f ca="1"/>
        <v>1.1112116636580296</v>
      </c>
      <c r="X5509" s="2">
        <f ca="1"/>
        <v>38.831558480442474</v>
      </c>
      <c r="AG5509" s="2">
        <f ca="1"/>
        <v>0.7980708709024793</v>
      </c>
      <c r="AH5509" s="2" t="str">
        <f ca="1"/>
        <v>Bad</v>
      </c>
    </row>
    <row r="5510" spans="2:34" x14ac:dyDescent="0.2">
      <c r="B5510" s="2">
        <f ca="1"/>
        <v>0.64880643358879375</v>
      </c>
      <c r="O5510" s="2">
        <f ca="1"/>
        <v>-1.3490362575013599</v>
      </c>
      <c r="X5510" s="2">
        <f ca="1"/>
        <v>41.196830146429818</v>
      </c>
      <c r="AG5510" s="2">
        <f ca="1"/>
        <v>0.21964331731651354</v>
      </c>
      <c r="AH5510" s="2" t="str">
        <f ca="1"/>
        <v>OK</v>
      </c>
    </row>
    <row r="5511" spans="2:34" x14ac:dyDescent="0.2">
      <c r="B5511" s="2">
        <f ca="1"/>
        <v>0.10744451561054014</v>
      </c>
      <c r="O5511" s="2">
        <f ca="1"/>
        <v>2.0973990788142971</v>
      </c>
      <c r="X5511" s="2">
        <f ca="1"/>
        <v>45.023184423603588</v>
      </c>
      <c r="AG5511" s="2">
        <f ca="1"/>
        <v>0.27151831212160249</v>
      </c>
      <c r="AH5511" s="2" t="str">
        <f ca="1"/>
        <v>OK</v>
      </c>
    </row>
    <row r="5512" spans="2:34" x14ac:dyDescent="0.2">
      <c r="B5512" s="2">
        <f ca="1"/>
        <v>0.36271007444608294</v>
      </c>
      <c r="O5512" s="2">
        <f ca="1"/>
        <v>1.4833814455960403</v>
      </c>
      <c r="X5512" s="2">
        <f ca="1"/>
        <v>45.248654673030508</v>
      </c>
      <c r="AG5512" s="2">
        <f ca="1"/>
        <v>0.63016985214237198</v>
      </c>
      <c r="AH5512" s="2" t="str">
        <f ca="1"/>
        <v>Bad</v>
      </c>
    </row>
    <row r="5513" spans="2:34" x14ac:dyDescent="0.2">
      <c r="B5513" s="2">
        <f ca="1"/>
        <v>0.3320704177457019</v>
      </c>
      <c r="O5513" s="2">
        <f ca="1"/>
        <v>-1.8406847844435756</v>
      </c>
      <c r="X5513" s="2">
        <f ca="1"/>
        <v>43.833951340351675</v>
      </c>
      <c r="AG5513" s="2">
        <f ca="1"/>
        <v>0.89790128463697338</v>
      </c>
      <c r="AH5513" s="2" t="str">
        <f ca="1"/>
        <v>Bad</v>
      </c>
    </row>
    <row r="5514" spans="2:34" x14ac:dyDescent="0.2">
      <c r="B5514" s="2">
        <f ca="1"/>
        <v>0.33740840209930734</v>
      </c>
      <c r="O5514" s="2">
        <f ca="1"/>
        <v>-1.2245200226286821</v>
      </c>
      <c r="X5514" s="2">
        <f ca="1"/>
        <v>35.31678230732345</v>
      </c>
      <c r="AG5514" s="2">
        <f ca="1"/>
        <v>0.22667698803321024</v>
      </c>
      <c r="AH5514" s="2" t="str">
        <f ca="1"/>
        <v>OK</v>
      </c>
    </row>
    <row r="5515" spans="2:34" x14ac:dyDescent="0.2">
      <c r="B5515" s="2">
        <f ca="1"/>
        <v>4.5860309686607037E-2</v>
      </c>
      <c r="O5515" s="2">
        <f ca="1"/>
        <v>2.0920016515175051</v>
      </c>
      <c r="X5515" s="2">
        <f ca="1"/>
        <v>49.951278194777814</v>
      </c>
      <c r="AG5515" s="2">
        <f ca="1"/>
        <v>0.56538033994747106</v>
      </c>
      <c r="AH5515" s="2" t="str">
        <f ca="1"/>
        <v>Bad</v>
      </c>
    </row>
    <row r="5516" spans="2:34" x14ac:dyDescent="0.2">
      <c r="B5516" s="2">
        <f ca="1"/>
        <v>0.43806742931907383</v>
      </c>
      <c r="O5516" s="2">
        <f ca="1"/>
        <v>-0.88866823889078927</v>
      </c>
      <c r="X5516" s="2">
        <f ca="1"/>
        <v>40.832488485528842</v>
      </c>
      <c r="AG5516" s="2">
        <f ca="1"/>
        <v>0.54136364046448926</v>
      </c>
      <c r="AH5516" s="2" t="str">
        <f ca="1"/>
        <v>Bad</v>
      </c>
    </row>
    <row r="5517" spans="2:34" x14ac:dyDescent="0.2">
      <c r="B5517" s="2">
        <f ca="1"/>
        <v>0.86106309868105346</v>
      </c>
      <c r="O5517" s="2">
        <f ca="1"/>
        <v>-0.53420082371785682</v>
      </c>
      <c r="X5517" s="2">
        <f ca="1"/>
        <v>44.020940559907089</v>
      </c>
      <c r="AG5517" s="2">
        <f ca="1"/>
        <v>0.54441415947517324</v>
      </c>
      <c r="AH5517" s="2" t="str">
        <f ca="1"/>
        <v>Bad</v>
      </c>
    </row>
    <row r="5518" spans="2:34" x14ac:dyDescent="0.2">
      <c r="B5518" s="2">
        <f ca="1"/>
        <v>0.60011483323944503</v>
      </c>
      <c r="O5518" s="2">
        <f ca="1"/>
        <v>0.20923009837968856</v>
      </c>
      <c r="X5518" s="2">
        <f ca="1"/>
        <v>66.984249413627253</v>
      </c>
      <c r="AG5518" s="2">
        <f ca="1"/>
        <v>0.86061030333583699</v>
      </c>
      <c r="AH5518" s="2" t="str">
        <f ca="1"/>
        <v>Bad</v>
      </c>
    </row>
    <row r="5519" spans="2:34" x14ac:dyDescent="0.2">
      <c r="B5519" s="2">
        <f ca="1"/>
        <v>5.6311869997578423E-3</v>
      </c>
      <c r="O5519" s="2">
        <f ca="1"/>
        <v>-0.82645037133809873</v>
      </c>
      <c r="X5519" s="2">
        <f ca="1"/>
        <v>29.215265247028452</v>
      </c>
      <c r="AG5519" s="2">
        <f ca="1"/>
        <v>0.10108653704118109</v>
      </c>
      <c r="AH5519" s="2" t="str">
        <f ca="1"/>
        <v>OK</v>
      </c>
    </row>
    <row r="5520" spans="2:34" x14ac:dyDescent="0.2">
      <c r="B5520" s="2">
        <f ca="1"/>
        <v>0.44951100489674278</v>
      </c>
      <c r="O5520" s="2">
        <f ca="1"/>
        <v>-0.27473859811609586</v>
      </c>
      <c r="X5520" s="2">
        <f ca="1"/>
        <v>39.341845405154118</v>
      </c>
      <c r="AG5520" s="2">
        <f ca="1"/>
        <v>7.1839633303862449E-2</v>
      </c>
      <c r="AH5520" s="2" t="str">
        <f ca="1"/>
        <v>OK</v>
      </c>
    </row>
    <row r="5521" spans="2:34" x14ac:dyDescent="0.2">
      <c r="B5521" s="2">
        <f ca="1"/>
        <v>0.75247705753798022</v>
      </c>
      <c r="O5521" s="2">
        <f ca="1"/>
        <v>-1.3857021883563858</v>
      </c>
      <c r="X5521" s="2">
        <f ca="1"/>
        <v>30.616467245458807</v>
      </c>
      <c r="AG5521" s="2">
        <f ca="1"/>
        <v>0.3845504641638462</v>
      </c>
      <c r="AH5521" s="2" t="str">
        <f ca="1"/>
        <v>OK</v>
      </c>
    </row>
    <row r="5522" spans="2:34" x14ac:dyDescent="0.2">
      <c r="B5522" s="2">
        <f ca="1"/>
        <v>0.24580941456086314</v>
      </c>
      <c r="O5522" s="2">
        <f ca="1"/>
        <v>0.42357973973265889</v>
      </c>
      <c r="X5522" s="2">
        <f ca="1"/>
        <v>69.85937032779222</v>
      </c>
      <c r="AG5522" s="2">
        <f ca="1"/>
        <v>0.17981373063466966</v>
      </c>
      <c r="AH5522" s="2" t="str">
        <f ca="1"/>
        <v>OK</v>
      </c>
    </row>
    <row r="5523" spans="2:34" x14ac:dyDescent="0.2">
      <c r="B5523" s="2">
        <f ca="1"/>
        <v>0.73023558735656779</v>
      </c>
      <c r="O5523" s="2">
        <f ca="1"/>
        <v>-1.3973221442897497</v>
      </c>
      <c r="X5523" s="2">
        <f ca="1"/>
        <v>43.425492046522919</v>
      </c>
      <c r="AG5523" s="2">
        <f ca="1"/>
        <v>0.45008637133756935</v>
      </c>
      <c r="AH5523" s="2" t="str">
        <f ca="1"/>
        <v>Bad</v>
      </c>
    </row>
    <row r="5524" spans="2:34" x14ac:dyDescent="0.2">
      <c r="B5524" s="2">
        <f ca="1"/>
        <v>0.56044643142577399</v>
      </c>
      <c r="O5524" s="2">
        <f ca="1"/>
        <v>8.990526192778478E-2</v>
      </c>
      <c r="X5524" s="2">
        <f ca="1"/>
        <v>51.509742489013341</v>
      </c>
      <c r="AG5524" s="2">
        <f ca="1"/>
        <v>0.80291984238402359</v>
      </c>
      <c r="AH5524" s="2" t="str">
        <f ca="1"/>
        <v>Bad</v>
      </c>
    </row>
    <row r="5525" spans="2:34" x14ac:dyDescent="0.2">
      <c r="B5525" s="2">
        <f ca="1"/>
        <v>0.91530507475257927</v>
      </c>
      <c r="O5525" s="2">
        <f ca="1"/>
        <v>0.47325441056975526</v>
      </c>
      <c r="X5525" s="2">
        <f ca="1"/>
        <v>28.621363953937411</v>
      </c>
      <c r="AG5525" s="2">
        <f ca="1"/>
        <v>0.62471906232924823</v>
      </c>
      <c r="AH5525" s="2" t="str">
        <f ca="1"/>
        <v>Bad</v>
      </c>
    </row>
    <row r="5526" spans="2:34" x14ac:dyDescent="0.2">
      <c r="B5526" s="2">
        <f ca="1"/>
        <v>0.55732645471359965</v>
      </c>
      <c r="O5526" s="2">
        <f ca="1"/>
        <v>-0.11474768577045451</v>
      </c>
      <c r="X5526" s="2">
        <f ca="1"/>
        <v>64.276957224656499</v>
      </c>
      <c r="AG5526" s="2">
        <f ca="1"/>
        <v>0.60549858778250942</v>
      </c>
      <c r="AH5526" s="2" t="str">
        <f ca="1"/>
        <v>Bad</v>
      </c>
    </row>
    <row r="5527" spans="2:34" x14ac:dyDescent="0.2">
      <c r="B5527" s="2">
        <f ca="1"/>
        <v>0.17880179244393712</v>
      </c>
      <c r="O5527" s="2">
        <f ca="1"/>
        <v>-2.494326552305373</v>
      </c>
      <c r="X5527" s="2">
        <f ca="1"/>
        <v>54.054505630442016</v>
      </c>
      <c r="AG5527" s="2">
        <f ca="1"/>
        <v>0.6389848206424702</v>
      </c>
      <c r="AH5527" s="2" t="str">
        <f ca="1"/>
        <v>Bad</v>
      </c>
    </row>
    <row r="5528" spans="2:34" x14ac:dyDescent="0.2">
      <c r="B5528" s="2">
        <f ca="1"/>
        <v>0.64436443846751956</v>
      </c>
      <c r="O5528" s="2">
        <f ca="1"/>
        <v>-9.6525302014924125E-2</v>
      </c>
      <c r="X5528" s="2">
        <f ca="1"/>
        <v>65.425919183722755</v>
      </c>
      <c r="AG5528" s="2">
        <f ca="1"/>
        <v>0.52411469376841002</v>
      </c>
      <c r="AH5528" s="2" t="str">
        <f ca="1"/>
        <v>Bad</v>
      </c>
    </row>
    <row r="5529" spans="2:34" x14ac:dyDescent="0.2">
      <c r="B5529" s="2">
        <f ca="1"/>
        <v>0.10993822224867622</v>
      </c>
      <c r="O5529" s="2">
        <f ca="1"/>
        <v>-1.2758424214689761</v>
      </c>
      <c r="X5529" s="2">
        <f ca="1"/>
        <v>54.369964056217327</v>
      </c>
      <c r="AG5529" s="2">
        <f ca="1"/>
        <v>0.99051737553438035</v>
      </c>
      <c r="AH5529" s="2" t="str">
        <f ca="1"/>
        <v>Bad</v>
      </c>
    </row>
    <row r="5530" spans="2:34" x14ac:dyDescent="0.2">
      <c r="B5530" s="2">
        <f ca="1"/>
        <v>0.99450493878859159</v>
      </c>
      <c r="O5530" s="2">
        <f ca="1"/>
        <v>-0.28967862945765227</v>
      </c>
      <c r="X5530" s="2">
        <f ca="1"/>
        <v>41.000772985930269</v>
      </c>
      <c r="AG5530" s="2">
        <f ca="1"/>
        <v>0.39562708065605956</v>
      </c>
      <c r="AH5530" s="2" t="str">
        <f ca="1"/>
        <v>OK</v>
      </c>
    </row>
    <row r="5531" spans="2:34" x14ac:dyDescent="0.2">
      <c r="B5531" s="2">
        <f ca="1"/>
        <v>0.24492002151850056</v>
      </c>
      <c r="O5531" s="2">
        <f ca="1"/>
        <v>0.72535496190387927</v>
      </c>
      <c r="X5531" s="2">
        <f ca="1"/>
        <v>38.812420062769093</v>
      </c>
      <c r="AG5531" s="2">
        <f ca="1"/>
        <v>0.44779887088448334</v>
      </c>
      <c r="AH5531" s="2" t="str">
        <f ca="1"/>
        <v>Bad</v>
      </c>
    </row>
    <row r="5532" spans="2:34" x14ac:dyDescent="0.2">
      <c r="B5532" s="2">
        <f ca="1"/>
        <v>0.51447674956919665</v>
      </c>
      <c r="O5532" s="2">
        <f ca="1"/>
        <v>-3.1814713362145822E-2</v>
      </c>
      <c r="X5532" s="2">
        <f ca="1"/>
        <v>60.044742971686333</v>
      </c>
      <c r="AG5532" s="2">
        <f ca="1"/>
        <v>3.3731561698167267E-2</v>
      </c>
      <c r="AH5532" s="2" t="str">
        <f ca="1"/>
        <v>Good</v>
      </c>
    </row>
    <row r="5533" spans="2:34" x14ac:dyDescent="0.2">
      <c r="B5533" s="2">
        <f ca="1"/>
        <v>0.13159228386029431</v>
      </c>
      <c r="O5533" s="2">
        <f ca="1"/>
        <v>0.58349119070737443</v>
      </c>
      <c r="X5533" s="2">
        <f ca="1"/>
        <v>62.116616215173067</v>
      </c>
      <c r="AG5533" s="2">
        <f ca="1"/>
        <v>7.3732900316688887E-2</v>
      </c>
      <c r="AH5533" s="2" t="str">
        <f ca="1"/>
        <v>OK</v>
      </c>
    </row>
    <row r="5534" spans="2:34" x14ac:dyDescent="0.2">
      <c r="B5534" s="2">
        <f ca="1"/>
        <v>0.64584906073005199</v>
      </c>
      <c r="O5534" s="2">
        <f ca="1"/>
        <v>-0.83440040620629907</v>
      </c>
      <c r="X5534" s="2">
        <f ca="1"/>
        <v>76.418593527506843</v>
      </c>
      <c r="AG5534" s="2">
        <f ca="1"/>
        <v>0.57106298716602688</v>
      </c>
      <c r="AH5534" s="2" t="str">
        <f ca="1"/>
        <v>Bad</v>
      </c>
    </row>
    <row r="5535" spans="2:34" x14ac:dyDescent="0.2">
      <c r="B5535" s="2">
        <f ca="1"/>
        <v>0.81071330421929466</v>
      </c>
      <c r="O5535" s="2">
        <f ca="1"/>
        <v>-1.3969352604538032</v>
      </c>
      <c r="X5535" s="2">
        <f ca="1"/>
        <v>37.921230211533945</v>
      </c>
      <c r="AG5535" s="2">
        <f ca="1"/>
        <v>0.14238212389460747</v>
      </c>
      <c r="AH5535" s="2" t="str">
        <f ca="1"/>
        <v>OK</v>
      </c>
    </row>
    <row r="5536" spans="2:34" x14ac:dyDescent="0.2">
      <c r="B5536" s="2">
        <f ca="1"/>
        <v>0.11142616505343272</v>
      </c>
      <c r="O5536" s="2">
        <f ca="1"/>
        <v>-1.278152075237758</v>
      </c>
      <c r="X5536" s="2">
        <f ca="1"/>
        <v>45.888310852862695</v>
      </c>
      <c r="AG5536" s="2">
        <f ca="1"/>
        <v>0.4282981385397695</v>
      </c>
      <c r="AH5536" s="2" t="str">
        <f ca="1"/>
        <v>Bad</v>
      </c>
    </row>
    <row r="5537" spans="2:34" x14ac:dyDescent="0.2">
      <c r="B5537" s="2">
        <f ca="1"/>
        <v>0.72179517782524982</v>
      </c>
      <c r="O5537" s="2">
        <f ca="1"/>
        <v>1.5145239384102336</v>
      </c>
      <c r="X5537" s="2">
        <f ca="1"/>
        <v>66.006793353440145</v>
      </c>
      <c r="AG5537" s="2">
        <f ca="1"/>
        <v>9.4846555805279342E-2</v>
      </c>
      <c r="AH5537" s="2" t="str">
        <f ca="1"/>
        <v>OK</v>
      </c>
    </row>
    <row r="5538" spans="2:34" x14ac:dyDescent="0.2">
      <c r="B5538" s="2">
        <f ca="1"/>
        <v>0.18216461031175379</v>
      </c>
      <c r="O5538" s="2">
        <f ca="1"/>
        <v>0.42406308045705715</v>
      </c>
      <c r="X5538" s="2">
        <f ca="1"/>
        <v>45.494832274668724</v>
      </c>
      <c r="AG5538" s="2">
        <f ca="1"/>
        <v>0.19210662640041298</v>
      </c>
      <c r="AH5538" s="2" t="str">
        <f ca="1"/>
        <v>OK</v>
      </c>
    </row>
    <row r="5539" spans="2:34" x14ac:dyDescent="0.2">
      <c r="B5539" s="2">
        <f ca="1"/>
        <v>0.91508371820845791</v>
      </c>
      <c r="O5539" s="2">
        <f ca="1"/>
        <v>-0.43759522525838901</v>
      </c>
      <c r="X5539" s="2">
        <f ca="1"/>
        <v>34.741897161445145</v>
      </c>
      <c r="AG5539" s="2">
        <f ca="1"/>
        <v>0.13931495505681624</v>
      </c>
      <c r="AH5539" s="2" t="str">
        <f ca="1"/>
        <v>OK</v>
      </c>
    </row>
    <row r="5540" spans="2:34" x14ac:dyDescent="0.2">
      <c r="B5540" s="2">
        <f ca="1"/>
        <v>0.73372230650640802</v>
      </c>
      <c r="O5540" s="2">
        <f ca="1"/>
        <v>1.0051173898033823</v>
      </c>
      <c r="X5540" s="2">
        <f ca="1"/>
        <v>40.172535356202445</v>
      </c>
      <c r="AG5540" s="2">
        <f ca="1"/>
        <v>0.80402590108069294</v>
      </c>
      <c r="AH5540" s="2" t="str">
        <f ca="1"/>
        <v>Bad</v>
      </c>
    </row>
    <row r="5541" spans="2:34" x14ac:dyDescent="0.2">
      <c r="B5541" s="2">
        <f ca="1"/>
        <v>6.5486537739216422E-2</v>
      </c>
      <c r="O5541" s="2">
        <f ca="1"/>
        <v>-0.46732479587055747</v>
      </c>
      <c r="X5541" s="2">
        <f ca="1"/>
        <v>59.581593915204998</v>
      </c>
      <c r="AG5541" s="2">
        <f ca="1"/>
        <v>0.27772616584180487</v>
      </c>
      <c r="AH5541" s="2" t="str">
        <f ca="1"/>
        <v>OK</v>
      </c>
    </row>
    <row r="5542" spans="2:34" x14ac:dyDescent="0.2">
      <c r="B5542" s="2">
        <f ca="1"/>
        <v>0.38769261097349461</v>
      </c>
      <c r="O5542" s="2">
        <f ca="1"/>
        <v>0.47851109009327208</v>
      </c>
      <c r="X5542" s="2">
        <f ca="1"/>
        <v>37.385004575498854</v>
      </c>
      <c r="AG5542" s="2">
        <f ca="1"/>
        <v>0.40941841016140557</v>
      </c>
      <c r="AH5542" s="2" t="str">
        <f ca="1"/>
        <v>Bad</v>
      </c>
    </row>
    <row r="5543" spans="2:34" x14ac:dyDescent="0.2">
      <c r="B5543" s="2">
        <f ca="1"/>
        <v>0.17376989825690781</v>
      </c>
      <c r="O5543" s="2">
        <f ca="1"/>
        <v>-5.2178840176381705E-2</v>
      </c>
      <c r="X5543" s="2">
        <f ca="1"/>
        <v>52.532988183898404</v>
      </c>
      <c r="AG5543" s="2">
        <f ca="1"/>
        <v>0.26558698187686258</v>
      </c>
      <c r="AH5543" s="2" t="str">
        <f ca="1"/>
        <v>OK</v>
      </c>
    </row>
    <row r="5544" spans="2:34" x14ac:dyDescent="0.2">
      <c r="B5544" s="2">
        <f ca="1"/>
        <v>0.38572720157060636</v>
      </c>
      <c r="O5544" s="2">
        <f ca="1"/>
        <v>-1.0221182832354958</v>
      </c>
      <c r="X5544" s="2">
        <f ca="1"/>
        <v>64.806147629630161</v>
      </c>
      <c r="AG5544" s="2">
        <f ca="1"/>
        <v>0.89553969835655556</v>
      </c>
      <c r="AH5544" s="2" t="str">
        <f ca="1"/>
        <v>Bad</v>
      </c>
    </row>
    <row r="5545" spans="2:34" x14ac:dyDescent="0.2">
      <c r="B5545" s="2">
        <f ca="1"/>
        <v>0.21731426222393058</v>
      </c>
      <c r="O5545" s="2">
        <f ca="1"/>
        <v>-0.33104921620547462</v>
      </c>
      <c r="X5545" s="2">
        <f ca="1"/>
        <v>65.717729249256749</v>
      </c>
      <c r="AG5545" s="2">
        <f ca="1"/>
        <v>3.0683892691943049E-2</v>
      </c>
      <c r="AH5545" s="2" t="str">
        <f ca="1"/>
        <v>Good</v>
      </c>
    </row>
    <row r="5546" spans="2:34" x14ac:dyDescent="0.2">
      <c r="B5546" s="2">
        <f ca="1"/>
        <v>0.97840223372035906</v>
      </c>
      <c r="O5546" s="2">
        <f ca="1"/>
        <v>1.794732311410147</v>
      </c>
      <c r="X5546" s="2">
        <f ca="1"/>
        <v>79.664895867052806</v>
      </c>
      <c r="AG5546" s="2">
        <f ca="1"/>
        <v>0.6484744990854896</v>
      </c>
      <c r="AH5546" s="2" t="str">
        <f ca="1"/>
        <v>Bad</v>
      </c>
    </row>
    <row r="5547" spans="2:34" x14ac:dyDescent="0.2">
      <c r="B5547" s="2">
        <f ca="1"/>
        <v>0.7790810040279097</v>
      </c>
      <c r="O5547" s="2">
        <f ca="1"/>
        <v>-0.68458707603708391</v>
      </c>
      <c r="X5547" s="2">
        <f ca="1"/>
        <v>43.006982307678655</v>
      </c>
      <c r="AG5547" s="2">
        <f ca="1"/>
        <v>0.96589669856202343</v>
      </c>
      <c r="AH5547" s="2" t="str">
        <f ca="1"/>
        <v>Bad</v>
      </c>
    </row>
    <row r="5548" spans="2:34" x14ac:dyDescent="0.2">
      <c r="B5548" s="2">
        <f ca="1"/>
        <v>4.3059207734917893E-2</v>
      </c>
      <c r="O5548" s="2">
        <f ca="1"/>
        <v>1.148844998840155</v>
      </c>
      <c r="X5548" s="2">
        <f ca="1"/>
        <v>37.985018467849486</v>
      </c>
      <c r="AG5548" s="2">
        <f ca="1"/>
        <v>0.61825188013360632</v>
      </c>
      <c r="AH5548" s="2" t="str">
        <f ca="1"/>
        <v>Bad</v>
      </c>
    </row>
    <row r="5549" spans="2:34" x14ac:dyDescent="0.2">
      <c r="B5549" s="2">
        <f ca="1"/>
        <v>0.37103984636094034</v>
      </c>
      <c r="O5549" s="2">
        <f ca="1"/>
        <v>1.6178339795821555</v>
      </c>
      <c r="X5549" s="2">
        <f ca="1"/>
        <v>50.902112941314996</v>
      </c>
      <c r="AG5549" s="2">
        <f ca="1"/>
        <v>0.83455824641695076</v>
      </c>
      <c r="AH5549" s="2" t="str">
        <f ca="1"/>
        <v>Bad</v>
      </c>
    </row>
    <row r="5550" spans="2:34" x14ac:dyDescent="0.2">
      <c r="B5550" s="2">
        <f ca="1"/>
        <v>0.22227144095740736</v>
      </c>
      <c r="O5550" s="2">
        <f ca="1"/>
        <v>0.29821189388962593</v>
      </c>
      <c r="X5550" s="2">
        <f ca="1"/>
        <v>34.74105480921844</v>
      </c>
      <c r="AG5550" s="2">
        <f ca="1"/>
        <v>2.2720525832440996E-2</v>
      </c>
      <c r="AH5550" s="2" t="str">
        <f ca="1"/>
        <v>Good</v>
      </c>
    </row>
    <row r="5551" spans="2:34" x14ac:dyDescent="0.2">
      <c r="B5551" s="2">
        <f ca="1"/>
        <v>0.1867823329156284</v>
      </c>
      <c r="O5551" s="2">
        <f ca="1"/>
        <v>-0.55992970369117434</v>
      </c>
      <c r="X5551" s="2">
        <f ca="1"/>
        <v>75.487908509017018</v>
      </c>
      <c r="AG5551" s="2">
        <f ca="1"/>
        <v>0.75203156619462663</v>
      </c>
      <c r="AH5551" s="2" t="str">
        <f ca="1"/>
        <v>Bad</v>
      </c>
    </row>
    <row r="5552" spans="2:34" x14ac:dyDescent="0.2">
      <c r="B5552" s="2">
        <f ca="1"/>
        <v>0.32468094387113688</v>
      </c>
      <c r="O5552" s="2">
        <f ca="1"/>
        <v>1.1429709690655692</v>
      </c>
      <c r="X5552" s="2">
        <f ca="1"/>
        <v>33.222504971903057</v>
      </c>
      <c r="AG5552" s="2">
        <f ca="1"/>
        <v>0.78278387829876217</v>
      </c>
      <c r="AH5552" s="2" t="str">
        <f ca="1"/>
        <v>Bad</v>
      </c>
    </row>
    <row r="5553" spans="2:34" x14ac:dyDescent="0.2">
      <c r="B5553" s="2">
        <f ca="1"/>
        <v>0.10935663609659341</v>
      </c>
      <c r="O5553" s="2">
        <f ca="1"/>
        <v>0.3635714802587916</v>
      </c>
      <c r="X5553" s="2">
        <f ca="1"/>
        <v>63.615226041654026</v>
      </c>
      <c r="AG5553" s="2">
        <f ca="1"/>
        <v>0.93387244017031401</v>
      </c>
      <c r="AH5553" s="2" t="str">
        <f ca="1"/>
        <v>Bad</v>
      </c>
    </row>
    <row r="5554" spans="2:34" x14ac:dyDescent="0.2">
      <c r="B5554" s="2">
        <f ca="1"/>
        <v>0.23115879863917521</v>
      </c>
      <c r="O5554" s="2">
        <f ca="1"/>
        <v>-0.75346385453363718</v>
      </c>
      <c r="X5554" s="2">
        <f ca="1"/>
        <v>75.494286458850922</v>
      </c>
      <c r="AG5554" s="2">
        <f ca="1"/>
        <v>0.81339616913898394</v>
      </c>
      <c r="AH5554" s="2" t="str">
        <f ca="1"/>
        <v>Bad</v>
      </c>
    </row>
    <row r="5555" spans="2:34" x14ac:dyDescent="0.2">
      <c r="B5555" s="2">
        <f ca="1"/>
        <v>0.27162301179137538</v>
      </c>
      <c r="O5555" s="2">
        <f ca="1"/>
        <v>-0.66442164192913244</v>
      </c>
      <c r="X5555" s="2">
        <f ca="1"/>
        <v>48.850651103809881</v>
      </c>
      <c r="AG5555" s="2">
        <f ca="1"/>
        <v>0.90293803526150418</v>
      </c>
      <c r="AH5555" s="2" t="str">
        <f ca="1"/>
        <v>Bad</v>
      </c>
    </row>
    <row r="5556" spans="2:34" x14ac:dyDescent="0.2">
      <c r="B5556" s="2">
        <f ca="1"/>
        <v>0.84609482138920677</v>
      </c>
      <c r="O5556" s="2">
        <f ca="1"/>
        <v>-0.44182880773644312</v>
      </c>
      <c r="X5556" s="2">
        <f ca="1"/>
        <v>64.380503728250019</v>
      </c>
      <c r="AG5556" s="2">
        <f ca="1"/>
        <v>0.17497732365748275</v>
      </c>
      <c r="AH5556" s="2" t="str">
        <f ca="1"/>
        <v>OK</v>
      </c>
    </row>
    <row r="5557" spans="2:34" x14ac:dyDescent="0.2">
      <c r="B5557" s="2">
        <f ca="1"/>
        <v>0.1373758090025976</v>
      </c>
      <c r="O5557" s="2">
        <f ca="1"/>
        <v>0.82377519458133919</v>
      </c>
      <c r="X5557" s="2">
        <f ca="1"/>
        <v>67.767589990242186</v>
      </c>
      <c r="AG5557" s="2">
        <f ca="1"/>
        <v>0.86341273126722529</v>
      </c>
      <c r="AH5557" s="2" t="str">
        <f ca="1"/>
        <v>Bad</v>
      </c>
    </row>
    <row r="5558" spans="2:34" x14ac:dyDescent="0.2">
      <c r="B5558" s="2">
        <f ca="1"/>
        <v>5.6063920260517541E-2</v>
      </c>
      <c r="O5558" s="2">
        <f ca="1"/>
        <v>0.7799124477630851</v>
      </c>
      <c r="X5558" s="2">
        <f ca="1"/>
        <v>47.61506330435769</v>
      </c>
      <c r="AG5558" s="2">
        <f ca="1"/>
        <v>5.5584899713434721E-2</v>
      </c>
      <c r="AH5558" s="2" t="str">
        <f ca="1"/>
        <v>OK</v>
      </c>
    </row>
    <row r="5559" spans="2:34" x14ac:dyDescent="0.2">
      <c r="B5559" s="2">
        <f ca="1"/>
        <v>0.10416909046241307</v>
      </c>
      <c r="O5559" s="2">
        <f ca="1"/>
        <v>0.17422948504290536</v>
      </c>
      <c r="X5559" s="2">
        <f ca="1"/>
        <v>34.465433790688756</v>
      </c>
      <c r="AG5559" s="2">
        <f ca="1"/>
        <v>0.40782850605696885</v>
      </c>
      <c r="AH5559" s="2" t="str">
        <f ca="1"/>
        <v>Bad</v>
      </c>
    </row>
    <row r="5560" spans="2:34" x14ac:dyDescent="0.2">
      <c r="B5560" s="2">
        <f ca="1"/>
        <v>0.42233420464280425</v>
      </c>
      <c r="O5560" s="2">
        <f ca="1"/>
        <v>0.39966475098258958</v>
      </c>
      <c r="X5560" s="2">
        <f ca="1"/>
        <v>54.743754638833202</v>
      </c>
      <c r="AG5560" s="2">
        <f ca="1"/>
        <v>0.63404490936083158</v>
      </c>
      <c r="AH5560" s="2" t="str">
        <f ca="1"/>
        <v>Bad</v>
      </c>
    </row>
    <row r="5561" spans="2:34" x14ac:dyDescent="0.2">
      <c r="B5561" s="2">
        <f ca="1"/>
        <v>1.0967483986842774E-2</v>
      </c>
      <c r="O5561" s="2">
        <f ca="1"/>
        <v>0.32789445249440824</v>
      </c>
      <c r="X5561" s="2">
        <f ca="1"/>
        <v>70.171118157157849</v>
      </c>
      <c r="AG5561" s="2">
        <f ca="1"/>
        <v>0.99504949785729968</v>
      </c>
      <c r="AH5561" s="2" t="str">
        <f ca="1"/>
        <v>Bad</v>
      </c>
    </row>
    <row r="5562" spans="2:34" x14ac:dyDescent="0.2">
      <c r="B5562" s="2">
        <f ca="1"/>
        <v>0.28324050221562147</v>
      </c>
      <c r="O5562" s="2">
        <f ca="1"/>
        <v>0.78561127346463022</v>
      </c>
      <c r="X5562" s="2">
        <f ca="1"/>
        <v>33.949690013602357</v>
      </c>
      <c r="AG5562" s="2">
        <f ca="1"/>
        <v>0.84282267615726059</v>
      </c>
      <c r="AH5562" s="2" t="str">
        <f ca="1"/>
        <v>Bad</v>
      </c>
    </row>
    <row r="5563" spans="2:34" x14ac:dyDescent="0.2">
      <c r="B5563" s="2">
        <f ca="1"/>
        <v>0.94450076960889495</v>
      </c>
      <c r="O5563" s="2">
        <f ca="1"/>
        <v>-7.6487899899350453E-2</v>
      </c>
      <c r="X5563" s="2">
        <f ca="1"/>
        <v>15.923571658116183</v>
      </c>
      <c r="AG5563" s="2">
        <f ca="1"/>
        <v>0.83164479213146159</v>
      </c>
      <c r="AH5563" s="2" t="str">
        <f ca="1"/>
        <v>Bad</v>
      </c>
    </row>
    <row r="5564" spans="2:34" x14ac:dyDescent="0.2">
      <c r="B5564" s="2">
        <f ca="1"/>
        <v>0.578082555160222</v>
      </c>
      <c r="O5564" s="2">
        <f ca="1"/>
        <v>1.8292269074376313</v>
      </c>
      <c r="X5564" s="2">
        <f ca="1"/>
        <v>30.027559355652009</v>
      </c>
      <c r="AG5564" s="2">
        <f ca="1"/>
        <v>0.80480150410877149</v>
      </c>
      <c r="AH5564" s="2" t="str">
        <f ca="1"/>
        <v>Bad</v>
      </c>
    </row>
    <row r="5565" spans="2:34" x14ac:dyDescent="0.2">
      <c r="B5565" s="2">
        <f ca="1"/>
        <v>0.58989420651241575</v>
      </c>
      <c r="O5565" s="2">
        <f ca="1"/>
        <v>-8.3705354815535787E-2</v>
      </c>
      <c r="X5565" s="2">
        <f ca="1"/>
        <v>57.920893476723549</v>
      </c>
      <c r="AG5565" s="2">
        <f ca="1"/>
        <v>0.87373192034671865</v>
      </c>
      <c r="AH5565" s="2" t="str">
        <f ca="1"/>
        <v>Bad</v>
      </c>
    </row>
    <row r="5566" spans="2:34" x14ac:dyDescent="0.2">
      <c r="B5566" s="2">
        <f ca="1"/>
        <v>0.80617594059345832</v>
      </c>
      <c r="O5566" s="2">
        <f ca="1"/>
        <v>-0.37420605183534267</v>
      </c>
      <c r="X5566" s="2">
        <f ca="1"/>
        <v>39.761377096983125</v>
      </c>
      <c r="AG5566" s="2">
        <f ca="1"/>
        <v>0.13960601030995679</v>
      </c>
      <c r="AH5566" s="2" t="str">
        <f ca="1"/>
        <v>OK</v>
      </c>
    </row>
    <row r="5567" spans="2:34" x14ac:dyDescent="0.2">
      <c r="B5567" s="2">
        <f ca="1"/>
        <v>0.52631801374383325</v>
      </c>
      <c r="O5567" s="2">
        <f ca="1"/>
        <v>0.44101034461558952</v>
      </c>
      <c r="X5567" s="2">
        <f ca="1"/>
        <v>25.765306568070901</v>
      </c>
      <c r="AG5567" s="2">
        <f ca="1"/>
        <v>0.35798276631461112</v>
      </c>
      <c r="AH5567" s="2" t="str">
        <f ca="1"/>
        <v>OK</v>
      </c>
    </row>
    <row r="5568" spans="2:34" x14ac:dyDescent="0.2">
      <c r="B5568" s="2">
        <f ca="1"/>
        <v>0.49667166524484019</v>
      </c>
      <c r="O5568" s="2">
        <f ca="1"/>
        <v>-0.34477747458534541</v>
      </c>
      <c r="X5568" s="2">
        <f ca="1"/>
        <v>29.492582235652044</v>
      </c>
      <c r="AG5568" s="2">
        <f ca="1"/>
        <v>0.39004497314016273</v>
      </c>
      <c r="AH5568" s="2" t="str">
        <f ca="1"/>
        <v>OK</v>
      </c>
    </row>
    <row r="5569" spans="2:34" x14ac:dyDescent="0.2">
      <c r="B5569" s="2">
        <f ca="1"/>
        <v>0.50890128449031979</v>
      </c>
      <c r="O5569" s="2">
        <f ca="1"/>
        <v>1.0914870862823414</v>
      </c>
      <c r="X5569" s="2">
        <f ca="1"/>
        <v>33.759338073584445</v>
      </c>
      <c r="AG5569" s="2">
        <f ca="1"/>
        <v>0.44006336954614844</v>
      </c>
      <c r="AH5569" s="2" t="str">
        <f ca="1"/>
        <v>Bad</v>
      </c>
    </row>
    <row r="5570" spans="2:34" x14ac:dyDescent="0.2">
      <c r="B5570" s="2">
        <f ca="1"/>
        <v>0.16271075067519214</v>
      </c>
      <c r="O5570" s="2">
        <f ca="1"/>
        <v>0.77113069016047275</v>
      </c>
      <c r="X5570" s="2">
        <f ca="1"/>
        <v>47.076649256051645</v>
      </c>
      <c r="AG5570" s="2">
        <f ca="1"/>
        <v>0.94744876300991909</v>
      </c>
      <c r="AH5570" s="2" t="str">
        <f ca="1"/>
        <v>Bad</v>
      </c>
    </row>
    <row r="5571" spans="2:34" x14ac:dyDescent="0.2">
      <c r="B5571" s="2">
        <f ca="1"/>
        <v>0.28276140406146522</v>
      </c>
      <c r="O5571" s="2">
        <f ca="1"/>
        <v>1.3398393231751693</v>
      </c>
      <c r="X5571" s="2">
        <f ca="1"/>
        <v>29.362901994638602</v>
      </c>
      <c r="AG5571" s="2">
        <f ca="1"/>
        <v>2.9405973429270649E-2</v>
      </c>
      <c r="AH5571" s="2" t="str">
        <f ca="1"/>
        <v>Good</v>
      </c>
    </row>
    <row r="5572" spans="2:34" x14ac:dyDescent="0.2">
      <c r="B5572" s="2">
        <f ca="1"/>
        <v>0.47980478877136989</v>
      </c>
      <c r="O5572" s="2">
        <f ca="1"/>
        <v>0.19469743657419519</v>
      </c>
      <c r="X5572" s="2">
        <f ca="1"/>
        <v>27.872569051393882</v>
      </c>
      <c r="AG5572" s="2">
        <f ca="1"/>
        <v>0.47474469919699369</v>
      </c>
      <c r="AH5572" s="2" t="str">
        <f ca="1"/>
        <v>Bad</v>
      </c>
    </row>
    <row r="5573" spans="2:34" x14ac:dyDescent="0.2">
      <c r="B5573" s="2">
        <f ca="1"/>
        <v>0.41035865144062633</v>
      </c>
      <c r="O5573" s="2">
        <f ca="1"/>
        <v>-0.26115034528259218</v>
      </c>
      <c r="X5573" s="2">
        <f ca="1"/>
        <v>79.328219195012295</v>
      </c>
      <c r="AG5573" s="2">
        <f ca="1"/>
        <v>0.9263175573136988</v>
      </c>
      <c r="AH5573" s="2" t="str">
        <f ca="1"/>
        <v>Bad</v>
      </c>
    </row>
    <row r="5574" spans="2:34" x14ac:dyDescent="0.2">
      <c r="B5574" s="2">
        <f ca="1"/>
        <v>0.24432615347052211</v>
      </c>
      <c r="O5574" s="2">
        <f ca="1"/>
        <v>0.78298531288347739</v>
      </c>
      <c r="X5574" s="2">
        <f ca="1"/>
        <v>27.523739867805066</v>
      </c>
      <c r="AG5574" s="2">
        <f ca="1"/>
        <v>0.28993618036886915</v>
      </c>
      <c r="AH5574" s="2" t="str">
        <f ca="1"/>
        <v>OK</v>
      </c>
    </row>
    <row r="5575" spans="2:34" x14ac:dyDescent="0.2">
      <c r="B5575" s="2">
        <f ca="1"/>
        <v>0.34893533187982806</v>
      </c>
      <c r="O5575" s="2">
        <f ca="1"/>
        <v>0.27093215497977102</v>
      </c>
      <c r="X5575" s="2">
        <f ca="1"/>
        <v>72.709008713409688</v>
      </c>
      <c r="AG5575" s="2">
        <f ca="1"/>
        <v>6.0867641284133356E-2</v>
      </c>
      <c r="AH5575" s="2" t="str">
        <f ca="1"/>
        <v>OK</v>
      </c>
    </row>
    <row r="5576" spans="2:34" x14ac:dyDescent="0.2">
      <c r="B5576" s="2">
        <f ca="1"/>
        <v>0.82821939995971872</v>
      </c>
      <c r="O5576" s="2">
        <f ca="1"/>
        <v>8.4550795128369317E-3</v>
      </c>
      <c r="X5576" s="2">
        <f ca="1"/>
        <v>63.197955688457043</v>
      </c>
      <c r="AG5576" s="2">
        <f ca="1"/>
        <v>1.2458170951008762E-2</v>
      </c>
      <c r="AH5576" s="2" t="str">
        <f ca="1"/>
        <v>Good</v>
      </c>
    </row>
    <row r="5577" spans="2:34" x14ac:dyDescent="0.2">
      <c r="B5577" s="2">
        <f ca="1"/>
        <v>0.6034002585454652</v>
      </c>
      <c r="O5577" s="2">
        <f ca="1"/>
        <v>-0.38256094374491684</v>
      </c>
      <c r="X5577" s="2">
        <f ca="1"/>
        <v>53.361753118633068</v>
      </c>
      <c r="AG5577" s="2">
        <f ca="1"/>
        <v>0.25209140732265056</v>
      </c>
      <c r="AH5577" s="2" t="str">
        <f ca="1"/>
        <v>OK</v>
      </c>
    </row>
    <row r="5578" spans="2:34" x14ac:dyDescent="0.2">
      <c r="B5578" s="2">
        <f ca="1"/>
        <v>0.9560728143864865</v>
      </c>
      <c r="O5578" s="2">
        <f ca="1"/>
        <v>0.63517061415563647</v>
      </c>
      <c r="X5578" s="2">
        <f ca="1"/>
        <v>46.559486392662521</v>
      </c>
      <c r="AG5578" s="2">
        <f ca="1"/>
        <v>0.44079471545758619</v>
      </c>
      <c r="AH5578" s="2" t="str">
        <f ca="1"/>
        <v>Bad</v>
      </c>
    </row>
    <row r="5579" spans="2:34" x14ac:dyDescent="0.2">
      <c r="B5579" s="2">
        <f ca="1"/>
        <v>0.22393912653657999</v>
      </c>
      <c r="O5579" s="2">
        <f ca="1"/>
        <v>0.23280782924935411</v>
      </c>
      <c r="X5579" s="2">
        <f ca="1"/>
        <v>49.207893669119287</v>
      </c>
      <c r="AG5579" s="2">
        <f ca="1"/>
        <v>0.36584748362098174</v>
      </c>
      <c r="AH5579" s="2" t="str">
        <f ca="1"/>
        <v>OK</v>
      </c>
    </row>
    <row r="5580" spans="2:34" x14ac:dyDescent="0.2">
      <c r="B5580" s="2">
        <f ca="1"/>
        <v>0.91639807384156646</v>
      </c>
      <c r="O5580" s="2">
        <f ca="1"/>
        <v>1.8364629706213647</v>
      </c>
      <c r="X5580" s="2">
        <f ca="1"/>
        <v>65.781405645041175</v>
      </c>
      <c r="AG5580" s="2">
        <f ca="1"/>
        <v>0.58735987074156726</v>
      </c>
      <c r="AH5580" s="2" t="str">
        <f ca="1"/>
        <v>Bad</v>
      </c>
    </row>
    <row r="5581" spans="2:34" x14ac:dyDescent="0.2">
      <c r="B5581" s="2">
        <f ca="1"/>
        <v>0.96254512387628344</v>
      </c>
      <c r="O5581" s="2">
        <f ca="1"/>
        <v>-1.045082447762004</v>
      </c>
      <c r="X5581" s="2">
        <f ca="1"/>
        <v>47.469679116369278</v>
      </c>
      <c r="AG5581" s="2">
        <f ca="1"/>
        <v>0.8800250702518968</v>
      </c>
      <c r="AH5581" s="2" t="str">
        <f ca="1"/>
        <v>Bad</v>
      </c>
    </row>
    <row r="5582" spans="2:34" x14ac:dyDescent="0.2">
      <c r="B5582" s="2">
        <f ca="1"/>
        <v>0.83387568229731013</v>
      </c>
      <c r="O5582" s="2">
        <f ca="1"/>
        <v>0.68468373185094034</v>
      </c>
      <c r="X5582" s="2">
        <f ca="1"/>
        <v>29.32981445048906</v>
      </c>
      <c r="AG5582" s="2">
        <f ca="1"/>
        <v>0.40657697412370752</v>
      </c>
      <c r="AH5582" s="2" t="str">
        <f ca="1"/>
        <v>Bad</v>
      </c>
    </row>
    <row r="5583" spans="2:34" x14ac:dyDescent="0.2">
      <c r="B5583" s="2">
        <f ca="1"/>
        <v>6.6191636520791741E-2</v>
      </c>
      <c r="O5583" s="2">
        <f ca="1"/>
        <v>-0.70907444057981905</v>
      </c>
      <c r="X5583" s="2">
        <f ca="1"/>
        <v>32.226465139043661</v>
      </c>
      <c r="AG5583" s="2">
        <f ca="1"/>
        <v>0.54162235378692358</v>
      </c>
      <c r="AH5583" s="2" t="str">
        <f ca="1"/>
        <v>Bad</v>
      </c>
    </row>
    <row r="5584" spans="2:34" x14ac:dyDescent="0.2">
      <c r="B5584" s="2">
        <f ca="1"/>
        <v>0.76635697593795604</v>
      </c>
      <c r="O5584" s="2">
        <f ca="1"/>
        <v>0.74844085535480775</v>
      </c>
      <c r="X5584" s="2">
        <f ca="1"/>
        <v>40.832090755809915</v>
      </c>
      <c r="AG5584" s="2">
        <f ca="1"/>
        <v>0.30125987656130437</v>
      </c>
      <c r="AH5584" s="2" t="str">
        <f ca="1"/>
        <v>OK</v>
      </c>
    </row>
    <row r="5585" spans="2:34" x14ac:dyDescent="0.2">
      <c r="B5585" s="2">
        <f ca="1"/>
        <v>0.38052241477952786</v>
      </c>
      <c r="O5585" s="2">
        <f ca="1"/>
        <v>1.3072376021454444</v>
      </c>
      <c r="X5585" s="2">
        <f ca="1"/>
        <v>21.647084560530363</v>
      </c>
      <c r="AG5585" s="2">
        <f ca="1"/>
        <v>0.64344930283605861</v>
      </c>
      <c r="AH5585" s="2" t="str">
        <f ca="1"/>
        <v>Bad</v>
      </c>
    </row>
    <row r="5586" spans="2:34" x14ac:dyDescent="0.2">
      <c r="B5586" s="2">
        <f ca="1"/>
        <v>0.72268394866526986</v>
      </c>
      <c r="O5586" s="2">
        <f ca="1"/>
        <v>-0.31961553519525648</v>
      </c>
      <c r="X5586" s="2">
        <f ca="1"/>
        <v>34.492854467260649</v>
      </c>
      <c r="AG5586" s="2">
        <f ca="1"/>
        <v>0.24857909104207421</v>
      </c>
      <c r="AH5586" s="2" t="str">
        <f ca="1"/>
        <v>OK</v>
      </c>
    </row>
    <row r="5587" spans="2:34" x14ac:dyDescent="0.2">
      <c r="B5587" s="2">
        <f ca="1"/>
        <v>0.89242525973982456</v>
      </c>
      <c r="O5587" s="2">
        <f ca="1"/>
        <v>-0.21233684790371374</v>
      </c>
      <c r="X5587" s="2">
        <f ca="1"/>
        <v>35.011309410308563</v>
      </c>
      <c r="AG5587" s="2">
        <f ca="1"/>
        <v>0.67733690393391299</v>
      </c>
      <c r="AH5587" s="2" t="str">
        <f ca="1"/>
        <v>Bad</v>
      </c>
    </row>
    <row r="5588" spans="2:34" x14ac:dyDescent="0.2">
      <c r="B5588" s="2">
        <f ca="1"/>
        <v>0.35453872434111089</v>
      </c>
      <c r="O5588" s="2">
        <f ca="1"/>
        <v>0.10033192863178386</v>
      </c>
      <c r="X5588" s="2">
        <f ca="1"/>
        <v>55.656793951553283</v>
      </c>
      <c r="AG5588" s="2">
        <f ca="1"/>
        <v>0.14508976648813321</v>
      </c>
      <c r="AH5588" s="2" t="str">
        <f ca="1"/>
        <v>OK</v>
      </c>
    </row>
    <row r="5589" spans="2:34" x14ac:dyDescent="0.2">
      <c r="B5589" s="2">
        <f ca="1"/>
        <v>0.1073952832593974</v>
      </c>
      <c r="O5589" s="2">
        <f ca="1"/>
        <v>-0.97067474162251455</v>
      </c>
      <c r="X5589" s="2">
        <f ca="1"/>
        <v>33.844856002146415</v>
      </c>
      <c r="AG5589" s="2">
        <f ca="1"/>
        <v>0.82271764687542737</v>
      </c>
      <c r="AH5589" s="2" t="str">
        <f ca="1"/>
        <v>Bad</v>
      </c>
    </row>
    <row r="5590" spans="2:34" x14ac:dyDescent="0.2">
      <c r="B5590" s="2">
        <f ca="1"/>
        <v>0.14752995439017047</v>
      </c>
      <c r="O5590" s="2">
        <f ca="1"/>
        <v>-0.55083833303626206</v>
      </c>
      <c r="X5590" s="2">
        <f ca="1"/>
        <v>53.509603682535726</v>
      </c>
      <c r="AG5590" s="2">
        <f ca="1"/>
        <v>0.19882337369557401</v>
      </c>
      <c r="AH5590" s="2" t="str">
        <f ca="1"/>
        <v>OK</v>
      </c>
    </row>
    <row r="5591" spans="2:34" x14ac:dyDescent="0.2">
      <c r="B5591" s="2">
        <f ca="1"/>
        <v>0.32516947863990442</v>
      </c>
      <c r="O5591" s="2">
        <f ca="1"/>
        <v>0.16707594994601099</v>
      </c>
      <c r="X5591" s="2">
        <f ca="1"/>
        <v>51.070475678731057</v>
      </c>
      <c r="AG5591" s="2">
        <f ca="1"/>
        <v>0.71037581721789333</v>
      </c>
      <c r="AH5591" s="2" t="str">
        <f ca="1"/>
        <v>Bad</v>
      </c>
    </row>
    <row r="5592" spans="2:34" x14ac:dyDescent="0.2">
      <c r="B5592" s="2">
        <f ca="1"/>
        <v>0.69827118175409431</v>
      </c>
      <c r="O5592" s="2">
        <f ca="1"/>
        <v>0.5743010765029074</v>
      </c>
      <c r="X5592" s="2">
        <f ca="1"/>
        <v>51.837286497158274</v>
      </c>
      <c r="AG5592" s="2">
        <f ca="1"/>
        <v>0.19228513855436868</v>
      </c>
      <c r="AH5592" s="2" t="str">
        <f ca="1"/>
        <v>OK</v>
      </c>
    </row>
    <row r="5593" spans="2:34" x14ac:dyDescent="0.2">
      <c r="B5593" s="2">
        <f ca="1"/>
        <v>0.39579176092609503</v>
      </c>
      <c r="O5593" s="2">
        <f ca="1"/>
        <v>-1.2558332914940316</v>
      </c>
      <c r="X5593" s="2">
        <f ca="1"/>
        <v>40.247009688837935</v>
      </c>
      <c r="AG5593" s="2">
        <f ca="1"/>
        <v>2.2636049999989361E-2</v>
      </c>
      <c r="AH5593" s="2" t="str">
        <f ca="1"/>
        <v>Good</v>
      </c>
    </row>
    <row r="5594" spans="2:34" x14ac:dyDescent="0.2">
      <c r="B5594" s="2">
        <f ca="1"/>
        <v>0.51780986119732431</v>
      </c>
      <c r="O5594" s="2">
        <f ca="1"/>
        <v>-0.70526531678775717</v>
      </c>
      <c r="X5594" s="2">
        <f ca="1"/>
        <v>36.477074224343198</v>
      </c>
      <c r="AG5594" s="2">
        <f ca="1"/>
        <v>0.89446923388739519</v>
      </c>
      <c r="AH5594" s="2" t="str">
        <f ca="1"/>
        <v>Bad</v>
      </c>
    </row>
    <row r="5595" spans="2:34" x14ac:dyDescent="0.2">
      <c r="B5595" s="2">
        <f ca="1"/>
        <v>0.57851075290649567</v>
      </c>
      <c r="O5595" s="2">
        <f ca="1"/>
        <v>0.54370866411015095</v>
      </c>
      <c r="X5595" s="2">
        <f ca="1"/>
        <v>48.29320425252056</v>
      </c>
      <c r="AG5595" s="2">
        <f ca="1"/>
        <v>0.48406187726685967</v>
      </c>
      <c r="AH5595" s="2" t="str">
        <f ca="1"/>
        <v>Bad</v>
      </c>
    </row>
    <row r="5596" spans="2:34" x14ac:dyDescent="0.2">
      <c r="B5596" s="2">
        <f ca="1"/>
        <v>0.51789796467888616</v>
      </c>
      <c r="O5596" s="2">
        <f ca="1"/>
        <v>-0.66245637397446722</v>
      </c>
      <c r="X5596" s="2">
        <f ca="1"/>
        <v>53.309273831933055</v>
      </c>
      <c r="AG5596" s="2">
        <f ca="1"/>
        <v>0.81113750396410667</v>
      </c>
      <c r="AH5596" s="2" t="str">
        <f ca="1"/>
        <v>Bad</v>
      </c>
    </row>
    <row r="5597" spans="2:34" x14ac:dyDescent="0.2">
      <c r="B5597" s="2">
        <f ca="1"/>
        <v>4.6434242700680972E-2</v>
      </c>
      <c r="O5597" s="2">
        <f ca="1"/>
        <v>8.6971168780538968E-2</v>
      </c>
      <c r="X5597" s="2">
        <f ca="1"/>
        <v>31.915107777411812</v>
      </c>
      <c r="AG5597" s="2">
        <f ca="1"/>
        <v>0.89514277253762775</v>
      </c>
      <c r="AH5597" s="2" t="str">
        <f ca="1"/>
        <v>Bad</v>
      </c>
    </row>
    <row r="5598" spans="2:34" x14ac:dyDescent="0.2">
      <c r="B5598" s="2">
        <f ca="1"/>
        <v>0.18275448706496467</v>
      </c>
      <c r="O5598" s="2">
        <f ca="1"/>
        <v>-0.46401960547491694</v>
      </c>
      <c r="X5598" s="2">
        <f ca="1"/>
        <v>50.877994571238077</v>
      </c>
      <c r="AG5598" s="2">
        <f ca="1"/>
        <v>0.67270008383444124</v>
      </c>
      <c r="AH5598" s="2" t="str">
        <f ca="1"/>
        <v>Bad</v>
      </c>
    </row>
    <row r="5599" spans="2:34" x14ac:dyDescent="0.2">
      <c r="B5599" s="2">
        <f ca="1"/>
        <v>0.70152424479997122</v>
      </c>
      <c r="O5599" s="2">
        <f ca="1"/>
        <v>-1.1674557127436076</v>
      </c>
      <c r="X5599" s="2">
        <f ca="1"/>
        <v>30.168389160801521</v>
      </c>
      <c r="AG5599" s="2">
        <f ca="1"/>
        <v>0.84087918610287926</v>
      </c>
      <c r="AH5599" s="2" t="str">
        <f ca="1"/>
        <v>Bad</v>
      </c>
    </row>
    <row r="5600" spans="2:34" x14ac:dyDescent="0.2">
      <c r="B5600" s="2">
        <f ca="1"/>
        <v>0.51414338137136739</v>
      </c>
      <c r="O5600" s="2">
        <f ca="1"/>
        <v>-1.9981097691865914</v>
      </c>
      <c r="X5600" s="2">
        <f ca="1"/>
        <v>31.906427023782587</v>
      </c>
      <c r="AG5600" s="2">
        <f ca="1"/>
        <v>0.23825966994808989</v>
      </c>
      <c r="AH5600" s="2" t="str">
        <f ca="1"/>
        <v>OK</v>
      </c>
    </row>
    <row r="5601" spans="2:34" x14ac:dyDescent="0.2">
      <c r="B5601" s="2">
        <f ca="1"/>
        <v>0.19332064686436112</v>
      </c>
      <c r="O5601" s="2">
        <f ca="1"/>
        <v>-0.7090740177576883</v>
      </c>
      <c r="X5601" s="2">
        <f ca="1"/>
        <v>45.092650888211907</v>
      </c>
      <c r="AG5601" s="2">
        <f ca="1"/>
        <v>0.49902258730348081</v>
      </c>
      <c r="AH5601" s="2" t="str">
        <f ca="1"/>
        <v>Bad</v>
      </c>
    </row>
    <row r="5602" spans="2:34" x14ac:dyDescent="0.2">
      <c r="B5602" s="2">
        <f ca="1"/>
        <v>0.36922823139065919</v>
      </c>
      <c r="O5602" s="2">
        <f ca="1"/>
        <v>1.1031578046920574</v>
      </c>
      <c r="X5602" s="2">
        <f ca="1"/>
        <v>34.635811043032668</v>
      </c>
      <c r="AG5602" s="2">
        <f ca="1"/>
        <v>0.84534761330615549</v>
      </c>
      <c r="AH5602" s="2" t="str">
        <f ca="1"/>
        <v>Bad</v>
      </c>
    </row>
    <row r="5603" spans="2:34" x14ac:dyDescent="0.2">
      <c r="B5603" s="2">
        <f ca="1"/>
        <v>0.62947608266134014</v>
      </c>
      <c r="O5603" s="2">
        <f ca="1"/>
        <v>0.64931604520652486</v>
      </c>
      <c r="X5603" s="2">
        <f ca="1"/>
        <v>35.779572105882082</v>
      </c>
      <c r="AG5603" s="2">
        <f ca="1"/>
        <v>0.51104290923043516</v>
      </c>
      <c r="AH5603" s="2" t="str">
        <f ca="1"/>
        <v>Bad</v>
      </c>
    </row>
    <row r="5604" spans="2:34" x14ac:dyDescent="0.2">
      <c r="B5604" s="2">
        <f ca="1"/>
        <v>0.36756891040233497</v>
      </c>
      <c r="O5604" s="2">
        <f ca="1"/>
        <v>0.66416760041562861</v>
      </c>
      <c r="X5604" s="2">
        <f ca="1"/>
        <v>38.256760002366008</v>
      </c>
      <c r="AG5604" s="2">
        <f ca="1"/>
        <v>0.45998012272063882</v>
      </c>
      <c r="AH5604" s="2" t="str">
        <f ca="1"/>
        <v>Bad</v>
      </c>
    </row>
    <row r="5605" spans="2:34" x14ac:dyDescent="0.2">
      <c r="B5605" s="2">
        <f ca="1"/>
        <v>0.42428524870733675</v>
      </c>
      <c r="O5605" s="2">
        <f ca="1"/>
        <v>-3.1792629158930521</v>
      </c>
      <c r="X5605" s="2">
        <f ca="1"/>
        <v>45.222444032123697</v>
      </c>
      <c r="AG5605" s="2">
        <f ca="1"/>
        <v>0.1392389279945816</v>
      </c>
      <c r="AH5605" s="2" t="str">
        <f ca="1"/>
        <v>OK</v>
      </c>
    </row>
    <row r="5606" spans="2:34" x14ac:dyDescent="0.2">
      <c r="B5606" s="2">
        <f ca="1"/>
        <v>0.59442317573925663</v>
      </c>
      <c r="O5606" s="2">
        <f ca="1"/>
        <v>1.5919116757640557</v>
      </c>
      <c r="X5606" s="2">
        <f ca="1"/>
        <v>36.681742732883336</v>
      </c>
      <c r="AG5606" s="2">
        <f ca="1"/>
        <v>1.0257193851846313E-2</v>
      </c>
      <c r="AH5606" s="2" t="str">
        <f ca="1"/>
        <v>Good</v>
      </c>
    </row>
    <row r="5607" spans="2:34" x14ac:dyDescent="0.2">
      <c r="B5607" s="2">
        <f ca="1"/>
        <v>0.32009736895189689</v>
      </c>
      <c r="O5607" s="2">
        <f ca="1"/>
        <v>-3.158006455912501</v>
      </c>
      <c r="X5607" s="2">
        <f ca="1"/>
        <v>26.026990575689808</v>
      </c>
      <c r="AG5607" s="2">
        <f ca="1"/>
        <v>0.49082278652138833</v>
      </c>
      <c r="AH5607" s="2" t="str">
        <f ca="1"/>
        <v>Bad</v>
      </c>
    </row>
    <row r="5608" spans="2:34" x14ac:dyDescent="0.2">
      <c r="B5608" s="2">
        <f ca="1"/>
        <v>0.14584319119974465</v>
      </c>
      <c r="O5608" s="2">
        <f ca="1"/>
        <v>1.1661166736148247</v>
      </c>
      <c r="X5608" s="2">
        <f ca="1"/>
        <v>37.77252051326473</v>
      </c>
      <c r="AG5608" s="2">
        <f ca="1"/>
        <v>0.77002344522885302</v>
      </c>
      <c r="AH5608" s="2" t="str">
        <f ca="1"/>
        <v>Bad</v>
      </c>
    </row>
    <row r="5609" spans="2:34" x14ac:dyDescent="0.2">
      <c r="B5609" s="2">
        <f ca="1"/>
        <v>2.6629370644378092E-2</v>
      </c>
      <c r="O5609" s="2">
        <f ca="1"/>
        <v>-0.48473122067784258</v>
      </c>
      <c r="X5609" s="2">
        <f ca="1"/>
        <v>64.208146736875449</v>
      </c>
      <c r="AG5609" s="2">
        <f ca="1"/>
        <v>0.94142161990218809</v>
      </c>
      <c r="AH5609" s="2" t="str">
        <f ca="1"/>
        <v>Bad</v>
      </c>
    </row>
    <row r="5610" spans="2:34" x14ac:dyDescent="0.2">
      <c r="B5610" s="2">
        <f ca="1"/>
        <v>0.56833434883061162</v>
      </c>
      <c r="O5610" s="2">
        <f ca="1"/>
        <v>-0.20517639646661057</v>
      </c>
      <c r="X5610" s="2">
        <f ca="1"/>
        <v>26.828167002140969</v>
      </c>
      <c r="AG5610" s="2">
        <f ca="1"/>
        <v>0.10946323592660723</v>
      </c>
      <c r="AH5610" s="2" t="str">
        <f ca="1"/>
        <v>OK</v>
      </c>
    </row>
    <row r="5611" spans="2:34" x14ac:dyDescent="0.2">
      <c r="B5611" s="2">
        <f ca="1"/>
        <v>0.39674034458571539</v>
      </c>
      <c r="O5611" s="2">
        <f ca="1"/>
        <v>0.70537409407882046</v>
      </c>
      <c r="X5611" s="2">
        <f ca="1"/>
        <v>46.597013838553806</v>
      </c>
      <c r="AG5611" s="2">
        <f ca="1"/>
        <v>0.91474705531770506</v>
      </c>
      <c r="AH5611" s="2" t="str">
        <f ca="1"/>
        <v>Bad</v>
      </c>
    </row>
    <row r="5612" spans="2:34" x14ac:dyDescent="0.2">
      <c r="B5612" s="2">
        <f ca="1"/>
        <v>0.51781425639014067</v>
      </c>
      <c r="O5612" s="2">
        <f ca="1"/>
        <v>-0.99705190933250365</v>
      </c>
      <c r="X5612" s="2">
        <f ca="1"/>
        <v>77.137965193749579</v>
      </c>
      <c r="AG5612" s="2">
        <f ca="1"/>
        <v>0.59777774916198978</v>
      </c>
      <c r="AH5612" s="2" t="str">
        <f ca="1"/>
        <v>Bad</v>
      </c>
    </row>
    <row r="5613" spans="2:34" x14ac:dyDescent="0.2">
      <c r="B5613" s="2">
        <f ca="1"/>
        <v>0.57184612729547002</v>
      </c>
      <c r="O5613" s="2">
        <f ca="1"/>
        <v>0.7284447139306155</v>
      </c>
      <c r="X5613" s="2">
        <f ca="1"/>
        <v>35.73858368987058</v>
      </c>
      <c r="AG5613" s="2">
        <f ca="1"/>
        <v>0.51599566813932096</v>
      </c>
      <c r="AH5613" s="2" t="str">
        <f ca="1"/>
        <v>Bad</v>
      </c>
    </row>
    <row r="5614" spans="2:34" x14ac:dyDescent="0.2">
      <c r="B5614" s="2">
        <f ca="1"/>
        <v>0.15764716121339584</v>
      </c>
      <c r="O5614" s="2">
        <f ca="1"/>
        <v>-8.4605824961345305E-2</v>
      </c>
      <c r="X5614" s="2">
        <f ca="1"/>
        <v>47.775368733315993</v>
      </c>
      <c r="AG5614" s="2">
        <f ca="1"/>
        <v>0.31515113038826881</v>
      </c>
      <c r="AH5614" s="2" t="str">
        <f ca="1"/>
        <v>OK</v>
      </c>
    </row>
    <row r="5615" spans="2:34" x14ac:dyDescent="0.2">
      <c r="B5615" s="2">
        <f ca="1"/>
        <v>0.23592630941096382</v>
      </c>
      <c r="O5615" s="2">
        <f ca="1"/>
        <v>-0.96669544112831285</v>
      </c>
      <c r="X5615" s="2">
        <f ca="1"/>
        <v>24.794272245431873</v>
      </c>
      <c r="AG5615" s="2">
        <f ca="1"/>
        <v>0.86891343892195083</v>
      </c>
      <c r="AH5615" s="2" t="str">
        <f ca="1"/>
        <v>Bad</v>
      </c>
    </row>
    <row r="5616" spans="2:34" x14ac:dyDescent="0.2">
      <c r="B5616" s="2">
        <f ca="1"/>
        <v>0.34168184883537123</v>
      </c>
      <c r="O5616" s="2">
        <f ca="1"/>
        <v>-1.4345416663957127</v>
      </c>
      <c r="X5616" s="2">
        <f ca="1"/>
        <v>61.663836436197002</v>
      </c>
      <c r="AG5616" s="2">
        <f ca="1"/>
        <v>0.37456315656362937</v>
      </c>
      <c r="AH5616" s="2" t="str">
        <f ca="1"/>
        <v>OK</v>
      </c>
    </row>
    <row r="5617" spans="2:34" x14ac:dyDescent="0.2">
      <c r="B5617" s="2">
        <f ca="1"/>
        <v>0.57508673954031919</v>
      </c>
      <c r="O5617" s="2">
        <f ca="1"/>
        <v>-0.67931128058834067</v>
      </c>
      <c r="X5617" s="2">
        <f ca="1"/>
        <v>62.154480047547906</v>
      </c>
      <c r="AG5617" s="2">
        <f ca="1"/>
        <v>0.80689106312604997</v>
      </c>
      <c r="AH5617" s="2" t="str">
        <f ca="1"/>
        <v>Bad</v>
      </c>
    </row>
    <row r="5618" spans="2:34" x14ac:dyDescent="0.2">
      <c r="B5618" s="2">
        <f ca="1"/>
        <v>0.93752236243675546</v>
      </c>
      <c r="O5618" s="2">
        <f ca="1"/>
        <v>1.1161272462472587</v>
      </c>
      <c r="X5618" s="2">
        <f ca="1"/>
        <v>54.037216476055114</v>
      </c>
      <c r="AG5618" s="2">
        <f ca="1"/>
        <v>0.47494849491888447</v>
      </c>
      <c r="AH5618" s="2" t="str">
        <f ca="1"/>
        <v>Bad</v>
      </c>
    </row>
    <row r="5619" spans="2:34" x14ac:dyDescent="0.2">
      <c r="B5619" s="2">
        <f ca="1"/>
        <v>0.14762670344365336</v>
      </c>
      <c r="O5619" s="2">
        <f ca="1"/>
        <v>0.2307029052181806</v>
      </c>
      <c r="X5619" s="2">
        <f ca="1"/>
        <v>36.0355998259042</v>
      </c>
      <c r="AG5619" s="2">
        <f ca="1"/>
        <v>0.58797939023858259</v>
      </c>
      <c r="AH5619" s="2" t="str">
        <f ca="1"/>
        <v>Bad</v>
      </c>
    </row>
    <row r="5620" spans="2:34" x14ac:dyDescent="0.2">
      <c r="B5620" s="2">
        <f ca="1"/>
        <v>0.79260297217159614</v>
      </c>
      <c r="O5620" s="2">
        <f ca="1"/>
        <v>1.2168989177949061</v>
      </c>
      <c r="X5620" s="2">
        <f ca="1"/>
        <v>30.107906469382716</v>
      </c>
      <c r="AG5620" s="2">
        <f ca="1"/>
        <v>0.66930384940649335</v>
      </c>
      <c r="AH5620" s="2" t="str">
        <f ca="1"/>
        <v>Bad</v>
      </c>
    </row>
    <row r="5621" spans="2:34" x14ac:dyDescent="0.2">
      <c r="B5621" s="2">
        <f ca="1"/>
        <v>0.67885789886433145</v>
      </c>
      <c r="O5621" s="2">
        <f ca="1"/>
        <v>-0.79895916216750229</v>
      </c>
      <c r="X5621" s="2">
        <f ca="1"/>
        <v>44.825338912186822</v>
      </c>
      <c r="AG5621" s="2">
        <f ca="1"/>
        <v>0.15357965412138896</v>
      </c>
      <c r="AH5621" s="2" t="str">
        <f ca="1"/>
        <v>OK</v>
      </c>
    </row>
    <row r="5622" spans="2:34" x14ac:dyDescent="0.2">
      <c r="B5622" s="2">
        <f ca="1"/>
        <v>0.82985490762092606</v>
      </c>
      <c r="O5622" s="2">
        <f ca="1"/>
        <v>-0.31874764678951134</v>
      </c>
      <c r="X5622" s="2">
        <f ca="1"/>
        <v>47.990379667380445</v>
      </c>
      <c r="AG5622" s="2">
        <f ca="1"/>
        <v>0.39209272111872506</v>
      </c>
      <c r="AH5622" s="2" t="str">
        <f ca="1"/>
        <v>OK</v>
      </c>
    </row>
    <row r="5623" spans="2:34" x14ac:dyDescent="0.2">
      <c r="B5623" s="2">
        <f ca="1"/>
        <v>0.9164878270901915</v>
      </c>
      <c r="O5623" s="2">
        <f ca="1"/>
        <v>-0.68393384611058239</v>
      </c>
      <c r="X5623" s="2">
        <f ca="1"/>
        <v>30.017989560369603</v>
      </c>
      <c r="AG5623" s="2">
        <f ca="1"/>
        <v>0.92883945998711503</v>
      </c>
      <c r="AH5623" s="2" t="str">
        <f ca="1"/>
        <v>Bad</v>
      </c>
    </row>
    <row r="5624" spans="2:34" x14ac:dyDescent="0.2">
      <c r="B5624" s="2">
        <f ca="1"/>
        <v>0.94189845622014334</v>
      </c>
      <c r="O5624" s="2">
        <f ca="1"/>
        <v>2.6714355216759058</v>
      </c>
      <c r="X5624" s="2">
        <f ca="1"/>
        <v>66.645965779657047</v>
      </c>
      <c r="AG5624" s="2">
        <f ca="1"/>
        <v>5.0770866124361991E-2</v>
      </c>
      <c r="AH5624" s="2" t="str">
        <f ca="1"/>
        <v>OK</v>
      </c>
    </row>
    <row r="5625" spans="2:34" x14ac:dyDescent="0.2">
      <c r="B5625" s="2">
        <f ca="1"/>
        <v>0.81918107827480813</v>
      </c>
      <c r="O5625" s="2">
        <f ca="1"/>
        <v>-1.556529763683637</v>
      </c>
      <c r="X5625" s="2">
        <f ca="1"/>
        <v>65.678717911710194</v>
      </c>
      <c r="AG5625" s="2">
        <f ca="1"/>
        <v>0.41414089949679078</v>
      </c>
      <c r="AH5625" s="2" t="str">
        <f ca="1"/>
        <v>Bad</v>
      </c>
    </row>
    <row r="5626" spans="2:34" x14ac:dyDescent="0.2">
      <c r="B5626" s="2">
        <f ca="1"/>
        <v>0.3150122710927421</v>
      </c>
      <c r="O5626" s="2">
        <f ca="1"/>
        <v>-1.0625890188400056</v>
      </c>
      <c r="X5626" s="2">
        <f ca="1"/>
        <v>48.454203950158679</v>
      </c>
      <c r="AG5626" s="2">
        <f ca="1"/>
        <v>0.99790194590387626</v>
      </c>
      <c r="AH5626" s="2" t="str">
        <f ca="1"/>
        <v>Bad</v>
      </c>
    </row>
    <row r="5627" spans="2:34" x14ac:dyDescent="0.2">
      <c r="B5627" s="2">
        <f ca="1"/>
        <v>2.0939893751878991E-3</v>
      </c>
      <c r="O5627" s="2">
        <f ca="1"/>
        <v>-0.5951889429789744</v>
      </c>
      <c r="X5627" s="2">
        <f ca="1"/>
        <v>34.697917082280895</v>
      </c>
      <c r="AG5627" s="2">
        <f ca="1"/>
        <v>0.84261590335084224</v>
      </c>
      <c r="AH5627" s="2" t="str">
        <f ca="1"/>
        <v>Bad</v>
      </c>
    </row>
    <row r="5628" spans="2:34" x14ac:dyDescent="0.2">
      <c r="B5628" s="2">
        <f ca="1"/>
        <v>0.94735110296751679</v>
      </c>
      <c r="O5628" s="2">
        <f ca="1"/>
        <v>0.74298085510702172</v>
      </c>
      <c r="X5628" s="2">
        <f ca="1"/>
        <v>47.341848680357124</v>
      </c>
      <c r="AG5628" s="2">
        <f ca="1"/>
        <v>0.10543725611145627</v>
      </c>
      <c r="AH5628" s="2" t="str">
        <f ca="1"/>
        <v>OK</v>
      </c>
    </row>
    <row r="5629" spans="2:34" x14ac:dyDescent="0.2">
      <c r="B5629" s="2">
        <f ca="1"/>
        <v>0.41328696293317724</v>
      </c>
      <c r="O5629" s="2">
        <f ca="1"/>
        <v>0.64478435694328939</v>
      </c>
      <c r="X5629" s="2">
        <f ca="1"/>
        <v>27.323602933027086</v>
      </c>
      <c r="AG5629" s="2">
        <f ca="1"/>
        <v>0.16426967336447063</v>
      </c>
      <c r="AH5629" s="2" t="str">
        <f ca="1"/>
        <v>OK</v>
      </c>
    </row>
    <row r="5630" spans="2:34" x14ac:dyDescent="0.2">
      <c r="B5630" s="2">
        <f ca="1"/>
        <v>0.74160849351670888</v>
      </c>
      <c r="O5630" s="2">
        <f ca="1"/>
        <v>9.1165805548447304E-2</v>
      </c>
      <c r="X5630" s="2">
        <f ca="1"/>
        <v>45.634170873735897</v>
      </c>
      <c r="AG5630" s="2">
        <f ca="1"/>
        <v>0.5570985259807677</v>
      </c>
      <c r="AH5630" s="2" t="str">
        <f ca="1"/>
        <v>Bad</v>
      </c>
    </row>
    <row r="5631" spans="2:34" x14ac:dyDescent="0.2">
      <c r="B5631" s="2">
        <f ca="1"/>
        <v>3.9798960161317787E-2</v>
      </c>
      <c r="O5631" s="2">
        <f ca="1"/>
        <v>-1.2898736895854306</v>
      </c>
      <c r="X5631" s="2">
        <f ca="1"/>
        <v>64.492947902831233</v>
      </c>
      <c r="AG5631" s="2">
        <f ca="1"/>
        <v>0.27222953640062353</v>
      </c>
      <c r="AH5631" s="2" t="str">
        <f ca="1"/>
        <v>OK</v>
      </c>
    </row>
    <row r="5632" spans="2:34" x14ac:dyDescent="0.2">
      <c r="B5632" s="2">
        <f ca="1"/>
        <v>0.79815178381339869</v>
      </c>
      <c r="O5632" s="2">
        <f ca="1"/>
        <v>0.75487880876806568</v>
      </c>
      <c r="X5632" s="2">
        <f ca="1"/>
        <v>57.013744260433597</v>
      </c>
      <c r="AG5632" s="2">
        <f ca="1"/>
        <v>1.0359850813631555E-2</v>
      </c>
      <c r="AH5632" s="2" t="str">
        <f ca="1"/>
        <v>Good</v>
      </c>
    </row>
    <row r="5633" spans="2:34" x14ac:dyDescent="0.2">
      <c r="B5633" s="2">
        <f ca="1"/>
        <v>0.93272801270205585</v>
      </c>
      <c r="O5633" s="2">
        <f ca="1"/>
        <v>8.9583408715656371E-2</v>
      </c>
      <c r="X5633" s="2">
        <f ca="1"/>
        <v>41.934162450751877</v>
      </c>
      <c r="AG5633" s="2">
        <f ca="1"/>
        <v>0.4551439527641381</v>
      </c>
      <c r="AH5633" s="2" t="str">
        <f ca="1"/>
        <v>Bad</v>
      </c>
    </row>
    <row r="5634" spans="2:34" x14ac:dyDescent="0.2">
      <c r="B5634" s="2">
        <f ca="1"/>
        <v>0.98881673910593082</v>
      </c>
      <c r="O5634" s="2">
        <f ca="1"/>
        <v>-1.0552434535422348</v>
      </c>
      <c r="X5634" s="2">
        <f ca="1"/>
        <v>82.360104274788327</v>
      </c>
      <c r="AG5634" s="2">
        <f ca="1"/>
        <v>0.11667730876053728</v>
      </c>
      <c r="AH5634" s="2" t="str">
        <f ca="1"/>
        <v>OK</v>
      </c>
    </row>
    <row r="5635" spans="2:34" x14ac:dyDescent="0.2">
      <c r="B5635" s="2">
        <f ca="1"/>
        <v>0.27437449738086994</v>
      </c>
      <c r="O5635" s="2">
        <f ca="1"/>
        <v>0.53945070181867261</v>
      </c>
      <c r="X5635" s="2">
        <f ca="1"/>
        <v>33.741868437368787</v>
      </c>
      <c r="AG5635" s="2">
        <f ca="1"/>
        <v>0.93855850762085224</v>
      </c>
      <c r="AH5635" s="2" t="str">
        <f ca="1"/>
        <v>Bad</v>
      </c>
    </row>
    <row r="5636" spans="2:34" x14ac:dyDescent="0.2">
      <c r="B5636" s="2">
        <f ca="1"/>
        <v>0.1652255031546308</v>
      </c>
      <c r="O5636" s="2">
        <f ca="1"/>
        <v>0.64812089179076671</v>
      </c>
      <c r="X5636" s="2">
        <f ca="1"/>
        <v>82.526716478537651</v>
      </c>
      <c r="AG5636" s="2">
        <f ca="1"/>
        <v>0.28348604083590212</v>
      </c>
      <c r="AH5636" s="2" t="str">
        <f ca="1"/>
        <v>OK</v>
      </c>
    </row>
    <row r="5637" spans="2:34" x14ac:dyDescent="0.2">
      <c r="B5637" s="2">
        <f ca="1"/>
        <v>0.53774309727591696</v>
      </c>
      <c r="O5637" s="2">
        <f ca="1"/>
        <v>7.0115000795490781E-2</v>
      </c>
      <c r="X5637" s="2">
        <f ca="1"/>
        <v>67.323713861015889</v>
      </c>
      <c r="AG5637" s="2">
        <f ca="1"/>
        <v>0.98429978561118503</v>
      </c>
      <c r="AH5637" s="2" t="str">
        <f ca="1"/>
        <v>Bad</v>
      </c>
    </row>
    <row r="5638" spans="2:34" x14ac:dyDescent="0.2">
      <c r="B5638" s="2">
        <f ca="1"/>
        <v>0.59720020980754485</v>
      </c>
      <c r="O5638" s="2">
        <f ca="1"/>
        <v>0.24375295518306395</v>
      </c>
      <c r="X5638" s="2">
        <f ca="1"/>
        <v>26.213577908020241</v>
      </c>
      <c r="AG5638" s="2">
        <f ca="1"/>
        <v>0.34385109035909656</v>
      </c>
      <c r="AH5638" s="2" t="str">
        <f ca="1"/>
        <v>OK</v>
      </c>
    </row>
    <row r="5639" spans="2:34" x14ac:dyDescent="0.2">
      <c r="B5639" s="2">
        <f ca="1"/>
        <v>0.94990961276791763</v>
      </c>
      <c r="O5639" s="2">
        <f ca="1"/>
        <v>0.66212818675071172</v>
      </c>
      <c r="X5639" s="2">
        <f ca="1"/>
        <v>48.510335367739771</v>
      </c>
      <c r="AG5639" s="2">
        <f ca="1"/>
        <v>6.3456758802901136E-2</v>
      </c>
      <c r="AH5639" s="2" t="str">
        <f ca="1"/>
        <v>OK</v>
      </c>
    </row>
    <row r="5640" spans="2:34" x14ac:dyDescent="0.2">
      <c r="B5640" s="2">
        <f ca="1"/>
        <v>0.98993882138585065</v>
      </c>
      <c r="O5640" s="2">
        <f ca="1"/>
        <v>1.011406275779438</v>
      </c>
      <c r="X5640" s="2">
        <f ca="1"/>
        <v>50.916356721481357</v>
      </c>
      <c r="AG5640" s="2">
        <f ca="1"/>
        <v>0.36583821406712125</v>
      </c>
      <c r="AH5640" s="2" t="str">
        <f ca="1"/>
        <v>OK</v>
      </c>
    </row>
    <row r="5641" spans="2:34" x14ac:dyDescent="0.2">
      <c r="B5641" s="2">
        <f ca="1"/>
        <v>7.4217786253977236E-2</v>
      </c>
      <c r="O5641" s="2">
        <f ca="1"/>
        <v>-0.96059733143965731</v>
      </c>
      <c r="X5641" s="2">
        <f ca="1"/>
        <v>25.014816280804308</v>
      </c>
      <c r="AG5641" s="2">
        <f ca="1"/>
        <v>0.17941084413794872</v>
      </c>
      <c r="AH5641" s="2" t="str">
        <f ca="1"/>
        <v>OK</v>
      </c>
    </row>
    <row r="5642" spans="2:34" x14ac:dyDescent="0.2">
      <c r="B5642" s="2">
        <f ca="1"/>
        <v>0.64131737638640574</v>
      </c>
      <c r="O5642" s="2">
        <f ca="1"/>
        <v>-0.49927546689112601</v>
      </c>
      <c r="X5642" s="2">
        <f ca="1"/>
        <v>51.17405979816715</v>
      </c>
      <c r="AG5642" s="2">
        <f ca="1"/>
        <v>0.53849685430631178</v>
      </c>
      <c r="AH5642" s="2" t="str">
        <f ca="1"/>
        <v>Bad</v>
      </c>
    </row>
    <row r="5643" spans="2:34" x14ac:dyDescent="0.2">
      <c r="B5643" s="2">
        <f ca="1"/>
        <v>0.37801834942875479</v>
      </c>
      <c r="O5643" s="2">
        <f ca="1"/>
        <v>0.10801404680596297</v>
      </c>
      <c r="X5643" s="2">
        <f ca="1"/>
        <v>41.656288734351406</v>
      </c>
      <c r="AG5643" s="2">
        <f ca="1"/>
        <v>8.2060933196777208E-2</v>
      </c>
      <c r="AH5643" s="2" t="str">
        <f ca="1"/>
        <v>OK</v>
      </c>
    </row>
    <row r="5644" spans="2:34" x14ac:dyDescent="0.2">
      <c r="B5644" s="2">
        <f ca="1"/>
        <v>0.96096759329838077</v>
      </c>
      <c r="O5644" s="2">
        <f ca="1"/>
        <v>0.98826021197470559</v>
      </c>
      <c r="X5644" s="2">
        <f ca="1"/>
        <v>39.283447766822569</v>
      </c>
      <c r="AG5644" s="2">
        <f ca="1"/>
        <v>0.93770670821224611</v>
      </c>
      <c r="AH5644" s="2" t="str">
        <f ca="1"/>
        <v>Bad</v>
      </c>
    </row>
    <row r="5645" spans="2:34" x14ac:dyDescent="0.2">
      <c r="B5645" s="2">
        <f ca="1"/>
        <v>0.97813207253698753</v>
      </c>
      <c r="O5645" s="2">
        <f ca="1"/>
        <v>7.7696399464284679E-2</v>
      </c>
      <c r="X5645" s="2">
        <f ca="1"/>
        <v>72.410879058533084</v>
      </c>
      <c r="AG5645" s="2">
        <f ca="1"/>
        <v>0.42974181539797573</v>
      </c>
      <c r="AH5645" s="2" t="str">
        <f ca="1"/>
        <v>Bad</v>
      </c>
    </row>
    <row r="5646" spans="2:34" x14ac:dyDescent="0.2">
      <c r="B5646" s="2">
        <f ca="1"/>
        <v>0.97058552151080146</v>
      </c>
      <c r="O5646" s="2">
        <f ca="1"/>
        <v>0.52311977375390328</v>
      </c>
      <c r="X5646" s="2">
        <f ca="1"/>
        <v>43.348631322692398</v>
      </c>
      <c r="AG5646" s="2">
        <f ca="1"/>
        <v>0.39126412770987962</v>
      </c>
      <c r="AH5646" s="2" t="str">
        <f ca="1"/>
        <v>OK</v>
      </c>
    </row>
    <row r="5647" spans="2:34" x14ac:dyDescent="0.2">
      <c r="B5647" s="2">
        <f ca="1"/>
        <v>6.5762394544272684E-2</v>
      </c>
      <c r="O5647" s="2">
        <f ca="1"/>
        <v>2.5833377201026559</v>
      </c>
      <c r="X5647" s="2">
        <f ca="1"/>
        <v>77.998385377897776</v>
      </c>
      <c r="AG5647" s="2">
        <f ca="1"/>
        <v>0.23420067766862251</v>
      </c>
      <c r="AH5647" s="2" t="str">
        <f ca="1"/>
        <v>OK</v>
      </c>
    </row>
    <row r="5648" spans="2:34" x14ac:dyDescent="0.2">
      <c r="B5648" s="2">
        <f ca="1"/>
        <v>2.3761390748234579E-2</v>
      </c>
      <c r="O5648" s="2">
        <f ca="1"/>
        <v>0.41294094126758685</v>
      </c>
      <c r="X5648" s="2">
        <f ca="1"/>
        <v>33.274747277308606</v>
      </c>
      <c r="AG5648" s="2">
        <f ca="1"/>
        <v>0.93808581368399424</v>
      </c>
      <c r="AH5648" s="2" t="str">
        <f ca="1"/>
        <v>Bad</v>
      </c>
    </row>
    <row r="5649" spans="2:34" x14ac:dyDescent="0.2">
      <c r="B5649" s="2">
        <f ca="1"/>
        <v>0.72102203466619885</v>
      </c>
      <c r="O5649" s="2">
        <f ca="1"/>
        <v>1.5067970770039854</v>
      </c>
      <c r="X5649" s="2">
        <f ca="1"/>
        <v>30.839798792943963</v>
      </c>
      <c r="AG5649" s="2">
        <f ca="1"/>
        <v>0.49032316789039943</v>
      </c>
      <c r="AH5649" s="2" t="str">
        <f ca="1"/>
        <v>Bad</v>
      </c>
    </row>
    <row r="5650" spans="2:34" x14ac:dyDescent="0.2">
      <c r="B5650" s="2">
        <f ca="1"/>
        <v>0.92342237577152497</v>
      </c>
      <c r="O5650" s="2">
        <f ca="1"/>
        <v>-1.1124126829969501</v>
      </c>
      <c r="X5650" s="2">
        <f ca="1"/>
        <v>47.468902887977123</v>
      </c>
      <c r="AG5650" s="2">
        <f ca="1"/>
        <v>0.24379181632448055</v>
      </c>
      <c r="AH5650" s="2" t="str">
        <f ca="1"/>
        <v>OK</v>
      </c>
    </row>
    <row r="5651" spans="2:34" x14ac:dyDescent="0.2">
      <c r="B5651" s="2">
        <f ca="1"/>
        <v>2.1178079406876549E-2</v>
      </c>
      <c r="O5651" s="2">
        <f ca="1"/>
        <v>1.3582134084256285</v>
      </c>
      <c r="X5651" s="2">
        <f ca="1"/>
        <v>42.415489002447906</v>
      </c>
      <c r="AG5651" s="2">
        <f ca="1"/>
        <v>0.2638755721152144</v>
      </c>
      <c r="AH5651" s="2" t="str">
        <f ca="1"/>
        <v>OK</v>
      </c>
    </row>
    <row r="5652" spans="2:34" x14ac:dyDescent="0.2">
      <c r="B5652" s="2">
        <f ca="1"/>
        <v>2.9328752227937294E-3</v>
      </c>
      <c r="O5652" s="2">
        <f ca="1"/>
        <v>0.94108147254279562</v>
      </c>
      <c r="X5652" s="2">
        <f ca="1"/>
        <v>47.794508122026905</v>
      </c>
      <c r="AG5652" s="2">
        <f ca="1"/>
        <v>0.21603598157154247</v>
      </c>
      <c r="AH5652" s="2" t="str">
        <f ca="1"/>
        <v>OK</v>
      </c>
    </row>
    <row r="5653" spans="2:34" x14ac:dyDescent="0.2">
      <c r="B5653" s="2">
        <f ca="1"/>
        <v>0.60121613770963744</v>
      </c>
      <c r="O5653" s="2">
        <f ca="1"/>
        <v>-0.17107549461415775</v>
      </c>
      <c r="X5653" s="2">
        <f ca="1"/>
        <v>70.45603916630624</v>
      </c>
      <c r="AG5653" s="2">
        <f ca="1"/>
        <v>0.65222299481936408</v>
      </c>
      <c r="AH5653" s="2" t="str">
        <f ca="1"/>
        <v>Bad</v>
      </c>
    </row>
    <row r="5654" spans="2:34" x14ac:dyDescent="0.2">
      <c r="B5654" s="2">
        <f ca="1"/>
        <v>0.32937612193479171</v>
      </c>
      <c r="O5654" s="2">
        <f ca="1"/>
        <v>-0.8848382170304141</v>
      </c>
      <c r="X5654" s="2">
        <f ca="1"/>
        <v>39.093306419820017</v>
      </c>
      <c r="AG5654" s="2">
        <f ca="1"/>
        <v>0.33044672539836162</v>
      </c>
      <c r="AH5654" s="2" t="str">
        <f ca="1"/>
        <v>OK</v>
      </c>
    </row>
    <row r="5655" spans="2:34" x14ac:dyDescent="0.2">
      <c r="B5655" s="2">
        <f ca="1"/>
        <v>0.44685856496088316</v>
      </c>
      <c r="O5655" s="2">
        <f ca="1"/>
        <v>-9.900665721627043E-2</v>
      </c>
      <c r="X5655" s="2">
        <f ca="1"/>
        <v>38.941212609766239</v>
      </c>
      <c r="AG5655" s="2">
        <f ca="1"/>
        <v>0.20276208145635954</v>
      </c>
      <c r="AH5655" s="2" t="str">
        <f ca="1"/>
        <v>OK</v>
      </c>
    </row>
    <row r="5656" spans="2:34" x14ac:dyDescent="0.2">
      <c r="B5656" s="2">
        <f ca="1"/>
        <v>0.77312437349815943</v>
      </c>
      <c r="O5656" s="2">
        <f ca="1"/>
        <v>2.4637203121650217</v>
      </c>
      <c r="X5656" s="2">
        <f ca="1"/>
        <v>39.663734782509501</v>
      </c>
      <c r="AG5656" s="2">
        <f ca="1"/>
        <v>0.63334261225096378</v>
      </c>
      <c r="AH5656" s="2" t="str">
        <f ca="1"/>
        <v>Bad</v>
      </c>
    </row>
    <row r="5657" spans="2:34" x14ac:dyDescent="0.2">
      <c r="B5657" s="2">
        <f ca="1"/>
        <v>0.61478139037803303</v>
      </c>
      <c r="O5657" s="2">
        <f ca="1"/>
        <v>-0.80480231860312346</v>
      </c>
      <c r="X5657" s="2">
        <f ca="1"/>
        <v>19.033992510452467</v>
      </c>
      <c r="AG5657" s="2">
        <f ca="1"/>
        <v>4.9534057529027731E-2</v>
      </c>
      <c r="AH5657" s="2" t="str">
        <f ca="1"/>
        <v>Good</v>
      </c>
    </row>
    <row r="5658" spans="2:34" x14ac:dyDescent="0.2">
      <c r="B5658" s="2">
        <f ca="1"/>
        <v>0.22842380771649329</v>
      </c>
      <c r="O5658" s="2">
        <f ca="1"/>
        <v>0.31803157264394349</v>
      </c>
      <c r="X5658" s="2">
        <f ca="1"/>
        <v>42.900992942651186</v>
      </c>
      <c r="AG5658" s="2">
        <f ca="1"/>
        <v>0.30334250605693458</v>
      </c>
      <c r="AH5658" s="2" t="str">
        <f ca="1"/>
        <v>OK</v>
      </c>
    </row>
    <row r="5659" spans="2:34" x14ac:dyDescent="0.2">
      <c r="B5659" s="2">
        <f ca="1"/>
        <v>0.16663896413012891</v>
      </c>
      <c r="O5659" s="2">
        <f ca="1"/>
        <v>0.75223842155661846</v>
      </c>
      <c r="X5659" s="2">
        <f ca="1"/>
        <v>28.439809724507143</v>
      </c>
      <c r="AG5659" s="2">
        <f ca="1"/>
        <v>0.40916332371759867</v>
      </c>
      <c r="AH5659" s="2" t="str">
        <f ca="1"/>
        <v>Bad</v>
      </c>
    </row>
    <row r="5660" spans="2:34" x14ac:dyDescent="0.2">
      <c r="B5660" s="2">
        <f ca="1"/>
        <v>0.12457895950243625</v>
      </c>
      <c r="O5660" s="2">
        <f ca="1"/>
        <v>0.29399436402092899</v>
      </c>
      <c r="X5660" s="2">
        <f ca="1"/>
        <v>53.540162050896647</v>
      </c>
      <c r="AG5660" s="2">
        <f ca="1"/>
        <v>0.98181189755900555</v>
      </c>
      <c r="AH5660" s="2" t="str">
        <f ca="1"/>
        <v>Bad</v>
      </c>
    </row>
    <row r="5661" spans="2:34" x14ac:dyDescent="0.2">
      <c r="B5661" s="2">
        <f ca="1"/>
        <v>0.43656247881162646</v>
      </c>
      <c r="O5661" s="2">
        <f ca="1"/>
        <v>1.1896094946079623</v>
      </c>
      <c r="X5661" s="2">
        <f ca="1"/>
        <v>40.90821448842155</v>
      </c>
      <c r="AG5661" s="2">
        <f ca="1"/>
        <v>0.35835092359978638</v>
      </c>
      <c r="AH5661" s="2" t="str">
        <f ca="1"/>
        <v>OK</v>
      </c>
    </row>
    <row r="5662" spans="2:34" x14ac:dyDescent="0.2">
      <c r="B5662" s="2">
        <f ca="1"/>
        <v>0.71735583373617451</v>
      </c>
      <c r="O5662" s="2">
        <f ca="1"/>
        <v>0.39244892245227725</v>
      </c>
      <c r="X5662" s="2">
        <f ca="1"/>
        <v>44.298988842280387</v>
      </c>
      <c r="AG5662" s="2">
        <f ca="1"/>
        <v>0.53978205193994988</v>
      </c>
      <c r="AH5662" s="2" t="str">
        <f ca="1"/>
        <v>Bad</v>
      </c>
    </row>
    <row r="5663" spans="2:34" x14ac:dyDescent="0.2">
      <c r="B5663" s="2">
        <f ca="1"/>
        <v>0.76304666318286407</v>
      </c>
      <c r="O5663" s="2">
        <f ca="1"/>
        <v>-0.81866963693592409</v>
      </c>
      <c r="X5663" s="2">
        <f ca="1"/>
        <v>34.430959474694298</v>
      </c>
      <c r="AG5663" s="2">
        <f ca="1"/>
        <v>0.18357018938404113</v>
      </c>
      <c r="AH5663" s="2" t="str">
        <f ca="1"/>
        <v>OK</v>
      </c>
    </row>
    <row r="5664" spans="2:34" x14ac:dyDescent="0.2">
      <c r="B5664" s="2">
        <f ca="1"/>
        <v>0.40817815184665074</v>
      </c>
      <c r="O5664" s="2">
        <f ca="1"/>
        <v>-1.251403319499476</v>
      </c>
      <c r="X5664" s="2">
        <f ca="1"/>
        <v>56.699265176351673</v>
      </c>
      <c r="AG5664" s="2">
        <f ca="1"/>
        <v>0.92714391609431845</v>
      </c>
      <c r="AH5664" s="2" t="str">
        <f ca="1"/>
        <v>Bad</v>
      </c>
    </row>
    <row r="5665" spans="2:34" x14ac:dyDescent="0.2">
      <c r="B5665" s="2">
        <f ca="1"/>
        <v>0.7283184209545619</v>
      </c>
      <c r="O5665" s="2">
        <f ca="1"/>
        <v>8.7193979101338581E-2</v>
      </c>
      <c r="X5665" s="2">
        <f ca="1"/>
        <v>52.923476207907783</v>
      </c>
      <c r="AG5665" s="2">
        <f ca="1"/>
        <v>1.9226735455374566E-2</v>
      </c>
      <c r="AH5665" s="2" t="str">
        <f ca="1"/>
        <v>Good</v>
      </c>
    </row>
    <row r="5666" spans="2:34" x14ac:dyDescent="0.2">
      <c r="B5666" s="2">
        <f ca="1"/>
        <v>0.26883555723711505</v>
      </c>
      <c r="O5666" s="2">
        <f ca="1"/>
        <v>0.75177029199631706</v>
      </c>
      <c r="X5666" s="2">
        <f ca="1"/>
        <v>58.652064099360864</v>
      </c>
      <c r="AG5666" s="2">
        <f ca="1"/>
        <v>0.23611767848890586</v>
      </c>
      <c r="AH5666" s="2" t="str">
        <f ca="1"/>
        <v>OK</v>
      </c>
    </row>
    <row r="5667" spans="2:34" x14ac:dyDescent="0.2">
      <c r="B5667" s="2">
        <f ca="1"/>
        <v>7.9409037053262299E-2</v>
      </c>
      <c r="O5667" s="2">
        <f ca="1"/>
        <v>-0.20961000693875709</v>
      </c>
      <c r="X5667" s="2">
        <f ca="1"/>
        <v>51.271131946386539</v>
      </c>
      <c r="AG5667" s="2">
        <f ca="1"/>
        <v>7.1251321662140654E-2</v>
      </c>
      <c r="AH5667" s="2" t="str">
        <f ca="1"/>
        <v>OK</v>
      </c>
    </row>
    <row r="5668" spans="2:34" x14ac:dyDescent="0.2">
      <c r="B5668" s="2">
        <f ca="1"/>
        <v>0.72448967412234611</v>
      </c>
      <c r="O5668" s="2">
        <f ca="1"/>
        <v>1.5535345192377064</v>
      </c>
      <c r="X5668" s="2">
        <f ca="1"/>
        <v>54.365090741149714</v>
      </c>
      <c r="AG5668" s="2">
        <f ca="1"/>
        <v>0.49981015089403669</v>
      </c>
      <c r="AH5668" s="2" t="str">
        <f ca="1"/>
        <v>Bad</v>
      </c>
    </row>
    <row r="5669" spans="2:34" x14ac:dyDescent="0.2">
      <c r="B5669" s="2">
        <f ca="1"/>
        <v>0.48151221471944705</v>
      </c>
      <c r="O5669" s="2">
        <f ca="1"/>
        <v>-0.31144082378265675</v>
      </c>
      <c r="X5669" s="2">
        <f ca="1"/>
        <v>39.479530674966242</v>
      </c>
      <c r="AG5669" s="2">
        <f ca="1"/>
        <v>0.25939947085404769</v>
      </c>
      <c r="AH5669" s="2" t="str">
        <f ca="1"/>
        <v>OK</v>
      </c>
    </row>
    <row r="5670" spans="2:34" x14ac:dyDescent="0.2">
      <c r="B5670" s="2">
        <f ca="1"/>
        <v>0.14408576224636138</v>
      </c>
      <c r="O5670" s="2">
        <f ca="1"/>
        <v>-0.25684890337221955</v>
      </c>
      <c r="X5670" s="2">
        <f ca="1"/>
        <v>54.579955617125293</v>
      </c>
      <c r="AG5670" s="2">
        <f ca="1"/>
        <v>0.37398310625161058</v>
      </c>
      <c r="AH5670" s="2" t="str">
        <f ca="1"/>
        <v>OK</v>
      </c>
    </row>
    <row r="5671" spans="2:34" x14ac:dyDescent="0.2">
      <c r="B5671" s="2">
        <f ca="1"/>
        <v>0.93711036812074222</v>
      </c>
      <c r="O5671" s="2">
        <f ca="1"/>
        <v>-0.8600638891159017</v>
      </c>
      <c r="X5671" s="2">
        <f ca="1"/>
        <v>51.328545600585038</v>
      </c>
      <c r="AG5671" s="2">
        <f ca="1"/>
        <v>0.57353462948741973</v>
      </c>
      <c r="AH5671" s="2" t="str">
        <f ca="1"/>
        <v>Bad</v>
      </c>
    </row>
    <row r="5672" spans="2:34" x14ac:dyDescent="0.2">
      <c r="B5672" s="2">
        <f ca="1"/>
        <v>8.1895150154642771E-2</v>
      </c>
      <c r="O5672" s="2">
        <f ca="1"/>
        <v>0.40390159188869251</v>
      </c>
      <c r="X5672" s="2">
        <f ca="1"/>
        <v>49.561019470471877</v>
      </c>
      <c r="AG5672" s="2">
        <f ca="1"/>
        <v>0.86951406250975127</v>
      </c>
      <c r="AH5672" s="2" t="str">
        <f ca="1"/>
        <v>Bad</v>
      </c>
    </row>
    <row r="5673" spans="2:34" x14ac:dyDescent="0.2">
      <c r="B5673" s="2">
        <f ca="1"/>
        <v>0.65618271133483663</v>
      </c>
      <c r="O5673" s="2">
        <f ca="1"/>
        <v>-0.54753457448126386</v>
      </c>
      <c r="X5673" s="2">
        <f ca="1"/>
        <v>61.293016997483598</v>
      </c>
      <c r="AG5673" s="2">
        <f ca="1"/>
        <v>0.89128650100278439</v>
      </c>
      <c r="AH5673" s="2" t="str">
        <f ca="1"/>
        <v>Bad</v>
      </c>
    </row>
    <row r="5674" spans="2:34" x14ac:dyDescent="0.2">
      <c r="B5674" s="2">
        <f ca="1"/>
        <v>0.17372631041612729</v>
      </c>
      <c r="O5674" s="2">
        <f ca="1"/>
        <v>-0.33810776439345858</v>
      </c>
      <c r="X5674" s="2">
        <f ca="1"/>
        <v>43.102805891756653</v>
      </c>
      <c r="AG5674" s="2">
        <f ca="1"/>
        <v>1.3121152206041486E-4</v>
      </c>
      <c r="AH5674" s="2" t="str">
        <f ca="1"/>
        <v>Good</v>
      </c>
    </row>
    <row r="5675" spans="2:34" x14ac:dyDescent="0.2">
      <c r="B5675" s="2">
        <f ca="1"/>
        <v>0.81560822412097234</v>
      </c>
      <c r="O5675" s="2">
        <f ca="1"/>
        <v>-1.134738633567707</v>
      </c>
      <c r="X5675" s="2">
        <f ca="1"/>
        <v>58.434766487536713</v>
      </c>
      <c r="AG5675" s="2">
        <f ca="1"/>
        <v>0.32331730154309835</v>
      </c>
      <c r="AH5675" s="2" t="str">
        <f ca="1"/>
        <v>OK</v>
      </c>
    </row>
    <row r="5676" spans="2:34" x14ac:dyDescent="0.2">
      <c r="B5676" s="2">
        <f ca="1"/>
        <v>0.49247619399773956</v>
      </c>
      <c r="O5676" s="2">
        <f ca="1"/>
        <v>0.2499836900526119</v>
      </c>
      <c r="X5676" s="2">
        <f ca="1"/>
        <v>74.320908087884604</v>
      </c>
      <c r="AG5676" s="2">
        <f ca="1"/>
        <v>0.15825710988727715</v>
      </c>
      <c r="AH5676" s="2" t="str">
        <f ca="1"/>
        <v>OK</v>
      </c>
    </row>
    <row r="5677" spans="2:34" x14ac:dyDescent="0.2">
      <c r="B5677" s="2">
        <f ca="1"/>
        <v>0.7545802987400192</v>
      </c>
      <c r="O5677" s="2">
        <f ca="1"/>
        <v>1.6059838040329857</v>
      </c>
      <c r="X5677" s="2">
        <f ca="1"/>
        <v>33.1865914582107</v>
      </c>
      <c r="AG5677" s="2">
        <f ca="1"/>
        <v>5.299209487427925E-2</v>
      </c>
      <c r="AH5677" s="2" t="str">
        <f ca="1"/>
        <v>OK</v>
      </c>
    </row>
    <row r="5678" spans="2:34" x14ac:dyDescent="0.2">
      <c r="B5678" s="2">
        <f ca="1"/>
        <v>0.24169694909690764</v>
      </c>
      <c r="O5678" s="2">
        <f ca="1"/>
        <v>-2.0364707751686799</v>
      </c>
      <c r="X5678" s="2">
        <f ca="1"/>
        <v>88.042666069498225</v>
      </c>
      <c r="AG5678" s="2">
        <f ca="1"/>
        <v>0.52989762236412474</v>
      </c>
      <c r="AH5678" s="2" t="str">
        <f ca="1"/>
        <v>Bad</v>
      </c>
    </row>
    <row r="5679" spans="2:34" x14ac:dyDescent="0.2">
      <c r="B5679" s="2">
        <f ca="1"/>
        <v>0.30834557387236861</v>
      </c>
      <c r="O5679" s="2">
        <f ca="1"/>
        <v>-0.40741131947712578</v>
      </c>
      <c r="X5679" s="2">
        <f ca="1"/>
        <v>34.578901961818637</v>
      </c>
      <c r="AG5679" s="2">
        <f ca="1"/>
        <v>0.95479500675357953</v>
      </c>
      <c r="AH5679" s="2" t="str">
        <f ca="1"/>
        <v>Bad</v>
      </c>
    </row>
    <row r="5680" spans="2:34" x14ac:dyDescent="0.2">
      <c r="B5680" s="2">
        <f ca="1"/>
        <v>0.74720137871965142</v>
      </c>
      <c r="O5680" s="2">
        <f ca="1"/>
        <v>-0.69659386218126373</v>
      </c>
      <c r="X5680" s="2">
        <f ca="1"/>
        <v>62.716290025614668</v>
      </c>
      <c r="AG5680" s="2">
        <f ca="1"/>
        <v>0.88409686459039794</v>
      </c>
      <c r="AH5680" s="2" t="str">
        <f ca="1"/>
        <v>Bad</v>
      </c>
    </row>
    <row r="5681" spans="2:34" x14ac:dyDescent="0.2">
      <c r="B5681" s="2">
        <f ca="1"/>
        <v>0.87810717125837279</v>
      </c>
      <c r="O5681" s="2">
        <f ca="1"/>
        <v>0.1559305733537531</v>
      </c>
      <c r="X5681" s="2">
        <f ca="1"/>
        <v>50.211301614713307</v>
      </c>
      <c r="AG5681" s="2">
        <f ca="1"/>
        <v>0.94555666186143883</v>
      </c>
      <c r="AH5681" s="2" t="str">
        <f ca="1"/>
        <v>Bad</v>
      </c>
    </row>
    <row r="5682" spans="2:34" x14ac:dyDescent="0.2">
      <c r="B5682" s="2">
        <f ca="1"/>
        <v>7.2173743177859739E-2</v>
      </c>
      <c r="O5682" s="2">
        <f ca="1"/>
        <v>-3.4352392740661375E-2</v>
      </c>
      <c r="X5682" s="2">
        <f ca="1"/>
        <v>37.946383151185763</v>
      </c>
      <c r="AG5682" s="2">
        <f ca="1"/>
        <v>0.20403090556020609</v>
      </c>
      <c r="AH5682" s="2" t="str">
        <f ca="1"/>
        <v>OK</v>
      </c>
    </row>
    <row r="5683" spans="2:34" x14ac:dyDescent="0.2">
      <c r="B5683" s="2">
        <f ca="1"/>
        <v>0.58400667685484109</v>
      </c>
      <c r="O5683" s="2">
        <f ca="1"/>
        <v>-0.69080165109112024</v>
      </c>
      <c r="X5683" s="2">
        <f ca="1"/>
        <v>29.985229843541919</v>
      </c>
      <c r="AG5683" s="2">
        <f ca="1"/>
        <v>0.48228182778513107</v>
      </c>
      <c r="AH5683" s="2" t="str">
        <f ca="1"/>
        <v>Bad</v>
      </c>
    </row>
    <row r="5684" spans="2:34" x14ac:dyDescent="0.2">
      <c r="B5684" s="2">
        <f ca="1"/>
        <v>0.14275192767689626</v>
      </c>
      <c r="O5684" s="2">
        <f ca="1"/>
        <v>1.1806482024866596</v>
      </c>
      <c r="X5684" s="2">
        <f ca="1"/>
        <v>71.986962978644868</v>
      </c>
      <c r="AG5684" s="2">
        <f ca="1"/>
        <v>0.36279785600953818</v>
      </c>
      <c r="AH5684" s="2" t="str">
        <f ca="1"/>
        <v>OK</v>
      </c>
    </row>
    <row r="5685" spans="2:34" x14ac:dyDescent="0.2">
      <c r="B5685" s="2">
        <f ca="1"/>
        <v>0.45768504329135284</v>
      </c>
      <c r="O5685" s="2">
        <f ca="1"/>
        <v>0.42864504472394832</v>
      </c>
      <c r="X5685" s="2">
        <f ca="1"/>
        <v>58.57482642722956</v>
      </c>
      <c r="AG5685" s="2">
        <f ca="1"/>
        <v>0.68075065372877486</v>
      </c>
      <c r="AH5685" s="2" t="str">
        <f ca="1"/>
        <v>Bad</v>
      </c>
    </row>
    <row r="5686" spans="2:34" x14ac:dyDescent="0.2">
      <c r="B5686" s="2">
        <f ca="1"/>
        <v>0.76452573280197433</v>
      </c>
      <c r="O5686" s="2">
        <f ca="1"/>
        <v>0.44994596143557586</v>
      </c>
      <c r="X5686" s="2">
        <f ca="1"/>
        <v>54.458922916167253</v>
      </c>
      <c r="AG5686" s="2">
        <f ca="1"/>
        <v>0.91246282221659003</v>
      </c>
      <c r="AH5686" s="2" t="str">
        <f ca="1"/>
        <v>Bad</v>
      </c>
    </row>
    <row r="5687" spans="2:34" x14ac:dyDescent="0.2">
      <c r="B5687" s="2">
        <f ca="1"/>
        <v>0.72924096749259815</v>
      </c>
      <c r="O5687" s="2">
        <f ca="1"/>
        <v>-0.31962581772657261</v>
      </c>
      <c r="X5687" s="2">
        <f ca="1"/>
        <v>103.4562947351435</v>
      </c>
      <c r="AG5687" s="2">
        <f ca="1"/>
        <v>0.37874905224630218</v>
      </c>
      <c r="AH5687" s="2" t="str">
        <f ca="1"/>
        <v>OK</v>
      </c>
    </row>
    <row r="5688" spans="2:34" x14ac:dyDescent="0.2">
      <c r="B5688" s="2">
        <f ca="1"/>
        <v>0.59934731180247991</v>
      </c>
      <c r="O5688" s="2">
        <f ca="1"/>
        <v>0.33378650652308578</v>
      </c>
      <c r="X5688" s="2">
        <f ca="1"/>
        <v>38.463928287980536</v>
      </c>
      <c r="AG5688" s="2">
        <f ca="1"/>
        <v>0.43891004087686025</v>
      </c>
      <c r="AH5688" s="2" t="str">
        <f ca="1"/>
        <v>Bad</v>
      </c>
    </row>
    <row r="5689" spans="2:34" x14ac:dyDescent="0.2">
      <c r="B5689" s="2">
        <f ca="1"/>
        <v>0.62265860938133244</v>
      </c>
      <c r="O5689" s="2">
        <f ca="1"/>
        <v>0.7008271125588581</v>
      </c>
      <c r="X5689" s="2">
        <f ca="1"/>
        <v>50.959099250258042</v>
      </c>
      <c r="AG5689" s="2">
        <f ca="1"/>
        <v>0.81682730571427986</v>
      </c>
      <c r="AH5689" s="2" t="str">
        <f ca="1"/>
        <v>Bad</v>
      </c>
    </row>
    <row r="5690" spans="2:34" x14ac:dyDescent="0.2">
      <c r="B5690" s="2">
        <f ca="1"/>
        <v>0.15310651874959835</v>
      </c>
      <c r="O5690" s="2">
        <f ca="1"/>
        <v>0.12647278548427918</v>
      </c>
      <c r="X5690" s="2">
        <f ca="1"/>
        <v>29.107585993217192</v>
      </c>
      <c r="AG5690" s="2">
        <f ca="1"/>
        <v>0.2460963871174966</v>
      </c>
      <c r="AH5690" s="2" t="str">
        <f ca="1"/>
        <v>OK</v>
      </c>
    </row>
    <row r="5691" spans="2:34" x14ac:dyDescent="0.2">
      <c r="B5691" s="2">
        <f ca="1"/>
        <v>0.42572990230577412</v>
      </c>
      <c r="O5691" s="2">
        <f ca="1"/>
        <v>3.1723002353576521E-3</v>
      </c>
      <c r="X5691" s="2">
        <f ca="1"/>
        <v>76.684749849887311</v>
      </c>
      <c r="AG5691" s="2">
        <f ca="1"/>
        <v>0.43640844754533381</v>
      </c>
      <c r="AH5691" s="2" t="str">
        <f ca="1"/>
        <v>Bad</v>
      </c>
    </row>
    <row r="5692" spans="2:34" x14ac:dyDescent="0.2">
      <c r="B5692" s="2">
        <f ca="1"/>
        <v>0.78220498778159886</v>
      </c>
      <c r="O5692" s="2">
        <f ca="1"/>
        <v>0.86072680221446807</v>
      </c>
      <c r="X5692" s="2">
        <f ca="1"/>
        <v>54.890710706451273</v>
      </c>
      <c r="AG5692" s="2">
        <f ca="1"/>
        <v>0.74276835873394642</v>
      </c>
      <c r="AH5692" s="2" t="str">
        <f ca="1"/>
        <v>Bad</v>
      </c>
    </row>
    <row r="5693" spans="2:34" x14ac:dyDescent="0.2">
      <c r="B5693" s="2">
        <f ca="1"/>
        <v>0.82214921388025619</v>
      </c>
      <c r="O5693" s="2">
        <f ca="1"/>
        <v>-0.95576075003189964</v>
      </c>
      <c r="X5693" s="2">
        <f ca="1"/>
        <v>25.663528757826452</v>
      </c>
      <c r="AG5693" s="2">
        <f ca="1"/>
        <v>0.66174580373154512</v>
      </c>
      <c r="AH5693" s="2" t="str">
        <f ca="1"/>
        <v>Bad</v>
      </c>
    </row>
    <row r="5694" spans="2:34" x14ac:dyDescent="0.2">
      <c r="B5694" s="2">
        <f ca="1"/>
        <v>0.79498745762823209</v>
      </c>
      <c r="O5694" s="2">
        <f ca="1"/>
        <v>-0.7658115398277604</v>
      </c>
      <c r="X5694" s="2">
        <f ca="1"/>
        <v>59.721892090890101</v>
      </c>
      <c r="AG5694" s="2">
        <f ca="1"/>
        <v>0.15934947239390485</v>
      </c>
      <c r="AH5694" s="2" t="str">
        <f ca="1"/>
        <v>OK</v>
      </c>
    </row>
    <row r="5695" spans="2:34" x14ac:dyDescent="0.2">
      <c r="B5695" s="2">
        <f ca="1"/>
        <v>0.64997736890929647</v>
      </c>
      <c r="O5695" s="2">
        <f ca="1"/>
        <v>0.69032290613813696</v>
      </c>
      <c r="X5695" s="2">
        <f ca="1"/>
        <v>75.236773554835125</v>
      </c>
      <c r="AG5695" s="2">
        <f ca="1"/>
        <v>0.85373555189426353</v>
      </c>
      <c r="AH5695" s="2" t="str">
        <f ca="1"/>
        <v>Bad</v>
      </c>
    </row>
    <row r="5696" spans="2:34" x14ac:dyDescent="0.2">
      <c r="B5696" s="2">
        <f ca="1"/>
        <v>0.6514143834380941</v>
      </c>
      <c r="O5696" s="2">
        <f ca="1"/>
        <v>-0.98802699199606159</v>
      </c>
      <c r="X5696" s="2">
        <f ca="1"/>
        <v>27.051737685632183</v>
      </c>
      <c r="AG5696" s="2">
        <f ca="1"/>
        <v>0.46549605557057161</v>
      </c>
      <c r="AH5696" s="2" t="str">
        <f ca="1"/>
        <v>Bad</v>
      </c>
    </row>
    <row r="5697" spans="2:34" x14ac:dyDescent="0.2">
      <c r="B5697" s="2">
        <f ca="1"/>
        <v>0.56393531521275198</v>
      </c>
      <c r="O5697" s="2">
        <f ca="1"/>
        <v>-1.7349027656598852</v>
      </c>
      <c r="X5697" s="2">
        <f ca="1"/>
        <v>80.757794059597728</v>
      </c>
      <c r="AG5697" s="2">
        <f ca="1"/>
        <v>0.44818164647533165</v>
      </c>
      <c r="AH5697" s="2" t="str">
        <f ca="1"/>
        <v>Bad</v>
      </c>
    </row>
    <row r="5698" spans="2:34" x14ac:dyDescent="0.2">
      <c r="B5698" s="2">
        <f ca="1"/>
        <v>0.48951171975492302</v>
      </c>
      <c r="O5698" s="2">
        <f ca="1"/>
        <v>1.2521748691208714</v>
      </c>
      <c r="X5698" s="2">
        <f ca="1"/>
        <v>58.544685728782937</v>
      </c>
      <c r="AG5698" s="2">
        <f ca="1"/>
        <v>0.23033057810318525</v>
      </c>
      <c r="AH5698" s="2" t="str">
        <f ca="1"/>
        <v>OK</v>
      </c>
    </row>
    <row r="5699" spans="2:34" x14ac:dyDescent="0.2">
      <c r="B5699" s="2">
        <f ca="1"/>
        <v>0.95107836923941425</v>
      </c>
      <c r="O5699" s="2">
        <f ca="1"/>
        <v>-0.58590882129551702</v>
      </c>
      <c r="X5699" s="2">
        <f ca="1"/>
        <v>36.470410710920333</v>
      </c>
      <c r="AG5699" s="2">
        <f ca="1"/>
        <v>0.30361449026092813</v>
      </c>
      <c r="AH5699" s="2" t="str">
        <f ca="1"/>
        <v>OK</v>
      </c>
    </row>
    <row r="5700" spans="2:34" x14ac:dyDescent="0.2">
      <c r="B5700" s="2">
        <f ca="1"/>
        <v>0.11930963158040542</v>
      </c>
      <c r="O5700" s="2">
        <f ca="1"/>
        <v>0.31762140832904218</v>
      </c>
      <c r="X5700" s="2">
        <f ca="1"/>
        <v>49.576440731846517</v>
      </c>
      <c r="AG5700" s="2">
        <f ca="1"/>
        <v>0.88104995523662177</v>
      </c>
      <c r="AH5700" s="2" t="str">
        <f ca="1"/>
        <v>Bad</v>
      </c>
    </row>
    <row r="5701" spans="2:34" x14ac:dyDescent="0.2">
      <c r="B5701" s="2">
        <f ca="1"/>
        <v>0.3775945503333662</v>
      </c>
      <c r="O5701" s="2">
        <f ca="1"/>
        <v>-0.23793875762088573</v>
      </c>
      <c r="X5701" s="2">
        <f ca="1"/>
        <v>36.756647773763937</v>
      </c>
      <c r="AG5701" s="2">
        <f ca="1"/>
        <v>0.69364590893395106</v>
      </c>
      <c r="AH5701" s="2" t="str">
        <f ca="1"/>
        <v>Bad</v>
      </c>
    </row>
    <row r="5702" spans="2:34" x14ac:dyDescent="0.2">
      <c r="B5702" s="2">
        <f ca="1"/>
        <v>0.85927353101179382</v>
      </c>
      <c r="O5702" s="2">
        <f ca="1"/>
        <v>1.1953384201450965</v>
      </c>
      <c r="X5702" s="2">
        <f ca="1"/>
        <v>48.836692240666167</v>
      </c>
      <c r="AG5702" s="2">
        <f ca="1"/>
        <v>0.39604475587929433</v>
      </c>
      <c r="AH5702" s="2" t="str">
        <f ca="1"/>
        <v>OK</v>
      </c>
    </row>
    <row r="5703" spans="2:34" x14ac:dyDescent="0.2">
      <c r="B5703" s="2">
        <f ca="1"/>
        <v>0.72864193227888308</v>
      </c>
      <c r="O5703" s="2">
        <f ca="1"/>
        <v>0.63854087323343178</v>
      </c>
      <c r="X5703" s="2">
        <f ca="1"/>
        <v>64.848515121876432</v>
      </c>
      <c r="AG5703" s="2">
        <f ca="1"/>
        <v>0.79554212081243469</v>
      </c>
      <c r="AH5703" s="2" t="str">
        <f ca="1"/>
        <v>Bad</v>
      </c>
    </row>
    <row r="5704" spans="2:34" x14ac:dyDescent="0.2">
      <c r="B5704" s="2">
        <f ca="1"/>
        <v>0.61272672548230322</v>
      </c>
      <c r="O5704" s="2">
        <f ca="1"/>
        <v>-0.16659886225678464</v>
      </c>
      <c r="X5704" s="2">
        <f ca="1"/>
        <v>52.714312948464965</v>
      </c>
      <c r="AG5704" s="2">
        <f ca="1"/>
        <v>0.28478622266052134</v>
      </c>
      <c r="AH5704" s="2" t="str">
        <f ca="1"/>
        <v>OK</v>
      </c>
    </row>
    <row r="5705" spans="2:34" x14ac:dyDescent="0.2">
      <c r="B5705" s="2">
        <f ca="1"/>
        <v>0.5782229155933738</v>
      </c>
      <c r="O5705" s="2">
        <f ca="1"/>
        <v>-0.6407831321664671</v>
      </c>
      <c r="X5705" s="2">
        <f ca="1"/>
        <v>91.981645828477099</v>
      </c>
      <c r="AG5705" s="2">
        <f ca="1"/>
        <v>0.28546865311526082</v>
      </c>
      <c r="AH5705" s="2" t="str">
        <f ca="1"/>
        <v>OK</v>
      </c>
    </row>
    <row r="5706" spans="2:34" x14ac:dyDescent="0.2">
      <c r="B5706" s="2">
        <f ca="1"/>
        <v>0.94456418368447759</v>
      </c>
      <c r="O5706" s="2">
        <f ca="1"/>
        <v>-0.92838229638935277</v>
      </c>
      <c r="X5706" s="2">
        <f ca="1"/>
        <v>49.450040142106388</v>
      </c>
      <c r="AG5706" s="2">
        <f ca="1"/>
        <v>0.14911402955996711</v>
      </c>
      <c r="AH5706" s="2" t="str">
        <f ca="1"/>
        <v>OK</v>
      </c>
    </row>
    <row r="5707" spans="2:34" x14ac:dyDescent="0.2">
      <c r="B5707" s="2">
        <f ca="1"/>
        <v>0.29043963963862218</v>
      </c>
      <c r="O5707" s="2">
        <f ca="1"/>
        <v>-2.2842211129005596</v>
      </c>
      <c r="X5707" s="2">
        <f ca="1"/>
        <v>55.123123515282515</v>
      </c>
      <c r="AG5707" s="2">
        <f ca="1"/>
        <v>0.52871621014635162</v>
      </c>
      <c r="AH5707" s="2" t="str">
        <f ca="1"/>
        <v>Bad</v>
      </c>
    </row>
    <row r="5708" spans="2:34" x14ac:dyDescent="0.2">
      <c r="B5708" s="2">
        <f ca="1"/>
        <v>4.3167320568857637E-3</v>
      </c>
      <c r="O5708" s="2">
        <f ca="1"/>
        <v>-2.7376789202224936</v>
      </c>
      <c r="X5708" s="2">
        <f ca="1"/>
        <v>56.281402347097149</v>
      </c>
      <c r="AG5708" s="2">
        <f ca="1"/>
        <v>0.51681907808249772</v>
      </c>
      <c r="AH5708" s="2" t="str">
        <f ca="1"/>
        <v>Bad</v>
      </c>
    </row>
    <row r="5709" spans="2:34" x14ac:dyDescent="0.2">
      <c r="B5709" s="2">
        <f ca="1"/>
        <v>0.32255087531425253</v>
      </c>
      <c r="O5709" s="2">
        <f ca="1"/>
        <v>-0.15108503887736616</v>
      </c>
      <c r="X5709" s="2">
        <f ca="1"/>
        <v>39.770443339122238</v>
      </c>
      <c r="AG5709" s="2">
        <f ca="1"/>
        <v>0.32271990729061284</v>
      </c>
      <c r="AH5709" s="2" t="str">
        <f ca="1"/>
        <v>OK</v>
      </c>
    </row>
    <row r="5710" spans="2:34" x14ac:dyDescent="0.2">
      <c r="B5710" s="2">
        <f ca="1"/>
        <v>6.7631945210675504E-3</v>
      </c>
      <c r="O5710" s="2">
        <f ca="1"/>
        <v>0.40127942039975301</v>
      </c>
      <c r="X5710" s="2">
        <f ca="1"/>
        <v>24.076053212008368</v>
      </c>
      <c r="AG5710" s="2">
        <f ca="1"/>
        <v>0.68904701909323318</v>
      </c>
      <c r="AH5710" s="2" t="str">
        <f ca="1"/>
        <v>Bad</v>
      </c>
    </row>
    <row r="5711" spans="2:34" x14ac:dyDescent="0.2">
      <c r="B5711" s="2">
        <f ca="1"/>
        <v>0.86242557745470516</v>
      </c>
      <c r="O5711" s="2">
        <f ca="1"/>
        <v>-9.8185681456265481E-2</v>
      </c>
      <c r="X5711" s="2">
        <f ca="1"/>
        <v>94.332827486901522</v>
      </c>
      <c r="AG5711" s="2">
        <f ca="1"/>
        <v>0.1421113442518851</v>
      </c>
      <c r="AH5711" s="2" t="str">
        <f ca="1"/>
        <v>OK</v>
      </c>
    </row>
    <row r="5712" spans="2:34" x14ac:dyDescent="0.2">
      <c r="B5712" s="2">
        <f ca="1"/>
        <v>0.26922852498677607</v>
      </c>
      <c r="O5712" s="2">
        <f ca="1"/>
        <v>0.12006044471909036</v>
      </c>
      <c r="X5712" s="2">
        <f ca="1"/>
        <v>51.915015964214092</v>
      </c>
      <c r="AG5712" s="2">
        <f ca="1"/>
        <v>0.5829057813267402</v>
      </c>
      <c r="AH5712" s="2" t="str">
        <f ca="1"/>
        <v>Bad</v>
      </c>
    </row>
    <row r="5713" spans="2:34" x14ac:dyDescent="0.2">
      <c r="B5713" s="2">
        <f ca="1"/>
        <v>4.7244963343256119E-2</v>
      </c>
      <c r="O5713" s="2">
        <f ca="1"/>
        <v>4.5996008280303428E-3</v>
      </c>
      <c r="X5713" s="2">
        <f ca="1"/>
        <v>64.000162065981854</v>
      </c>
      <c r="AG5713" s="2">
        <f ca="1"/>
        <v>6.4125817251317052E-3</v>
      </c>
      <c r="AH5713" s="2" t="str">
        <f ca="1"/>
        <v>Good</v>
      </c>
    </row>
    <row r="5714" spans="2:34" x14ac:dyDescent="0.2">
      <c r="B5714" s="2">
        <f ca="1"/>
        <v>0.15640633856706643</v>
      </c>
      <c r="O5714" s="2">
        <f ca="1"/>
        <v>-1.0097076394631699</v>
      </c>
      <c r="X5714" s="2">
        <f ca="1"/>
        <v>52.456889566969586</v>
      </c>
      <c r="AG5714" s="2">
        <f ca="1"/>
        <v>0.1727583058950859</v>
      </c>
      <c r="AH5714" s="2" t="str">
        <f ca="1"/>
        <v>OK</v>
      </c>
    </row>
    <row r="5715" spans="2:34" x14ac:dyDescent="0.2">
      <c r="B5715" s="2">
        <f ca="1"/>
        <v>0.10854373367391013</v>
      </c>
      <c r="O5715" s="2">
        <f ca="1"/>
        <v>0.30370736697093009</v>
      </c>
      <c r="X5715" s="2">
        <f ca="1"/>
        <v>44.591872527569933</v>
      </c>
      <c r="AG5715" s="2">
        <f ca="1"/>
        <v>0.34845779168826851</v>
      </c>
      <c r="AH5715" s="2" t="str">
        <f ca="1"/>
        <v>OK</v>
      </c>
    </row>
    <row r="5716" spans="2:34" x14ac:dyDescent="0.2">
      <c r="B5716" s="2">
        <f ca="1"/>
        <v>0.96210838458217252</v>
      </c>
      <c r="O5716" s="2">
        <f ca="1"/>
        <v>-9.3280198912546602E-2</v>
      </c>
      <c r="X5716" s="2">
        <f ca="1"/>
        <v>48.360930340692093</v>
      </c>
      <c r="AG5716" s="2">
        <f ca="1"/>
        <v>0.41245799503492231</v>
      </c>
      <c r="AH5716" s="2" t="str">
        <f ca="1"/>
        <v>Bad</v>
      </c>
    </row>
    <row r="5717" spans="2:34" x14ac:dyDescent="0.2">
      <c r="B5717" s="2">
        <f ca="1"/>
        <v>2.3139761526761893E-2</v>
      </c>
      <c r="O5717" s="2">
        <f ca="1"/>
        <v>2.1762845449331714</v>
      </c>
      <c r="X5717" s="2">
        <f ca="1"/>
        <v>22.921596190415304</v>
      </c>
      <c r="AG5717" s="2">
        <f ca="1"/>
        <v>0.89893632687368408</v>
      </c>
      <c r="AH5717" s="2" t="str">
        <f ca="1"/>
        <v>Bad</v>
      </c>
    </row>
    <row r="5718" spans="2:34" x14ac:dyDescent="0.2">
      <c r="B5718" s="2">
        <f ca="1"/>
        <v>0.55682333600723899</v>
      </c>
      <c r="O5718" s="2">
        <f ca="1"/>
        <v>1.4606332290192723</v>
      </c>
      <c r="X5718" s="2">
        <f ca="1"/>
        <v>62.006402047570795</v>
      </c>
      <c r="AG5718" s="2">
        <f ca="1"/>
        <v>0.21244868353718704</v>
      </c>
      <c r="AH5718" s="2" t="str">
        <f ca="1"/>
        <v>OK</v>
      </c>
    </row>
    <row r="5719" spans="2:34" x14ac:dyDescent="0.2">
      <c r="B5719" s="2">
        <f ca="1"/>
        <v>0.82747083194257276</v>
      </c>
      <c r="O5719" s="2">
        <f ca="1"/>
        <v>-0.83940920572116207</v>
      </c>
      <c r="X5719" s="2">
        <f ca="1"/>
        <v>36.064782358423237</v>
      </c>
      <c r="AG5719" s="2">
        <f ca="1"/>
        <v>8.9613978220210999E-2</v>
      </c>
      <c r="AH5719" s="2" t="str">
        <f ca="1"/>
        <v>OK</v>
      </c>
    </row>
    <row r="5720" spans="2:34" x14ac:dyDescent="0.2">
      <c r="B5720" s="2">
        <f ca="1"/>
        <v>0.24041628805254289</v>
      </c>
      <c r="O5720" s="2">
        <f ca="1"/>
        <v>-1.7097467281593004</v>
      </c>
      <c r="X5720" s="2">
        <f ca="1"/>
        <v>41.657698611664955</v>
      </c>
      <c r="AG5720" s="2">
        <f ca="1"/>
        <v>0.67719919166601517</v>
      </c>
      <c r="AH5720" s="2" t="str">
        <f ca="1"/>
        <v>Bad</v>
      </c>
    </row>
    <row r="5721" spans="2:34" x14ac:dyDescent="0.2">
      <c r="B5721" s="2">
        <f ca="1"/>
        <v>0.27508507588639874</v>
      </c>
      <c r="O5721" s="2">
        <f ca="1"/>
        <v>-0.84644806443096232</v>
      </c>
      <c r="X5721" s="2">
        <f ca="1"/>
        <v>33.047649709167132</v>
      </c>
      <c r="AG5721" s="2">
        <f ca="1"/>
        <v>0.71512748893183264</v>
      </c>
      <c r="AH5721" s="2" t="str">
        <f ca="1"/>
        <v>Bad</v>
      </c>
    </row>
    <row r="5722" spans="2:34" x14ac:dyDescent="0.2">
      <c r="B5722" s="2">
        <f ca="1"/>
        <v>0.42601117743771888</v>
      </c>
      <c r="O5722" s="2">
        <f ca="1"/>
        <v>0.49918083074761199</v>
      </c>
      <c r="X5722" s="2">
        <f ca="1"/>
        <v>43.396241520973518</v>
      </c>
      <c r="AG5722" s="2">
        <f ca="1"/>
        <v>0.42821347145780564</v>
      </c>
      <c r="AH5722" s="2" t="str">
        <f ca="1"/>
        <v>Bad</v>
      </c>
    </row>
    <row r="5723" spans="2:34" x14ac:dyDescent="0.2">
      <c r="B5723" s="2">
        <f ca="1"/>
        <v>0.53009724728889629</v>
      </c>
      <c r="O5723" s="2">
        <f ca="1"/>
        <v>0.27266276053049976</v>
      </c>
      <c r="X5723" s="2">
        <f ca="1"/>
        <v>59.018348161460636</v>
      </c>
      <c r="AG5723" s="2">
        <f ca="1"/>
        <v>2.6539376516538482E-2</v>
      </c>
      <c r="AH5723" s="2" t="str">
        <f ca="1"/>
        <v>Good</v>
      </c>
    </row>
    <row r="5724" spans="2:34" x14ac:dyDescent="0.2">
      <c r="B5724" s="2">
        <f ca="1"/>
        <v>0.6868482864857739</v>
      </c>
      <c r="O5724" s="2">
        <f ca="1"/>
        <v>-1.4338109834521024</v>
      </c>
      <c r="X5724" s="2">
        <f ca="1"/>
        <v>47.009068474040411</v>
      </c>
      <c r="AG5724" s="2">
        <f ca="1"/>
        <v>0.1529557704307043</v>
      </c>
      <c r="AH5724" s="2" t="str">
        <f ca="1"/>
        <v>OK</v>
      </c>
    </row>
    <row r="5725" spans="2:34" x14ac:dyDescent="0.2">
      <c r="B5725" s="2">
        <f ca="1"/>
        <v>0.78305509910342619</v>
      </c>
      <c r="O5725" s="2">
        <f ca="1"/>
        <v>-1.2996326331840375</v>
      </c>
      <c r="X5725" s="2">
        <f ca="1"/>
        <v>20.525225697433342</v>
      </c>
      <c r="AG5725" s="2">
        <f ca="1"/>
        <v>0.75890597030277984</v>
      </c>
      <c r="AH5725" s="2" t="str">
        <f ca="1"/>
        <v>Bad</v>
      </c>
    </row>
    <row r="5726" spans="2:34" x14ac:dyDescent="0.2">
      <c r="B5726" s="2">
        <f ca="1"/>
        <v>0.69772970779451349</v>
      </c>
      <c r="O5726" s="2">
        <f ca="1"/>
        <v>0.42987576972354352</v>
      </c>
      <c r="X5726" s="2">
        <f ca="1"/>
        <v>42.287517312115966</v>
      </c>
      <c r="AG5726" s="2">
        <f ca="1"/>
        <v>7.402738956798105E-3</v>
      </c>
      <c r="AH5726" s="2" t="str">
        <f ca="1"/>
        <v>Good</v>
      </c>
    </row>
    <row r="5727" spans="2:34" x14ac:dyDescent="0.2">
      <c r="B5727" s="2">
        <f ca="1"/>
        <v>0.78716549843252515</v>
      </c>
      <c r="O5727" s="2">
        <f ca="1"/>
        <v>-0.78146515943367345</v>
      </c>
      <c r="X5727" s="2">
        <f ca="1"/>
        <v>58.324263584667278</v>
      </c>
      <c r="AG5727" s="2">
        <f ca="1"/>
        <v>8.084205816622192E-2</v>
      </c>
      <c r="AH5727" s="2" t="str">
        <f ca="1"/>
        <v>OK</v>
      </c>
    </row>
    <row r="5728" spans="2:34" x14ac:dyDescent="0.2">
      <c r="B5728" s="2">
        <f ca="1"/>
        <v>0.10740187778217902</v>
      </c>
      <c r="O5728" s="2">
        <f ca="1"/>
        <v>-1.2534879233028149</v>
      </c>
      <c r="X5728" s="2">
        <f ca="1"/>
        <v>46.811249603001109</v>
      </c>
      <c r="AG5728" s="2">
        <f ca="1"/>
        <v>0.30977948714440817</v>
      </c>
      <c r="AH5728" s="2" t="str">
        <f ca="1"/>
        <v>OK</v>
      </c>
    </row>
    <row r="5729" spans="2:34" x14ac:dyDescent="0.2">
      <c r="B5729" s="2">
        <f ca="1"/>
        <v>7.6838939396894235E-2</v>
      </c>
      <c r="O5729" s="2">
        <f ca="1"/>
        <v>-1.9063948269769879</v>
      </c>
      <c r="X5729" s="2">
        <f ca="1"/>
        <v>48.922051746175292</v>
      </c>
      <c r="AG5729" s="2">
        <f ca="1"/>
        <v>0.61390841876739399</v>
      </c>
      <c r="AH5729" s="2" t="str">
        <f ca="1"/>
        <v>Bad</v>
      </c>
    </row>
    <row r="5730" spans="2:34" x14ac:dyDescent="0.2">
      <c r="B5730" s="2">
        <f ca="1"/>
        <v>0.7062080618281088</v>
      </c>
      <c r="O5730" s="2">
        <f ca="1"/>
        <v>-0.68252202204950208</v>
      </c>
      <c r="X5730" s="2">
        <f ca="1"/>
        <v>40.454002797696162</v>
      </c>
      <c r="AG5730" s="2">
        <f ca="1"/>
        <v>0.16298806125307497</v>
      </c>
      <c r="AH5730" s="2" t="str">
        <f ca="1"/>
        <v>OK</v>
      </c>
    </row>
    <row r="5731" spans="2:34" x14ac:dyDescent="0.2">
      <c r="B5731" s="2">
        <f ca="1"/>
        <v>0.71066941208413703</v>
      </c>
      <c r="O5731" s="2">
        <f ca="1"/>
        <v>0.10521476553111507</v>
      </c>
      <c r="X5731" s="2">
        <f ca="1"/>
        <v>58.553733758508443</v>
      </c>
      <c r="AG5731" s="2">
        <f ca="1"/>
        <v>0.65814181169375408</v>
      </c>
      <c r="AH5731" s="2" t="str">
        <f ca="1"/>
        <v>Bad</v>
      </c>
    </row>
    <row r="5732" spans="2:34" x14ac:dyDescent="0.2">
      <c r="B5732" s="2">
        <f ca="1"/>
        <v>0.16589056879047237</v>
      </c>
      <c r="O5732" s="2">
        <f ca="1"/>
        <v>1.6268492219226511</v>
      </c>
      <c r="X5732" s="2">
        <f ca="1"/>
        <v>67.856988417727308</v>
      </c>
      <c r="AG5732" s="2">
        <f ca="1"/>
        <v>0.37627917006483358</v>
      </c>
      <c r="AH5732" s="2" t="str">
        <f ca="1"/>
        <v>OK</v>
      </c>
    </row>
    <row r="5733" spans="2:34" x14ac:dyDescent="0.2">
      <c r="B5733" s="2">
        <f ca="1"/>
        <v>0.38125037842666831</v>
      </c>
      <c r="O5733" s="2">
        <f ca="1"/>
        <v>0.94741934893959157</v>
      </c>
      <c r="X5733" s="2">
        <f ca="1"/>
        <v>46.682028687483111</v>
      </c>
      <c r="AG5733" s="2">
        <f ca="1"/>
        <v>0.410467723613547</v>
      </c>
      <c r="AH5733" s="2" t="str">
        <f ca="1"/>
        <v>Bad</v>
      </c>
    </row>
    <row r="5734" spans="2:34" x14ac:dyDescent="0.2">
      <c r="B5734" s="2">
        <f ca="1"/>
        <v>0.29918725161141047</v>
      </c>
      <c r="O5734" s="2">
        <f ca="1"/>
        <v>0.33735330507771644</v>
      </c>
      <c r="X5734" s="2">
        <f ca="1"/>
        <v>45.342129677740594</v>
      </c>
      <c r="AG5734" s="2">
        <f ca="1"/>
        <v>2.4388404841240163E-3</v>
      </c>
      <c r="AH5734" s="2" t="str">
        <f ca="1"/>
        <v>Good</v>
      </c>
    </row>
    <row r="5735" spans="2:34" x14ac:dyDescent="0.2">
      <c r="B5735" s="2">
        <f ca="1"/>
        <v>0.46853326173770471</v>
      </c>
      <c r="O5735" s="2">
        <f ca="1"/>
        <v>-7.977823568307868E-2</v>
      </c>
      <c r="X5735" s="2">
        <f ca="1"/>
        <v>51.128238767007581</v>
      </c>
      <c r="AG5735" s="2">
        <f ca="1"/>
        <v>0.35992623385216405</v>
      </c>
      <c r="AH5735" s="2" t="str">
        <f ca="1"/>
        <v>OK</v>
      </c>
    </row>
    <row r="5736" spans="2:34" x14ac:dyDescent="0.2">
      <c r="B5736" s="2">
        <f ca="1"/>
        <v>0.10619644301528419</v>
      </c>
      <c r="O5736" s="2">
        <f ca="1"/>
        <v>-1.1453186645091107</v>
      </c>
      <c r="X5736" s="2">
        <f ca="1"/>
        <v>49.473041341003409</v>
      </c>
      <c r="AG5736" s="2">
        <f ca="1"/>
        <v>0.18339046767016609</v>
      </c>
      <c r="AH5736" s="2" t="str">
        <f ca="1"/>
        <v>OK</v>
      </c>
    </row>
    <row r="5737" spans="2:34" x14ac:dyDescent="0.2">
      <c r="B5737" s="2">
        <f ca="1"/>
        <v>0.7289565007460832</v>
      </c>
      <c r="O5737" s="2">
        <f ca="1"/>
        <v>-0.52889905878334553</v>
      </c>
      <c r="X5737" s="2">
        <f ca="1"/>
        <v>55.329727530469228</v>
      </c>
      <c r="AG5737" s="2">
        <f ca="1"/>
        <v>0.57851093110421892</v>
      </c>
      <c r="AH5737" s="2" t="str">
        <f ca="1"/>
        <v>Bad</v>
      </c>
    </row>
    <row r="5738" spans="2:34" x14ac:dyDescent="0.2">
      <c r="B5738" s="2">
        <f ca="1"/>
        <v>0.82652843286553956</v>
      </c>
      <c r="O5738" s="2">
        <f ca="1"/>
        <v>0.28819644285795554</v>
      </c>
      <c r="X5738" s="2">
        <f ca="1"/>
        <v>59.707738130016146</v>
      </c>
      <c r="AG5738" s="2">
        <f ca="1"/>
        <v>0.27301392080675591</v>
      </c>
      <c r="AH5738" s="2" t="str">
        <f ca="1"/>
        <v>OK</v>
      </c>
    </row>
    <row r="5739" spans="2:34" x14ac:dyDescent="0.2">
      <c r="B5739" s="2">
        <f ca="1"/>
        <v>0.50584236789872006</v>
      </c>
      <c r="O5739" s="2">
        <f ca="1"/>
        <v>1.8774121096681857</v>
      </c>
      <c r="X5739" s="2">
        <f ca="1"/>
        <v>46.960478104755559</v>
      </c>
      <c r="AG5739" s="2">
        <f ca="1"/>
        <v>0.22155303402299431</v>
      </c>
      <c r="AH5739" s="2" t="str">
        <f ca="1"/>
        <v>OK</v>
      </c>
    </row>
    <row r="5740" spans="2:34" x14ac:dyDescent="0.2">
      <c r="B5740" s="2">
        <f ca="1"/>
        <v>0.85551795981839862</v>
      </c>
      <c r="O5740" s="2">
        <f ca="1"/>
        <v>0.62410546065028893</v>
      </c>
      <c r="X5740" s="2">
        <f ca="1"/>
        <v>20.818733909257617</v>
      </c>
      <c r="AG5740" s="2">
        <f ca="1"/>
        <v>2.3430161497910884E-2</v>
      </c>
      <c r="AH5740" s="2" t="str">
        <f ca="1"/>
        <v>Good</v>
      </c>
    </row>
    <row r="5741" spans="2:34" x14ac:dyDescent="0.2">
      <c r="B5741" s="2">
        <f ca="1"/>
        <v>0.98247092792930579</v>
      </c>
      <c r="O5741" s="2">
        <f ca="1"/>
        <v>-0.81908297225098647</v>
      </c>
      <c r="X5741" s="2">
        <f ca="1"/>
        <v>41.688164046587197</v>
      </c>
      <c r="AG5741" s="2">
        <f ca="1"/>
        <v>0.54434004939683178</v>
      </c>
      <c r="AH5741" s="2" t="str">
        <f ca="1"/>
        <v>Bad</v>
      </c>
    </row>
    <row r="5742" spans="2:34" x14ac:dyDescent="0.2">
      <c r="B5742" s="2">
        <f ca="1"/>
        <v>0.89644348955430009</v>
      </c>
      <c r="O5742" s="2">
        <f ca="1"/>
        <v>0.30901829823747706</v>
      </c>
      <c r="X5742" s="2">
        <f ca="1"/>
        <v>36.823203117155039</v>
      </c>
      <c r="AG5742" s="2">
        <f ca="1"/>
        <v>0.27944478325994337</v>
      </c>
      <c r="AH5742" s="2" t="str">
        <f ca="1"/>
        <v>OK</v>
      </c>
    </row>
    <row r="5743" spans="2:34" x14ac:dyDescent="0.2">
      <c r="B5743" s="2">
        <f ca="1"/>
        <v>0.66095130348866715</v>
      </c>
      <c r="O5743" s="2">
        <f ca="1"/>
        <v>-0.767170745050481</v>
      </c>
      <c r="X5743" s="2">
        <f ca="1"/>
        <v>51.217377435137621</v>
      </c>
      <c r="AG5743" s="2">
        <f ca="1"/>
        <v>0.47159998260332903</v>
      </c>
      <c r="AH5743" s="2" t="str">
        <f ca="1"/>
        <v>Bad</v>
      </c>
    </row>
    <row r="5744" spans="2:34" x14ac:dyDescent="0.2">
      <c r="B5744" s="2">
        <f ca="1"/>
        <v>0.50665132642895627</v>
      </c>
      <c r="O5744" s="2">
        <f ca="1"/>
        <v>-1.2430465131718598E-2</v>
      </c>
      <c r="X5744" s="2">
        <f ca="1"/>
        <v>40.534643789174396</v>
      </c>
      <c r="AG5744" s="2">
        <f ca="1"/>
        <v>0.45454735166902061</v>
      </c>
      <c r="AH5744" s="2" t="str">
        <f ca="1"/>
        <v>Bad</v>
      </c>
    </row>
    <row r="5745" spans="2:34" x14ac:dyDescent="0.2">
      <c r="B5745" s="2">
        <f ca="1"/>
        <v>0.19399377646390281</v>
      </c>
      <c r="O5745" s="2">
        <f ca="1"/>
        <v>-0.54060427663182065</v>
      </c>
      <c r="X5745" s="2">
        <f ca="1"/>
        <v>79.191190933354292</v>
      </c>
      <c r="AG5745" s="2">
        <f ca="1"/>
        <v>0.84306038102926029</v>
      </c>
      <c r="AH5745" s="2" t="str">
        <f ca="1"/>
        <v>Bad</v>
      </c>
    </row>
    <row r="5746" spans="2:34" x14ac:dyDescent="0.2">
      <c r="B5746" s="2">
        <f ca="1"/>
        <v>0.98972596287163217</v>
      </c>
      <c r="O5746" s="2">
        <f ca="1"/>
        <v>-1.5587295468613935</v>
      </c>
      <c r="X5746" s="2">
        <f ca="1"/>
        <v>37.854318993116166</v>
      </c>
      <c r="AG5746" s="2">
        <f ca="1"/>
        <v>0.99135366440375172</v>
      </c>
      <c r="AH5746" s="2" t="str">
        <f ca="1"/>
        <v>Bad</v>
      </c>
    </row>
    <row r="5747" spans="2:34" x14ac:dyDescent="0.2">
      <c r="B5747" s="2">
        <f ca="1"/>
        <v>8.8310469668040126E-2</v>
      </c>
      <c r="O5747" s="2">
        <f ca="1"/>
        <v>-1.4366025167796548</v>
      </c>
      <c r="X5747" s="2">
        <f ca="1"/>
        <v>31.016999940990612</v>
      </c>
      <c r="AG5747" s="2">
        <f ca="1"/>
        <v>0.55513676731922357</v>
      </c>
      <c r="AH5747" s="2" t="str">
        <f ca="1"/>
        <v>Bad</v>
      </c>
    </row>
    <row r="5748" spans="2:34" x14ac:dyDescent="0.2">
      <c r="B5748" s="2">
        <f ca="1"/>
        <v>0.74422701414951531</v>
      </c>
      <c r="O5748" s="2">
        <f ca="1"/>
        <v>1.2948111163539269</v>
      </c>
      <c r="X5748" s="2">
        <f ca="1"/>
        <v>28.701654157123379</v>
      </c>
      <c r="AG5748" s="2">
        <f ca="1"/>
        <v>0.79580051090700876</v>
      </c>
      <c r="AH5748" s="2" t="str">
        <f ca="1"/>
        <v>Bad</v>
      </c>
    </row>
    <row r="5749" spans="2:34" x14ac:dyDescent="0.2">
      <c r="B5749" s="2">
        <f ca="1"/>
        <v>3.3907504160837432E-2</v>
      </c>
      <c r="O5749" s="2">
        <f ca="1"/>
        <v>1.572511066359936</v>
      </c>
      <c r="X5749" s="2">
        <f ca="1"/>
        <v>49.905425332208921</v>
      </c>
      <c r="AG5749" s="2">
        <f ca="1"/>
        <v>0.13442048020457342</v>
      </c>
      <c r="AH5749" s="2" t="str">
        <f ca="1"/>
        <v>OK</v>
      </c>
    </row>
    <row r="5750" spans="2:34" x14ac:dyDescent="0.2">
      <c r="B5750" s="2">
        <f ca="1"/>
        <v>0.82061864745100599</v>
      </c>
      <c r="O5750" s="2">
        <f ca="1"/>
        <v>0.2667257495064092</v>
      </c>
      <c r="X5750" s="2">
        <f ca="1"/>
        <v>64.682979266731607</v>
      </c>
      <c r="AG5750" s="2">
        <f ca="1"/>
        <v>0.65675149819679524</v>
      </c>
      <c r="AH5750" s="2" t="str">
        <f ca="1"/>
        <v>Bad</v>
      </c>
    </row>
    <row r="5751" spans="2:34" x14ac:dyDescent="0.2">
      <c r="B5751" s="2">
        <f ca="1"/>
        <v>0.98892637847659959</v>
      </c>
      <c r="O5751" s="2">
        <f ca="1"/>
        <v>-0.87741386457250781</v>
      </c>
      <c r="X5751" s="2">
        <f ca="1"/>
        <v>34.374074791846041</v>
      </c>
      <c r="AG5751" s="2">
        <f ca="1"/>
        <v>0.90401389725950221</v>
      </c>
      <c r="AH5751" s="2" t="str">
        <f ca="1"/>
        <v>Bad</v>
      </c>
    </row>
    <row r="5752" spans="2:34" x14ac:dyDescent="0.2">
      <c r="B5752" s="2">
        <f ca="1"/>
        <v>0.96575735999941803</v>
      </c>
      <c r="O5752" s="2">
        <f ca="1"/>
        <v>-0.25820951425775807</v>
      </c>
      <c r="X5752" s="2">
        <f ca="1"/>
        <v>43.93918569962451</v>
      </c>
      <c r="AG5752" s="2">
        <f ca="1"/>
        <v>8.8687527815170197E-2</v>
      </c>
      <c r="AH5752" s="2" t="str">
        <f ca="1"/>
        <v>OK</v>
      </c>
    </row>
    <row r="5753" spans="2:34" x14ac:dyDescent="0.2">
      <c r="B5753" s="2">
        <f ca="1"/>
        <v>0.49758089280862783</v>
      </c>
      <c r="O5753" s="2">
        <f ca="1"/>
        <v>0.4817975073406997</v>
      </c>
      <c r="X5753" s="2">
        <f ca="1"/>
        <v>42.222872534940294</v>
      </c>
      <c r="AG5753" s="2">
        <f ca="1"/>
        <v>0.49613702732936549</v>
      </c>
      <c r="AH5753" s="2" t="str">
        <f ca="1"/>
        <v>Bad</v>
      </c>
    </row>
    <row r="5754" spans="2:34" x14ac:dyDescent="0.2">
      <c r="B5754" s="2">
        <f ca="1"/>
        <v>0.77843063305293736</v>
      </c>
      <c r="O5754" s="2">
        <f ca="1"/>
        <v>0.87112486412181467</v>
      </c>
      <c r="X5754" s="2">
        <f ca="1"/>
        <v>23.636455121420067</v>
      </c>
      <c r="AG5754" s="2">
        <f ca="1"/>
        <v>0.18381991315461255</v>
      </c>
      <c r="AH5754" s="2" t="str">
        <f ca="1"/>
        <v>OK</v>
      </c>
    </row>
    <row r="5755" spans="2:34" x14ac:dyDescent="0.2">
      <c r="B5755" s="2">
        <f ca="1"/>
        <v>0.61657788347273601</v>
      </c>
      <c r="O5755" s="2">
        <f ca="1"/>
        <v>-0.60444637570977178</v>
      </c>
      <c r="X5755" s="2">
        <f ca="1"/>
        <v>77.122868814545868</v>
      </c>
      <c r="AG5755" s="2">
        <f ca="1"/>
        <v>0.87297672121720771</v>
      </c>
      <c r="AH5755" s="2" t="str">
        <f ca="1"/>
        <v>Bad</v>
      </c>
    </row>
    <row r="5756" spans="2:34" x14ac:dyDescent="0.2">
      <c r="B5756" s="2">
        <f ca="1"/>
        <v>0.54558582326028793</v>
      </c>
      <c r="O5756" s="2">
        <f ca="1"/>
        <v>0.58277315751818648</v>
      </c>
      <c r="X5756" s="2">
        <f ca="1"/>
        <v>44.577184793044637</v>
      </c>
      <c r="AG5756" s="2">
        <f ca="1"/>
        <v>7.9176083974140221E-2</v>
      </c>
      <c r="AH5756" s="2" t="str">
        <f ca="1"/>
        <v>OK</v>
      </c>
    </row>
    <row r="5757" spans="2:34" x14ac:dyDescent="0.2">
      <c r="B5757" s="2">
        <f ca="1"/>
        <v>0.60036285022409519</v>
      </c>
      <c r="O5757" s="2">
        <f ca="1"/>
        <v>0.1511113113439401</v>
      </c>
      <c r="X5757" s="2">
        <f ca="1"/>
        <v>27.81583304952413</v>
      </c>
      <c r="AG5757" s="2">
        <f ca="1"/>
        <v>0.70101235040064425</v>
      </c>
      <c r="AH5757" s="2" t="str">
        <f ca="1"/>
        <v>Bad</v>
      </c>
    </row>
    <row r="5758" spans="2:34" x14ac:dyDescent="0.2">
      <c r="B5758" s="2">
        <f ca="1"/>
        <v>3.3011088296826641E-2</v>
      </c>
      <c r="O5758" s="2">
        <f ca="1"/>
        <v>0.54383619864550048</v>
      </c>
      <c r="X5758" s="2">
        <f ca="1"/>
        <v>58.48408628796706</v>
      </c>
      <c r="AG5758" s="2">
        <f ca="1"/>
        <v>0.12136319826696118</v>
      </c>
      <c r="AH5758" s="2" t="str">
        <f ca="1"/>
        <v>OK</v>
      </c>
    </row>
    <row r="5759" spans="2:34" x14ac:dyDescent="0.2">
      <c r="B5759" s="2">
        <f ca="1"/>
        <v>0.30690738965839692</v>
      </c>
      <c r="O5759" s="2">
        <f ca="1"/>
        <v>-0.32507446396510453</v>
      </c>
      <c r="X5759" s="2">
        <f ca="1"/>
        <v>54.774135801799055</v>
      </c>
      <c r="AG5759" s="2">
        <f ca="1"/>
        <v>0.21250540062346479</v>
      </c>
      <c r="AH5759" s="2" t="str">
        <f ca="1"/>
        <v>OK</v>
      </c>
    </row>
    <row r="5760" spans="2:34" x14ac:dyDescent="0.2">
      <c r="B5760" s="2">
        <f ca="1"/>
        <v>0.64260470777617207</v>
      </c>
      <c r="O5760" s="2">
        <f ca="1"/>
        <v>0.36135801027504361</v>
      </c>
      <c r="X5760" s="2">
        <f ca="1"/>
        <v>46.219430492348209</v>
      </c>
      <c r="AG5760" s="2">
        <f ca="1"/>
        <v>0.57013585298848701</v>
      </c>
      <c r="AH5760" s="2" t="str">
        <f ca="1"/>
        <v>Bad</v>
      </c>
    </row>
    <row r="5761" spans="2:34" x14ac:dyDescent="0.2">
      <c r="B5761" s="2">
        <f ca="1"/>
        <v>0.29454841724939329</v>
      </c>
      <c r="O5761" s="2">
        <f ca="1"/>
        <v>-1.9381216767484608</v>
      </c>
      <c r="X5761" s="2">
        <f ca="1"/>
        <v>66.035786292005994</v>
      </c>
      <c r="AG5761" s="2">
        <f ca="1"/>
        <v>0.23674507252629562</v>
      </c>
      <c r="AH5761" s="2" t="str">
        <f ca="1"/>
        <v>OK</v>
      </c>
    </row>
    <row r="5762" spans="2:34" x14ac:dyDescent="0.2">
      <c r="B5762" s="2">
        <f ca="1"/>
        <v>9.6053884742980822E-2</v>
      </c>
      <c r="O5762" s="2">
        <f ca="1"/>
        <v>-0.20810157579476063</v>
      </c>
      <c r="X5762" s="2">
        <f ca="1"/>
        <v>50.77141537924917</v>
      </c>
      <c r="AG5762" s="2">
        <f ca="1"/>
        <v>0.42329843480795026</v>
      </c>
      <c r="AH5762" s="2" t="str">
        <f ca="1"/>
        <v>Bad</v>
      </c>
    </row>
    <row r="5763" spans="2:34" x14ac:dyDescent="0.2">
      <c r="B5763" s="2">
        <f ca="1"/>
        <v>0.84848861433395517</v>
      </c>
      <c r="O5763" s="2">
        <f ca="1"/>
        <v>-2.1637762601482149</v>
      </c>
      <c r="X5763" s="2">
        <f ca="1"/>
        <v>53.166620972630511</v>
      </c>
      <c r="AG5763" s="2">
        <f ca="1"/>
        <v>0.90895658417179526</v>
      </c>
      <c r="AH5763" s="2" t="str">
        <f ca="1"/>
        <v>Bad</v>
      </c>
    </row>
    <row r="5764" spans="2:34" x14ac:dyDescent="0.2">
      <c r="B5764" s="2">
        <f ca="1"/>
        <v>0.17477641446765357</v>
      </c>
      <c r="O5764" s="2">
        <f ca="1"/>
        <v>-1.4485000769430052</v>
      </c>
      <c r="X5764" s="2">
        <f ca="1"/>
        <v>23.61906344882496</v>
      </c>
      <c r="AG5764" s="2">
        <f ca="1"/>
        <v>0.89656315049532265</v>
      </c>
      <c r="AH5764" s="2" t="str">
        <f ca="1"/>
        <v>Bad</v>
      </c>
    </row>
    <row r="5765" spans="2:34" x14ac:dyDescent="0.2">
      <c r="B5765" s="2">
        <f ca="1"/>
        <v>0.7726516471876046</v>
      </c>
      <c r="O5765" s="2">
        <f ca="1"/>
        <v>-1.0925162938457389</v>
      </c>
      <c r="X5765" s="2">
        <f ca="1"/>
        <v>44.043298983196244</v>
      </c>
      <c r="AG5765" s="2">
        <f ca="1"/>
        <v>0.23734750984454633</v>
      </c>
      <c r="AH5765" s="2" t="str">
        <f ca="1"/>
        <v>OK</v>
      </c>
    </row>
    <row r="5766" spans="2:34" x14ac:dyDescent="0.2">
      <c r="B5766" s="2">
        <f ca="1"/>
        <v>0.61987353438620163</v>
      </c>
      <c r="O5766" s="2">
        <f ca="1"/>
        <v>-0.56470542860217121</v>
      </c>
      <c r="X5766" s="2">
        <f ca="1"/>
        <v>53.216596038139656</v>
      </c>
      <c r="AG5766" s="2">
        <f ca="1"/>
        <v>1.0090519925294306E-3</v>
      </c>
      <c r="AH5766" s="2" t="str">
        <f ca="1"/>
        <v>Good</v>
      </c>
    </row>
    <row r="5767" spans="2:34" x14ac:dyDescent="0.2">
      <c r="B5767" s="2">
        <f ca="1"/>
        <v>0.59502367542077717</v>
      </c>
      <c r="O5767" s="2">
        <f ca="1"/>
        <v>-4.4379568823015816E-2</v>
      </c>
      <c r="X5767" s="2">
        <f ca="1"/>
        <v>60.987109530772862</v>
      </c>
      <c r="AG5767" s="2">
        <f ca="1"/>
        <v>0.96749079015238193</v>
      </c>
      <c r="AH5767" s="2" t="str">
        <f ca="1"/>
        <v>Bad</v>
      </c>
    </row>
    <row r="5768" spans="2:34" x14ac:dyDescent="0.2">
      <c r="B5768" s="2">
        <f ca="1"/>
        <v>0.90840086124567643</v>
      </c>
      <c r="O5768" s="2">
        <f ca="1"/>
        <v>6.2095143128050916E-2</v>
      </c>
      <c r="X5768" s="2">
        <f ca="1"/>
        <v>45.317443578446088</v>
      </c>
      <c r="AG5768" s="2">
        <f ca="1"/>
        <v>0.59304517483061181</v>
      </c>
      <c r="AH5768" s="2" t="str">
        <f ca="1"/>
        <v>Bad</v>
      </c>
    </row>
    <row r="5769" spans="2:34" x14ac:dyDescent="0.2">
      <c r="B5769" s="2">
        <f ca="1"/>
        <v>1.6090450949591162E-2</v>
      </c>
      <c r="O5769" s="2">
        <f ca="1"/>
        <v>-1.7861148407349912</v>
      </c>
      <c r="X5769" s="2">
        <f ca="1"/>
        <v>43.715046313107173</v>
      </c>
      <c r="AG5769" s="2">
        <f ca="1"/>
        <v>0.16334750115108032</v>
      </c>
      <c r="AH5769" s="2" t="str">
        <f ca="1"/>
        <v>OK</v>
      </c>
    </row>
    <row r="5770" spans="2:34" x14ac:dyDescent="0.2">
      <c r="B5770" s="2">
        <f ca="1"/>
        <v>0.34632268694159274</v>
      </c>
      <c r="O5770" s="2">
        <f ca="1"/>
        <v>-1.1923437924908173</v>
      </c>
      <c r="X5770" s="2">
        <f ca="1"/>
        <v>36.935030436067699</v>
      </c>
      <c r="AG5770" s="2">
        <f ca="1"/>
        <v>0.84937967314592222</v>
      </c>
      <c r="AH5770" s="2" t="str">
        <f ca="1"/>
        <v>Bad</v>
      </c>
    </row>
    <row r="5771" spans="2:34" x14ac:dyDescent="0.2">
      <c r="B5771" s="2">
        <f ca="1"/>
        <v>0.45880245388130914</v>
      </c>
      <c r="O5771" s="2">
        <f ca="1"/>
        <v>4.7347160718089289E-2</v>
      </c>
      <c r="X5771" s="2">
        <f ca="1"/>
        <v>42.758449296011129</v>
      </c>
      <c r="AG5771" s="2">
        <f ca="1"/>
        <v>0.55174525168643496</v>
      </c>
      <c r="AH5771" s="2" t="str">
        <f ca="1"/>
        <v>Bad</v>
      </c>
    </row>
    <row r="5772" spans="2:34" x14ac:dyDescent="0.2">
      <c r="B5772" s="2">
        <f ca="1"/>
        <v>0.19831941285301058</v>
      </c>
      <c r="O5772" s="2">
        <f ca="1"/>
        <v>0.64162080090724982</v>
      </c>
      <c r="X5772" s="2">
        <f ca="1"/>
        <v>26.278561057284389</v>
      </c>
      <c r="AG5772" s="2">
        <f ca="1"/>
        <v>0.97776490562230256</v>
      </c>
      <c r="AH5772" s="2" t="str">
        <f ca="1"/>
        <v>Bad</v>
      </c>
    </row>
    <row r="5773" spans="2:34" x14ac:dyDescent="0.2">
      <c r="B5773" s="2">
        <f ca="1"/>
        <v>0.5011979788087082</v>
      </c>
      <c r="O5773" s="2">
        <f ca="1"/>
        <v>0.22836634273873282</v>
      </c>
      <c r="X5773" s="2">
        <f ca="1"/>
        <v>43.126800585346061</v>
      </c>
      <c r="AG5773" s="2">
        <f ca="1"/>
        <v>6.1117111306881355E-2</v>
      </c>
      <c r="AH5773" s="2" t="str">
        <f ca="1"/>
        <v>OK</v>
      </c>
    </row>
    <row r="5774" spans="2:34" x14ac:dyDescent="0.2">
      <c r="B5774" s="2">
        <f ca="1"/>
        <v>0.90370458227526784</v>
      </c>
      <c r="O5774" s="2">
        <f ca="1"/>
        <v>-0.12842066604164543</v>
      </c>
      <c r="X5774" s="2">
        <f ca="1"/>
        <v>44.765007938192312</v>
      </c>
      <c r="AG5774" s="2">
        <f ca="1"/>
        <v>0.78033090581934772</v>
      </c>
      <c r="AH5774" s="2" t="str">
        <f ca="1"/>
        <v>Bad</v>
      </c>
    </row>
    <row r="5775" spans="2:34" x14ac:dyDescent="0.2">
      <c r="B5775" s="2">
        <f ca="1"/>
        <v>0.17690324386810685</v>
      </c>
      <c r="O5775" s="2">
        <f ca="1"/>
        <v>0.68586775095211583</v>
      </c>
      <c r="X5775" s="2">
        <f ca="1"/>
        <v>38.315050477861362</v>
      </c>
      <c r="AG5775" s="2">
        <f ca="1"/>
        <v>0.37549238288692011</v>
      </c>
      <c r="AH5775" s="2" t="str">
        <f ca="1"/>
        <v>OK</v>
      </c>
    </row>
    <row r="5776" spans="2:34" x14ac:dyDescent="0.2">
      <c r="B5776" s="2">
        <f ca="1"/>
        <v>0.90844273726257163</v>
      </c>
      <c r="O5776" s="2">
        <f ca="1"/>
        <v>0.51762443274836734</v>
      </c>
      <c r="X5776" s="2">
        <f ca="1"/>
        <v>51.283193745480261</v>
      </c>
      <c r="AG5776" s="2">
        <f ca="1"/>
        <v>0.54847455630497666</v>
      </c>
      <c r="AH5776" s="2" t="str">
        <f ca="1"/>
        <v>Bad</v>
      </c>
    </row>
    <row r="5777" spans="2:34" x14ac:dyDescent="0.2">
      <c r="B5777" s="2">
        <f ca="1"/>
        <v>0.15621444815984176</v>
      </c>
      <c r="O5777" s="2">
        <f ca="1"/>
        <v>-0.38536856415323817</v>
      </c>
      <c r="X5777" s="2">
        <f ca="1"/>
        <v>38.038494460313103</v>
      </c>
      <c r="AG5777" s="2">
        <f ca="1"/>
        <v>0.41406747089052631</v>
      </c>
      <c r="AH5777" s="2" t="str">
        <f ca="1"/>
        <v>Bad</v>
      </c>
    </row>
    <row r="5778" spans="2:34" x14ac:dyDescent="0.2">
      <c r="B5778" s="2">
        <f ca="1"/>
        <v>0.95505145044968431</v>
      </c>
      <c r="O5778" s="2">
        <f ca="1"/>
        <v>7.6241432147538854E-2</v>
      </c>
      <c r="X5778" s="2">
        <f ca="1"/>
        <v>57.895677793186763</v>
      </c>
      <c r="AG5778" s="2">
        <f ca="1"/>
        <v>0.19284923078379124</v>
      </c>
      <c r="AH5778" s="2" t="str">
        <f ca="1"/>
        <v>OK</v>
      </c>
    </row>
    <row r="5779" spans="2:34" x14ac:dyDescent="0.2">
      <c r="B5779" s="2">
        <f ca="1"/>
        <v>0.22775859137538745</v>
      </c>
      <c r="O5779" s="2">
        <f ca="1"/>
        <v>0.36689861711098393</v>
      </c>
      <c r="X5779" s="2">
        <f ca="1"/>
        <v>54.851111122843605</v>
      </c>
      <c r="AG5779" s="2">
        <f ca="1"/>
        <v>0.55116885629937129</v>
      </c>
      <c r="AH5779" s="2" t="str">
        <f ca="1"/>
        <v>Bad</v>
      </c>
    </row>
    <row r="5780" spans="2:34" x14ac:dyDescent="0.2">
      <c r="B5780" s="2">
        <f ca="1"/>
        <v>0.10642349727496825</v>
      </c>
      <c r="O5780" s="2">
        <f ca="1"/>
        <v>0.48908995970214936</v>
      </c>
      <c r="X5780" s="2">
        <f ca="1"/>
        <v>36.789021872398521</v>
      </c>
      <c r="AG5780" s="2">
        <f ca="1"/>
        <v>0.57024455794818407</v>
      </c>
      <c r="AH5780" s="2" t="str">
        <f ca="1"/>
        <v>Bad</v>
      </c>
    </row>
    <row r="5781" spans="2:34" x14ac:dyDescent="0.2">
      <c r="B5781" s="2">
        <f ca="1"/>
        <v>0.31104518502260903</v>
      </c>
      <c r="O5781" s="2">
        <f ca="1"/>
        <v>0.40357872307227372</v>
      </c>
      <c r="X5781" s="2">
        <f ca="1"/>
        <v>37.427181994088016</v>
      </c>
      <c r="AG5781" s="2">
        <f ca="1"/>
        <v>0.17948502184363013</v>
      </c>
      <c r="AH5781" s="2" t="str">
        <f ca="1"/>
        <v>OK</v>
      </c>
    </row>
    <row r="5782" spans="2:34" x14ac:dyDescent="0.2">
      <c r="B5782" s="2">
        <f ca="1"/>
        <v>0.22899783428884524</v>
      </c>
      <c r="O5782" s="2">
        <f ca="1"/>
        <v>0.42857591633075781</v>
      </c>
      <c r="X5782" s="2">
        <f ca="1"/>
        <v>46.500524530538428</v>
      </c>
      <c r="AG5782" s="2">
        <f ca="1"/>
        <v>0.24304041555226119</v>
      </c>
      <c r="AH5782" s="2" t="str">
        <f ca="1"/>
        <v>OK</v>
      </c>
    </row>
    <row r="5783" spans="2:34" x14ac:dyDescent="0.2">
      <c r="B5783" s="2">
        <f ca="1"/>
        <v>0.55214935484107697</v>
      </c>
      <c r="O5783" s="2">
        <f ca="1"/>
        <v>0.56381844534906311</v>
      </c>
      <c r="X5783" s="2">
        <f ca="1"/>
        <v>49.880629295831305</v>
      </c>
      <c r="AG5783" s="2">
        <f ca="1"/>
        <v>0.94442111931102524</v>
      </c>
      <c r="AH5783" s="2" t="str">
        <f ca="1"/>
        <v>Bad</v>
      </c>
    </row>
    <row r="5784" spans="2:34" x14ac:dyDescent="0.2">
      <c r="B5784" s="2">
        <f ca="1"/>
        <v>0.52667546126896925</v>
      </c>
      <c r="O5784" s="2">
        <f ca="1"/>
        <v>6.8607749103742677E-2</v>
      </c>
      <c r="X5784" s="2">
        <f ca="1"/>
        <v>35.341936873102867</v>
      </c>
      <c r="AG5784" s="2">
        <f ca="1"/>
        <v>0.84332692274399679</v>
      </c>
      <c r="AH5784" s="2" t="str">
        <f ca="1"/>
        <v>Bad</v>
      </c>
    </row>
    <row r="5785" spans="2:34" x14ac:dyDescent="0.2">
      <c r="B5785" s="2">
        <f ca="1"/>
        <v>0.99071714459951754</v>
      </c>
      <c r="O5785" s="2">
        <f ca="1"/>
        <v>-0.88874986238106268</v>
      </c>
      <c r="X5785" s="2">
        <f ca="1"/>
        <v>42.175182791909343</v>
      </c>
      <c r="AG5785" s="2">
        <f ca="1"/>
        <v>0.79354210390641344</v>
      </c>
      <c r="AH5785" s="2" t="str">
        <f ca="1"/>
        <v>Bad</v>
      </c>
    </row>
    <row r="5786" spans="2:34" x14ac:dyDescent="0.2">
      <c r="B5786" s="2">
        <f ca="1"/>
        <v>0.83940156459287985</v>
      </c>
      <c r="O5786" s="2">
        <f ca="1"/>
        <v>-0.26312284704105338</v>
      </c>
      <c r="X5786" s="2">
        <f ca="1"/>
        <v>57.8541795722061</v>
      </c>
      <c r="AG5786" s="2">
        <f ca="1"/>
        <v>0.36991086269519768</v>
      </c>
      <c r="AH5786" s="2" t="str">
        <f ca="1"/>
        <v>OK</v>
      </c>
    </row>
    <row r="5787" spans="2:34" x14ac:dyDescent="0.2">
      <c r="B5787" s="2">
        <f ca="1"/>
        <v>0.60787194682767209</v>
      </c>
      <c r="O5787" s="2">
        <f ca="1"/>
        <v>0.89923856015767534</v>
      </c>
      <c r="X5787" s="2">
        <f ca="1"/>
        <v>54.955592477763098</v>
      </c>
      <c r="AG5787" s="2">
        <f ca="1"/>
        <v>0.25239970116706667</v>
      </c>
      <c r="AH5787" s="2" t="str">
        <f ca="1"/>
        <v>OK</v>
      </c>
    </row>
    <row r="5788" spans="2:34" x14ac:dyDescent="0.2">
      <c r="B5788" s="2">
        <f ca="1"/>
        <v>0.90002767501398351</v>
      </c>
      <c r="O5788" s="2">
        <f ca="1"/>
        <v>1.6612776021612126</v>
      </c>
      <c r="X5788" s="2">
        <f ca="1"/>
        <v>52.06862539265444</v>
      </c>
      <c r="AG5788" s="2">
        <f ca="1"/>
        <v>0.59880732816071491</v>
      </c>
      <c r="AH5788" s="2" t="str">
        <f ca="1"/>
        <v>Bad</v>
      </c>
    </row>
    <row r="5789" spans="2:34" x14ac:dyDescent="0.2">
      <c r="B5789" s="2">
        <f ca="1"/>
        <v>0.11102641639019772</v>
      </c>
      <c r="O5789" s="2">
        <f ca="1"/>
        <v>0.79891864366905307</v>
      </c>
      <c r="X5789" s="2">
        <f ca="1"/>
        <v>35.42266766398933</v>
      </c>
      <c r="AG5789" s="2">
        <f ca="1"/>
        <v>0.25520199620717232</v>
      </c>
      <c r="AH5789" s="2" t="str">
        <f ca="1"/>
        <v>OK</v>
      </c>
    </row>
    <row r="5790" spans="2:34" x14ac:dyDescent="0.2">
      <c r="B5790" s="2">
        <f ca="1"/>
        <v>0.62247055080515268</v>
      </c>
      <c r="O5790" s="2">
        <f ca="1"/>
        <v>0.12957417483994832</v>
      </c>
      <c r="X5790" s="2">
        <f ca="1"/>
        <v>48.840065865678554</v>
      </c>
      <c r="AG5790" s="2">
        <f ca="1"/>
        <v>0.98797342334205829</v>
      </c>
      <c r="AH5790" s="2" t="str">
        <f ca="1"/>
        <v>Bad</v>
      </c>
    </row>
    <row r="5791" spans="2:34" x14ac:dyDescent="0.2">
      <c r="B5791" s="2">
        <f ca="1"/>
        <v>0.51601182647686006</v>
      </c>
      <c r="O5791" s="2">
        <f ca="1"/>
        <v>-1.0894283290112827</v>
      </c>
      <c r="X5791" s="2">
        <f ca="1"/>
        <v>68.714726707149296</v>
      </c>
      <c r="AG5791" s="2">
        <f ca="1"/>
        <v>0.23461207911283766</v>
      </c>
      <c r="AH5791" s="2" t="str">
        <f ca="1"/>
        <v>OK</v>
      </c>
    </row>
    <row r="5792" spans="2:34" x14ac:dyDescent="0.2">
      <c r="B5792" s="2">
        <f ca="1"/>
        <v>0.96584702417425583</v>
      </c>
      <c r="O5792" s="2">
        <f ca="1"/>
        <v>0.68702045878148521</v>
      </c>
      <c r="X5792" s="2">
        <f ca="1"/>
        <v>44.783782556219045</v>
      </c>
      <c r="AG5792" s="2">
        <f ca="1"/>
        <v>0.37657811797137386</v>
      </c>
      <c r="AH5792" s="2" t="str">
        <f ca="1"/>
        <v>OK</v>
      </c>
    </row>
    <row r="5793" spans="2:34" x14ac:dyDescent="0.2">
      <c r="B5793" s="2">
        <f ca="1"/>
        <v>0.74567205961252059</v>
      </c>
      <c r="O5793" s="2">
        <f ca="1"/>
        <v>0.98073989623422952</v>
      </c>
      <c r="X5793" s="2">
        <f ca="1"/>
        <v>95.941277967977811</v>
      </c>
      <c r="AG5793" s="2">
        <f ca="1"/>
        <v>0.48252994288239215</v>
      </c>
      <c r="AH5793" s="2" t="str">
        <f ca="1"/>
        <v>Bad</v>
      </c>
    </row>
    <row r="5794" spans="2:34" x14ac:dyDescent="0.2">
      <c r="B5794" s="2">
        <f ca="1"/>
        <v>0.12468308886753943</v>
      </c>
      <c r="O5794" s="2">
        <f ca="1"/>
        <v>-1.1150575764020572</v>
      </c>
      <c r="X5794" s="2">
        <f ca="1"/>
        <v>46.462378660914766</v>
      </c>
      <c r="AG5794" s="2">
        <f ca="1"/>
        <v>0.63489527338403229</v>
      </c>
      <c r="AH5794" s="2" t="str">
        <f ca="1"/>
        <v>Bad</v>
      </c>
    </row>
    <row r="5795" spans="2:34" x14ac:dyDescent="0.2">
      <c r="B5795" s="2">
        <f ca="1"/>
        <v>0.54631715845080842</v>
      </c>
      <c r="O5795" s="2">
        <f ca="1"/>
        <v>0.2123691817951448</v>
      </c>
      <c r="X5795" s="2">
        <f ca="1"/>
        <v>61.877900693021665</v>
      </c>
      <c r="AG5795" s="2">
        <f ca="1"/>
        <v>0.10600153453634853</v>
      </c>
      <c r="AH5795" s="2" t="str">
        <f ca="1"/>
        <v>OK</v>
      </c>
    </row>
    <row r="5796" spans="2:34" x14ac:dyDescent="0.2">
      <c r="B5796" s="2">
        <f ca="1"/>
        <v>0.52654093353239961</v>
      </c>
      <c r="O5796" s="2">
        <f ca="1"/>
        <v>1.1495052690418315</v>
      </c>
      <c r="X5796" s="2">
        <f ca="1"/>
        <v>64.425610285182472</v>
      </c>
      <c r="AG5796" s="2">
        <f ca="1"/>
        <v>0.83245078278179574</v>
      </c>
      <c r="AH5796" s="2" t="str">
        <f ca="1"/>
        <v>Bad</v>
      </c>
    </row>
    <row r="5797" spans="2:34" x14ac:dyDescent="0.2">
      <c r="B5797" s="2">
        <f ca="1"/>
        <v>0.43412240913771427</v>
      </c>
      <c r="O5797" s="2">
        <f ca="1"/>
        <v>0.34106007839701108</v>
      </c>
      <c r="X5797" s="2">
        <f ca="1"/>
        <v>66.727783359230997</v>
      </c>
      <c r="AG5797" s="2">
        <f ca="1"/>
        <v>0.57136462830132584</v>
      </c>
      <c r="AH5797" s="2" t="str">
        <f ca="1"/>
        <v>Bad</v>
      </c>
    </row>
    <row r="5798" spans="2:34" x14ac:dyDescent="0.2">
      <c r="B5798" s="2">
        <f ca="1"/>
        <v>0.69935131943434414</v>
      </c>
      <c r="O5798" s="2">
        <f ca="1"/>
        <v>-1.3095429135005605</v>
      </c>
      <c r="X5798" s="2">
        <f ca="1"/>
        <v>41.234189147799796</v>
      </c>
      <c r="AG5798" s="2">
        <f ca="1"/>
        <v>0.95621229254678752</v>
      </c>
      <c r="AH5798" s="2" t="str">
        <f ca="1"/>
        <v>Bad</v>
      </c>
    </row>
    <row r="5799" spans="2:34" x14ac:dyDescent="0.2">
      <c r="B5799" s="2">
        <f ca="1"/>
        <v>0.46303920000264287</v>
      </c>
      <c r="O5799" s="2">
        <f ca="1"/>
        <v>0.73170363551358231</v>
      </c>
      <c r="X5799" s="2">
        <f ca="1"/>
        <v>35.218973357346613</v>
      </c>
      <c r="AG5799" s="2">
        <f ca="1"/>
        <v>0.42237394212383506</v>
      </c>
      <c r="AH5799" s="2" t="str">
        <f ca="1"/>
        <v>Bad</v>
      </c>
    </row>
    <row r="5800" spans="2:34" x14ac:dyDescent="0.2">
      <c r="B5800" s="2">
        <f ca="1"/>
        <v>0.76524810656113385</v>
      </c>
      <c r="O5800" s="2">
        <f ca="1"/>
        <v>-0.65916526389394681</v>
      </c>
      <c r="X5800" s="2">
        <f ca="1"/>
        <v>69.68532754090154</v>
      </c>
      <c r="AG5800" s="2">
        <f ca="1"/>
        <v>0.67483265043747021</v>
      </c>
      <c r="AH5800" s="2" t="str">
        <f ca="1"/>
        <v>Bad</v>
      </c>
    </row>
    <row r="5801" spans="2:34" x14ac:dyDescent="0.2">
      <c r="B5801" s="2">
        <f ca="1"/>
        <v>6.2028593196115533E-2</v>
      </c>
      <c r="O5801" s="2">
        <f ca="1"/>
        <v>-0.27137296309657644</v>
      </c>
      <c r="X5801" s="2">
        <f ca="1"/>
        <v>61.641283199032785</v>
      </c>
      <c r="AG5801" s="2">
        <f ca="1"/>
        <v>0.61924865894223458</v>
      </c>
      <c r="AH5801" s="2" t="str">
        <f ca="1"/>
        <v>Bad</v>
      </c>
    </row>
    <row r="5802" spans="2:34" x14ac:dyDescent="0.2">
      <c r="B5802" s="2">
        <f ca="1"/>
        <v>0.83735974357962362</v>
      </c>
      <c r="O5802" s="2">
        <f ca="1"/>
        <v>-0.13937764961505278</v>
      </c>
      <c r="X5802" s="2">
        <f ca="1"/>
        <v>31.73742232865818</v>
      </c>
      <c r="AG5802" s="2">
        <f ca="1"/>
        <v>0.85820186010804678</v>
      </c>
      <c r="AH5802" s="2" t="str">
        <f ca="1"/>
        <v>Bad</v>
      </c>
    </row>
    <row r="5803" spans="2:34" x14ac:dyDescent="0.2">
      <c r="B5803" s="2">
        <f ca="1"/>
        <v>0.25585383491266955</v>
      </c>
      <c r="O5803" s="2">
        <f ca="1"/>
        <v>-0.43453090274903533</v>
      </c>
      <c r="X5803" s="2">
        <f ca="1"/>
        <v>59.099558236613667</v>
      </c>
      <c r="AG5803" s="2">
        <f ca="1"/>
        <v>0.58436465624677303</v>
      </c>
      <c r="AH5803" s="2" t="str">
        <f ca="1"/>
        <v>Bad</v>
      </c>
    </row>
    <row r="5804" spans="2:34" x14ac:dyDescent="0.2">
      <c r="B5804" s="2">
        <f ca="1"/>
        <v>2.3973891990940022E-2</v>
      </c>
      <c r="O5804" s="2">
        <f ca="1"/>
        <v>-1.5412485786673533</v>
      </c>
      <c r="X5804" s="2">
        <f ca="1"/>
        <v>61.593600651356589</v>
      </c>
      <c r="AG5804" s="2">
        <f ca="1"/>
        <v>0.47027138748082686</v>
      </c>
      <c r="AH5804" s="2" t="str">
        <f ca="1"/>
        <v>Bad</v>
      </c>
    </row>
    <row r="5805" spans="2:34" x14ac:dyDescent="0.2">
      <c r="B5805" s="2">
        <f ca="1"/>
        <v>0.82123550707055548</v>
      </c>
      <c r="O5805" s="2">
        <f ca="1"/>
        <v>-0.19489486903017536</v>
      </c>
      <c r="X5805" s="2">
        <f ca="1"/>
        <v>41.494557820324317</v>
      </c>
      <c r="AG5805" s="2">
        <f ca="1"/>
        <v>0.29805404832336335</v>
      </c>
      <c r="AH5805" s="2" t="str">
        <f ca="1"/>
        <v>OK</v>
      </c>
    </row>
    <row r="5806" spans="2:34" x14ac:dyDescent="0.2">
      <c r="B5806" s="2">
        <f ca="1"/>
        <v>0.21397951884481348</v>
      </c>
      <c r="O5806" s="2">
        <f ca="1"/>
        <v>-1.0730122470077563</v>
      </c>
      <c r="X5806" s="2">
        <f ca="1"/>
        <v>50.996078210771351</v>
      </c>
      <c r="AG5806" s="2">
        <f ca="1"/>
        <v>0.64977875727883605</v>
      </c>
      <c r="AH5806" s="2" t="str">
        <f ca="1"/>
        <v>Bad</v>
      </c>
    </row>
    <row r="5807" spans="2:34" x14ac:dyDescent="0.2">
      <c r="B5807" s="2">
        <f ca="1"/>
        <v>0.62439717245118276</v>
      </c>
      <c r="O5807" s="2">
        <f ca="1"/>
        <v>-0.50501833010551578</v>
      </c>
      <c r="X5807" s="2">
        <f ca="1"/>
        <v>51.82015850732661</v>
      </c>
      <c r="AG5807" s="2">
        <f ca="1"/>
        <v>0.24886740093260062</v>
      </c>
      <c r="AH5807" s="2" t="str">
        <f ca="1"/>
        <v>OK</v>
      </c>
    </row>
    <row r="5808" spans="2:34" x14ac:dyDescent="0.2">
      <c r="B5808" s="2">
        <f ca="1"/>
        <v>0.21955728554403242</v>
      </c>
      <c r="O5808" s="2">
        <f ca="1"/>
        <v>0.92246619226651705</v>
      </c>
      <c r="X5808" s="2">
        <f ca="1"/>
        <v>53.939665130097147</v>
      </c>
      <c r="AG5808" s="2">
        <f ca="1"/>
        <v>0.55228867203637599</v>
      </c>
      <c r="AH5808" s="2" t="str">
        <f ca="1"/>
        <v>Bad</v>
      </c>
    </row>
    <row r="5809" spans="2:34" x14ac:dyDescent="0.2">
      <c r="B5809" s="2">
        <f ca="1"/>
        <v>0.47797752872395471</v>
      </c>
      <c r="O5809" s="2">
        <f ca="1"/>
        <v>-0.13413205479266002</v>
      </c>
      <c r="X5809" s="2">
        <f ca="1"/>
        <v>49.164554821185781</v>
      </c>
      <c r="AG5809" s="2">
        <f ca="1"/>
        <v>0.15265326727850903</v>
      </c>
      <c r="AH5809" s="2" t="str">
        <f ca="1"/>
        <v>OK</v>
      </c>
    </row>
    <row r="5810" spans="2:34" x14ac:dyDescent="0.2">
      <c r="B5810" s="2">
        <f ca="1"/>
        <v>7.7088049840561279E-3</v>
      </c>
      <c r="O5810" s="2">
        <f ca="1"/>
        <v>1.1951090566885998</v>
      </c>
      <c r="X5810" s="2">
        <f ca="1"/>
        <v>63.487876057371068</v>
      </c>
      <c r="AG5810" s="2">
        <f ca="1"/>
        <v>6.5233608290664158E-2</v>
      </c>
      <c r="AH5810" s="2" t="str">
        <f ca="1"/>
        <v>OK</v>
      </c>
    </row>
    <row r="5811" spans="2:34" x14ac:dyDescent="0.2">
      <c r="B5811" s="2">
        <f ca="1"/>
        <v>0.57203784846943573</v>
      </c>
      <c r="O5811" s="2">
        <f ca="1"/>
        <v>1.1270269490166978</v>
      </c>
      <c r="X5811" s="2">
        <f ca="1"/>
        <v>53.544169913857417</v>
      </c>
      <c r="AG5811" s="2">
        <f ca="1"/>
        <v>0.5275946454920073</v>
      </c>
      <c r="AH5811" s="2" t="str">
        <f ca="1"/>
        <v>Bad</v>
      </c>
    </row>
    <row r="5812" spans="2:34" x14ac:dyDescent="0.2">
      <c r="B5812" s="2">
        <f ca="1"/>
        <v>0.57301180845259259</v>
      </c>
      <c r="O5812" s="2">
        <f ca="1"/>
        <v>0.26460686614470097</v>
      </c>
      <c r="X5812" s="2">
        <f ca="1"/>
        <v>74.324453675805884</v>
      </c>
      <c r="AG5812" s="2">
        <f ca="1"/>
        <v>0.76171001428364593</v>
      </c>
      <c r="AH5812" s="2" t="str">
        <f ca="1"/>
        <v>Bad</v>
      </c>
    </row>
    <row r="5813" spans="2:34" x14ac:dyDescent="0.2">
      <c r="B5813" s="2">
        <f ca="1"/>
        <v>0.60003917695708164</v>
      </c>
      <c r="O5813" s="2">
        <f ca="1"/>
        <v>0.3366796586014289</v>
      </c>
      <c r="X5813" s="2">
        <f ca="1"/>
        <v>74.093710908392779</v>
      </c>
      <c r="AG5813" s="2">
        <f ca="1"/>
        <v>0.2402011112080733</v>
      </c>
      <c r="AH5813" s="2" t="str">
        <f ca="1"/>
        <v>OK</v>
      </c>
    </row>
    <row r="5814" spans="2:34" x14ac:dyDescent="0.2">
      <c r="B5814" s="2">
        <f ca="1"/>
        <v>0.76586880028344351</v>
      </c>
      <c r="O5814" s="2">
        <f ca="1"/>
        <v>0.26704078884014071</v>
      </c>
      <c r="X5814" s="2">
        <f ca="1"/>
        <v>43.09049087084027</v>
      </c>
      <c r="AG5814" s="2">
        <f ca="1"/>
        <v>0.5807995668846766</v>
      </c>
      <c r="AH5814" s="2" t="str">
        <f ca="1"/>
        <v>Bad</v>
      </c>
    </row>
    <row r="5815" spans="2:34" x14ac:dyDescent="0.2">
      <c r="B5815" s="2">
        <f ca="1"/>
        <v>3.6146635742172917E-2</v>
      </c>
      <c r="O5815" s="2">
        <f ca="1"/>
        <v>-1.1785678421797465</v>
      </c>
      <c r="X5815" s="2">
        <f ca="1"/>
        <v>31.225882759338496</v>
      </c>
      <c r="AG5815" s="2">
        <f ca="1"/>
        <v>0.97072210202384923</v>
      </c>
      <c r="AH5815" s="2" t="str">
        <f ca="1"/>
        <v>Bad</v>
      </c>
    </row>
    <row r="5816" spans="2:34" x14ac:dyDescent="0.2">
      <c r="B5816" s="2">
        <f ca="1"/>
        <v>0.35745532851019046</v>
      </c>
      <c r="O5816" s="2">
        <f ca="1"/>
        <v>-0.17644978871865979</v>
      </c>
      <c r="X5816" s="2">
        <f ca="1"/>
        <v>44.116111620118474</v>
      </c>
      <c r="AG5816" s="2">
        <f ca="1"/>
        <v>0.47669995638085405</v>
      </c>
      <c r="AH5816" s="2" t="str">
        <f ca="1"/>
        <v>Bad</v>
      </c>
    </row>
    <row r="5817" spans="2:34" x14ac:dyDescent="0.2">
      <c r="B5817" s="2">
        <f ca="1"/>
        <v>7.5080666891703673E-2</v>
      </c>
      <c r="O5817" s="2">
        <f ca="1"/>
        <v>-0.35791278302736163</v>
      </c>
      <c r="X5817" s="2">
        <f ca="1"/>
        <v>53.628915975716247</v>
      </c>
      <c r="AG5817" s="2">
        <f ca="1"/>
        <v>0.68574263092042331</v>
      </c>
      <c r="AH5817" s="2" t="str">
        <f ca="1"/>
        <v>Bad</v>
      </c>
    </row>
    <row r="5818" spans="2:34" x14ac:dyDescent="0.2">
      <c r="B5818" s="2">
        <f ca="1"/>
        <v>2.0022035406852101E-2</v>
      </c>
      <c r="O5818" s="2">
        <f ca="1"/>
        <v>8.2135387870402421E-2</v>
      </c>
      <c r="X5818" s="2">
        <f ca="1"/>
        <v>35.275580509653039</v>
      </c>
      <c r="AG5818" s="2">
        <f ca="1"/>
        <v>0.43922805931867814</v>
      </c>
      <c r="AH5818" s="2" t="str">
        <f ca="1"/>
        <v>Bad</v>
      </c>
    </row>
    <row r="5819" spans="2:34" x14ac:dyDescent="0.2">
      <c r="B5819" s="2">
        <f ca="1"/>
        <v>0.62227614866838188</v>
      </c>
      <c r="O5819" s="2">
        <f ca="1"/>
        <v>-1.7436532084400587</v>
      </c>
      <c r="X5819" s="2">
        <f ca="1"/>
        <v>69.651557236499855</v>
      </c>
      <c r="AG5819" s="2">
        <f ca="1"/>
        <v>0.64013957038863145</v>
      </c>
      <c r="AH5819" s="2" t="str">
        <f ca="1"/>
        <v>Bad</v>
      </c>
    </row>
    <row r="5820" spans="2:34" x14ac:dyDescent="0.2">
      <c r="B5820" s="2">
        <f ca="1"/>
        <v>0.41438315888155985</v>
      </c>
      <c r="O5820" s="2">
        <f ca="1"/>
        <v>1.7810900008416768</v>
      </c>
      <c r="X5820" s="2">
        <f ca="1"/>
        <v>59.151195739770273</v>
      </c>
      <c r="AG5820" s="2">
        <f ca="1"/>
        <v>0.83526853844379478</v>
      </c>
      <c r="AH5820" s="2" t="str">
        <f ca="1"/>
        <v>Bad</v>
      </c>
    </row>
    <row r="5821" spans="2:34" x14ac:dyDescent="0.2">
      <c r="B5821" s="2">
        <f ca="1"/>
        <v>8.5326516688023046E-2</v>
      </c>
      <c r="O5821" s="2">
        <f ca="1"/>
        <v>-0.84530925583369143</v>
      </c>
      <c r="X5821" s="2">
        <f ca="1"/>
        <v>37.7056637446425</v>
      </c>
      <c r="AG5821" s="2">
        <f ca="1"/>
        <v>0.57747063087542116</v>
      </c>
      <c r="AH5821" s="2" t="str">
        <f ca="1"/>
        <v>Bad</v>
      </c>
    </row>
    <row r="5822" spans="2:34" x14ac:dyDescent="0.2">
      <c r="B5822" s="2">
        <f ca="1"/>
        <v>0.41698243614437502</v>
      </c>
      <c r="O5822" s="2">
        <f ca="1"/>
        <v>0.13916203579064201</v>
      </c>
      <c r="X5822" s="2">
        <f ca="1"/>
        <v>60.086316709258853</v>
      </c>
      <c r="AG5822" s="2">
        <f ca="1"/>
        <v>0.11172837476992958</v>
      </c>
      <c r="AH5822" s="2" t="str">
        <f ca="1"/>
        <v>OK</v>
      </c>
    </row>
    <row r="5823" spans="2:34" x14ac:dyDescent="0.2">
      <c r="B5823" s="2">
        <f ca="1"/>
        <v>0.56497161093778159</v>
      </c>
      <c r="O5823" s="2">
        <f ca="1"/>
        <v>0.23138081298723717</v>
      </c>
      <c r="X5823" s="2">
        <f ca="1"/>
        <v>43.915062447436981</v>
      </c>
      <c r="AG5823" s="2">
        <f ca="1"/>
        <v>8.4532463060665641E-2</v>
      </c>
      <c r="AH5823" s="2" t="str">
        <f ca="1"/>
        <v>OK</v>
      </c>
    </row>
    <row r="5824" spans="2:34" x14ac:dyDescent="0.2">
      <c r="B5824" s="2">
        <f ca="1"/>
        <v>2.2667660731899186E-2</v>
      </c>
      <c r="O5824" s="2">
        <f ca="1"/>
        <v>0.35223336574237585</v>
      </c>
      <c r="X5824" s="2">
        <f ca="1"/>
        <v>64.374567649663348</v>
      </c>
      <c r="AG5824" s="2">
        <f ca="1"/>
        <v>0.831987678067027</v>
      </c>
      <c r="AH5824" s="2" t="str">
        <f ca="1"/>
        <v>Bad</v>
      </c>
    </row>
    <row r="5825" spans="2:34" x14ac:dyDescent="0.2">
      <c r="B5825" s="2">
        <f ca="1"/>
        <v>0.86434360323039128</v>
      </c>
      <c r="O5825" s="2">
        <f ca="1"/>
        <v>8.8502160722593093E-2</v>
      </c>
      <c r="X5825" s="2">
        <f ca="1"/>
        <v>40.879083404101955</v>
      </c>
      <c r="AG5825" s="2">
        <f ca="1"/>
        <v>0.23081817889646405</v>
      </c>
      <c r="AH5825" s="2" t="str">
        <f ca="1"/>
        <v>OK</v>
      </c>
    </row>
    <row r="5826" spans="2:34" x14ac:dyDescent="0.2">
      <c r="B5826" s="2">
        <f ca="1"/>
        <v>0.29997402820063401</v>
      </c>
      <c r="O5826" s="2">
        <f ca="1"/>
        <v>0.70644740737207778</v>
      </c>
      <c r="X5826" s="2">
        <f ca="1"/>
        <v>45.892769108514031</v>
      </c>
      <c r="AG5826" s="2">
        <f ca="1"/>
        <v>0.31873994894928637</v>
      </c>
      <c r="AH5826" s="2" t="str">
        <f ca="1"/>
        <v>OK</v>
      </c>
    </row>
    <row r="5827" spans="2:34" x14ac:dyDescent="0.2">
      <c r="B5827" s="2">
        <f ca="1"/>
        <v>0.67399720432607935</v>
      </c>
      <c r="O5827" s="2">
        <f ca="1"/>
        <v>-0.23954110384069266</v>
      </c>
      <c r="X5827" s="2">
        <f ca="1"/>
        <v>53.221972501661917</v>
      </c>
      <c r="AG5827" s="2">
        <f ca="1"/>
        <v>4.9550299857623603E-3</v>
      </c>
      <c r="AH5827" s="2" t="str">
        <f ca="1"/>
        <v>Good</v>
      </c>
    </row>
    <row r="5828" spans="2:34" x14ac:dyDescent="0.2">
      <c r="B5828" s="2">
        <f ca="1"/>
        <v>0.69133837073676219</v>
      </c>
      <c r="O5828" s="2">
        <f ca="1"/>
        <v>6.0954551354994044E-2</v>
      </c>
      <c r="X5828" s="2">
        <f ca="1"/>
        <v>33.653037521142181</v>
      </c>
      <c r="AG5828" s="2">
        <f ca="1"/>
        <v>0.56671646852718682</v>
      </c>
      <c r="AH5828" s="2" t="str">
        <f ca="1"/>
        <v>Bad</v>
      </c>
    </row>
    <row r="5829" spans="2:34" x14ac:dyDescent="0.2">
      <c r="B5829" s="2">
        <f ca="1"/>
        <v>0.18124908717555943</v>
      </c>
      <c r="O5829" s="2">
        <f ca="1"/>
        <v>0.54048997211645589</v>
      </c>
      <c r="X5829" s="2">
        <f ca="1"/>
        <v>31.231833084280506</v>
      </c>
      <c r="AG5829" s="2">
        <f ca="1"/>
        <v>0.45150939691321579</v>
      </c>
      <c r="AH5829" s="2" t="str">
        <f ca="1"/>
        <v>Bad</v>
      </c>
    </row>
    <row r="5830" spans="2:34" x14ac:dyDescent="0.2">
      <c r="B5830" s="2">
        <f ca="1"/>
        <v>0.88113334154712786</v>
      </c>
      <c r="O5830" s="2">
        <f ca="1"/>
        <v>0.30042477780518262</v>
      </c>
      <c r="X5830" s="2">
        <f ca="1"/>
        <v>58.629496557197726</v>
      </c>
      <c r="AG5830" s="2">
        <f ca="1"/>
        <v>0.2515345200647241</v>
      </c>
      <c r="AH5830" s="2" t="str">
        <f ca="1"/>
        <v>OK</v>
      </c>
    </row>
    <row r="5831" spans="2:34" x14ac:dyDescent="0.2">
      <c r="B5831" s="2">
        <f ca="1"/>
        <v>3.6316303769851954E-2</v>
      </c>
      <c r="O5831" s="2">
        <f ca="1"/>
        <v>0.59592730307452491</v>
      </c>
      <c r="X5831" s="2">
        <f ca="1"/>
        <v>50.808143941970542</v>
      </c>
      <c r="AG5831" s="2">
        <f ca="1"/>
        <v>0.2972013628079766</v>
      </c>
      <c r="AH5831" s="2" t="str">
        <f ca="1"/>
        <v>OK</v>
      </c>
    </row>
    <row r="5832" spans="2:34" x14ac:dyDescent="0.2">
      <c r="B5832" s="2">
        <f ca="1"/>
        <v>0.65282170404203921</v>
      </c>
      <c r="O5832" s="2">
        <f ca="1"/>
        <v>0.16341088763936421</v>
      </c>
      <c r="X5832" s="2">
        <f ca="1"/>
        <v>50.153333445961941</v>
      </c>
      <c r="AG5832" s="2">
        <f ca="1"/>
        <v>0.29437458813934647</v>
      </c>
      <c r="AH5832" s="2" t="str">
        <f ca="1"/>
        <v>OK</v>
      </c>
    </row>
    <row r="5833" spans="2:34" x14ac:dyDescent="0.2">
      <c r="B5833" s="2">
        <f ca="1"/>
        <v>0.50388421019119911</v>
      </c>
      <c r="O5833" s="2">
        <f ca="1"/>
        <v>-0.25904107760910478</v>
      </c>
      <c r="X5833" s="2">
        <f ca="1"/>
        <v>43.403364008666905</v>
      </c>
      <c r="AG5833" s="2">
        <f ca="1"/>
        <v>0.88693950316296921</v>
      </c>
      <c r="AH5833" s="2" t="str">
        <f ca="1"/>
        <v>Bad</v>
      </c>
    </row>
    <row r="5834" spans="2:34" x14ac:dyDescent="0.2">
      <c r="B5834" s="2">
        <f ca="1"/>
        <v>0.77651825337649782</v>
      </c>
      <c r="O5834" s="2">
        <f ca="1"/>
        <v>-1.2048554892966592</v>
      </c>
      <c r="X5834" s="2">
        <f ca="1"/>
        <v>78.880813716367982</v>
      </c>
      <c r="AG5834" s="2">
        <f ca="1"/>
        <v>0.3939010252844386</v>
      </c>
      <c r="AH5834" s="2" t="str">
        <f ca="1"/>
        <v>OK</v>
      </c>
    </row>
    <row r="5835" spans="2:34" x14ac:dyDescent="0.2">
      <c r="B5835" s="2">
        <f ca="1"/>
        <v>0.6259926266310234</v>
      </c>
      <c r="O5835" s="2">
        <f ca="1"/>
        <v>-0.29651726486756719</v>
      </c>
      <c r="X5835" s="2">
        <f ca="1"/>
        <v>43.550105775192705</v>
      </c>
      <c r="AG5835" s="2">
        <f ca="1"/>
        <v>7.4855043652053421E-2</v>
      </c>
      <c r="AH5835" s="2" t="str">
        <f ca="1"/>
        <v>OK</v>
      </c>
    </row>
    <row r="5836" spans="2:34" x14ac:dyDescent="0.2">
      <c r="B5836" s="2">
        <f ca="1"/>
        <v>0.90900067657241634</v>
      </c>
      <c r="O5836" s="2">
        <f ca="1"/>
        <v>-0.68630995716148679</v>
      </c>
      <c r="X5836" s="2">
        <f ca="1"/>
        <v>66.996165720626891</v>
      </c>
      <c r="AG5836" s="2">
        <f ca="1"/>
        <v>0.71584859362274145</v>
      </c>
      <c r="AH5836" s="2" t="str">
        <f ca="1"/>
        <v>Bad</v>
      </c>
    </row>
    <row r="5837" spans="2:34" x14ac:dyDescent="0.2">
      <c r="B5837" s="2">
        <f ca="1"/>
        <v>0.71459594008482719</v>
      </c>
      <c r="O5837" s="2">
        <f ca="1"/>
        <v>6.9335654050805287E-2</v>
      </c>
      <c r="X5837" s="2">
        <f ca="1"/>
        <v>49.960332047265084</v>
      </c>
      <c r="AG5837" s="2">
        <f ca="1"/>
        <v>0.33700033232818338</v>
      </c>
      <c r="AH5837" s="2" t="str">
        <f ca="1"/>
        <v>OK</v>
      </c>
    </row>
    <row r="5838" spans="2:34" x14ac:dyDescent="0.2">
      <c r="B5838" s="2">
        <f ca="1"/>
        <v>0.90553419824833759</v>
      </c>
      <c r="O5838" s="2">
        <f ca="1"/>
        <v>-1.3467868874565108</v>
      </c>
      <c r="X5838" s="2">
        <f ca="1"/>
        <v>58.523659364567621</v>
      </c>
      <c r="AG5838" s="2">
        <f ca="1"/>
        <v>0.49468432823945374</v>
      </c>
      <c r="AH5838" s="2" t="str">
        <f ca="1"/>
        <v>Bad</v>
      </c>
    </row>
    <row r="5839" spans="2:34" x14ac:dyDescent="0.2">
      <c r="B5839" s="2">
        <f ca="1"/>
        <v>0.79931805065617967</v>
      </c>
      <c r="O5839" s="2">
        <f ca="1"/>
        <v>0.277042246946338</v>
      </c>
      <c r="X5839" s="2">
        <f ca="1"/>
        <v>75.236619968919115</v>
      </c>
      <c r="AG5839" s="2">
        <f ca="1"/>
        <v>0.43589756777924604</v>
      </c>
      <c r="AH5839" s="2" t="str">
        <f ca="1"/>
        <v>Bad</v>
      </c>
    </row>
    <row r="5840" spans="2:34" x14ac:dyDescent="0.2">
      <c r="B5840" s="2">
        <f ca="1"/>
        <v>0.30383474253812826</v>
      </c>
      <c r="O5840" s="2">
        <f ca="1"/>
        <v>5.6618189467781105E-2</v>
      </c>
      <c r="X5840" s="2">
        <f ca="1"/>
        <v>42.520514920914607</v>
      </c>
      <c r="AG5840" s="2">
        <f ca="1"/>
        <v>0.25624239249713399</v>
      </c>
      <c r="AH5840" s="2" t="str">
        <f ca="1"/>
        <v>OK</v>
      </c>
    </row>
    <row r="5841" spans="2:34" x14ac:dyDescent="0.2">
      <c r="B5841" s="2">
        <f ca="1"/>
        <v>4.6448755419223664E-2</v>
      </c>
      <c r="O5841" s="2">
        <f ca="1"/>
        <v>-2.2900115970196095</v>
      </c>
      <c r="X5841" s="2">
        <f ca="1"/>
        <v>35.910336911894653</v>
      </c>
      <c r="AG5841" s="2">
        <f ca="1"/>
        <v>0.31807423227315734</v>
      </c>
      <c r="AH5841" s="2" t="str">
        <f ca="1"/>
        <v>OK</v>
      </c>
    </row>
    <row r="5842" spans="2:34" x14ac:dyDescent="0.2">
      <c r="B5842" s="2">
        <f ca="1"/>
        <v>4.0058202839472257E-2</v>
      </c>
      <c r="O5842" s="2">
        <f ca="1"/>
        <v>-0.58131007739722085</v>
      </c>
      <c r="X5842" s="2">
        <f ca="1"/>
        <v>39.914196072861699</v>
      </c>
      <c r="AG5842" s="2">
        <f ca="1"/>
        <v>0.23141564785712632</v>
      </c>
      <c r="AH5842" s="2" t="str">
        <f ca="1"/>
        <v>OK</v>
      </c>
    </row>
    <row r="5843" spans="2:34" x14ac:dyDescent="0.2">
      <c r="B5843" s="2">
        <f ca="1"/>
        <v>0.66341805986606861</v>
      </c>
      <c r="O5843" s="2">
        <f ca="1"/>
        <v>0.23749348157847872</v>
      </c>
      <c r="X5843" s="2">
        <f ca="1"/>
        <v>41.737556065984819</v>
      </c>
      <c r="AG5843" s="2">
        <f ca="1"/>
        <v>0.32177633063067446</v>
      </c>
      <c r="AH5843" s="2" t="str">
        <f ca="1"/>
        <v>OK</v>
      </c>
    </row>
    <row r="5844" spans="2:34" x14ac:dyDescent="0.2">
      <c r="B5844" s="2">
        <f ca="1"/>
        <v>0.72948704609009973</v>
      </c>
      <c r="O5844" s="2">
        <f ca="1"/>
        <v>-1.7797213222880299</v>
      </c>
      <c r="X5844" s="2">
        <f ca="1"/>
        <v>34.875598514096971</v>
      </c>
      <c r="AG5844" s="2">
        <f ca="1"/>
        <v>0.90761465684452802</v>
      </c>
      <c r="AH5844" s="2" t="str">
        <f ca="1"/>
        <v>Bad</v>
      </c>
    </row>
    <row r="5845" spans="2:34" x14ac:dyDescent="0.2">
      <c r="B5845" s="2">
        <f ca="1"/>
        <v>0.96372443783260442</v>
      </c>
      <c r="O5845" s="2">
        <f ca="1"/>
        <v>0.30169781485601771</v>
      </c>
      <c r="X5845" s="2">
        <f ca="1"/>
        <v>35.664722884233306</v>
      </c>
      <c r="AG5845" s="2">
        <f ca="1"/>
        <v>0.37561105546318463</v>
      </c>
      <c r="AH5845" s="2" t="str">
        <f ca="1"/>
        <v>OK</v>
      </c>
    </row>
    <row r="5846" spans="2:34" x14ac:dyDescent="0.2">
      <c r="B5846" s="2">
        <f ca="1"/>
        <v>0.13019735684204581</v>
      </c>
      <c r="O5846" s="2">
        <f ca="1"/>
        <v>-0.55926049451726045</v>
      </c>
      <c r="X5846" s="2">
        <f ca="1"/>
        <v>47.238718064668539</v>
      </c>
      <c r="AG5846" s="2">
        <f ca="1"/>
        <v>0.42134518073026128</v>
      </c>
      <c r="AH5846" s="2" t="str">
        <f ca="1"/>
        <v>Bad</v>
      </c>
    </row>
    <row r="5847" spans="2:34" x14ac:dyDescent="0.2">
      <c r="B5847" s="2">
        <f ca="1"/>
        <v>0.4753225507087615</v>
      </c>
      <c r="O5847" s="2">
        <f ca="1"/>
        <v>-0.68656372401504984</v>
      </c>
      <c r="X5847" s="2">
        <f ca="1"/>
        <v>27.431358603536502</v>
      </c>
      <c r="AG5847" s="2">
        <f ca="1"/>
        <v>0.23779365709368361</v>
      </c>
      <c r="AH5847" s="2" t="str">
        <f ca="1"/>
        <v>OK</v>
      </c>
    </row>
    <row r="5848" spans="2:34" x14ac:dyDescent="0.2">
      <c r="B5848" s="2">
        <f ca="1"/>
        <v>9.4135959684434001E-2</v>
      </c>
      <c r="O5848" s="2">
        <f ca="1"/>
        <v>0.51811420775079053</v>
      </c>
      <c r="X5848" s="2">
        <f ca="1"/>
        <v>46.005303144765463</v>
      </c>
      <c r="AG5848" s="2">
        <f ca="1"/>
        <v>0.79107164911600703</v>
      </c>
      <c r="AH5848" s="2" t="str">
        <f ca="1"/>
        <v>Bad</v>
      </c>
    </row>
    <row r="5849" spans="2:34" x14ac:dyDescent="0.2">
      <c r="B5849" s="2">
        <f ca="1"/>
        <v>0.61884811074293067</v>
      </c>
      <c r="O5849" s="2">
        <f ca="1"/>
        <v>-0.33951052810014909</v>
      </c>
      <c r="X5849" s="2">
        <f ca="1"/>
        <v>47.481058637259181</v>
      </c>
      <c r="AG5849" s="2">
        <f ca="1"/>
        <v>0.29091406457915214</v>
      </c>
      <c r="AH5849" s="2" t="str">
        <f ca="1"/>
        <v>OK</v>
      </c>
    </row>
    <row r="5850" spans="2:34" x14ac:dyDescent="0.2">
      <c r="B5850" s="2">
        <f ca="1"/>
        <v>0.66156038288012553</v>
      </c>
      <c r="O5850" s="2">
        <f ca="1"/>
        <v>-0.94052982297724463</v>
      </c>
      <c r="X5850" s="2">
        <f ca="1"/>
        <v>55.667704353630384</v>
      </c>
      <c r="AG5850" s="2">
        <f ca="1"/>
        <v>0.56647498826269538</v>
      </c>
      <c r="AH5850" s="2" t="str">
        <f ca="1"/>
        <v>Bad</v>
      </c>
    </row>
    <row r="5851" spans="2:34" x14ac:dyDescent="0.2">
      <c r="B5851" s="2">
        <f ca="1"/>
        <v>0.51756611849605338</v>
      </c>
      <c r="O5851" s="2">
        <f ca="1"/>
        <v>-0.95283111581949498</v>
      </c>
      <c r="X5851" s="2">
        <f ca="1"/>
        <v>31.215319745881594</v>
      </c>
      <c r="AG5851" s="2">
        <f ca="1"/>
        <v>0.76716013433989505</v>
      </c>
      <c r="AH5851" s="2" t="str">
        <f ca="1"/>
        <v>Bad</v>
      </c>
    </row>
    <row r="5852" spans="2:34" x14ac:dyDescent="0.2">
      <c r="B5852" s="2">
        <f ca="1"/>
        <v>0.26544675361460834</v>
      </c>
      <c r="O5852" s="2">
        <f ca="1"/>
        <v>-4.7817084881112666E-3</v>
      </c>
      <c r="X5852" s="2">
        <f ca="1"/>
        <v>102.37527557106931</v>
      </c>
      <c r="AG5852" s="2">
        <f ca="1"/>
        <v>0.69498660359142717</v>
      </c>
      <c r="AH5852" s="2" t="str">
        <f ca="1"/>
        <v>Bad</v>
      </c>
    </row>
    <row r="5853" spans="2:34" x14ac:dyDescent="0.2">
      <c r="B5853" s="2">
        <f ca="1"/>
        <v>0.67412482340998436</v>
      </c>
      <c r="O5853" s="2">
        <f ca="1"/>
        <v>1.0234618489104128</v>
      </c>
      <c r="X5853" s="2">
        <f ca="1"/>
        <v>37.483023542063549</v>
      </c>
      <c r="AG5853" s="2">
        <f ca="1"/>
        <v>0.4418190124638377</v>
      </c>
      <c r="AH5853" s="2" t="str">
        <f ca="1"/>
        <v>Bad</v>
      </c>
    </row>
    <row r="5854" spans="2:34" x14ac:dyDescent="0.2">
      <c r="B5854" s="2">
        <f ca="1"/>
        <v>9.1649819932704268E-4</v>
      </c>
      <c r="O5854" s="2">
        <f ca="1"/>
        <v>1.6240701707513099</v>
      </c>
      <c r="X5854" s="2">
        <f ca="1"/>
        <v>40.153983125541174</v>
      </c>
      <c r="AG5854" s="2">
        <f ca="1"/>
        <v>0.48866737908796298</v>
      </c>
      <c r="AH5854" s="2" t="str">
        <f ca="1"/>
        <v>Bad</v>
      </c>
    </row>
    <row r="5855" spans="2:34" x14ac:dyDescent="0.2">
      <c r="B5855" s="2">
        <f ca="1"/>
        <v>0.68111233460331588</v>
      </c>
      <c r="O5855" s="2">
        <f ca="1"/>
        <v>0.77969549844501906</v>
      </c>
      <c r="X5855" s="2">
        <f ca="1"/>
        <v>76.972717458677039</v>
      </c>
      <c r="AG5855" s="2">
        <f ca="1"/>
        <v>0.81123638471751502</v>
      </c>
      <c r="AH5855" s="2" t="str">
        <f ca="1"/>
        <v>Bad</v>
      </c>
    </row>
    <row r="5856" spans="2:34" x14ac:dyDescent="0.2">
      <c r="B5856" s="2">
        <f ca="1"/>
        <v>0.98361003069006103</v>
      </c>
      <c r="O5856" s="2">
        <f ca="1"/>
        <v>-1.8947973721250431</v>
      </c>
      <c r="X5856" s="2">
        <f ca="1"/>
        <v>43.859739753197957</v>
      </c>
      <c r="AG5856" s="2">
        <f ca="1"/>
        <v>0.62197685305768813</v>
      </c>
      <c r="AH5856" s="2" t="str">
        <f ca="1"/>
        <v>Bad</v>
      </c>
    </row>
    <row r="5857" spans="2:34" x14ac:dyDescent="0.2">
      <c r="B5857" s="2">
        <f ca="1"/>
        <v>0.65059164966752281</v>
      </c>
      <c r="O5857" s="2">
        <f ca="1"/>
        <v>-2.0250955152199559</v>
      </c>
      <c r="X5857" s="2">
        <f ca="1"/>
        <v>51.362900074096785</v>
      </c>
      <c r="AG5857" s="2">
        <f ca="1"/>
        <v>0.98519541384096554</v>
      </c>
      <c r="AH5857" s="2" t="str">
        <f ca="1"/>
        <v>Bad</v>
      </c>
    </row>
    <row r="5858" spans="2:34" x14ac:dyDescent="0.2">
      <c r="B5858" s="2">
        <f ca="1"/>
        <v>0.78453601594794264</v>
      </c>
      <c r="O5858" s="2">
        <f ca="1"/>
        <v>-1.0244756760582654</v>
      </c>
      <c r="X5858" s="2">
        <f ca="1"/>
        <v>70.695674391763021</v>
      </c>
      <c r="AG5858" s="2">
        <f ca="1"/>
        <v>0.93421630461600946</v>
      </c>
      <c r="AH5858" s="2" t="str">
        <f ca="1"/>
        <v>Bad</v>
      </c>
    </row>
    <row r="5859" spans="2:34" x14ac:dyDescent="0.2">
      <c r="B5859" s="2">
        <f ca="1"/>
        <v>0.19831019156809382</v>
      </c>
      <c r="O5859" s="2">
        <f ca="1"/>
        <v>0.48375911745369254</v>
      </c>
      <c r="X5859" s="2">
        <f ca="1"/>
        <v>69.337700851674256</v>
      </c>
      <c r="AG5859" s="2">
        <f ca="1"/>
        <v>0.84628366027106083</v>
      </c>
      <c r="AH5859" s="2" t="str">
        <f ca="1"/>
        <v>Bad</v>
      </c>
    </row>
    <row r="5860" spans="2:34" x14ac:dyDescent="0.2">
      <c r="B5860" s="2">
        <f ca="1"/>
        <v>0.47834110698704446</v>
      </c>
      <c r="O5860" s="2">
        <f ca="1"/>
        <v>0.90812564130426587</v>
      </c>
      <c r="X5860" s="2">
        <f ca="1"/>
        <v>44.644843623078813</v>
      </c>
      <c r="AG5860" s="2">
        <f ca="1"/>
        <v>0.55136010813891767</v>
      </c>
      <c r="AH5860" s="2" t="str">
        <f ca="1"/>
        <v>Bad</v>
      </c>
    </row>
    <row r="5861" spans="2:34" x14ac:dyDescent="0.2">
      <c r="B5861" s="2">
        <f ca="1"/>
        <v>9.1929449690177911E-3</v>
      </c>
      <c r="O5861" s="2">
        <f ca="1"/>
        <v>-0.84430815382514302</v>
      </c>
      <c r="X5861" s="2">
        <f ca="1"/>
        <v>57.76584954883824</v>
      </c>
      <c r="AG5861" s="2">
        <f ca="1"/>
        <v>0.64125256922261853</v>
      </c>
      <c r="AH5861" s="2" t="str">
        <f ca="1"/>
        <v>Bad</v>
      </c>
    </row>
    <row r="5862" spans="2:34" x14ac:dyDescent="0.2">
      <c r="B5862" s="2">
        <f ca="1"/>
        <v>0.78226800340367375</v>
      </c>
      <c r="O5862" s="2">
        <f ca="1"/>
        <v>-1.0575608208485845</v>
      </c>
      <c r="X5862" s="2">
        <f ca="1"/>
        <v>42.24172337858861</v>
      </c>
      <c r="AG5862" s="2">
        <f ca="1"/>
        <v>0.18595948188180755</v>
      </c>
      <c r="AH5862" s="2" t="str">
        <f ca="1"/>
        <v>OK</v>
      </c>
    </row>
    <row r="5863" spans="2:34" x14ac:dyDescent="0.2">
      <c r="B5863" s="2">
        <f ca="1"/>
        <v>0.61861707655876019</v>
      </c>
      <c r="O5863" s="2">
        <f ca="1"/>
        <v>0.37086581846504424</v>
      </c>
      <c r="X5863" s="2">
        <f ca="1"/>
        <v>63.045620073380448</v>
      </c>
      <c r="AG5863" s="2">
        <f ca="1"/>
        <v>0.99107955895059252</v>
      </c>
      <c r="AH5863" s="2" t="str">
        <f ca="1"/>
        <v>Bad</v>
      </c>
    </row>
    <row r="5864" spans="2:34" x14ac:dyDescent="0.2">
      <c r="B5864" s="2">
        <f ca="1"/>
        <v>0.63090614726110505</v>
      </c>
      <c r="O5864" s="2">
        <f ca="1"/>
        <v>-2.6505175902117761</v>
      </c>
      <c r="X5864" s="2">
        <f ca="1"/>
        <v>82.516230378339003</v>
      </c>
      <c r="AG5864" s="2">
        <f ca="1"/>
        <v>0.88546600126610864</v>
      </c>
      <c r="AH5864" s="2" t="str">
        <f ca="1"/>
        <v>Bad</v>
      </c>
    </row>
    <row r="5865" spans="2:34" x14ac:dyDescent="0.2">
      <c r="B5865" s="2">
        <f ca="1"/>
        <v>0.15140940744805476</v>
      </c>
      <c r="O5865" s="2">
        <f ca="1"/>
        <v>-0.66299850802300886</v>
      </c>
      <c r="X5865" s="2">
        <f ca="1"/>
        <v>61.915918565917416</v>
      </c>
      <c r="AG5865" s="2">
        <f ca="1"/>
        <v>0.58448005828813288</v>
      </c>
      <c r="AH5865" s="2" t="str">
        <f ca="1"/>
        <v>Bad</v>
      </c>
    </row>
    <row r="5866" spans="2:34" x14ac:dyDescent="0.2">
      <c r="B5866" s="2">
        <f ca="1"/>
        <v>0.26335704610219479</v>
      </c>
      <c r="O5866" s="2">
        <f ca="1"/>
        <v>-0.53055378886816984</v>
      </c>
      <c r="X5866" s="2">
        <f ca="1"/>
        <v>34.070324009948109</v>
      </c>
      <c r="AG5866" s="2">
        <f ca="1"/>
        <v>0.21187835250505871</v>
      </c>
      <c r="AH5866" s="2" t="str">
        <f ca="1"/>
        <v>OK</v>
      </c>
    </row>
    <row r="5867" spans="2:34" x14ac:dyDescent="0.2">
      <c r="B5867" s="2">
        <f ca="1"/>
        <v>0.29402355735891783</v>
      </c>
      <c r="O5867" s="2">
        <f ca="1"/>
        <v>-1.322489573914239</v>
      </c>
      <c r="X5867" s="2">
        <f ca="1"/>
        <v>43.548897900345395</v>
      </c>
      <c r="AG5867" s="2">
        <f ca="1"/>
        <v>0.26279594210894341</v>
      </c>
      <c r="AH5867" s="2" t="str">
        <f ca="1"/>
        <v>OK</v>
      </c>
    </row>
    <row r="5868" spans="2:34" x14ac:dyDescent="0.2">
      <c r="B5868" s="2">
        <f ca="1"/>
        <v>0.87005449205770868</v>
      </c>
      <c r="O5868" s="2">
        <f ca="1"/>
        <v>-0.87828858926825448</v>
      </c>
      <c r="X5868" s="2">
        <f ca="1"/>
        <v>30.333991044108846</v>
      </c>
      <c r="AG5868" s="2">
        <f ca="1"/>
        <v>0.47860312177284903</v>
      </c>
      <c r="AH5868" s="2" t="str">
        <f ca="1"/>
        <v>Bad</v>
      </c>
    </row>
    <row r="5869" spans="2:34" x14ac:dyDescent="0.2">
      <c r="B5869" s="2">
        <f ca="1"/>
        <v>0.25987348207706651</v>
      </c>
      <c r="O5869" s="2">
        <f ca="1"/>
        <v>-1.054686891631885</v>
      </c>
      <c r="X5869" s="2">
        <f ca="1"/>
        <v>28.920873628520471</v>
      </c>
      <c r="AG5869" s="2">
        <f ca="1"/>
        <v>0.46891487948104782</v>
      </c>
      <c r="AH5869" s="2" t="str">
        <f ca="1"/>
        <v>Bad</v>
      </c>
    </row>
    <row r="5870" spans="2:34" x14ac:dyDescent="0.2">
      <c r="B5870" s="2">
        <f ca="1"/>
        <v>0.1286044150367367</v>
      </c>
      <c r="O5870" s="2">
        <f ca="1"/>
        <v>0.23602454250141827</v>
      </c>
      <c r="X5870" s="2">
        <f ca="1"/>
        <v>53.362326733060293</v>
      </c>
      <c r="AG5870" s="2">
        <f ca="1"/>
        <v>0.48084360833595818</v>
      </c>
      <c r="AH5870" s="2" t="str">
        <f ca="1"/>
        <v>Bad</v>
      </c>
    </row>
    <row r="5871" spans="2:34" x14ac:dyDescent="0.2">
      <c r="B5871" s="2">
        <f ca="1"/>
        <v>3.0218575002944004E-2</v>
      </c>
      <c r="O5871" s="2">
        <f ca="1"/>
        <v>-0.55804096603912634</v>
      </c>
      <c r="X5871" s="2">
        <f ca="1"/>
        <v>53.950833160254554</v>
      </c>
      <c r="AG5871" s="2">
        <f ca="1"/>
        <v>0.15013270867637241</v>
      </c>
      <c r="AH5871" s="2" t="str">
        <f ca="1"/>
        <v>OK</v>
      </c>
    </row>
    <row r="5872" spans="2:34" x14ac:dyDescent="0.2">
      <c r="B5872" s="2">
        <f ca="1"/>
        <v>0.67468429233952953</v>
      </c>
      <c r="O5872" s="2">
        <f ca="1"/>
        <v>-1.1588238113468052</v>
      </c>
      <c r="X5872" s="2">
        <f ca="1"/>
        <v>58.16175258531721</v>
      </c>
      <c r="AG5872" s="2">
        <f ca="1"/>
        <v>0.89461035576291725</v>
      </c>
      <c r="AH5872" s="2" t="str">
        <f ca="1"/>
        <v>Bad</v>
      </c>
    </row>
    <row r="5873" spans="2:34" x14ac:dyDescent="0.2">
      <c r="B5873" s="2">
        <f ca="1"/>
        <v>0.64209216109104572</v>
      </c>
      <c r="O5873" s="2">
        <f ca="1"/>
        <v>-2.2582318984317435</v>
      </c>
      <c r="X5873" s="2">
        <f ca="1"/>
        <v>86.688118024602176</v>
      </c>
      <c r="AG5873" s="2">
        <f ca="1"/>
        <v>0.80211625105526707</v>
      </c>
      <c r="AH5873" s="2" t="str">
        <f ca="1"/>
        <v>Bad</v>
      </c>
    </row>
    <row r="5874" spans="2:34" x14ac:dyDescent="0.2">
      <c r="B5874" s="2">
        <f ca="1"/>
        <v>0.25746528498653687</v>
      </c>
      <c r="O5874" s="2">
        <f ca="1"/>
        <v>0.95517552160325825</v>
      </c>
      <c r="X5874" s="2">
        <f ca="1"/>
        <v>40.449055206888943</v>
      </c>
      <c r="AG5874" s="2">
        <f ca="1"/>
        <v>0.93167064942779132</v>
      </c>
      <c r="AH5874" s="2" t="str">
        <f ca="1"/>
        <v>Bad</v>
      </c>
    </row>
    <row r="5875" spans="2:34" x14ac:dyDescent="0.2">
      <c r="B5875" s="2">
        <f ca="1"/>
        <v>0.61687880657974592</v>
      </c>
      <c r="O5875" s="2">
        <f ca="1"/>
        <v>0.84168996925341588</v>
      </c>
      <c r="X5875" s="2">
        <f ca="1"/>
        <v>48.168036177770574</v>
      </c>
      <c r="AG5875" s="2">
        <f ca="1"/>
        <v>0.26202947937609644</v>
      </c>
      <c r="AH5875" s="2" t="str">
        <f ca="1"/>
        <v>OK</v>
      </c>
    </row>
    <row r="5876" spans="2:34" x14ac:dyDescent="0.2">
      <c r="B5876" s="2">
        <f ca="1"/>
        <v>0.33028096904585436</v>
      </c>
      <c r="O5876" s="2">
        <f ca="1"/>
        <v>0.12346848232907665</v>
      </c>
      <c r="X5876" s="2">
        <f ca="1"/>
        <v>48.463027382789505</v>
      </c>
      <c r="AG5876" s="2">
        <f ca="1"/>
        <v>0.32654928970148278</v>
      </c>
      <c r="AH5876" s="2" t="str">
        <f ca="1"/>
        <v>OK</v>
      </c>
    </row>
    <row r="5877" spans="2:34" x14ac:dyDescent="0.2">
      <c r="B5877" s="2">
        <f ca="1"/>
        <v>0.92668528452001286</v>
      </c>
      <c r="O5877" s="2">
        <f ca="1"/>
        <v>-1.3371137138688445</v>
      </c>
      <c r="X5877" s="2">
        <f ca="1"/>
        <v>24.973667477569414</v>
      </c>
      <c r="AG5877" s="2">
        <f ca="1"/>
        <v>0.90533715702878825</v>
      </c>
      <c r="AH5877" s="2" t="str">
        <f ca="1"/>
        <v>Bad</v>
      </c>
    </row>
    <row r="5878" spans="2:34" x14ac:dyDescent="0.2">
      <c r="B5878" s="2">
        <f ca="1"/>
        <v>0.67851051580557553</v>
      </c>
      <c r="O5878" s="2">
        <f ca="1"/>
        <v>-4.4258229444551447E-2</v>
      </c>
      <c r="X5878" s="2">
        <f ca="1"/>
        <v>57.998281124625628</v>
      </c>
      <c r="AG5878" s="2">
        <f ca="1"/>
        <v>0.40212274237402879</v>
      </c>
      <c r="AH5878" s="2" t="str">
        <f ca="1"/>
        <v>Bad</v>
      </c>
    </row>
    <row r="5879" spans="2:34" x14ac:dyDescent="0.2">
      <c r="B5879" s="2">
        <f ca="1"/>
        <v>0.99363343794109094</v>
      </c>
      <c r="O5879" s="2">
        <f ca="1"/>
        <v>-0.73566552359624404</v>
      </c>
      <c r="X5879" s="2">
        <f ca="1"/>
        <v>23.932212659777608</v>
      </c>
      <c r="AG5879" s="2">
        <f ca="1"/>
        <v>0.23353987585253821</v>
      </c>
      <c r="AH5879" s="2" t="str">
        <f ca="1"/>
        <v>OK</v>
      </c>
    </row>
    <row r="5880" spans="2:34" x14ac:dyDescent="0.2">
      <c r="B5880" s="2">
        <f ca="1"/>
        <v>0.917811147359618</v>
      </c>
      <c r="O5880" s="2">
        <f ca="1"/>
        <v>0.10556019466189141</v>
      </c>
      <c r="X5880" s="2">
        <f ca="1"/>
        <v>33.720232906648228</v>
      </c>
      <c r="AG5880" s="2">
        <f ca="1"/>
        <v>0.26030554123686689</v>
      </c>
      <c r="AH5880" s="2" t="str">
        <f ca="1"/>
        <v>OK</v>
      </c>
    </row>
    <row r="5881" spans="2:34" x14ac:dyDescent="0.2">
      <c r="B5881" s="2">
        <f ca="1"/>
        <v>0.2635707026983436</v>
      </c>
      <c r="O5881" s="2">
        <f ca="1"/>
        <v>8.7383296340846975E-2</v>
      </c>
      <c r="X5881" s="2">
        <f ca="1"/>
        <v>76.058919207092018</v>
      </c>
      <c r="AG5881" s="2">
        <f ca="1"/>
        <v>6.8390691584253371E-2</v>
      </c>
      <c r="AH5881" s="2" t="str">
        <f ca="1"/>
        <v>OK</v>
      </c>
    </row>
    <row r="5882" spans="2:34" x14ac:dyDescent="0.2">
      <c r="B5882" s="2">
        <f ca="1"/>
        <v>0.25283828536086883</v>
      </c>
      <c r="O5882" s="2">
        <f ca="1"/>
        <v>0.63544350695868146</v>
      </c>
      <c r="X5882" s="2">
        <f ca="1"/>
        <v>32.607222439756384</v>
      </c>
      <c r="AG5882" s="2">
        <f ca="1"/>
        <v>6.6562405605394837E-3</v>
      </c>
      <c r="AH5882" s="2" t="str">
        <f ca="1"/>
        <v>Good</v>
      </c>
    </row>
    <row r="5883" spans="2:34" x14ac:dyDescent="0.2">
      <c r="B5883" s="2">
        <f ca="1"/>
        <v>0.24505220573346942</v>
      </c>
      <c r="O5883" s="2">
        <f ca="1"/>
        <v>-0.68094978561285191</v>
      </c>
      <c r="X5883" s="2">
        <f ca="1"/>
        <v>46.304925416159293</v>
      </c>
      <c r="AG5883" s="2">
        <f ca="1"/>
        <v>0.74685669378378328</v>
      </c>
      <c r="AH5883" s="2" t="str">
        <f ca="1"/>
        <v>Bad</v>
      </c>
    </row>
    <row r="5884" spans="2:34" x14ac:dyDescent="0.2">
      <c r="B5884" s="2">
        <f ca="1"/>
        <v>0.75387488462365537</v>
      </c>
      <c r="O5884" s="2">
        <f ca="1"/>
        <v>-0.88103813032056333</v>
      </c>
      <c r="X5884" s="2">
        <f ca="1"/>
        <v>43.089716181920835</v>
      </c>
      <c r="AG5884" s="2">
        <f ca="1"/>
        <v>0.11241758399008339</v>
      </c>
      <c r="AH5884" s="2" t="str">
        <f ca="1"/>
        <v>OK</v>
      </c>
    </row>
    <row r="5885" spans="2:34" x14ac:dyDescent="0.2">
      <c r="B5885" s="2">
        <f ca="1"/>
        <v>0.19125135975429219</v>
      </c>
      <c r="O5885" s="2">
        <f ca="1"/>
        <v>-1.5436520928757729</v>
      </c>
      <c r="X5885" s="2">
        <f ca="1"/>
        <v>39.602617041476677</v>
      </c>
      <c r="AG5885" s="2">
        <f ca="1"/>
        <v>0.47277188108299439</v>
      </c>
      <c r="AH5885" s="2" t="str">
        <f ca="1"/>
        <v>Bad</v>
      </c>
    </row>
    <row r="5886" spans="2:34" x14ac:dyDescent="0.2">
      <c r="B5886" s="2">
        <f ca="1"/>
        <v>0.65159386477463999</v>
      </c>
      <c r="O5886" s="2">
        <f ca="1"/>
        <v>0.36704699187939827</v>
      </c>
      <c r="X5886" s="2">
        <f ca="1"/>
        <v>38.328166519987043</v>
      </c>
      <c r="AG5886" s="2">
        <f ca="1"/>
        <v>0.58114888196775838</v>
      </c>
      <c r="AH5886" s="2" t="str">
        <f ca="1"/>
        <v>Bad</v>
      </c>
    </row>
    <row r="5887" spans="2:34" x14ac:dyDescent="0.2">
      <c r="B5887" s="2">
        <f ca="1"/>
        <v>0.44300508813337491</v>
      </c>
      <c r="O5887" s="2">
        <f ca="1"/>
        <v>-0.30519114552292498</v>
      </c>
      <c r="X5887" s="2">
        <f ca="1"/>
        <v>58.950054330723958</v>
      </c>
      <c r="AG5887" s="2">
        <f ca="1"/>
        <v>0.66920975438967356</v>
      </c>
      <c r="AH5887" s="2" t="str">
        <f ca="1"/>
        <v>Bad</v>
      </c>
    </row>
    <row r="5888" spans="2:34" x14ac:dyDescent="0.2">
      <c r="B5888" s="2">
        <f ca="1"/>
        <v>0.69766968202458246</v>
      </c>
      <c r="O5888" s="2">
        <f ca="1"/>
        <v>-0.11158027245377186</v>
      </c>
      <c r="X5888" s="2">
        <f ca="1"/>
        <v>48.073609736254213</v>
      </c>
      <c r="AG5888" s="2">
        <f ca="1"/>
        <v>0.89523299073722207</v>
      </c>
      <c r="AH5888" s="2" t="str">
        <f ca="1"/>
        <v>Bad</v>
      </c>
    </row>
    <row r="5889" spans="2:34" x14ac:dyDescent="0.2">
      <c r="B5889" s="2">
        <f ca="1"/>
        <v>0.38296925544522376</v>
      </c>
      <c r="O5889" s="2">
        <f ca="1"/>
        <v>-0.38879144887183525</v>
      </c>
      <c r="X5889" s="2">
        <f ca="1"/>
        <v>43.19721590272249</v>
      </c>
      <c r="AG5889" s="2">
        <f ca="1"/>
        <v>0.95162997467387189</v>
      </c>
      <c r="AH5889" s="2" t="str">
        <f ca="1"/>
        <v>Bad</v>
      </c>
    </row>
    <row r="5890" spans="2:34" x14ac:dyDescent="0.2">
      <c r="B5890" s="2">
        <f ca="1"/>
        <v>0.89079087300113602</v>
      </c>
      <c r="O5890" s="2">
        <f ca="1"/>
        <v>1.1924264070512229</v>
      </c>
      <c r="X5890" s="2">
        <f ca="1"/>
        <v>47.083754567779003</v>
      </c>
      <c r="AG5890" s="2">
        <f ca="1"/>
        <v>0.8050442220018128</v>
      </c>
      <c r="AH5890" s="2" t="str">
        <f ca="1"/>
        <v>Bad</v>
      </c>
    </row>
    <row r="5891" spans="2:34" x14ac:dyDescent="0.2">
      <c r="B5891" s="2">
        <f ca="1"/>
        <v>0.29810724173650049</v>
      </c>
      <c r="O5891" s="2">
        <f ca="1"/>
        <v>0.30967479816287091</v>
      </c>
      <c r="X5891" s="2">
        <f ca="1"/>
        <v>48.907450244800962</v>
      </c>
      <c r="AG5891" s="2">
        <f ca="1"/>
        <v>0.38217527440065835</v>
      </c>
      <c r="AH5891" s="2" t="str">
        <f ca="1"/>
        <v>OK</v>
      </c>
    </row>
    <row r="5892" spans="2:34" x14ac:dyDescent="0.2">
      <c r="B5892" s="2">
        <f ca="1"/>
        <v>0.46282683973524064</v>
      </c>
      <c r="O5892" s="2">
        <f ca="1"/>
        <v>0.5773282540293122</v>
      </c>
      <c r="X5892" s="2">
        <f ca="1"/>
        <v>68.61975867059742</v>
      </c>
      <c r="AG5892" s="2">
        <f ca="1"/>
        <v>4.6172735962471734E-2</v>
      </c>
      <c r="AH5892" s="2" t="str">
        <f ca="1"/>
        <v>Good</v>
      </c>
    </row>
    <row r="5893" spans="2:34" x14ac:dyDescent="0.2">
      <c r="B5893" s="2">
        <f ca="1"/>
        <v>7.8562831802690081E-2</v>
      </c>
      <c r="O5893" s="2">
        <f ca="1"/>
        <v>-1.744521214403943</v>
      </c>
      <c r="X5893" s="2">
        <f ca="1"/>
        <v>45.714868595673025</v>
      </c>
      <c r="AG5893" s="2">
        <f ca="1"/>
        <v>0.26368136185928726</v>
      </c>
      <c r="AH5893" s="2" t="str">
        <f ca="1"/>
        <v>OK</v>
      </c>
    </row>
    <row r="5894" spans="2:34" x14ac:dyDescent="0.2">
      <c r="B5894" s="2">
        <f ca="1"/>
        <v>3.811413574653999E-2</v>
      </c>
      <c r="O5894" s="2">
        <f ca="1"/>
        <v>-0.81196269323098003</v>
      </c>
      <c r="X5894" s="2">
        <f ca="1"/>
        <v>30.452250781038881</v>
      </c>
      <c r="AG5894" s="2">
        <f ca="1"/>
        <v>0.78896274109504372</v>
      </c>
      <c r="AH5894" s="2" t="str">
        <f ca="1"/>
        <v>Bad</v>
      </c>
    </row>
    <row r="5895" spans="2:34" x14ac:dyDescent="0.2">
      <c r="B5895" s="2">
        <f ca="1"/>
        <v>0.32878184282114109</v>
      </c>
      <c r="O5895" s="2">
        <f ca="1"/>
        <v>-0.24720811113337712</v>
      </c>
      <c r="X5895" s="2">
        <f ca="1"/>
        <v>48.9700432272599</v>
      </c>
      <c r="AG5895" s="2">
        <f ca="1"/>
        <v>6.9098506215418354E-2</v>
      </c>
      <c r="AH5895" s="2" t="str">
        <f ca="1"/>
        <v>OK</v>
      </c>
    </row>
    <row r="5896" spans="2:34" x14ac:dyDescent="0.2">
      <c r="B5896" s="2">
        <f ca="1"/>
        <v>2.9846430545305447E-2</v>
      </c>
      <c r="O5896" s="2">
        <f ca="1"/>
        <v>1.3019798124123048</v>
      </c>
      <c r="X5896" s="2">
        <f ca="1"/>
        <v>58.220149619292116</v>
      </c>
      <c r="AG5896" s="2">
        <f ca="1"/>
        <v>0.42618035087284967</v>
      </c>
      <c r="AH5896" s="2" t="str">
        <f ca="1"/>
        <v>Bad</v>
      </c>
    </row>
    <row r="5897" spans="2:34" x14ac:dyDescent="0.2">
      <c r="B5897" s="2">
        <f ca="1"/>
        <v>0.88816101988272633</v>
      </c>
      <c r="O5897" s="2">
        <f ca="1"/>
        <v>0.6697459887004279</v>
      </c>
      <c r="X5897" s="2">
        <f ca="1"/>
        <v>66.466048315367686</v>
      </c>
      <c r="AG5897" s="2">
        <f ca="1"/>
        <v>0.20126084064336713</v>
      </c>
      <c r="AH5897" s="2" t="str">
        <f ca="1"/>
        <v>OK</v>
      </c>
    </row>
    <row r="5898" spans="2:34" x14ac:dyDescent="0.2">
      <c r="B5898" s="2">
        <f ca="1"/>
        <v>0.93636701793703714</v>
      </c>
      <c r="O5898" s="2">
        <f ca="1"/>
        <v>-1.5704927094359831</v>
      </c>
      <c r="X5898" s="2">
        <f ca="1"/>
        <v>17.829456956284556</v>
      </c>
      <c r="AG5898" s="2">
        <f ca="1"/>
        <v>0.52012043987830037</v>
      </c>
      <c r="AH5898" s="2" t="str">
        <f ca="1"/>
        <v>Bad</v>
      </c>
    </row>
    <row r="5899" spans="2:34" x14ac:dyDescent="0.2">
      <c r="B5899" s="2">
        <f ca="1"/>
        <v>0.29967486987183611</v>
      </c>
      <c r="O5899" s="2">
        <f ca="1"/>
        <v>-0.1267835080197354</v>
      </c>
      <c r="X5899" s="2">
        <f ca="1"/>
        <v>36.886394790036867</v>
      </c>
      <c r="AG5899" s="2">
        <f ca="1"/>
        <v>0.27168548857924124</v>
      </c>
      <c r="AH5899" s="2" t="str">
        <f ca="1"/>
        <v>OK</v>
      </c>
    </row>
    <row r="5900" spans="2:34" x14ac:dyDescent="0.2">
      <c r="B5900" s="2">
        <f ca="1"/>
        <v>0.50011948246676674</v>
      </c>
      <c r="O5900" s="2">
        <f ca="1"/>
        <v>-0.52667291196314314</v>
      </c>
      <c r="X5900" s="2">
        <f ca="1"/>
        <v>45.61433060436724</v>
      </c>
      <c r="AG5900" s="2">
        <f ca="1"/>
        <v>0.81513968694780914</v>
      </c>
      <c r="AH5900" s="2" t="str">
        <f ca="1"/>
        <v>Bad</v>
      </c>
    </row>
    <row r="5901" spans="2:34" x14ac:dyDescent="0.2">
      <c r="B5901" s="2">
        <f ca="1"/>
        <v>0.79973485519317511</v>
      </c>
      <c r="O5901" s="2">
        <f ca="1"/>
        <v>-1.3825853510332646</v>
      </c>
      <c r="X5901" s="2">
        <f ca="1"/>
        <v>55.026115136626274</v>
      </c>
      <c r="AG5901" s="2">
        <f ca="1"/>
        <v>0.16878411099174584</v>
      </c>
      <c r="AH5901" s="2" t="str">
        <f ca="1"/>
        <v>OK</v>
      </c>
    </row>
    <row r="5902" spans="2:34" x14ac:dyDescent="0.2">
      <c r="B5902" s="2">
        <f ca="1"/>
        <v>0.89433381271389867</v>
      </c>
      <c r="O5902" s="2">
        <f ca="1"/>
        <v>-1.5732330690860132</v>
      </c>
      <c r="X5902" s="2">
        <f ca="1"/>
        <v>41.357856186689162</v>
      </c>
      <c r="AG5902" s="2">
        <f ca="1"/>
        <v>0.20868731454992995</v>
      </c>
      <c r="AH5902" s="2" t="str">
        <f ca="1"/>
        <v>OK</v>
      </c>
    </row>
    <row r="5903" spans="2:34" x14ac:dyDescent="0.2">
      <c r="B5903" s="2">
        <f ca="1"/>
        <v>0.97759561108303084</v>
      </c>
      <c r="O5903" s="2">
        <f ca="1"/>
        <v>-3.3216542783399805E-2</v>
      </c>
      <c r="X5903" s="2">
        <f ca="1"/>
        <v>62.537514564502004</v>
      </c>
      <c r="AG5903" s="2">
        <f ca="1"/>
        <v>0.45795039744294819</v>
      </c>
      <c r="AH5903" s="2" t="str">
        <f ca="1"/>
        <v>Bad</v>
      </c>
    </row>
    <row r="5904" spans="2:34" x14ac:dyDescent="0.2">
      <c r="B5904" s="2">
        <f ca="1"/>
        <v>0.50444100950501825</v>
      </c>
      <c r="O5904" s="2">
        <f ca="1"/>
        <v>-1.2919243739216553</v>
      </c>
      <c r="X5904" s="2">
        <f ca="1"/>
        <v>40.293777270258602</v>
      </c>
      <c r="AG5904" s="2">
        <f ca="1"/>
        <v>0.72626188440197015</v>
      </c>
      <c r="AH5904" s="2" t="str">
        <f ca="1"/>
        <v>Bad</v>
      </c>
    </row>
    <row r="5905" spans="2:34" x14ac:dyDescent="0.2">
      <c r="B5905" s="2">
        <f ca="1"/>
        <v>0.55665268554730019</v>
      </c>
      <c r="O5905" s="2">
        <f ca="1"/>
        <v>0.32377105567743436</v>
      </c>
      <c r="X5905" s="2">
        <f ca="1"/>
        <v>66.734891998690543</v>
      </c>
      <c r="AG5905" s="2">
        <f ca="1"/>
        <v>0.79774761367160063</v>
      </c>
      <c r="AH5905" s="2" t="str">
        <f ca="1"/>
        <v>Bad</v>
      </c>
    </row>
    <row r="5906" spans="2:34" x14ac:dyDescent="0.2">
      <c r="B5906" s="2">
        <f ca="1"/>
        <v>0.83056009853655888</v>
      </c>
      <c r="O5906" s="2">
        <f ca="1"/>
        <v>1.7380216140485625</v>
      </c>
      <c r="X5906" s="2">
        <f ca="1"/>
        <v>44.841305972926136</v>
      </c>
      <c r="AG5906" s="2">
        <f ca="1"/>
        <v>0.88017310099275137</v>
      </c>
      <c r="AH5906" s="2" t="str">
        <f ca="1"/>
        <v>Bad</v>
      </c>
    </row>
    <row r="5907" spans="2:34" x14ac:dyDescent="0.2">
      <c r="B5907" s="2">
        <f ca="1"/>
        <v>0.94005781362844743</v>
      </c>
      <c r="O5907" s="2">
        <f ca="1"/>
        <v>0.27083930540760937</v>
      </c>
      <c r="X5907" s="2">
        <f ca="1"/>
        <v>45.956994777760556</v>
      </c>
      <c r="AG5907" s="2">
        <f ca="1"/>
        <v>0.98850337956787282</v>
      </c>
      <c r="AH5907" s="2" t="str">
        <f ca="1"/>
        <v>Bad</v>
      </c>
    </row>
    <row r="5908" spans="2:34" x14ac:dyDescent="0.2">
      <c r="B5908" s="2">
        <f ca="1"/>
        <v>0.94034139175810227</v>
      </c>
      <c r="O5908" s="2">
        <f ca="1"/>
        <v>0.72970509457788146</v>
      </c>
      <c r="X5908" s="2">
        <f ca="1"/>
        <v>49.758794461481941</v>
      </c>
      <c r="AG5908" s="2">
        <f ca="1"/>
        <v>0.80705193915086593</v>
      </c>
      <c r="AH5908" s="2" t="str">
        <f ca="1"/>
        <v>Bad</v>
      </c>
    </row>
    <row r="5909" spans="2:34" x14ac:dyDescent="0.2">
      <c r="B5909" s="2">
        <f ca="1"/>
        <v>0.29287923839759622</v>
      </c>
      <c r="O5909" s="2">
        <f ca="1"/>
        <v>0.22196647570658196</v>
      </c>
      <c r="X5909" s="2">
        <f ca="1"/>
        <v>53.548078631422122</v>
      </c>
      <c r="AG5909" s="2">
        <f ca="1"/>
        <v>0.8767630449346322</v>
      </c>
      <c r="AH5909" s="2" t="str">
        <f ca="1"/>
        <v>Bad</v>
      </c>
    </row>
    <row r="5910" spans="2:34" x14ac:dyDescent="0.2">
      <c r="B5910" s="2">
        <f ca="1"/>
        <v>0.40125397286933606</v>
      </c>
      <c r="O5910" s="2">
        <f ca="1"/>
        <v>0.53219402895892909</v>
      </c>
      <c r="X5910" s="2">
        <f ca="1"/>
        <v>35.067614436383238</v>
      </c>
      <c r="AG5910" s="2">
        <f ca="1"/>
        <v>0.17202130694909457</v>
      </c>
      <c r="AH5910" s="2" t="str">
        <f ca="1"/>
        <v>OK</v>
      </c>
    </row>
    <row r="5911" spans="2:34" x14ac:dyDescent="0.2">
      <c r="B5911" s="2">
        <f ca="1"/>
        <v>0.10765486627609455</v>
      </c>
      <c r="O5911" s="2">
        <f ca="1"/>
        <v>-0.2699557053904576</v>
      </c>
      <c r="X5911" s="2">
        <f ca="1"/>
        <v>68.616128064166688</v>
      </c>
      <c r="AG5911" s="2">
        <f ca="1"/>
        <v>0.66803427699829276</v>
      </c>
      <c r="AH5911" s="2" t="str">
        <f ca="1"/>
        <v>Bad</v>
      </c>
    </row>
    <row r="5912" spans="2:34" x14ac:dyDescent="0.2">
      <c r="B5912" s="2">
        <f ca="1"/>
        <v>0.62662685540567153</v>
      </c>
      <c r="O5912" s="2">
        <f ca="1"/>
        <v>1.310017004660107</v>
      </c>
      <c r="X5912" s="2">
        <f ca="1"/>
        <v>55.151297788558068</v>
      </c>
      <c r="AG5912" s="2">
        <f ca="1"/>
        <v>6.5538547191087204E-2</v>
      </c>
      <c r="AH5912" s="2" t="str">
        <f ca="1"/>
        <v>OK</v>
      </c>
    </row>
    <row r="5913" spans="2:34" x14ac:dyDescent="0.2">
      <c r="B5913" s="2">
        <f ca="1"/>
        <v>0.28272717283524518</v>
      </c>
      <c r="O5913" s="2">
        <f ca="1"/>
        <v>0.17804403166703833</v>
      </c>
      <c r="X5913" s="2">
        <f ca="1"/>
        <v>55.242078505059851</v>
      </c>
      <c r="AG5913" s="2">
        <f ca="1"/>
        <v>0.51607669369946851</v>
      </c>
      <c r="AH5913" s="2" t="str">
        <f ca="1"/>
        <v>Bad</v>
      </c>
    </row>
    <row r="5914" spans="2:34" x14ac:dyDescent="0.2">
      <c r="B5914" s="2">
        <f ca="1"/>
        <v>0.61475514791474373</v>
      </c>
      <c r="O5914" s="2">
        <f ca="1"/>
        <v>-1.1618646169150897</v>
      </c>
      <c r="X5914" s="2">
        <f ca="1"/>
        <v>59.212035158314571</v>
      </c>
      <c r="AG5914" s="2">
        <f ca="1"/>
        <v>0.57366479636936107</v>
      </c>
      <c r="AH5914" s="2" t="str">
        <f ca="1"/>
        <v>Bad</v>
      </c>
    </row>
    <row r="5915" spans="2:34" x14ac:dyDescent="0.2">
      <c r="B5915" s="2">
        <f ca="1"/>
        <v>9.0107497725970154E-2</v>
      </c>
      <c r="O5915" s="2">
        <f ca="1"/>
        <v>0.16758676701176456</v>
      </c>
      <c r="X5915" s="2">
        <f ca="1"/>
        <v>57.090958398027112</v>
      </c>
      <c r="AG5915" s="2">
        <f ca="1"/>
        <v>0.36318159175336096</v>
      </c>
      <c r="AH5915" s="2" t="str">
        <f ca="1"/>
        <v>OK</v>
      </c>
    </row>
    <row r="5916" spans="2:34" x14ac:dyDescent="0.2">
      <c r="B5916" s="2">
        <f ca="1"/>
        <v>0.39604945260599522</v>
      </c>
      <c r="O5916" s="2">
        <f ca="1"/>
        <v>-1.4199695042627105</v>
      </c>
      <c r="X5916" s="2">
        <f ca="1"/>
        <v>59.23601675408819</v>
      </c>
      <c r="AG5916" s="2">
        <f ca="1"/>
        <v>0.78966750970955824</v>
      </c>
      <c r="AH5916" s="2" t="str">
        <f ca="1"/>
        <v>Bad</v>
      </c>
    </row>
    <row r="5917" spans="2:34" x14ac:dyDescent="0.2">
      <c r="B5917" s="2">
        <f ca="1"/>
        <v>0.31835406011773659</v>
      </c>
      <c r="O5917" s="2">
        <f ca="1"/>
        <v>0.9990335123681382</v>
      </c>
      <c r="X5917" s="2">
        <f ca="1"/>
        <v>52.465106078643984</v>
      </c>
      <c r="AG5917" s="2">
        <f ca="1"/>
        <v>4.9936920437805954E-2</v>
      </c>
      <c r="AH5917" s="2" t="str">
        <f ca="1"/>
        <v>Good</v>
      </c>
    </row>
    <row r="5918" spans="2:34" x14ac:dyDescent="0.2">
      <c r="B5918" s="2">
        <f ca="1"/>
        <v>0.8735551376541677</v>
      </c>
      <c r="O5918" s="2">
        <f ca="1"/>
        <v>-1.0898233155003745</v>
      </c>
      <c r="X5918" s="2">
        <f ca="1"/>
        <v>82.021188377611622</v>
      </c>
      <c r="AG5918" s="2">
        <f ca="1"/>
        <v>0.84705583747450297</v>
      </c>
      <c r="AH5918" s="2" t="str">
        <f ca="1"/>
        <v>Bad</v>
      </c>
    </row>
    <row r="5919" spans="2:34" x14ac:dyDescent="0.2">
      <c r="B5919" s="2">
        <f ca="1"/>
        <v>0.76197120177873146</v>
      </c>
      <c r="O5919" s="2">
        <f ca="1"/>
        <v>-0.59343759230848048</v>
      </c>
      <c r="X5919" s="2">
        <f ca="1"/>
        <v>34.676289687789378</v>
      </c>
      <c r="AG5919" s="2">
        <f ca="1"/>
        <v>0.5627443611386922</v>
      </c>
      <c r="AH5919" s="2" t="str">
        <f ca="1"/>
        <v>Bad</v>
      </c>
    </row>
    <row r="5920" spans="2:34" x14ac:dyDescent="0.2">
      <c r="B5920" s="2">
        <f ca="1"/>
        <v>0.55637202829631716</v>
      </c>
      <c r="O5920" s="2">
        <f ca="1"/>
        <v>0.94471990279744733</v>
      </c>
      <c r="X5920" s="2">
        <f ca="1"/>
        <v>45.290662220360133</v>
      </c>
      <c r="AG5920" s="2">
        <f ca="1"/>
        <v>0.17209645189967659</v>
      </c>
      <c r="AH5920" s="2" t="str">
        <f ca="1"/>
        <v>OK</v>
      </c>
    </row>
    <row r="5921" spans="2:34" x14ac:dyDescent="0.2">
      <c r="B5921" s="2">
        <f ca="1"/>
        <v>0.41834453491309387</v>
      </c>
      <c r="O5921" s="2">
        <f ca="1"/>
        <v>0.78830587647693207</v>
      </c>
      <c r="X5921" s="2">
        <f ca="1"/>
        <v>52.249318854563725</v>
      </c>
      <c r="AG5921" s="2">
        <f ca="1"/>
        <v>2.7404309671979599E-2</v>
      </c>
      <c r="AH5921" s="2" t="str">
        <f ca="1"/>
        <v>Good</v>
      </c>
    </row>
    <row r="5922" spans="2:34" x14ac:dyDescent="0.2">
      <c r="B5922" s="2">
        <f ca="1"/>
        <v>0.48148225803827804</v>
      </c>
      <c r="O5922" s="2">
        <f ca="1"/>
        <v>-2.5464853704890652E-2</v>
      </c>
      <c r="X5922" s="2">
        <f ca="1"/>
        <v>30.967605032991742</v>
      </c>
      <c r="AG5922" s="2">
        <f ca="1"/>
        <v>0.33937473800722606</v>
      </c>
      <c r="AH5922" s="2" t="str">
        <f ca="1"/>
        <v>OK</v>
      </c>
    </row>
    <row r="5923" spans="2:34" x14ac:dyDescent="0.2">
      <c r="B5923" s="2">
        <f ca="1"/>
        <v>0.98943831246353708</v>
      </c>
      <c r="O5923" s="2">
        <f ca="1"/>
        <v>-0.55552815656743904</v>
      </c>
      <c r="X5923" s="2">
        <f ca="1"/>
        <v>53.463520425142129</v>
      </c>
      <c r="AG5923" s="2">
        <f ca="1"/>
        <v>0.80263220238842092</v>
      </c>
      <c r="AH5923" s="2" t="str">
        <f ca="1"/>
        <v>Bad</v>
      </c>
    </row>
    <row r="5924" spans="2:34" x14ac:dyDescent="0.2">
      <c r="B5924" s="2">
        <f ca="1"/>
        <v>0.18754930891458521</v>
      </c>
      <c r="O5924" s="2">
        <f ca="1"/>
        <v>-7.7301701784557864E-2</v>
      </c>
      <c r="X5924" s="2">
        <f ca="1"/>
        <v>40.232154191132864</v>
      </c>
      <c r="AG5924" s="2">
        <f ca="1"/>
        <v>0.21507897258842235</v>
      </c>
      <c r="AH5924" s="2" t="str">
        <f ca="1"/>
        <v>OK</v>
      </c>
    </row>
    <row r="5925" spans="2:34" x14ac:dyDescent="0.2">
      <c r="B5925" s="2">
        <f ca="1"/>
        <v>0.941467745626271</v>
      </c>
      <c r="O5925" s="2">
        <f ca="1"/>
        <v>-8.4125939591478488E-2</v>
      </c>
      <c r="X5925" s="2">
        <f ca="1"/>
        <v>53.670387572739187</v>
      </c>
      <c r="AG5925" s="2">
        <f ca="1"/>
        <v>0.60438132151896817</v>
      </c>
      <c r="AH5925" s="2" t="str">
        <f ca="1"/>
        <v>Bad</v>
      </c>
    </row>
    <row r="5926" spans="2:34" x14ac:dyDescent="0.2">
      <c r="B5926" s="2">
        <f ca="1"/>
        <v>0.88486217688055002</v>
      </c>
      <c r="O5926" s="2">
        <f ca="1"/>
        <v>-0.19404699062395819</v>
      </c>
      <c r="X5926" s="2">
        <f ca="1"/>
        <v>43.173710076303855</v>
      </c>
      <c r="AG5926" s="2">
        <f ca="1"/>
        <v>0.1905413464015826</v>
      </c>
      <c r="AH5926" s="2" t="str">
        <f ca="1"/>
        <v>OK</v>
      </c>
    </row>
    <row r="5927" spans="2:34" x14ac:dyDescent="0.2">
      <c r="B5927" s="2">
        <f ca="1"/>
        <v>8.4042511145259624E-2</v>
      </c>
      <c r="O5927" s="2">
        <f ca="1"/>
        <v>-8.3324716419681158E-2</v>
      </c>
      <c r="X5927" s="2">
        <f ca="1"/>
        <v>29.81552292925544</v>
      </c>
      <c r="AG5927" s="2">
        <f ca="1"/>
        <v>0.45040437956694834</v>
      </c>
      <c r="AH5927" s="2" t="str">
        <f ca="1"/>
        <v>Bad</v>
      </c>
    </row>
    <row r="5928" spans="2:34" x14ac:dyDescent="0.2">
      <c r="B5928" s="2">
        <f ca="1"/>
        <v>0.70791518724827762</v>
      </c>
      <c r="O5928" s="2">
        <f ca="1"/>
        <v>0.16160480797946247</v>
      </c>
      <c r="X5928" s="2">
        <f ca="1"/>
        <v>58.098074464724654</v>
      </c>
      <c r="AG5928" s="2">
        <f ca="1"/>
        <v>0.16156695356360329</v>
      </c>
      <c r="AH5928" s="2" t="str">
        <f ca="1"/>
        <v>OK</v>
      </c>
    </row>
    <row r="5929" spans="2:34" x14ac:dyDescent="0.2">
      <c r="B5929" s="2">
        <f ca="1"/>
        <v>0.67067388150710849</v>
      </c>
      <c r="O5929" s="2">
        <f ca="1"/>
        <v>1.6102473850025427</v>
      </c>
      <c r="X5929" s="2">
        <f ca="1"/>
        <v>35.190287246169646</v>
      </c>
      <c r="AG5929" s="2">
        <f ca="1"/>
        <v>0.41870902275277722</v>
      </c>
      <c r="AH5929" s="2" t="str">
        <f ca="1"/>
        <v>Bad</v>
      </c>
    </row>
    <row r="5930" spans="2:34" x14ac:dyDescent="0.2">
      <c r="B5930" s="2">
        <f ca="1"/>
        <v>0.84628430341984373</v>
      </c>
      <c r="O5930" s="2">
        <f ca="1"/>
        <v>0.41302235302235446</v>
      </c>
      <c r="X5930" s="2">
        <f ca="1"/>
        <v>30.682079831777315</v>
      </c>
      <c r="AG5930" s="2">
        <f ca="1"/>
        <v>0.48069211194035533</v>
      </c>
      <c r="AH5930" s="2" t="str">
        <f ca="1"/>
        <v>Bad</v>
      </c>
    </row>
    <row r="5931" spans="2:34" x14ac:dyDescent="0.2">
      <c r="B5931" s="2">
        <f ca="1"/>
        <v>0.31814375063041167</v>
      </c>
      <c r="O5931" s="2">
        <f ca="1"/>
        <v>1.740818791084721</v>
      </c>
      <c r="X5931" s="2">
        <f ca="1"/>
        <v>42.309429720715471</v>
      </c>
      <c r="AG5931" s="2">
        <f ca="1"/>
        <v>0.12927432107466763</v>
      </c>
      <c r="AH5931" s="2" t="str">
        <f ca="1"/>
        <v>OK</v>
      </c>
    </row>
    <row r="5932" spans="2:34" x14ac:dyDescent="0.2">
      <c r="B5932" s="2">
        <f ca="1"/>
        <v>0.61950716755099888</v>
      </c>
      <c r="O5932" s="2">
        <f ca="1"/>
        <v>0.11258410933415731</v>
      </c>
      <c r="X5932" s="2">
        <f ca="1"/>
        <v>31.838350237124523</v>
      </c>
      <c r="AG5932" s="2">
        <f ca="1"/>
        <v>0.85227314486504069</v>
      </c>
      <c r="AH5932" s="2" t="str">
        <f ca="1"/>
        <v>Bad</v>
      </c>
    </row>
    <row r="5933" spans="2:34" x14ac:dyDescent="0.2">
      <c r="B5933" s="2">
        <f ca="1"/>
        <v>0.30382717520706715</v>
      </c>
      <c r="O5933" s="2">
        <f ca="1"/>
        <v>0.35124710384289087</v>
      </c>
      <c r="X5933" s="2">
        <f ca="1"/>
        <v>43.54947733138011</v>
      </c>
      <c r="AG5933" s="2">
        <f ca="1"/>
        <v>0.71066620838520356</v>
      </c>
      <c r="AH5933" s="2" t="str">
        <f ca="1"/>
        <v>Bad</v>
      </c>
    </row>
    <row r="5934" spans="2:34" x14ac:dyDescent="0.2">
      <c r="B5934" s="2">
        <f ca="1"/>
        <v>0.47209813508851806</v>
      </c>
      <c r="O5934" s="2">
        <f ca="1"/>
        <v>-2.2068604891390824</v>
      </c>
      <c r="X5934" s="2">
        <f ca="1"/>
        <v>26.390989693593031</v>
      </c>
      <c r="AG5934" s="2">
        <f ca="1"/>
        <v>0.11950128903717983</v>
      </c>
      <c r="AH5934" s="2" t="str">
        <f ca="1"/>
        <v>OK</v>
      </c>
    </row>
    <row r="5935" spans="2:34" x14ac:dyDescent="0.2">
      <c r="B5935" s="2">
        <f ca="1"/>
        <v>0.65181116026123287</v>
      </c>
      <c r="O5935" s="2">
        <f ca="1"/>
        <v>0.17630805099547908</v>
      </c>
      <c r="X5935" s="2">
        <f ca="1"/>
        <v>33.155460357556535</v>
      </c>
      <c r="AG5935" s="2">
        <f ca="1"/>
        <v>0.84330091061884249</v>
      </c>
      <c r="AH5935" s="2" t="str">
        <f ca="1"/>
        <v>Bad</v>
      </c>
    </row>
    <row r="5936" spans="2:34" x14ac:dyDescent="0.2">
      <c r="B5936" s="2">
        <f ca="1"/>
        <v>0.48868536959959652</v>
      </c>
      <c r="O5936" s="2">
        <f ca="1"/>
        <v>1.1691347401157803</v>
      </c>
      <c r="X5936" s="2">
        <f ca="1"/>
        <v>45.169182371609324</v>
      </c>
      <c r="AG5936" s="2">
        <f ca="1"/>
        <v>0.96105117880021074</v>
      </c>
      <c r="AH5936" s="2" t="str">
        <f ca="1"/>
        <v>Bad</v>
      </c>
    </row>
    <row r="5937" spans="2:34" x14ac:dyDescent="0.2">
      <c r="B5937" s="2">
        <f ca="1"/>
        <v>0.63488495354989283</v>
      </c>
      <c r="O5937" s="2">
        <f ca="1"/>
        <v>-0.37110076819679522</v>
      </c>
      <c r="X5937" s="2">
        <f ca="1"/>
        <v>86.180721825700289</v>
      </c>
      <c r="AG5937" s="2">
        <f ca="1"/>
        <v>0.58732623194236533</v>
      </c>
      <c r="AH5937" s="2" t="str">
        <f ca="1"/>
        <v>Bad</v>
      </c>
    </row>
    <row r="5938" spans="2:34" x14ac:dyDescent="0.2">
      <c r="B5938" s="2">
        <f ca="1"/>
        <v>0.30824258801341498</v>
      </c>
      <c r="O5938" s="2">
        <f ca="1"/>
        <v>-0.72027135551578525</v>
      </c>
      <c r="X5938" s="2">
        <f ca="1"/>
        <v>57.241144505888435</v>
      </c>
      <c r="AG5938" s="2">
        <f ca="1"/>
        <v>0.72600916527832648</v>
      </c>
      <c r="AH5938" s="2" t="str">
        <f ca="1"/>
        <v>Bad</v>
      </c>
    </row>
    <row r="5939" spans="2:34" x14ac:dyDescent="0.2">
      <c r="B5939" s="2">
        <f ca="1"/>
        <v>0.28033044838941579</v>
      </c>
      <c r="O5939" s="2">
        <f ca="1"/>
        <v>2.0757709324109301</v>
      </c>
      <c r="X5939" s="2">
        <f ca="1"/>
        <v>49.891877425007891</v>
      </c>
      <c r="AG5939" s="2">
        <f ca="1"/>
        <v>6.5935688530064374E-2</v>
      </c>
      <c r="AH5939" s="2" t="str">
        <f ca="1"/>
        <v>OK</v>
      </c>
    </row>
    <row r="5940" spans="2:34" x14ac:dyDescent="0.2">
      <c r="B5940" s="2">
        <f ca="1"/>
        <v>0.51646952668139412</v>
      </c>
      <c r="O5940" s="2">
        <f ca="1"/>
        <v>-1.2410693171793667</v>
      </c>
      <c r="X5940" s="2">
        <f ca="1"/>
        <v>45.490983614970162</v>
      </c>
      <c r="AG5940" s="2">
        <f ca="1"/>
        <v>0.85169127208231132</v>
      </c>
      <c r="AH5940" s="2" t="str">
        <f ca="1"/>
        <v>Bad</v>
      </c>
    </row>
    <row r="5941" spans="2:34" x14ac:dyDescent="0.2">
      <c r="B5941" s="2">
        <f ca="1"/>
        <v>0.31350330655515046</v>
      </c>
      <c r="O5941" s="2">
        <f ca="1"/>
        <v>1.5242505965573259</v>
      </c>
      <c r="X5941" s="2">
        <f ca="1"/>
        <v>40.130111049388105</v>
      </c>
      <c r="AG5941" s="2">
        <f ca="1"/>
        <v>0.19662061920402762</v>
      </c>
      <c r="AH5941" s="2" t="str">
        <f ca="1"/>
        <v>OK</v>
      </c>
    </row>
    <row r="5942" spans="2:34" x14ac:dyDescent="0.2">
      <c r="B5942" s="2">
        <f ca="1"/>
        <v>0.83471270223627969</v>
      </c>
      <c r="O5942" s="2">
        <f ca="1"/>
        <v>0.43882816492213211</v>
      </c>
      <c r="X5942" s="2">
        <f ca="1"/>
        <v>39.369469055457166</v>
      </c>
      <c r="AG5942" s="2">
        <f ca="1"/>
        <v>0.70643175744353348</v>
      </c>
      <c r="AH5942" s="2" t="str">
        <f ca="1"/>
        <v>Bad</v>
      </c>
    </row>
    <row r="5943" spans="2:34" x14ac:dyDescent="0.2">
      <c r="B5943" s="2">
        <f ca="1"/>
        <v>0.70057365775781477</v>
      </c>
      <c r="O5943" s="2">
        <f ca="1"/>
        <v>-0.22676529008156424</v>
      </c>
      <c r="X5943" s="2">
        <f ca="1"/>
        <v>51.982441996089825</v>
      </c>
      <c r="AG5943" s="2">
        <f ca="1"/>
        <v>0.72071629572527551</v>
      </c>
      <c r="AH5943" s="2" t="str">
        <f ca="1"/>
        <v>Bad</v>
      </c>
    </row>
    <row r="5944" spans="2:34" x14ac:dyDescent="0.2">
      <c r="B5944" s="2">
        <f ca="1"/>
        <v>9.0349990023391946E-2</v>
      </c>
      <c r="O5944" s="2">
        <f ca="1"/>
        <v>-0.43356412895113045</v>
      </c>
      <c r="X5944" s="2">
        <f ca="1"/>
        <v>39.619190184063442</v>
      </c>
      <c r="AG5944" s="2">
        <f ca="1"/>
        <v>0.64168846249904177</v>
      </c>
      <c r="AH5944" s="2" t="str">
        <f ca="1"/>
        <v>Bad</v>
      </c>
    </row>
    <row r="5945" spans="2:34" x14ac:dyDescent="0.2">
      <c r="B5945" s="2">
        <f ca="1"/>
        <v>0.98840404599203757</v>
      </c>
      <c r="O5945" s="2">
        <f ca="1"/>
        <v>0.47466011001718961</v>
      </c>
      <c r="X5945" s="2">
        <f ca="1"/>
        <v>64.17519434855511</v>
      </c>
      <c r="AG5945" s="2">
        <f ca="1"/>
        <v>0.67797900765172781</v>
      </c>
      <c r="AH5945" s="2" t="str">
        <f ca="1"/>
        <v>Bad</v>
      </c>
    </row>
    <row r="5946" spans="2:34" x14ac:dyDescent="0.2">
      <c r="B5946" s="2">
        <f ca="1"/>
        <v>4.1914019605226116E-2</v>
      </c>
      <c r="O5946" s="2">
        <f ca="1"/>
        <v>-0.87638477603951281</v>
      </c>
      <c r="X5946" s="2">
        <f ca="1"/>
        <v>67.096645363551474</v>
      </c>
      <c r="AG5946" s="2">
        <f ca="1"/>
        <v>6.1102462543868086E-2</v>
      </c>
      <c r="AH5946" s="2" t="str">
        <f ca="1"/>
        <v>OK</v>
      </c>
    </row>
    <row r="5947" spans="2:34" x14ac:dyDescent="0.2">
      <c r="B5947" s="2">
        <f ca="1"/>
        <v>1.6599964781317533E-2</v>
      </c>
      <c r="O5947" s="2">
        <f ca="1"/>
        <v>0.54208372570095209</v>
      </c>
      <c r="X5947" s="2">
        <f ca="1"/>
        <v>86.475653990933409</v>
      </c>
      <c r="AG5947" s="2">
        <f ca="1"/>
        <v>0.20833409690831628</v>
      </c>
      <c r="AH5947" s="2" t="str">
        <f ca="1"/>
        <v>OK</v>
      </c>
    </row>
    <row r="5948" spans="2:34" x14ac:dyDescent="0.2">
      <c r="B5948" s="2">
        <f ca="1"/>
        <v>0.24576533392048439</v>
      </c>
      <c r="O5948" s="2">
        <f ca="1"/>
        <v>-2.4899545011748114</v>
      </c>
      <c r="X5948" s="2">
        <f ca="1"/>
        <v>68.57397345874287</v>
      </c>
      <c r="AG5948" s="2">
        <f ca="1"/>
        <v>0.47939587403692463</v>
      </c>
      <c r="AH5948" s="2" t="str">
        <f ca="1"/>
        <v>Bad</v>
      </c>
    </row>
    <row r="5949" spans="2:34" x14ac:dyDescent="0.2">
      <c r="B5949" s="2">
        <f ca="1"/>
        <v>0.83798110575630069</v>
      </c>
      <c r="O5949" s="2">
        <f ca="1"/>
        <v>-1.2607052533218188</v>
      </c>
      <c r="X5949" s="2">
        <f ca="1"/>
        <v>67.341337095018261</v>
      </c>
      <c r="AG5949" s="2">
        <f ca="1"/>
        <v>0.6002993283730107</v>
      </c>
      <c r="AH5949" s="2" t="str">
        <f ca="1"/>
        <v>Bad</v>
      </c>
    </row>
    <row r="5950" spans="2:34" x14ac:dyDescent="0.2">
      <c r="B5950" s="2">
        <f ca="1"/>
        <v>0.32703537211545441</v>
      </c>
      <c r="O5950" s="2">
        <f ca="1"/>
        <v>-0.94874183652454558</v>
      </c>
      <c r="X5950" s="2">
        <f ca="1"/>
        <v>46.874576652330767</v>
      </c>
      <c r="AG5950" s="2">
        <f ca="1"/>
        <v>0.20638032601410305</v>
      </c>
      <c r="AH5950" s="2" t="str">
        <f ca="1"/>
        <v>OK</v>
      </c>
    </row>
    <row r="5951" spans="2:34" x14ac:dyDescent="0.2">
      <c r="B5951" s="2">
        <f ca="1"/>
        <v>0.94678434852769344</v>
      </c>
      <c r="O5951" s="2">
        <f ca="1"/>
        <v>-1.3839509870653652</v>
      </c>
      <c r="X5951" s="2">
        <f ca="1"/>
        <v>55.837588081031491</v>
      </c>
      <c r="AG5951" s="2">
        <f ca="1"/>
        <v>0.3769896605583003</v>
      </c>
      <c r="AH5951" s="2" t="str">
        <f ca="1"/>
        <v>OK</v>
      </c>
    </row>
    <row r="5952" spans="2:34" x14ac:dyDescent="0.2">
      <c r="B5952" s="2">
        <f ca="1"/>
        <v>0.56451691462002795</v>
      </c>
      <c r="O5952" s="2">
        <f ca="1"/>
        <v>-1.594040541984391</v>
      </c>
      <c r="X5952" s="2">
        <f ca="1"/>
        <v>48.863293004036862</v>
      </c>
      <c r="AG5952" s="2">
        <f ca="1"/>
        <v>0.13349691602047176</v>
      </c>
      <c r="AH5952" s="2" t="str">
        <f ca="1"/>
        <v>OK</v>
      </c>
    </row>
    <row r="5953" spans="2:34" x14ac:dyDescent="0.2">
      <c r="B5953" s="2">
        <f ca="1"/>
        <v>0.93379861338677328</v>
      </c>
      <c r="O5953" s="2">
        <f ca="1"/>
        <v>-0.4930797844920316</v>
      </c>
      <c r="X5953" s="2">
        <f ca="1"/>
        <v>40.948130319845703</v>
      </c>
      <c r="AG5953" s="2">
        <f ca="1"/>
        <v>2.7422735174376989E-2</v>
      </c>
      <c r="AH5953" s="2" t="str">
        <f ca="1"/>
        <v>Good</v>
      </c>
    </row>
    <row r="5954" spans="2:34" x14ac:dyDescent="0.2">
      <c r="B5954" s="2">
        <f ca="1"/>
        <v>0.83255334926829838</v>
      </c>
      <c r="O5954" s="2">
        <f ca="1"/>
        <v>0.8796235050775163</v>
      </c>
      <c r="X5954" s="2">
        <f ca="1"/>
        <v>46.579456708231753</v>
      </c>
      <c r="AG5954" s="2">
        <f ca="1"/>
        <v>0.88257197745211924</v>
      </c>
      <c r="AH5954" s="2" t="str">
        <f ca="1"/>
        <v>Bad</v>
      </c>
    </row>
    <row r="5955" spans="2:34" x14ac:dyDescent="0.2">
      <c r="B5955" s="2">
        <f ca="1"/>
        <v>0.49719111218665013</v>
      </c>
      <c r="O5955" s="2">
        <f ca="1"/>
        <v>-0.98726841280846633</v>
      </c>
      <c r="X5955" s="2">
        <f ca="1"/>
        <v>68.358255254561215</v>
      </c>
      <c r="AG5955" s="2">
        <f ca="1"/>
        <v>0.17230333518960572</v>
      </c>
      <c r="AH5955" s="2" t="str">
        <f ca="1"/>
        <v>OK</v>
      </c>
    </row>
    <row r="5956" spans="2:34" x14ac:dyDescent="0.2">
      <c r="B5956" s="2">
        <f ca="1"/>
        <v>0.72630223777215241</v>
      </c>
      <c r="O5956" s="2">
        <f ca="1"/>
        <v>0.37832487073604321</v>
      </c>
      <c r="X5956" s="2">
        <f ca="1"/>
        <v>45.667206636323641</v>
      </c>
      <c r="AG5956" s="2">
        <f ca="1"/>
        <v>0.16547367659268142</v>
      </c>
      <c r="AH5956" s="2" t="str">
        <f ca="1"/>
        <v>OK</v>
      </c>
    </row>
    <row r="5957" spans="2:34" x14ac:dyDescent="0.2">
      <c r="B5957" s="2">
        <f ca="1"/>
        <v>3.8297175895599667E-2</v>
      </c>
      <c r="O5957" s="2">
        <f ca="1"/>
        <v>0.3139254697714971</v>
      </c>
      <c r="X5957" s="2">
        <f ca="1"/>
        <v>52.36550984970323</v>
      </c>
      <c r="AG5957" s="2">
        <f ca="1"/>
        <v>0.55902947425331662</v>
      </c>
      <c r="AH5957" s="2" t="str">
        <f ca="1"/>
        <v>Bad</v>
      </c>
    </row>
    <row r="5958" spans="2:34" x14ac:dyDescent="0.2">
      <c r="B5958" s="2">
        <f ca="1"/>
        <v>0.7759251589985694</v>
      </c>
      <c r="O5958" s="2">
        <f ca="1"/>
        <v>1.3540769221581999</v>
      </c>
      <c r="X5958" s="2">
        <f ca="1"/>
        <v>62.149763965308921</v>
      </c>
      <c r="AG5958" s="2">
        <f ca="1"/>
        <v>0.84967792944138565</v>
      </c>
      <c r="AH5958" s="2" t="str">
        <f ca="1"/>
        <v>Bad</v>
      </c>
    </row>
    <row r="5959" spans="2:34" x14ac:dyDescent="0.2">
      <c r="B5959" s="2">
        <f ca="1"/>
        <v>0.6258290254689538</v>
      </c>
      <c r="O5959" s="2">
        <f ca="1"/>
        <v>-1.158807476565197</v>
      </c>
      <c r="X5959" s="2">
        <f ca="1"/>
        <v>98.61193696887112</v>
      </c>
      <c r="AG5959" s="2">
        <f ca="1"/>
        <v>0.39605026308108782</v>
      </c>
      <c r="AH5959" s="2" t="str">
        <f ca="1"/>
        <v>OK</v>
      </c>
    </row>
    <row r="5960" spans="2:34" x14ac:dyDescent="0.2">
      <c r="B5960" s="2">
        <f ca="1"/>
        <v>0.20031481953853025</v>
      </c>
      <c r="O5960" s="2">
        <f ca="1"/>
        <v>-0.88812619233821288</v>
      </c>
      <c r="X5960" s="2">
        <f ca="1"/>
        <v>92.361867848369315</v>
      </c>
      <c r="AG5960" s="2">
        <f ca="1"/>
        <v>0.5234839594565488</v>
      </c>
      <c r="AH5960" s="2" t="str">
        <f ca="1"/>
        <v>Bad</v>
      </c>
    </row>
    <row r="5961" spans="2:34" x14ac:dyDescent="0.2">
      <c r="B5961" s="2">
        <f ca="1"/>
        <v>9.0893494100024785E-2</v>
      </c>
      <c r="O5961" s="2">
        <f ca="1"/>
        <v>0.78758487877298067</v>
      </c>
      <c r="X5961" s="2">
        <f ca="1"/>
        <v>41.536730969780763</v>
      </c>
      <c r="AG5961" s="2">
        <f ca="1"/>
        <v>0.53340601166563584</v>
      </c>
      <c r="AH5961" s="2" t="str">
        <f ca="1"/>
        <v>Bad</v>
      </c>
    </row>
    <row r="5962" spans="2:34" x14ac:dyDescent="0.2">
      <c r="B5962" s="2">
        <f ca="1"/>
        <v>0.2851074129909803</v>
      </c>
      <c r="O5962" s="2">
        <f ca="1"/>
        <v>1.1159379235359408</v>
      </c>
      <c r="X5962" s="2">
        <f ca="1"/>
        <v>37.151319784669091</v>
      </c>
      <c r="AG5962" s="2">
        <f ca="1"/>
        <v>3.8848143597960627E-2</v>
      </c>
      <c r="AH5962" s="2" t="str">
        <f ca="1"/>
        <v>Good</v>
      </c>
    </row>
    <row r="5963" spans="2:34" x14ac:dyDescent="0.2">
      <c r="B5963" s="2">
        <f ca="1"/>
        <v>0.45126376252238209</v>
      </c>
      <c r="O5963" s="2">
        <f ca="1"/>
        <v>-4.0973745677602966E-2</v>
      </c>
      <c r="X5963" s="2">
        <f ca="1"/>
        <v>44.519776448384711</v>
      </c>
      <c r="AG5963" s="2">
        <f ca="1"/>
        <v>0.94862655670325946</v>
      </c>
      <c r="AH5963" s="2" t="str">
        <f ca="1"/>
        <v>Bad</v>
      </c>
    </row>
    <row r="5964" spans="2:34" x14ac:dyDescent="0.2">
      <c r="B5964" s="2">
        <f ca="1"/>
        <v>0.65963935856964762</v>
      </c>
      <c r="O5964" s="2">
        <f ca="1"/>
        <v>-1.2030791027992145</v>
      </c>
      <c r="X5964" s="2">
        <f ca="1"/>
        <v>48.937358767343426</v>
      </c>
      <c r="AG5964" s="2">
        <f ca="1"/>
        <v>0.88758585714843763</v>
      </c>
      <c r="AH5964" s="2" t="str">
        <f ca="1"/>
        <v>Bad</v>
      </c>
    </row>
    <row r="5965" spans="2:34" x14ac:dyDescent="0.2">
      <c r="B5965" s="2">
        <f ca="1"/>
        <v>0.80186999713604035</v>
      </c>
      <c r="O5965" s="2">
        <f ca="1"/>
        <v>-0.53849829800651738</v>
      </c>
      <c r="X5965" s="2">
        <f ca="1"/>
        <v>30.456842825724372</v>
      </c>
      <c r="AG5965" s="2">
        <f ca="1"/>
        <v>0.93351023717147386</v>
      </c>
      <c r="AH5965" s="2" t="str">
        <f ca="1"/>
        <v>Bad</v>
      </c>
    </row>
    <row r="5966" spans="2:34" x14ac:dyDescent="0.2">
      <c r="B5966" s="2">
        <f ca="1"/>
        <v>0.3873312332314891</v>
      </c>
      <c r="O5966" s="2">
        <f ca="1"/>
        <v>-1.4704042021249615</v>
      </c>
      <c r="X5966" s="2">
        <f ca="1"/>
        <v>49.581591878852123</v>
      </c>
      <c r="AG5966" s="2">
        <f ca="1"/>
        <v>0.38909400615207534</v>
      </c>
      <c r="AH5966" s="2" t="str">
        <f ca="1"/>
        <v>OK</v>
      </c>
    </row>
    <row r="5967" spans="2:34" x14ac:dyDescent="0.2">
      <c r="B5967" s="2">
        <f ca="1"/>
        <v>0.38030685634296546</v>
      </c>
      <c r="O5967" s="2">
        <f ca="1"/>
        <v>-0.16334972258562047</v>
      </c>
      <c r="X5967" s="2">
        <f ca="1"/>
        <v>27.177931493789742</v>
      </c>
      <c r="AG5967" s="2">
        <f ca="1"/>
        <v>0.30297535244230422</v>
      </c>
      <c r="AH5967" s="2" t="str">
        <f ca="1"/>
        <v>OK</v>
      </c>
    </row>
    <row r="5968" spans="2:34" x14ac:dyDescent="0.2">
      <c r="B5968" s="2">
        <f ca="1"/>
        <v>0.13885142175219012</v>
      </c>
      <c r="O5968" s="2">
        <f ca="1"/>
        <v>-1.05071077182582</v>
      </c>
      <c r="X5968" s="2">
        <f ca="1"/>
        <v>48.363074596065005</v>
      </c>
      <c r="AG5968" s="2">
        <f ca="1"/>
        <v>0.10357483001263423</v>
      </c>
      <c r="AH5968" s="2" t="str">
        <f ca="1"/>
        <v>OK</v>
      </c>
    </row>
    <row r="5969" spans="2:34" x14ac:dyDescent="0.2">
      <c r="B5969" s="2">
        <f ca="1"/>
        <v>7.9505317387952079E-2</v>
      </c>
      <c r="O5969" s="2">
        <f ca="1"/>
        <v>0.16223026259637988</v>
      </c>
      <c r="X5969" s="2">
        <f ca="1"/>
        <v>28.307269037041387</v>
      </c>
      <c r="AG5969" s="2">
        <f ca="1"/>
        <v>5.6941669495035097E-2</v>
      </c>
      <c r="AH5969" s="2" t="str">
        <f ca="1"/>
        <v>OK</v>
      </c>
    </row>
    <row r="5970" spans="2:34" x14ac:dyDescent="0.2">
      <c r="B5970" s="2">
        <f ca="1"/>
        <v>0.91866262955774025</v>
      </c>
      <c r="O5970" s="2">
        <f ca="1"/>
        <v>6.0839110672584421E-2</v>
      </c>
      <c r="X5970" s="2">
        <f ca="1"/>
        <v>46.902954980341171</v>
      </c>
      <c r="AG5970" s="2">
        <f ca="1"/>
        <v>0.28262136584598663</v>
      </c>
      <c r="AH5970" s="2" t="str">
        <f ca="1"/>
        <v>OK</v>
      </c>
    </row>
    <row r="5971" spans="2:34" x14ac:dyDescent="0.2">
      <c r="B5971" s="2">
        <f ca="1"/>
        <v>0.82385548495312655</v>
      </c>
      <c r="O5971" s="2">
        <f ca="1"/>
        <v>-0.51741929976049084</v>
      </c>
      <c r="X5971" s="2">
        <f ca="1"/>
        <v>35.398585431814148</v>
      </c>
      <c r="AG5971" s="2">
        <f ca="1"/>
        <v>0.87507583148066326</v>
      </c>
      <c r="AH5971" s="2" t="str">
        <f ca="1"/>
        <v>Bad</v>
      </c>
    </row>
    <row r="5972" spans="2:34" x14ac:dyDescent="0.2">
      <c r="B5972" s="2">
        <f ca="1"/>
        <v>0.44077231826526897</v>
      </c>
      <c r="O5972" s="2">
        <f ca="1"/>
        <v>0.47642030102321842</v>
      </c>
      <c r="X5972" s="2">
        <f ca="1"/>
        <v>30.396792009280876</v>
      </c>
      <c r="AG5972" s="2">
        <f ca="1"/>
        <v>0.31160072063207123</v>
      </c>
      <c r="AH5972" s="2" t="str">
        <f ca="1"/>
        <v>OK</v>
      </c>
    </row>
    <row r="5973" spans="2:34" x14ac:dyDescent="0.2">
      <c r="B5973" s="2">
        <f ca="1"/>
        <v>0.96718230267691618</v>
      </c>
      <c r="O5973" s="2">
        <f ca="1"/>
        <v>1.8339088797230028</v>
      </c>
      <c r="X5973" s="2">
        <f ca="1"/>
        <v>78.034930675117963</v>
      </c>
      <c r="AG5973" s="2">
        <f ca="1"/>
        <v>0.8886052541333076</v>
      </c>
      <c r="AH5973" s="2" t="str">
        <f ca="1"/>
        <v>Bad</v>
      </c>
    </row>
    <row r="5974" spans="2:34" x14ac:dyDescent="0.2">
      <c r="B5974" s="2">
        <f ca="1"/>
        <v>0.74972726127840272</v>
      </c>
      <c r="O5974" s="2">
        <f ca="1"/>
        <v>0.90187235869201421</v>
      </c>
      <c r="X5974" s="2">
        <f ca="1"/>
        <v>48.508418738565673</v>
      </c>
      <c r="AG5974" s="2">
        <f ca="1"/>
        <v>6.0056263510831043E-2</v>
      </c>
      <c r="AH5974" s="2" t="str">
        <f ca="1"/>
        <v>OK</v>
      </c>
    </row>
    <row r="5975" spans="2:34" x14ac:dyDescent="0.2">
      <c r="B5975" s="2">
        <f ca="1"/>
        <v>0.17353585403110938</v>
      </c>
      <c r="O5975" s="2">
        <f ca="1"/>
        <v>0.44789451315447781</v>
      </c>
      <c r="X5975" s="2">
        <f ca="1"/>
        <v>48.817200050800615</v>
      </c>
      <c r="AG5975" s="2">
        <f ca="1"/>
        <v>6.1664254607518787E-2</v>
      </c>
      <c r="AH5975" s="2" t="str">
        <f ca="1"/>
        <v>OK</v>
      </c>
    </row>
    <row r="5976" spans="2:34" x14ac:dyDescent="0.2">
      <c r="B5976" s="2">
        <f ca="1"/>
        <v>0.54566651258634091</v>
      </c>
      <c r="O5976" s="2">
        <f ca="1"/>
        <v>-0.47925644124320677</v>
      </c>
      <c r="X5976" s="2">
        <f ca="1"/>
        <v>28.311753092865569</v>
      </c>
      <c r="AG5976" s="2">
        <f ca="1"/>
        <v>0.15484498359207333</v>
      </c>
      <c r="AH5976" s="2" t="str">
        <f ca="1"/>
        <v>OK</v>
      </c>
    </row>
    <row r="5977" spans="2:34" x14ac:dyDescent="0.2">
      <c r="B5977" s="2">
        <f ca="1"/>
        <v>0.35755258401719581</v>
      </c>
      <c r="O5977" s="2">
        <f ca="1"/>
        <v>0.1876907833215383</v>
      </c>
      <c r="X5977" s="2">
        <f ca="1"/>
        <v>44.559867155284536</v>
      </c>
      <c r="AG5977" s="2">
        <f ca="1"/>
        <v>0.35961513849334326</v>
      </c>
      <c r="AH5977" s="2" t="str">
        <f ca="1"/>
        <v>OK</v>
      </c>
    </row>
    <row r="5978" spans="2:34" x14ac:dyDescent="0.2">
      <c r="B5978" s="2">
        <f ca="1"/>
        <v>0.20521943836995504</v>
      </c>
      <c r="O5978" s="2">
        <f ca="1"/>
        <v>0.12691026570246527</v>
      </c>
      <c r="X5978" s="2">
        <f ca="1"/>
        <v>70.403445877008181</v>
      </c>
      <c r="AG5978" s="2">
        <f ca="1"/>
        <v>0.68390830170424777</v>
      </c>
      <c r="AH5978" s="2" t="str">
        <f ca="1"/>
        <v>Bad</v>
      </c>
    </row>
    <row r="5979" spans="2:34" x14ac:dyDescent="0.2">
      <c r="B5979" s="2">
        <f ca="1"/>
        <v>0.35781682943948367</v>
      </c>
      <c r="O5979" s="2">
        <f ca="1"/>
        <v>-0.64219897299341233</v>
      </c>
      <c r="X5979" s="2">
        <f ca="1"/>
        <v>34.458982382852625</v>
      </c>
      <c r="AG5979" s="2">
        <f ca="1"/>
        <v>0.59116304734402658</v>
      </c>
      <c r="AH5979" s="2" t="str">
        <f ca="1"/>
        <v>Bad</v>
      </c>
    </row>
    <row r="5980" spans="2:34" x14ac:dyDescent="0.2">
      <c r="B5980" s="2">
        <f ca="1"/>
        <v>0.50340191391052946</v>
      </c>
      <c r="O5980" s="2">
        <f ca="1"/>
        <v>-0.46605749114189504</v>
      </c>
      <c r="X5980" s="2">
        <f ca="1"/>
        <v>38.006620676717404</v>
      </c>
      <c r="AG5980" s="2">
        <f ca="1"/>
        <v>0.40199781975273963</v>
      </c>
      <c r="AH5980" s="2" t="str">
        <f ca="1"/>
        <v>Bad</v>
      </c>
    </row>
    <row r="5981" spans="2:34" x14ac:dyDescent="0.2">
      <c r="B5981" s="2">
        <f ca="1"/>
        <v>0.33112920456255335</v>
      </c>
      <c r="O5981" s="2">
        <f ca="1"/>
        <v>-0.14674730384983889</v>
      </c>
      <c r="X5981" s="2">
        <f ca="1"/>
        <v>55.304645644260013</v>
      </c>
      <c r="AG5981" s="2">
        <f ca="1"/>
        <v>0.24342236025842157</v>
      </c>
      <c r="AH5981" s="2" t="str">
        <f ca="1"/>
        <v>OK</v>
      </c>
    </row>
    <row r="5982" spans="2:34" x14ac:dyDescent="0.2">
      <c r="B5982" s="2">
        <f ca="1"/>
        <v>1.2960644650633402E-2</v>
      </c>
      <c r="O5982" s="2">
        <f ca="1"/>
        <v>-0.94935010613411286</v>
      </c>
      <c r="X5982" s="2">
        <f ca="1"/>
        <v>26.040810104655328</v>
      </c>
      <c r="AG5982" s="2">
        <f ca="1"/>
        <v>0.35735524222420834</v>
      </c>
      <c r="AH5982" s="2" t="str">
        <f ca="1"/>
        <v>OK</v>
      </c>
    </row>
    <row r="5983" spans="2:34" x14ac:dyDescent="0.2">
      <c r="B5983" s="2">
        <f ca="1"/>
        <v>0.49949462073012585</v>
      </c>
      <c r="O5983" s="2">
        <f ca="1"/>
        <v>0.48144875131369724</v>
      </c>
      <c r="X5983" s="2">
        <f ca="1"/>
        <v>62.042248299496059</v>
      </c>
      <c r="AG5983" s="2">
        <f ca="1"/>
        <v>0.43141987065781784</v>
      </c>
      <c r="AH5983" s="2" t="str">
        <f ca="1"/>
        <v>Bad</v>
      </c>
    </row>
    <row r="5984" spans="2:34" x14ac:dyDescent="0.2">
      <c r="B5984" s="2">
        <f ca="1"/>
        <v>4.0869881624883586E-2</v>
      </c>
      <c r="O5984" s="2">
        <f ca="1"/>
        <v>-0.34841090017936205</v>
      </c>
      <c r="X5984" s="2">
        <f ca="1"/>
        <v>45.606965940501134</v>
      </c>
      <c r="AG5984" s="2">
        <f ca="1"/>
        <v>0.37233868424760996</v>
      </c>
      <c r="AH5984" s="2" t="str">
        <f ca="1"/>
        <v>OK</v>
      </c>
    </row>
    <row r="5985" spans="2:34" x14ac:dyDescent="0.2">
      <c r="B5985" s="2">
        <f ca="1"/>
        <v>0.84343714531518033</v>
      </c>
      <c r="O5985" s="2">
        <f ca="1"/>
        <v>0.96552562349003557</v>
      </c>
      <c r="X5985" s="2">
        <f ca="1"/>
        <v>38.972042094034961</v>
      </c>
      <c r="AG5985" s="2">
        <f ca="1"/>
        <v>0.12147634792646711</v>
      </c>
      <c r="AH5985" s="2" t="str">
        <f ca="1"/>
        <v>OK</v>
      </c>
    </row>
    <row r="5986" spans="2:34" x14ac:dyDescent="0.2">
      <c r="B5986" s="2">
        <f ca="1"/>
        <v>0.39043935546266839</v>
      </c>
      <c r="O5986" s="2">
        <f ca="1"/>
        <v>0.49877769320509763</v>
      </c>
      <c r="X5986" s="2">
        <f ca="1"/>
        <v>48.342130197630546</v>
      </c>
      <c r="AG5986" s="2">
        <f ca="1"/>
        <v>0.74218640383782675</v>
      </c>
      <c r="AH5986" s="2" t="str">
        <f ca="1"/>
        <v>Bad</v>
      </c>
    </row>
    <row r="5987" spans="2:34" x14ac:dyDescent="0.2">
      <c r="B5987" s="2">
        <f ca="1"/>
        <v>0.1481443739644388</v>
      </c>
      <c r="O5987" s="2">
        <f ca="1"/>
        <v>-0.96048825739991439</v>
      </c>
      <c r="X5987" s="2">
        <f ca="1"/>
        <v>48.373160820336622</v>
      </c>
      <c r="AG5987" s="2">
        <f ca="1"/>
        <v>0.66057204389670843</v>
      </c>
      <c r="AH5987" s="2" t="str">
        <f ca="1"/>
        <v>Bad</v>
      </c>
    </row>
    <row r="5988" spans="2:34" x14ac:dyDescent="0.2">
      <c r="B5988" s="2">
        <f ca="1"/>
        <v>0.47772462446804242</v>
      </c>
      <c r="O5988" s="2">
        <f ca="1"/>
        <v>-0.44846226632660335</v>
      </c>
      <c r="X5988" s="2">
        <f ca="1"/>
        <v>40.323304469777952</v>
      </c>
      <c r="AG5988" s="2">
        <f ca="1"/>
        <v>0.91029029789885607</v>
      </c>
      <c r="AH5988" s="2" t="str">
        <f ca="1"/>
        <v>Bad</v>
      </c>
    </row>
    <row r="5989" spans="2:34" x14ac:dyDescent="0.2">
      <c r="B5989" s="2">
        <f ca="1"/>
        <v>0.41809247038628228</v>
      </c>
      <c r="O5989" s="2">
        <f ca="1"/>
        <v>-0.50313557347186311</v>
      </c>
      <c r="X5989" s="2">
        <f ca="1"/>
        <v>29.77416558751074</v>
      </c>
      <c r="AG5989" s="2">
        <f ca="1"/>
        <v>0.45829931015667968</v>
      </c>
      <c r="AH5989" s="2" t="str">
        <f ca="1"/>
        <v>Bad</v>
      </c>
    </row>
    <row r="5990" spans="2:34" x14ac:dyDescent="0.2">
      <c r="B5990" s="2">
        <f ca="1"/>
        <v>0.73217852419670559</v>
      </c>
      <c r="O5990" s="2">
        <f ca="1"/>
        <v>1.4275436894106142</v>
      </c>
      <c r="X5990" s="2">
        <f ca="1"/>
        <v>73.562448585699926</v>
      </c>
      <c r="AG5990" s="2">
        <f ca="1"/>
        <v>0.2177588344023067</v>
      </c>
      <c r="AH5990" s="2" t="str">
        <f ca="1"/>
        <v>OK</v>
      </c>
    </row>
    <row r="5991" spans="2:34" x14ac:dyDescent="0.2">
      <c r="B5991" s="2">
        <f ca="1"/>
        <v>4.6768957100069564E-2</v>
      </c>
      <c r="O5991" s="2">
        <f ca="1"/>
        <v>1.0743440234773356</v>
      </c>
      <c r="X5991" s="2">
        <f ca="1"/>
        <v>42.81680334224869</v>
      </c>
      <c r="AG5991" s="2">
        <f ca="1"/>
        <v>0.29486440971598427</v>
      </c>
      <c r="AH5991" s="2" t="str">
        <f ca="1"/>
        <v>OK</v>
      </c>
    </row>
    <row r="5992" spans="2:34" x14ac:dyDescent="0.2">
      <c r="B5992" s="2">
        <f ca="1"/>
        <v>0.41860543874598899</v>
      </c>
      <c r="O5992" s="2">
        <f ca="1"/>
        <v>-0.67265687343417224</v>
      </c>
      <c r="X5992" s="2">
        <f ca="1"/>
        <v>26.38381912743986</v>
      </c>
      <c r="AG5992" s="2">
        <f ca="1"/>
        <v>0.80121115146109623</v>
      </c>
      <c r="AH5992" s="2" t="str">
        <f ca="1"/>
        <v>Bad</v>
      </c>
    </row>
    <row r="5993" spans="2:34" x14ac:dyDescent="0.2">
      <c r="B5993" s="2">
        <f ca="1"/>
        <v>0.6726465001708819</v>
      </c>
      <c r="O5993" s="2">
        <f ca="1"/>
        <v>0.84849179812363273</v>
      </c>
      <c r="X5993" s="2">
        <f ca="1"/>
        <v>39.401666422761529</v>
      </c>
      <c r="AG5993" s="2">
        <f ca="1"/>
        <v>0.57529476640510335</v>
      </c>
      <c r="AH5993" s="2" t="str">
        <f ca="1"/>
        <v>Bad</v>
      </c>
    </row>
    <row r="5994" spans="2:34" x14ac:dyDescent="0.2">
      <c r="B5994" s="2">
        <f ca="1"/>
        <v>0.55060224101203237</v>
      </c>
      <c r="O5994" s="2">
        <f ca="1"/>
        <v>3.4461850552568007E-2</v>
      </c>
      <c r="X5994" s="2">
        <f ca="1"/>
        <v>45.806482389783476</v>
      </c>
      <c r="AG5994" s="2">
        <f ca="1"/>
        <v>0.43044343693258535</v>
      </c>
      <c r="AH5994" s="2" t="str">
        <f ca="1"/>
        <v>Bad</v>
      </c>
    </row>
    <row r="5995" spans="2:34" x14ac:dyDescent="0.2">
      <c r="B5995" s="2">
        <f ca="1"/>
        <v>0.98598670397524679</v>
      </c>
      <c r="O5995" s="2">
        <f ca="1"/>
        <v>1.5108681394299452</v>
      </c>
      <c r="X5995" s="2">
        <f ca="1"/>
        <v>62.734749537188591</v>
      </c>
      <c r="AG5995" s="2">
        <f ca="1"/>
        <v>0.1653794521933456</v>
      </c>
      <c r="AH5995" s="2" t="str">
        <f ca="1"/>
        <v>OK</v>
      </c>
    </row>
    <row r="5996" spans="2:34" x14ac:dyDescent="0.2">
      <c r="B5996" s="2">
        <f ca="1"/>
        <v>0.56889417784184149</v>
      </c>
      <c r="O5996" s="2">
        <f ca="1"/>
        <v>0.93371549102801965</v>
      </c>
      <c r="X5996" s="2">
        <f ca="1"/>
        <v>39.93524357818491</v>
      </c>
      <c r="AG5996" s="2">
        <f ca="1"/>
        <v>0.57638646860521492</v>
      </c>
      <c r="AH5996" s="2" t="str">
        <f ca="1"/>
        <v>Bad</v>
      </c>
    </row>
    <row r="5997" spans="2:34" x14ac:dyDescent="0.2">
      <c r="B5997" s="2">
        <f ca="1"/>
        <v>0.19409304366363744</v>
      </c>
      <c r="O5997" s="2">
        <f ca="1"/>
        <v>-1.788824382769153</v>
      </c>
      <c r="X5997" s="2">
        <f ca="1"/>
        <v>53.464235207195742</v>
      </c>
      <c r="AG5997" s="2">
        <f ca="1"/>
        <v>0.59889153003121054</v>
      </c>
      <c r="AH5997" s="2" t="str">
        <f ca="1"/>
        <v>Bad</v>
      </c>
    </row>
    <row r="5998" spans="2:34" x14ac:dyDescent="0.2">
      <c r="B5998" s="2">
        <f ca="1"/>
        <v>0.34740128078771448</v>
      </c>
      <c r="O5998" s="2">
        <f ca="1"/>
        <v>0.99439642133570938</v>
      </c>
      <c r="X5998" s="2">
        <f ca="1"/>
        <v>35.010227876611182</v>
      </c>
      <c r="AG5998" s="2">
        <f ca="1"/>
        <v>0.71800421899351363</v>
      </c>
      <c r="AH5998" s="2" t="str">
        <f ca="1"/>
        <v>Bad</v>
      </c>
    </row>
    <row r="5999" spans="2:34" x14ac:dyDescent="0.2">
      <c r="B5999" s="2">
        <f ca="1"/>
        <v>0.79370164924944775</v>
      </c>
      <c r="O5999" s="2">
        <f ca="1"/>
        <v>0.96714410019365116</v>
      </c>
      <c r="X5999" s="2">
        <f ca="1"/>
        <v>39.170735424158337</v>
      </c>
      <c r="AG5999" s="2">
        <f ca="1"/>
        <v>0.29048301321237568</v>
      </c>
      <c r="AH5999" s="2" t="str">
        <f ca="1"/>
        <v>OK</v>
      </c>
    </row>
    <row r="6000" spans="2:34" x14ac:dyDescent="0.2">
      <c r="B6000" s="2">
        <f ca="1"/>
        <v>0.62750769171928966</v>
      </c>
      <c r="O6000" s="2">
        <f ca="1"/>
        <v>-0.48967138977479918</v>
      </c>
      <c r="X6000" s="2">
        <f ca="1"/>
        <v>52.072119246056594</v>
      </c>
      <c r="AG6000" s="2">
        <f ca="1"/>
        <v>3.1853284951884664E-2</v>
      </c>
      <c r="AH6000" s="2" t="str">
        <f ca="1"/>
        <v>Good</v>
      </c>
    </row>
    <row r="6001" spans="2:34" x14ac:dyDescent="0.2">
      <c r="B6001" s="2">
        <f ca="1"/>
        <v>0.79167230177974957</v>
      </c>
      <c r="O6001" s="2">
        <f ca="1"/>
        <v>0.43848371601062086</v>
      </c>
      <c r="X6001" s="2">
        <f ca="1"/>
        <v>45.916013424973627</v>
      </c>
      <c r="AG6001" s="2">
        <f ca="1"/>
        <v>0.77474911234775368</v>
      </c>
      <c r="AH6001" s="2" t="str">
        <f ca="1"/>
        <v>Bad</v>
      </c>
    </row>
    <row r="6002" spans="2:34" x14ac:dyDescent="0.2">
      <c r="B6002" s="2">
        <f ca="1"/>
        <v>0.40258346298614134</v>
      </c>
      <c r="O6002" s="2">
        <f ca="1"/>
        <v>-0.40051023082904491</v>
      </c>
      <c r="X6002" s="2">
        <f ca="1"/>
        <v>28.406706609356277</v>
      </c>
      <c r="AG6002" s="2">
        <f ca="1"/>
        <v>7.8195105882024052E-2</v>
      </c>
      <c r="AH6002" s="2" t="str">
        <f ca="1"/>
        <v>OK</v>
      </c>
    </row>
    <row r="6003" spans="2:34" x14ac:dyDescent="0.2">
      <c r="B6003" s="2">
        <f ca="1"/>
        <v>0.54265203751177693</v>
      </c>
      <c r="O6003" s="2">
        <f ca="1"/>
        <v>-0.24352840159969322</v>
      </c>
      <c r="X6003" s="2">
        <f ca="1"/>
        <v>73.936327171865244</v>
      </c>
      <c r="AG6003" s="2">
        <f ca="1"/>
        <v>0.69537809268779349</v>
      </c>
      <c r="AH6003" s="2" t="str">
        <f ca="1"/>
        <v>Bad</v>
      </c>
    </row>
    <row r="6004" spans="2:34" x14ac:dyDescent="0.2">
      <c r="B6004" s="2">
        <f ca="1"/>
        <v>0.98467747988370324</v>
      </c>
      <c r="O6004" s="2">
        <f ca="1"/>
        <v>-0.72820070467640385</v>
      </c>
      <c r="X6004" s="2">
        <f ca="1"/>
        <v>46.352410879126722</v>
      </c>
      <c r="AG6004" s="2">
        <f ca="1"/>
        <v>0.29487205018859797</v>
      </c>
      <c r="AH6004" s="2" t="str">
        <f ca="1"/>
        <v>OK</v>
      </c>
    </row>
    <row r="6005" spans="2:34" x14ac:dyDescent="0.2">
      <c r="B6005" s="2">
        <f ca="1"/>
        <v>0.75708837455528477</v>
      </c>
      <c r="O6005" s="2">
        <f ca="1"/>
        <v>-0.75829610285922833</v>
      </c>
      <c r="X6005" s="2">
        <f ca="1"/>
        <v>51.009426909882471</v>
      </c>
      <c r="AG6005" s="2">
        <f ca="1"/>
        <v>0.13526531920456564</v>
      </c>
      <c r="AH6005" s="2" t="str">
        <f ca="1"/>
        <v>OK</v>
      </c>
    </row>
    <row r="6006" spans="2:34" x14ac:dyDescent="0.2">
      <c r="B6006" s="2">
        <f ca="1"/>
        <v>0.16241026671030578</v>
      </c>
      <c r="O6006" s="2">
        <f ca="1"/>
        <v>-0.11716977901746446</v>
      </c>
      <c r="X6006" s="2">
        <f ca="1"/>
        <v>34.027029683012053</v>
      </c>
      <c r="AG6006" s="2">
        <f ca="1"/>
        <v>0.11884940685000767</v>
      </c>
      <c r="AH6006" s="2" t="str">
        <f ca="1"/>
        <v>OK</v>
      </c>
    </row>
    <row r="6007" spans="2:34" x14ac:dyDescent="0.2">
      <c r="B6007" s="2">
        <f ca="1"/>
        <v>0.28239084295803907</v>
      </c>
      <c r="O6007" s="2">
        <f ca="1"/>
        <v>-0.56879541598302563</v>
      </c>
      <c r="X6007" s="2">
        <f ca="1"/>
        <v>33.411416834859608</v>
      </c>
      <c r="AG6007" s="2">
        <f ca="1"/>
        <v>0.95207216900345615</v>
      </c>
      <c r="AH6007" s="2" t="str">
        <f ca="1"/>
        <v>Bad</v>
      </c>
    </row>
    <row r="6008" spans="2:34" x14ac:dyDescent="0.2">
      <c r="B6008" s="2">
        <f ca="1"/>
        <v>0.71931279816830118</v>
      </c>
      <c r="O6008" s="2">
        <f ca="1"/>
        <v>-0.91083831535248327</v>
      </c>
      <c r="X6008" s="2">
        <f ca="1"/>
        <v>36.6350496200075</v>
      </c>
      <c r="AG6008" s="2">
        <f ca="1"/>
        <v>0.93403322286395762</v>
      </c>
      <c r="AH6008" s="2" t="str">
        <f ca="1"/>
        <v>Bad</v>
      </c>
    </row>
    <row r="6009" spans="2:34" x14ac:dyDescent="0.2">
      <c r="B6009" s="2">
        <f ca="1"/>
        <v>0.99937147860172826</v>
      </c>
      <c r="O6009" s="2">
        <f ca="1"/>
        <v>-0.36367284051930088</v>
      </c>
      <c r="X6009" s="2">
        <f ca="1"/>
        <v>41.20712740949763</v>
      </c>
      <c r="AG6009" s="2">
        <f ca="1"/>
        <v>0.80098203488304209</v>
      </c>
      <c r="AH6009" s="2" t="str">
        <f ca="1"/>
        <v>Bad</v>
      </c>
    </row>
    <row r="6010" spans="2:34" x14ac:dyDescent="0.2">
      <c r="B6010" s="2">
        <f ca="1"/>
        <v>7.8301258486419112E-2</v>
      </c>
      <c r="O6010" s="2">
        <f ca="1"/>
        <v>-1.1044261599153999</v>
      </c>
      <c r="X6010" s="2">
        <f ca="1"/>
        <v>55.628412073454683</v>
      </c>
      <c r="AG6010" s="2">
        <f ca="1"/>
        <v>0.19295945309200224</v>
      </c>
      <c r="AH6010" s="2" t="str">
        <f ca="1"/>
        <v>OK</v>
      </c>
    </row>
    <row r="6011" spans="2:34" x14ac:dyDescent="0.2">
      <c r="B6011" s="2">
        <f ca="1"/>
        <v>0.47807805761526234</v>
      </c>
      <c r="O6011" s="2">
        <f ca="1"/>
        <v>-8.3973389491027117E-2</v>
      </c>
      <c r="X6011" s="2">
        <f ca="1"/>
        <v>47.01831659732872</v>
      </c>
      <c r="AG6011" s="2">
        <f ca="1"/>
        <v>0.61237735731274734</v>
      </c>
      <c r="AH6011" s="2" t="str">
        <f ca="1"/>
        <v>Bad</v>
      </c>
    </row>
    <row r="6012" spans="2:34" x14ac:dyDescent="0.2">
      <c r="B6012" s="2">
        <f ca="1"/>
        <v>0.71573783202188213</v>
      </c>
      <c r="O6012" s="2">
        <f ca="1"/>
        <v>-0.75385834289228537</v>
      </c>
      <c r="X6012" s="2">
        <f ca="1"/>
        <v>54.206814663591558</v>
      </c>
      <c r="AG6012" s="2">
        <f ca="1"/>
        <v>0.5154112945505982</v>
      </c>
      <c r="AH6012" s="2" t="str">
        <f ca="1"/>
        <v>Bad</v>
      </c>
    </row>
    <row r="6013" spans="2:34" x14ac:dyDescent="0.2">
      <c r="B6013" s="2">
        <f ca="1"/>
        <v>0.73857302078188125</v>
      </c>
      <c r="O6013" s="2">
        <f ca="1"/>
        <v>-0.20896115882675839</v>
      </c>
      <c r="X6013" s="2">
        <f ca="1"/>
        <v>25.745475134185781</v>
      </c>
      <c r="AG6013" s="2">
        <f ca="1"/>
        <v>0.69113320523328392</v>
      </c>
      <c r="AH6013" s="2" t="str">
        <f ca="1"/>
        <v>Bad</v>
      </c>
    </row>
    <row r="6014" spans="2:34" x14ac:dyDescent="0.2">
      <c r="B6014" s="2">
        <f ca="1"/>
        <v>0.51785536187125181</v>
      </c>
      <c r="O6014" s="2">
        <f ca="1"/>
        <v>-1.1830030787016717</v>
      </c>
      <c r="X6014" s="2">
        <f ca="1"/>
        <v>55.211558772232543</v>
      </c>
      <c r="AG6014" s="2">
        <f ca="1"/>
        <v>0.34333818044713671</v>
      </c>
      <c r="AH6014" s="2" t="str">
        <f ca="1"/>
        <v>OK</v>
      </c>
    </row>
    <row r="6015" spans="2:34" x14ac:dyDescent="0.2">
      <c r="B6015" s="2">
        <f ca="1"/>
        <v>0.34959938224273923</v>
      </c>
      <c r="O6015" s="2">
        <f ca="1"/>
        <v>0.24486873514179905</v>
      </c>
      <c r="X6015" s="2">
        <f ca="1"/>
        <v>38.367338377043993</v>
      </c>
      <c r="AG6015" s="2">
        <f ca="1"/>
        <v>8.7254170898730887E-2</v>
      </c>
      <c r="AH6015" s="2" t="str">
        <f ca="1"/>
        <v>OK</v>
      </c>
    </row>
    <row r="6016" spans="2:34" x14ac:dyDescent="0.2">
      <c r="B6016" s="2">
        <f ca="1"/>
        <v>0.82571063670413802</v>
      </c>
      <c r="O6016" s="2">
        <f ca="1"/>
        <v>0.18275363221351024</v>
      </c>
      <c r="X6016" s="2">
        <f ca="1"/>
        <v>55.927300910791942</v>
      </c>
      <c r="AG6016" s="2">
        <f ca="1"/>
        <v>0.52043108538414673</v>
      </c>
      <c r="AH6016" s="2" t="str">
        <f ca="1"/>
        <v>Bad</v>
      </c>
    </row>
    <row r="6017" spans="2:34" x14ac:dyDescent="0.2">
      <c r="B6017" s="2">
        <f ca="1"/>
        <v>0.92123720149700272</v>
      </c>
      <c r="O6017" s="2">
        <f ca="1"/>
        <v>0.57108799676323807</v>
      </c>
      <c r="X6017" s="2">
        <f ca="1"/>
        <v>37.722314044321706</v>
      </c>
      <c r="AG6017" s="2">
        <f ca="1"/>
        <v>0.18179585100106044</v>
      </c>
      <c r="AH6017" s="2" t="str">
        <f ca="1"/>
        <v>OK</v>
      </c>
    </row>
    <row r="6018" spans="2:34" x14ac:dyDescent="0.2">
      <c r="B6018" s="2">
        <f ca="1"/>
        <v>0.79558725334849578</v>
      </c>
      <c r="O6018" s="2">
        <f ca="1"/>
        <v>-1.3406662327501357</v>
      </c>
      <c r="X6018" s="2">
        <f ca="1"/>
        <v>65.248083636863669</v>
      </c>
      <c r="AG6018" s="2">
        <f ca="1"/>
        <v>0.75062922724200276</v>
      </c>
      <c r="AH6018" s="2" t="str">
        <f ca="1"/>
        <v>Bad</v>
      </c>
    </row>
    <row r="6019" spans="2:34" x14ac:dyDescent="0.2">
      <c r="B6019" s="2">
        <f ca="1"/>
        <v>0.25780184793780547</v>
      </c>
      <c r="O6019" s="2">
        <f ca="1"/>
        <v>0.22567986524916711</v>
      </c>
      <c r="X6019" s="2">
        <f ca="1"/>
        <v>60.150444335200454</v>
      </c>
      <c r="AG6019" s="2">
        <f ca="1"/>
        <v>0.83838188604406794</v>
      </c>
      <c r="AH6019" s="2" t="str">
        <f ca="1"/>
        <v>Bad</v>
      </c>
    </row>
    <row r="6020" spans="2:34" x14ac:dyDescent="0.2">
      <c r="B6020" s="2">
        <f ca="1"/>
        <v>0.17095548137125505</v>
      </c>
      <c r="O6020" s="2">
        <f ca="1"/>
        <v>-1.8587175912684124</v>
      </c>
      <c r="X6020" s="2">
        <f ca="1"/>
        <v>25.461086065519329</v>
      </c>
      <c r="AG6020" s="2">
        <f ca="1"/>
        <v>0.91023621548180733</v>
      </c>
      <c r="AH6020" s="2" t="str">
        <f ca="1"/>
        <v>Bad</v>
      </c>
    </row>
    <row r="6021" spans="2:34" x14ac:dyDescent="0.2">
      <c r="B6021" s="2">
        <f ca="1"/>
        <v>0.63896306408888082</v>
      </c>
      <c r="O6021" s="2">
        <f ca="1"/>
        <v>0.55460100371697973</v>
      </c>
      <c r="X6021" s="2">
        <f ca="1"/>
        <v>41.015480332293102</v>
      </c>
      <c r="AG6021" s="2">
        <f ca="1"/>
        <v>0.5870779060357314</v>
      </c>
      <c r="AH6021" s="2" t="str">
        <f ca="1"/>
        <v>Bad</v>
      </c>
    </row>
    <row r="6022" spans="2:34" x14ac:dyDescent="0.2">
      <c r="B6022" s="2">
        <f ca="1"/>
        <v>0.79408404183196124</v>
      </c>
      <c r="O6022" s="2">
        <f ca="1"/>
        <v>-0.53784634175284773</v>
      </c>
      <c r="X6022" s="2">
        <f ca="1"/>
        <v>54.428843462574257</v>
      </c>
      <c r="AG6022" s="2">
        <f ca="1"/>
        <v>4.3585221398617424E-2</v>
      </c>
      <c r="AH6022" s="2" t="str">
        <f ca="1"/>
        <v>Good</v>
      </c>
    </row>
    <row r="6023" spans="2:34" x14ac:dyDescent="0.2">
      <c r="B6023" s="2">
        <f ca="1"/>
        <v>7.8084290436440718E-2</v>
      </c>
      <c r="O6023" s="2">
        <f ca="1"/>
        <v>0.51659057809434428</v>
      </c>
      <c r="X6023" s="2">
        <f ca="1"/>
        <v>50.316248760992288</v>
      </c>
      <c r="AG6023" s="2">
        <f ca="1"/>
        <v>0.42238986709205206</v>
      </c>
      <c r="AH6023" s="2" t="str">
        <f ca="1"/>
        <v>Bad</v>
      </c>
    </row>
    <row r="6024" spans="2:34" x14ac:dyDescent="0.2">
      <c r="B6024" s="2">
        <f ca="1"/>
        <v>1.9032784426149085E-2</v>
      </c>
      <c r="O6024" s="2">
        <f ca="1"/>
        <v>0.20971630360099816</v>
      </c>
      <c r="X6024" s="2">
        <f ca="1"/>
        <v>72.858853729367965</v>
      </c>
      <c r="AG6024" s="2">
        <f ca="1"/>
        <v>0.83401567615877137</v>
      </c>
      <c r="AH6024" s="2" t="str">
        <f ca="1"/>
        <v>Bad</v>
      </c>
    </row>
    <row r="6025" spans="2:34" x14ac:dyDescent="0.2">
      <c r="B6025" s="2">
        <f ca="1"/>
        <v>0.70553119560010957</v>
      </c>
      <c r="O6025" s="2">
        <f ca="1"/>
        <v>-0.61412219048315586</v>
      </c>
      <c r="X6025" s="2">
        <f ca="1"/>
        <v>47.952521686083728</v>
      </c>
      <c r="AG6025" s="2">
        <f ca="1"/>
        <v>0.55509424740717717</v>
      </c>
      <c r="AH6025" s="2" t="str">
        <f ca="1"/>
        <v>Bad</v>
      </c>
    </row>
    <row r="6026" spans="2:34" x14ac:dyDescent="0.2">
      <c r="B6026" s="2">
        <f ca="1"/>
        <v>0.80746440779855777</v>
      </c>
      <c r="O6026" s="2">
        <f ca="1"/>
        <v>-0.34696024948136217</v>
      </c>
      <c r="X6026" s="2">
        <f ca="1"/>
        <v>61.010306258644874</v>
      </c>
      <c r="AG6026" s="2">
        <f ca="1"/>
        <v>0.30785038164646794</v>
      </c>
      <c r="AH6026" s="2" t="str">
        <f ca="1"/>
        <v>OK</v>
      </c>
    </row>
    <row r="6027" spans="2:34" x14ac:dyDescent="0.2">
      <c r="B6027" s="2">
        <f ca="1"/>
        <v>0.59748746684075527</v>
      </c>
      <c r="O6027" s="2">
        <f ca="1"/>
        <v>0.28549804599804957</v>
      </c>
      <c r="X6027" s="2">
        <f ca="1"/>
        <v>19.305628679137016</v>
      </c>
      <c r="AG6027" s="2">
        <f ca="1"/>
        <v>0.72279210765740443</v>
      </c>
      <c r="AH6027" s="2" t="str">
        <f ca="1"/>
        <v>Bad</v>
      </c>
    </row>
    <row r="6028" spans="2:34" x14ac:dyDescent="0.2">
      <c r="B6028" s="2">
        <f ca="1"/>
        <v>0.56591038976972841</v>
      </c>
      <c r="O6028" s="2">
        <f ca="1"/>
        <v>-0.77097969056776672</v>
      </c>
      <c r="X6028" s="2">
        <f ca="1"/>
        <v>32.795257547113621</v>
      </c>
      <c r="AG6028" s="2">
        <f ca="1"/>
        <v>0.47844742004404317</v>
      </c>
      <c r="AH6028" s="2" t="str">
        <f ca="1"/>
        <v>Bad</v>
      </c>
    </row>
    <row r="6029" spans="2:34" x14ac:dyDescent="0.2">
      <c r="B6029" s="2">
        <f ca="1"/>
        <v>0.55220919378902633</v>
      </c>
      <c r="O6029" s="2">
        <f ca="1"/>
        <v>0.42255748407190402</v>
      </c>
      <c r="X6029" s="2">
        <f ca="1"/>
        <v>27.00097453608803</v>
      </c>
      <c r="AG6029" s="2">
        <f ca="1"/>
        <v>0.59997111379212043</v>
      </c>
      <c r="AH6029" s="2" t="str">
        <f ca="1"/>
        <v>Bad</v>
      </c>
    </row>
    <row r="6030" spans="2:34" x14ac:dyDescent="0.2">
      <c r="B6030" s="2">
        <f ca="1"/>
        <v>0.54132396662544835</v>
      </c>
      <c r="O6030" s="2">
        <f ca="1"/>
        <v>0.84977034189717549</v>
      </c>
      <c r="X6030" s="2">
        <f ca="1"/>
        <v>32.292711025377997</v>
      </c>
      <c r="AG6030" s="2">
        <f ca="1"/>
        <v>0.66177921953495056</v>
      </c>
      <c r="AH6030" s="2" t="str">
        <f ca="1"/>
        <v>Bad</v>
      </c>
    </row>
    <row r="6031" spans="2:34" x14ac:dyDescent="0.2">
      <c r="B6031" s="2">
        <f ca="1"/>
        <v>0.62745823086689723</v>
      </c>
      <c r="O6031" s="2">
        <f ca="1"/>
        <v>-0.43567237096272787</v>
      </c>
      <c r="X6031" s="2">
        <f ca="1"/>
        <v>100.06516719836887</v>
      </c>
      <c r="AG6031" s="2">
        <f ca="1"/>
        <v>0.44059291500448672</v>
      </c>
      <c r="AH6031" s="2" t="str">
        <f ca="1"/>
        <v>Bad</v>
      </c>
    </row>
    <row r="6032" spans="2:34" x14ac:dyDescent="0.2">
      <c r="B6032" s="2">
        <f ca="1"/>
        <v>0.75490530089348828</v>
      </c>
      <c r="O6032" s="2">
        <f ca="1"/>
        <v>-0.45590638102213665</v>
      </c>
      <c r="X6032" s="2">
        <f ca="1"/>
        <v>70.262444944577311</v>
      </c>
      <c r="AG6032" s="2">
        <f ca="1"/>
        <v>0.65558218812085634</v>
      </c>
      <c r="AH6032" s="2" t="str">
        <f ca="1"/>
        <v>Bad</v>
      </c>
    </row>
    <row r="6033" spans="2:34" x14ac:dyDescent="0.2">
      <c r="B6033" s="2">
        <f ca="1"/>
        <v>0.86279000525969995</v>
      </c>
      <c r="O6033" s="2">
        <f ca="1"/>
        <v>0.38130143102482256</v>
      </c>
      <c r="X6033" s="2">
        <f ca="1"/>
        <v>42.470608740986037</v>
      </c>
      <c r="AG6033" s="2">
        <f ca="1"/>
        <v>4.7310067720334192E-2</v>
      </c>
      <c r="AH6033" s="2" t="str">
        <f ca="1"/>
        <v>Good</v>
      </c>
    </row>
    <row r="6034" spans="2:34" x14ac:dyDescent="0.2">
      <c r="B6034" s="2">
        <f ca="1"/>
        <v>0.65288147700713872</v>
      </c>
      <c r="O6034" s="2">
        <f ca="1"/>
        <v>5.4624841683919678E-2</v>
      </c>
      <c r="X6034" s="2">
        <f ca="1"/>
        <v>54.274777197244731</v>
      </c>
      <c r="AG6034" s="2">
        <f ca="1"/>
        <v>0.9591193739904551</v>
      </c>
      <c r="AH6034" s="2" t="str">
        <f ca="1"/>
        <v>Bad</v>
      </c>
    </row>
    <row r="6035" spans="2:34" x14ac:dyDescent="0.2">
      <c r="B6035" s="2">
        <f ca="1"/>
        <v>0.69071335754675722</v>
      </c>
      <c r="O6035" s="2">
        <f ca="1"/>
        <v>0.87815352355727916</v>
      </c>
      <c r="X6035" s="2">
        <f ca="1"/>
        <v>29.825060019520819</v>
      </c>
      <c r="AG6035" s="2">
        <f ca="1"/>
        <v>0.79103840360690536</v>
      </c>
      <c r="AH6035" s="2" t="str">
        <f ca="1"/>
        <v>Bad</v>
      </c>
    </row>
    <row r="6036" spans="2:34" x14ac:dyDescent="0.2">
      <c r="B6036" s="2">
        <f ca="1"/>
        <v>0.36636291997604742</v>
      </c>
      <c r="O6036" s="2">
        <f ca="1"/>
        <v>-1.2637769968894463</v>
      </c>
      <c r="X6036" s="2">
        <f ca="1"/>
        <v>30.097368925920662</v>
      </c>
      <c r="AG6036" s="2">
        <f ca="1"/>
        <v>0.22601273557606172</v>
      </c>
      <c r="AH6036" s="2" t="str">
        <f ca="1"/>
        <v>OK</v>
      </c>
    </row>
    <row r="6037" spans="2:34" x14ac:dyDescent="0.2">
      <c r="B6037" s="2">
        <f ca="1"/>
        <v>0.11008857664396432</v>
      </c>
      <c r="O6037" s="2">
        <f ca="1"/>
        <v>2.8777194760730085</v>
      </c>
      <c r="X6037" s="2">
        <f ca="1"/>
        <v>43.343409896746152</v>
      </c>
      <c r="AG6037" s="2">
        <f ca="1"/>
        <v>0.20499945518723073</v>
      </c>
      <c r="AH6037" s="2" t="str">
        <f ca="1"/>
        <v>OK</v>
      </c>
    </row>
    <row r="6038" spans="2:34" x14ac:dyDescent="0.2">
      <c r="B6038" s="2">
        <f ca="1"/>
        <v>0.86541824854264915</v>
      </c>
      <c r="O6038" s="2">
        <f ca="1"/>
        <v>9.2552122809291357E-2</v>
      </c>
      <c r="X6038" s="2">
        <f ca="1"/>
        <v>53.190471915710376</v>
      </c>
      <c r="AG6038" s="2">
        <f ca="1"/>
        <v>0.26503123935765727</v>
      </c>
      <c r="AH6038" s="2" t="str">
        <f ca="1"/>
        <v>OK</v>
      </c>
    </row>
    <row r="6039" spans="2:34" x14ac:dyDescent="0.2">
      <c r="B6039" s="2">
        <f ca="1"/>
        <v>0.12997281551546203</v>
      </c>
      <c r="O6039" s="2">
        <f ca="1"/>
        <v>0.19539950213190355</v>
      </c>
      <c r="X6039" s="2">
        <f ca="1"/>
        <v>66.915146233827755</v>
      </c>
      <c r="AG6039" s="2">
        <f ca="1"/>
        <v>0.74239366120993666</v>
      </c>
      <c r="AH6039" s="2" t="str">
        <f ca="1"/>
        <v>Bad</v>
      </c>
    </row>
    <row r="6040" spans="2:34" x14ac:dyDescent="0.2">
      <c r="B6040" s="2">
        <f ca="1"/>
        <v>0.21109654510036835</v>
      </c>
      <c r="O6040" s="2">
        <f ca="1"/>
        <v>-0.14332333462632851</v>
      </c>
      <c r="X6040" s="2">
        <f ca="1"/>
        <v>18.903948861398678</v>
      </c>
      <c r="AG6040" s="2">
        <f ca="1"/>
        <v>0.74244231455834697</v>
      </c>
      <c r="AH6040" s="2" t="str">
        <f ca="1"/>
        <v>Bad</v>
      </c>
    </row>
    <row r="6041" spans="2:34" x14ac:dyDescent="0.2">
      <c r="B6041" s="2">
        <f ca="1"/>
        <v>0.68946404886134482</v>
      </c>
      <c r="O6041" s="2">
        <f ca="1"/>
        <v>-0.50466482640085164</v>
      </c>
      <c r="X6041" s="2">
        <f ca="1"/>
        <v>62.91976174749756</v>
      </c>
      <c r="AG6041" s="2">
        <f ca="1"/>
        <v>0.38091093422404954</v>
      </c>
      <c r="AH6041" s="2" t="str">
        <f ca="1"/>
        <v>OK</v>
      </c>
    </row>
    <row r="6042" spans="2:34" x14ac:dyDescent="0.2">
      <c r="B6042" s="2">
        <f ca="1"/>
        <v>0.98320633103455757</v>
      </c>
      <c r="O6042" s="2">
        <f ca="1"/>
        <v>-0.93449806246753453</v>
      </c>
      <c r="X6042" s="2">
        <f ca="1"/>
        <v>50.919306123106338</v>
      </c>
      <c r="AG6042" s="2">
        <f ca="1"/>
        <v>0.81549685939070748</v>
      </c>
      <c r="AH6042" s="2" t="str">
        <f ca="1"/>
        <v>Bad</v>
      </c>
    </row>
    <row r="6043" spans="2:34" x14ac:dyDescent="0.2">
      <c r="B6043" s="2">
        <f ca="1"/>
        <v>0.53990722326640661</v>
      </c>
      <c r="O6043" s="2">
        <f ca="1"/>
        <v>1.1073676403669066</v>
      </c>
      <c r="X6043" s="2">
        <f ca="1"/>
        <v>60.122642970145591</v>
      </c>
      <c r="AG6043" s="2">
        <f ca="1"/>
        <v>0.60901028501035426</v>
      </c>
      <c r="AH6043" s="2" t="str">
        <f ca="1"/>
        <v>Bad</v>
      </c>
    </row>
    <row r="6044" spans="2:34" x14ac:dyDescent="0.2">
      <c r="B6044" s="2">
        <f ca="1"/>
        <v>0.90216004009643114</v>
      </c>
      <c r="O6044" s="2">
        <f ca="1"/>
        <v>-0.36056678134377734</v>
      </c>
      <c r="X6044" s="2">
        <f ca="1"/>
        <v>70.298273116178535</v>
      </c>
      <c r="AG6044" s="2">
        <f ca="1"/>
        <v>0.86539617309681671</v>
      </c>
      <c r="AH6044" s="2" t="str">
        <f ca="1"/>
        <v>Bad</v>
      </c>
    </row>
    <row r="6045" spans="2:34" x14ac:dyDescent="0.2">
      <c r="B6045" s="2">
        <f ca="1"/>
        <v>0.97169554147071269</v>
      </c>
      <c r="O6045" s="2">
        <f ca="1"/>
        <v>1.1528830207053253</v>
      </c>
      <c r="X6045" s="2">
        <f ca="1"/>
        <v>55.862562041264461</v>
      </c>
      <c r="AG6045" s="2">
        <f ca="1"/>
        <v>0.29471299670862949</v>
      </c>
      <c r="AH6045" s="2" t="str">
        <f ca="1"/>
        <v>OK</v>
      </c>
    </row>
    <row r="6046" spans="2:34" x14ac:dyDescent="0.2">
      <c r="B6046" s="2">
        <f ca="1"/>
        <v>9.6499425747734957E-2</v>
      </c>
      <c r="O6046" s="2">
        <f ca="1"/>
        <v>0.30353265698145837</v>
      </c>
      <c r="X6046" s="2">
        <f ca="1"/>
        <v>18.853372862554348</v>
      </c>
      <c r="AG6046" s="2">
        <f ca="1"/>
        <v>0.34382723727793496</v>
      </c>
      <c r="AH6046" s="2" t="str">
        <f ca="1"/>
        <v>OK</v>
      </c>
    </row>
    <row r="6047" spans="2:34" x14ac:dyDescent="0.2">
      <c r="B6047" s="2">
        <f ca="1"/>
        <v>0.11869518064382345</v>
      </c>
      <c r="O6047" s="2">
        <f ca="1"/>
        <v>-0.55033657437801375</v>
      </c>
      <c r="X6047" s="2">
        <f ca="1"/>
        <v>44.437630252235166</v>
      </c>
      <c r="AG6047" s="2">
        <f ca="1"/>
        <v>0.37355899005743765</v>
      </c>
      <c r="AH6047" s="2" t="str">
        <f ca="1"/>
        <v>OK</v>
      </c>
    </row>
    <row r="6048" spans="2:34" x14ac:dyDescent="0.2">
      <c r="B6048" s="2">
        <f ca="1"/>
        <v>0.80363523610219323</v>
      </c>
      <c r="O6048" s="2">
        <f ca="1"/>
        <v>0.45204318832065987</v>
      </c>
      <c r="X6048" s="2">
        <f ca="1"/>
        <v>61.276981812138125</v>
      </c>
      <c r="AG6048" s="2">
        <f ca="1"/>
        <v>0.78665116112447842</v>
      </c>
      <c r="AH6048" s="2" t="str">
        <f ca="1"/>
        <v>Bad</v>
      </c>
    </row>
    <row r="6049" spans="2:34" x14ac:dyDescent="0.2">
      <c r="B6049" s="2">
        <f ca="1"/>
        <v>0.3423460351710963</v>
      </c>
      <c r="O6049" s="2">
        <f ca="1"/>
        <v>0.90591123843694299</v>
      </c>
      <c r="X6049" s="2">
        <f ca="1"/>
        <v>63.326179855703614</v>
      </c>
      <c r="AG6049" s="2">
        <f ca="1"/>
        <v>0.16788939325432528</v>
      </c>
      <c r="AH6049" s="2" t="str">
        <f ca="1"/>
        <v>OK</v>
      </c>
    </row>
    <row r="6050" spans="2:34" x14ac:dyDescent="0.2">
      <c r="B6050" s="2">
        <f ca="1"/>
        <v>0.13209716877508559</v>
      </c>
      <c r="O6050" s="2">
        <f ca="1"/>
        <v>1.8879280432351173</v>
      </c>
      <c r="X6050" s="2">
        <f ca="1"/>
        <v>50.564376967903058</v>
      </c>
      <c r="AG6050" s="2">
        <f ca="1"/>
        <v>0.54630188822447012</v>
      </c>
      <c r="AH6050" s="2" t="str">
        <f ca="1"/>
        <v>Bad</v>
      </c>
    </row>
    <row r="6051" spans="2:34" x14ac:dyDescent="0.2">
      <c r="B6051" s="2">
        <f ca="1"/>
        <v>0.90355056910513798</v>
      </c>
      <c r="O6051" s="2">
        <f ca="1"/>
        <v>-0.38613365699858826</v>
      </c>
      <c r="X6051" s="2">
        <f ca="1"/>
        <v>53.551074934500903</v>
      </c>
      <c r="AG6051" s="2">
        <f ca="1"/>
        <v>0.21932608191905345</v>
      </c>
      <c r="AH6051" s="2" t="str">
        <f ca="1"/>
        <v>OK</v>
      </c>
    </row>
    <row r="6052" spans="2:34" x14ac:dyDescent="0.2">
      <c r="B6052" s="2">
        <f ca="1"/>
        <v>0.6966666069317986</v>
      </c>
      <c r="O6052" s="2">
        <f ca="1"/>
        <v>-0.6515968414286698</v>
      </c>
      <c r="X6052" s="2">
        <f ca="1"/>
        <v>66.250402077013192</v>
      </c>
      <c r="AG6052" s="2">
        <f ca="1"/>
        <v>0.36839382498768014</v>
      </c>
      <c r="AH6052" s="2" t="str">
        <f ca="1"/>
        <v>OK</v>
      </c>
    </row>
    <row r="6053" spans="2:34" x14ac:dyDescent="0.2">
      <c r="B6053" s="2">
        <f ca="1"/>
        <v>0.59392923505888873</v>
      </c>
      <c r="O6053" s="2">
        <f ca="1"/>
        <v>-0.28315858311431874</v>
      </c>
      <c r="X6053" s="2">
        <f ca="1"/>
        <v>58.530602223256466</v>
      </c>
      <c r="AG6053" s="2">
        <f ca="1"/>
        <v>0.91900356985265907</v>
      </c>
      <c r="AH6053" s="2" t="str">
        <f ca="1"/>
        <v>Bad</v>
      </c>
    </row>
    <row r="6054" spans="2:34" x14ac:dyDescent="0.2">
      <c r="B6054" s="2">
        <f ca="1"/>
        <v>0.27695338115830115</v>
      </c>
      <c r="O6054" s="2">
        <f ca="1"/>
        <v>-0.81406015645066709</v>
      </c>
      <c r="X6054" s="2">
        <f ca="1"/>
        <v>83.85307108379817</v>
      </c>
      <c r="AG6054" s="2">
        <f ca="1"/>
        <v>0.46579108226096055</v>
      </c>
      <c r="AH6054" s="2" t="str">
        <f ca="1"/>
        <v>Bad</v>
      </c>
    </row>
    <row r="6055" spans="2:34" x14ac:dyDescent="0.2">
      <c r="B6055" s="2">
        <f ca="1"/>
        <v>8.8381574596585244E-2</v>
      </c>
      <c r="O6055" s="2">
        <f ca="1"/>
        <v>-3.3345440438483948E-2</v>
      </c>
      <c r="X6055" s="2">
        <f ca="1"/>
        <v>27.218406241526459</v>
      </c>
      <c r="AG6055" s="2">
        <f ca="1"/>
        <v>0.85689987070460538</v>
      </c>
      <c r="AH6055" s="2" t="str">
        <f ca="1"/>
        <v>Bad</v>
      </c>
    </row>
    <row r="6056" spans="2:34" x14ac:dyDescent="0.2">
      <c r="B6056" s="2">
        <f ca="1"/>
        <v>0.90495382681725767</v>
      </c>
      <c r="O6056" s="2">
        <f ca="1"/>
        <v>-1.0852051726585472</v>
      </c>
      <c r="X6056" s="2">
        <f ca="1"/>
        <v>66.192683184950766</v>
      </c>
      <c r="AG6056" s="2">
        <f ca="1"/>
        <v>0.12609231512212649</v>
      </c>
      <c r="AH6056" s="2" t="str">
        <f ca="1"/>
        <v>OK</v>
      </c>
    </row>
    <row r="6057" spans="2:34" x14ac:dyDescent="0.2">
      <c r="B6057" s="2">
        <f ca="1"/>
        <v>0.1616081145031476</v>
      </c>
      <c r="O6057" s="2">
        <f ca="1"/>
        <v>-1.4681890210161508</v>
      </c>
      <c r="X6057" s="2">
        <f ca="1"/>
        <v>39.590000708636055</v>
      </c>
      <c r="AG6057" s="2">
        <f ca="1"/>
        <v>0.84796244009490596</v>
      </c>
      <c r="AH6057" s="2" t="str">
        <f ca="1"/>
        <v>Bad</v>
      </c>
    </row>
    <row r="6058" spans="2:34" x14ac:dyDescent="0.2">
      <c r="B6058" s="2">
        <f ca="1"/>
        <v>2.4020036555065349E-2</v>
      </c>
      <c r="O6058" s="2">
        <f ca="1"/>
        <v>-0.49673908553368085</v>
      </c>
      <c r="X6058" s="2">
        <f ca="1"/>
        <v>56.300721818650175</v>
      </c>
      <c r="AG6058" s="2">
        <f ca="1"/>
        <v>0.57895700795089322</v>
      </c>
      <c r="AH6058" s="2" t="str">
        <f ca="1"/>
        <v>Bad</v>
      </c>
    </row>
    <row r="6059" spans="2:34" x14ac:dyDescent="0.2">
      <c r="B6059" s="2">
        <f ca="1"/>
        <v>0.32229914999687148</v>
      </c>
      <c r="O6059" s="2">
        <f ca="1"/>
        <v>-0.44078493263863855</v>
      </c>
      <c r="X6059" s="2">
        <f ca="1"/>
        <v>38.616296448676721</v>
      </c>
      <c r="AG6059" s="2">
        <f ca="1"/>
        <v>0.99535926699832156</v>
      </c>
      <c r="AH6059" s="2" t="str">
        <f ca="1"/>
        <v>Bad</v>
      </c>
    </row>
    <row r="6060" spans="2:34" x14ac:dyDescent="0.2">
      <c r="B6060" s="2">
        <f ca="1"/>
        <v>0.5809701621773331</v>
      </c>
      <c r="O6060" s="2">
        <f ca="1"/>
        <v>-1.1740631005454432</v>
      </c>
      <c r="X6060" s="2">
        <f ca="1"/>
        <v>64.455345598800761</v>
      </c>
      <c r="AG6060" s="2">
        <f ca="1"/>
        <v>0.91762047380852252</v>
      </c>
      <c r="AH6060" s="2" t="str">
        <f ca="1"/>
        <v>Bad</v>
      </c>
    </row>
    <row r="6061" spans="2:34" x14ac:dyDescent="0.2">
      <c r="B6061" s="2">
        <f ca="1"/>
        <v>0.46297160459535891</v>
      </c>
      <c r="O6061" s="2">
        <f ca="1"/>
        <v>1.1608009853522909</v>
      </c>
      <c r="X6061" s="2">
        <f ca="1"/>
        <v>32.917789581153045</v>
      </c>
      <c r="AG6061" s="2">
        <f ca="1"/>
        <v>0.69054064888884481</v>
      </c>
      <c r="AH6061" s="2" t="str">
        <f ca="1"/>
        <v>Bad</v>
      </c>
    </row>
    <row r="6062" spans="2:34" x14ac:dyDescent="0.2">
      <c r="B6062" s="2">
        <f ca="1"/>
        <v>0.86457590188927336</v>
      </c>
      <c r="O6062" s="2">
        <f ca="1"/>
        <v>-1.0599054026957799</v>
      </c>
      <c r="X6062" s="2">
        <f ca="1"/>
        <v>67.127794830649123</v>
      </c>
      <c r="AG6062" s="2">
        <f ca="1"/>
        <v>0.14904401160193714</v>
      </c>
      <c r="AH6062" s="2" t="str">
        <f ca="1"/>
        <v>OK</v>
      </c>
    </row>
    <row r="6063" spans="2:34" x14ac:dyDescent="0.2">
      <c r="B6063" s="2">
        <f ca="1"/>
        <v>0.91782150423565279</v>
      </c>
      <c r="O6063" s="2">
        <f ca="1"/>
        <v>0.31367129187857345</v>
      </c>
      <c r="X6063" s="2">
        <f ca="1"/>
        <v>46.162265116748422</v>
      </c>
      <c r="AG6063" s="2">
        <f ca="1"/>
        <v>0.66432441467927461</v>
      </c>
      <c r="AH6063" s="2" t="str">
        <f ca="1"/>
        <v>Bad</v>
      </c>
    </row>
    <row r="6064" spans="2:34" x14ac:dyDescent="0.2">
      <c r="B6064" s="2">
        <f ca="1"/>
        <v>0.69213618660519227</v>
      </c>
      <c r="O6064" s="2">
        <f ca="1"/>
        <v>0.92257947517016992</v>
      </c>
      <c r="X6064" s="2">
        <f ca="1"/>
        <v>50.781955889858409</v>
      </c>
      <c r="AG6064" s="2">
        <f ca="1"/>
        <v>0.96340050185215009</v>
      </c>
      <c r="AH6064" s="2" t="str">
        <f ca="1"/>
        <v>Bad</v>
      </c>
    </row>
    <row r="6065" spans="2:34" x14ac:dyDescent="0.2">
      <c r="B6065" s="2">
        <f ca="1"/>
        <v>0.5058586165556882</v>
      </c>
      <c r="O6065" s="2">
        <f ca="1"/>
        <v>-0.56050878889112388</v>
      </c>
      <c r="X6065" s="2">
        <f ca="1"/>
        <v>51.858043905790922</v>
      </c>
      <c r="AG6065" s="2">
        <f ca="1"/>
        <v>0.35430886956443097</v>
      </c>
      <c r="AH6065" s="2" t="str">
        <f ca="1"/>
        <v>OK</v>
      </c>
    </row>
    <row r="6066" spans="2:34" x14ac:dyDescent="0.2">
      <c r="B6066" s="2">
        <f ca="1"/>
        <v>0.22351363571228355</v>
      </c>
      <c r="O6066" s="2">
        <f ca="1"/>
        <v>-0.53025694409956281</v>
      </c>
      <c r="X6066" s="2">
        <f ca="1"/>
        <v>35.620358134246523</v>
      </c>
      <c r="AG6066" s="2">
        <f ca="1"/>
        <v>0.99911284316540283</v>
      </c>
      <c r="AH6066" s="2" t="str">
        <f ca="1"/>
        <v>Bad</v>
      </c>
    </row>
    <row r="6067" spans="2:34" x14ac:dyDescent="0.2">
      <c r="B6067" s="2">
        <f ca="1"/>
        <v>0.38340980895863352</v>
      </c>
      <c r="O6067" s="2">
        <f ca="1"/>
        <v>2.4944873199981012</v>
      </c>
      <c r="X6067" s="2">
        <f ca="1"/>
        <v>60.206508945309551</v>
      </c>
      <c r="AG6067" s="2">
        <f ca="1"/>
        <v>0.43477841736925926</v>
      </c>
      <c r="AH6067" s="2" t="str">
        <f ca="1"/>
        <v>Bad</v>
      </c>
    </row>
    <row r="6068" spans="2:34" x14ac:dyDescent="0.2">
      <c r="B6068" s="2">
        <f ca="1"/>
        <v>0.18902547826286442</v>
      </c>
      <c r="O6068" s="2">
        <f ca="1"/>
        <v>0.93516335714220478</v>
      </c>
      <c r="X6068" s="2">
        <f ca="1"/>
        <v>55.28798216681713</v>
      </c>
      <c r="AG6068" s="2">
        <f ca="1"/>
        <v>0.8783538847973098</v>
      </c>
      <c r="AH6068" s="2" t="str">
        <f ca="1"/>
        <v>Bad</v>
      </c>
    </row>
    <row r="6069" spans="2:34" x14ac:dyDescent="0.2">
      <c r="B6069" s="2">
        <f ca="1"/>
        <v>0.42437997609157119</v>
      </c>
      <c r="O6069" s="2">
        <f ca="1"/>
        <v>1.1989878172433484</v>
      </c>
      <c r="X6069" s="2">
        <f ca="1"/>
        <v>28.260483255658446</v>
      </c>
      <c r="AG6069" s="2">
        <f ca="1"/>
        <v>0.35652345961884824</v>
      </c>
      <c r="AH6069" s="2" t="str">
        <f ca="1"/>
        <v>OK</v>
      </c>
    </row>
    <row r="6070" spans="2:34" x14ac:dyDescent="0.2">
      <c r="B6070" s="2">
        <f ca="1"/>
        <v>0.42949134166148206</v>
      </c>
      <c r="O6070" s="2">
        <f ca="1"/>
        <v>0.77784085832474303</v>
      </c>
      <c r="X6070" s="2">
        <f ca="1"/>
        <v>83.554714390147041</v>
      </c>
      <c r="AG6070" s="2">
        <f ca="1"/>
        <v>0.24282076441028044</v>
      </c>
      <c r="AH6070" s="2" t="str">
        <f ca="1"/>
        <v>OK</v>
      </c>
    </row>
    <row r="6071" spans="2:34" x14ac:dyDescent="0.2">
      <c r="B6071" s="2">
        <f ca="1"/>
        <v>0.53678425670910701</v>
      </c>
      <c r="O6071" s="2">
        <f ca="1"/>
        <v>-0.45259070062041451</v>
      </c>
      <c r="X6071" s="2">
        <f ca="1"/>
        <v>39.700718336710288</v>
      </c>
      <c r="AG6071" s="2">
        <f ca="1"/>
        <v>0.28471010417438447</v>
      </c>
      <c r="AH6071" s="2" t="str">
        <f ca="1"/>
        <v>OK</v>
      </c>
    </row>
    <row r="6072" spans="2:34" x14ac:dyDescent="0.2">
      <c r="B6072" s="2">
        <f ca="1"/>
        <v>0.49503988559320433</v>
      </c>
      <c r="O6072" s="2">
        <f ca="1"/>
        <v>0.60325375826654115</v>
      </c>
      <c r="X6072" s="2">
        <f ca="1"/>
        <v>52.690270135311678</v>
      </c>
      <c r="AG6072" s="2">
        <f ca="1"/>
        <v>0.28166178839593181</v>
      </c>
      <c r="AH6072" s="2" t="str">
        <f ca="1"/>
        <v>OK</v>
      </c>
    </row>
    <row r="6073" spans="2:34" x14ac:dyDescent="0.2">
      <c r="B6073" s="2">
        <f ca="1"/>
        <v>0.56578346730578377</v>
      </c>
      <c r="O6073" s="2">
        <f ca="1"/>
        <v>-0.23340685684592286</v>
      </c>
      <c r="X6073" s="2">
        <f ca="1"/>
        <v>44.220335368218677</v>
      </c>
      <c r="AG6073" s="2">
        <f ca="1"/>
        <v>0.73471571171320815</v>
      </c>
      <c r="AH6073" s="2" t="str">
        <f ca="1"/>
        <v>Bad</v>
      </c>
    </row>
    <row r="6074" spans="2:34" x14ac:dyDescent="0.2">
      <c r="B6074" s="2">
        <f ca="1"/>
        <v>0.50324870864308213</v>
      </c>
      <c r="O6074" s="2">
        <f ca="1"/>
        <v>-0.82570273231251601</v>
      </c>
      <c r="X6074" s="2">
        <f ca="1"/>
        <v>38.068571743632702</v>
      </c>
      <c r="AG6074" s="2">
        <f ca="1"/>
        <v>0.4153326811066449</v>
      </c>
      <c r="AH6074" s="2" t="str">
        <f ca="1"/>
        <v>Bad</v>
      </c>
    </row>
    <row r="6075" spans="2:34" x14ac:dyDescent="0.2">
      <c r="B6075" s="2">
        <f ca="1"/>
        <v>0.91483276653093015</v>
      </c>
      <c r="O6075" s="2">
        <f ca="1"/>
        <v>-0.54453774099174501</v>
      </c>
      <c r="X6075" s="2">
        <f ca="1"/>
        <v>43.415460016348902</v>
      </c>
      <c r="AG6075" s="2">
        <f ca="1"/>
        <v>2.5904948393637994E-3</v>
      </c>
      <c r="AH6075" s="2" t="str">
        <f ca="1"/>
        <v>Good</v>
      </c>
    </row>
    <row r="6076" spans="2:34" x14ac:dyDescent="0.2">
      <c r="B6076" s="2">
        <f ca="1"/>
        <v>2.8314050196545093E-2</v>
      </c>
      <c r="O6076" s="2">
        <f ca="1"/>
        <v>0.97016104213742704</v>
      </c>
      <c r="X6076" s="2">
        <f ca="1"/>
        <v>56.469887350330552</v>
      </c>
      <c r="AG6076" s="2">
        <f ca="1"/>
        <v>0.29146023282114197</v>
      </c>
      <c r="AH6076" s="2" t="str">
        <f ca="1"/>
        <v>OK</v>
      </c>
    </row>
    <row r="6077" spans="2:34" x14ac:dyDescent="0.2">
      <c r="B6077" s="2">
        <f ca="1"/>
        <v>5.1044576117370788E-2</v>
      </c>
      <c r="O6077" s="2">
        <f ca="1"/>
        <v>1.0351815835176885</v>
      </c>
      <c r="X6077" s="2">
        <f ca="1"/>
        <v>45.561913419927919</v>
      </c>
      <c r="AG6077" s="2">
        <f ca="1"/>
        <v>0.78424528458993747</v>
      </c>
      <c r="AH6077" s="2" t="str">
        <f ca="1"/>
        <v>Bad</v>
      </c>
    </row>
    <row r="6078" spans="2:34" x14ac:dyDescent="0.2">
      <c r="B6078" s="2">
        <f ca="1"/>
        <v>0.46346470685964314</v>
      </c>
      <c r="O6078" s="2">
        <f ca="1"/>
        <v>-0.83680493640351727</v>
      </c>
      <c r="X6078" s="2">
        <f ca="1"/>
        <v>50.081667367625059</v>
      </c>
      <c r="AG6078" s="2">
        <f ca="1"/>
        <v>0.61698596868221833</v>
      </c>
      <c r="AH6078" s="2" t="str">
        <f ca="1"/>
        <v>Bad</v>
      </c>
    </row>
    <row r="6079" spans="2:34" x14ac:dyDescent="0.2">
      <c r="B6079" s="2">
        <f ca="1"/>
        <v>9.0558693230537113E-2</v>
      </c>
      <c r="O6079" s="2">
        <f ca="1"/>
        <v>-1.6585048803728135</v>
      </c>
      <c r="X6079" s="2">
        <f ca="1"/>
        <v>46.892568839082287</v>
      </c>
      <c r="AG6079" s="2">
        <f ca="1"/>
        <v>0.9191522713707434</v>
      </c>
      <c r="AH6079" s="2" t="str">
        <f ca="1"/>
        <v>Bad</v>
      </c>
    </row>
    <row r="6080" spans="2:34" x14ac:dyDescent="0.2">
      <c r="B6080" s="2">
        <f ca="1"/>
        <v>0.24685037327829917</v>
      </c>
      <c r="O6080" s="2">
        <f ca="1"/>
        <v>-2.0378540783292203</v>
      </c>
      <c r="X6080" s="2">
        <f ca="1"/>
        <v>66.411797540591749</v>
      </c>
      <c r="AG6080" s="2">
        <f ca="1"/>
        <v>0.39928139129564566</v>
      </c>
      <c r="AH6080" s="2" t="str">
        <f ca="1"/>
        <v>OK</v>
      </c>
    </row>
    <row r="6081" spans="2:34" x14ac:dyDescent="0.2">
      <c r="B6081" s="2">
        <f ca="1"/>
        <v>0.44568545429388995</v>
      </c>
      <c r="O6081" s="2">
        <f ca="1"/>
        <v>-0.28190805587542955</v>
      </c>
      <c r="X6081" s="2">
        <f ca="1"/>
        <v>39.472688395034631</v>
      </c>
      <c r="AG6081" s="2">
        <f ca="1"/>
        <v>0.92536062223112769</v>
      </c>
      <c r="AH6081" s="2" t="str">
        <f ca="1"/>
        <v>Bad</v>
      </c>
    </row>
    <row r="6082" spans="2:34" x14ac:dyDescent="0.2">
      <c r="B6082" s="2">
        <f ca="1"/>
        <v>0.7407558831948855</v>
      </c>
      <c r="O6082" s="2">
        <f ca="1"/>
        <v>-0.79092999913764261</v>
      </c>
      <c r="X6082" s="2">
        <f ca="1"/>
        <v>80.062116009273268</v>
      </c>
      <c r="AG6082" s="2">
        <f ca="1"/>
        <v>0.12243894677573741</v>
      </c>
      <c r="AH6082" s="2" t="str">
        <f ca="1"/>
        <v>OK</v>
      </c>
    </row>
    <row r="6083" spans="2:34" x14ac:dyDescent="0.2">
      <c r="B6083" s="2">
        <f ca="1"/>
        <v>0.83413000988361907</v>
      </c>
      <c r="O6083" s="2">
        <f ca="1"/>
        <v>0.55182859097611503</v>
      </c>
      <c r="X6083" s="2">
        <f ca="1"/>
        <v>51.531398058530016</v>
      </c>
      <c r="AG6083" s="2">
        <f ca="1"/>
        <v>0.81109110020962571</v>
      </c>
      <c r="AH6083" s="2" t="str">
        <f ca="1"/>
        <v>Bad</v>
      </c>
    </row>
    <row r="6084" spans="2:34" x14ac:dyDescent="0.2">
      <c r="B6084" s="2">
        <f ca="1"/>
        <v>0.84067434966617749</v>
      </c>
      <c r="O6084" s="2">
        <f ca="1"/>
        <v>1.6260864040775826</v>
      </c>
      <c r="X6084" s="2">
        <f ca="1"/>
        <v>46.941132514744588</v>
      </c>
      <c r="AG6084" s="2">
        <f ca="1"/>
        <v>0.63501274589064027</v>
      </c>
      <c r="AH6084" s="2" t="str">
        <f ca="1"/>
        <v>Bad</v>
      </c>
    </row>
    <row r="6085" spans="2:34" x14ac:dyDescent="0.2">
      <c r="B6085" s="2">
        <f ca="1"/>
        <v>0.23479109131519649</v>
      </c>
      <c r="O6085" s="2">
        <f ca="1"/>
        <v>5.2768397053073166E-2</v>
      </c>
      <c r="X6085" s="2">
        <f ca="1"/>
        <v>25.312466198096288</v>
      </c>
      <c r="AG6085" s="2">
        <f ca="1"/>
        <v>0.76652774005331548</v>
      </c>
      <c r="AH6085" s="2" t="str">
        <f ca="1"/>
        <v>Bad</v>
      </c>
    </row>
    <row r="6086" spans="2:34" x14ac:dyDescent="0.2">
      <c r="B6086" s="2">
        <f ca="1"/>
        <v>0.81107997771756168</v>
      </c>
      <c r="O6086" s="2">
        <f ca="1"/>
        <v>0.63351944796783555</v>
      </c>
      <c r="X6086" s="2">
        <f ca="1"/>
        <v>39.898739332083693</v>
      </c>
      <c r="AG6086" s="2">
        <f ca="1"/>
        <v>0.75185193902581626</v>
      </c>
      <c r="AH6086" s="2" t="str">
        <f ca="1"/>
        <v>Bad</v>
      </c>
    </row>
    <row r="6087" spans="2:34" x14ac:dyDescent="0.2">
      <c r="B6087" s="2">
        <f ca="1"/>
        <v>0.99440570479338497</v>
      </c>
      <c r="O6087" s="2">
        <f ca="1"/>
        <v>1.3906360551766954</v>
      </c>
      <c r="X6087" s="2">
        <f ca="1"/>
        <v>40.564334734183092</v>
      </c>
      <c r="AG6087" s="2">
        <f ca="1"/>
        <v>0.91678488767136179</v>
      </c>
      <c r="AH6087" s="2" t="str">
        <f ca="1"/>
        <v>Bad</v>
      </c>
    </row>
    <row r="6088" spans="2:34" x14ac:dyDescent="0.2">
      <c r="B6088" s="2">
        <f ca="1"/>
        <v>0.2157075845428813</v>
      </c>
      <c r="O6088" s="2">
        <f ca="1"/>
        <v>-0.90687676664863148</v>
      </c>
      <c r="X6088" s="2">
        <f ca="1"/>
        <v>51.80452967637482</v>
      </c>
      <c r="AG6088" s="2">
        <f ca="1"/>
        <v>0.18341534899650491</v>
      </c>
      <c r="AH6088" s="2" t="str">
        <f ca="1"/>
        <v>OK</v>
      </c>
    </row>
    <row r="6089" spans="2:34" x14ac:dyDescent="0.2">
      <c r="B6089" s="2">
        <f ca="1"/>
        <v>0.70591266646054684</v>
      </c>
      <c r="O6089" s="2">
        <f ca="1"/>
        <v>-1.3681895941590405</v>
      </c>
      <c r="X6089" s="2">
        <f ca="1"/>
        <v>59.590020442080352</v>
      </c>
      <c r="AG6089" s="2">
        <f ca="1"/>
        <v>3.4537381134162048E-2</v>
      </c>
      <c r="AH6089" s="2" t="str">
        <f ca="1"/>
        <v>Good</v>
      </c>
    </row>
    <row r="6090" spans="2:34" x14ac:dyDescent="0.2">
      <c r="B6090" s="2">
        <f ca="1"/>
        <v>0.41687573315311965</v>
      </c>
      <c r="O6090" s="2">
        <f ca="1"/>
        <v>0.23883884460616492</v>
      </c>
      <c r="X6090" s="2">
        <f ca="1"/>
        <v>64.209608392049248</v>
      </c>
      <c r="AG6090" s="2">
        <f ca="1"/>
        <v>0.74832167180913012</v>
      </c>
      <c r="AH6090" s="2" t="str">
        <f ca="1"/>
        <v>Bad</v>
      </c>
    </row>
    <row r="6091" spans="2:34" x14ac:dyDescent="0.2">
      <c r="B6091" s="2">
        <f ca="1"/>
        <v>0.16812770441915914</v>
      </c>
      <c r="O6091" s="2">
        <f ca="1"/>
        <v>-1.4692362536605375</v>
      </c>
      <c r="X6091" s="2">
        <f ca="1"/>
        <v>35.577401806800161</v>
      </c>
      <c r="AG6091" s="2">
        <f ca="1"/>
        <v>0.77068003216790926</v>
      </c>
      <c r="AH6091" s="2" t="str">
        <f ca="1"/>
        <v>Bad</v>
      </c>
    </row>
    <row r="6092" spans="2:34" x14ac:dyDescent="0.2">
      <c r="B6092" s="2">
        <f ca="1"/>
        <v>0.16194258301251163</v>
      </c>
      <c r="O6092" s="2">
        <f ca="1"/>
        <v>6.0290294238942652E-2</v>
      </c>
      <c r="X6092" s="2">
        <f ca="1"/>
        <v>16.047371946285296</v>
      </c>
      <c r="AG6092" s="2">
        <f ca="1"/>
        <v>0.84813659896414784</v>
      </c>
      <c r="AH6092" s="2" t="str">
        <f ca="1"/>
        <v>Bad</v>
      </c>
    </row>
    <row r="6093" spans="2:34" x14ac:dyDescent="0.2">
      <c r="B6093" s="2">
        <f ca="1"/>
        <v>0.46724857053132807</v>
      </c>
      <c r="O6093" s="2">
        <f ca="1"/>
        <v>-0.49239754992168278</v>
      </c>
      <c r="X6093" s="2">
        <f ca="1"/>
        <v>53.952136524903224</v>
      </c>
      <c r="AG6093" s="2">
        <f ca="1"/>
        <v>0.49074746781099265</v>
      </c>
      <c r="AH6093" s="2" t="str">
        <f ca="1"/>
        <v>Bad</v>
      </c>
    </row>
    <row r="6094" spans="2:34" x14ac:dyDescent="0.2">
      <c r="B6094" s="2">
        <f ca="1"/>
        <v>0.27581557661963219</v>
      </c>
      <c r="O6094" s="2">
        <f ca="1"/>
        <v>-0.90601816913688982</v>
      </c>
      <c r="X6094" s="2">
        <f ca="1"/>
        <v>49.491840030833814</v>
      </c>
      <c r="AG6094" s="2">
        <f ca="1"/>
        <v>0.57326105173783537</v>
      </c>
      <c r="AH6094" s="2" t="str">
        <f ca="1"/>
        <v>Bad</v>
      </c>
    </row>
    <row r="6095" spans="2:34" x14ac:dyDescent="0.2">
      <c r="B6095" s="2">
        <f ca="1"/>
        <v>0.37149285341264005</v>
      </c>
      <c r="O6095" s="2">
        <f ca="1"/>
        <v>1.029905878453985</v>
      </c>
      <c r="X6095" s="2">
        <f ca="1"/>
        <v>50.852575741223518</v>
      </c>
      <c r="AG6095" s="2">
        <f ca="1"/>
        <v>0.9011713532586958</v>
      </c>
      <c r="AH6095" s="2" t="str">
        <f ca="1"/>
        <v>Bad</v>
      </c>
    </row>
    <row r="6096" spans="2:34" x14ac:dyDescent="0.2">
      <c r="B6096" s="2">
        <f ca="1"/>
        <v>0.85586075972957842</v>
      </c>
      <c r="O6096" s="2">
        <f ca="1"/>
        <v>-0.57335686015252951</v>
      </c>
      <c r="X6096" s="2">
        <f ca="1"/>
        <v>43.069197580855764</v>
      </c>
      <c r="AG6096" s="2">
        <f ca="1"/>
        <v>0.54180511771707729</v>
      </c>
      <c r="AH6096" s="2" t="str">
        <f ca="1"/>
        <v>Bad</v>
      </c>
    </row>
    <row r="6097" spans="2:34" x14ac:dyDescent="0.2">
      <c r="B6097" s="2">
        <f ca="1"/>
        <v>8.9561628505413049E-2</v>
      </c>
      <c r="O6097" s="2">
        <f ca="1"/>
        <v>0.69721542485493504</v>
      </c>
      <c r="X6097" s="2">
        <f ca="1"/>
        <v>57.923375720130714</v>
      </c>
      <c r="AG6097" s="2">
        <f ca="1"/>
        <v>0.12693699797890923</v>
      </c>
      <c r="AH6097" s="2" t="str">
        <f ca="1"/>
        <v>OK</v>
      </c>
    </row>
    <row r="6098" spans="2:34" x14ac:dyDescent="0.2">
      <c r="B6098" s="2">
        <f ca="1"/>
        <v>0.31714451280151534</v>
      </c>
      <c r="O6098" s="2">
        <f ca="1"/>
        <v>-1.0857294888950373</v>
      </c>
      <c r="X6098" s="2">
        <f ca="1"/>
        <v>41.335249803351886</v>
      </c>
      <c r="AG6098" s="2">
        <f ca="1"/>
        <v>0.66172676792670049</v>
      </c>
      <c r="AH6098" s="2" t="str">
        <f ca="1"/>
        <v>Bad</v>
      </c>
    </row>
    <row r="6099" spans="2:34" x14ac:dyDescent="0.2">
      <c r="B6099" s="2">
        <f ca="1"/>
        <v>0.52794913587214576</v>
      </c>
      <c r="O6099" s="2">
        <f ca="1"/>
        <v>-0.50651413855558669</v>
      </c>
      <c r="X6099" s="2">
        <f ca="1"/>
        <v>34.475538232815261</v>
      </c>
      <c r="AG6099" s="2">
        <f ca="1"/>
        <v>0.59560358377142042</v>
      </c>
      <c r="AH6099" s="2" t="str">
        <f ca="1"/>
        <v>Bad</v>
      </c>
    </row>
    <row r="6100" spans="2:34" x14ac:dyDescent="0.2">
      <c r="B6100" s="2">
        <f ca="1"/>
        <v>0.22543383772532466</v>
      </c>
      <c r="O6100" s="2">
        <f ca="1"/>
        <v>-0.34248532305137858</v>
      </c>
      <c r="X6100" s="2">
        <f ca="1"/>
        <v>43.28647097931966</v>
      </c>
      <c r="AG6100" s="2">
        <f ca="1"/>
        <v>0.34403559671897499</v>
      </c>
      <c r="AH6100" s="2" t="str">
        <f ca="1"/>
        <v>OK</v>
      </c>
    </row>
    <row r="6101" spans="2:34" x14ac:dyDescent="0.2">
      <c r="B6101" s="2">
        <f ca="1"/>
        <v>0.27834802115702062</v>
      </c>
      <c r="O6101" s="2">
        <f ca="1"/>
        <v>-1.1658122264040032</v>
      </c>
      <c r="X6101" s="2">
        <f ca="1"/>
        <v>58.578189851824661</v>
      </c>
      <c r="AG6101" s="2">
        <f ca="1"/>
        <v>0.56552760178794914</v>
      </c>
      <c r="AH6101" s="2" t="str">
        <f ca="1"/>
        <v>Bad</v>
      </c>
    </row>
    <row r="6102" spans="2:34" x14ac:dyDescent="0.2">
      <c r="B6102" s="2">
        <f ca="1"/>
        <v>0.54475518050386129</v>
      </c>
      <c r="O6102" s="2">
        <f ca="1"/>
        <v>1.5869685240971361</v>
      </c>
      <c r="X6102" s="2">
        <f ca="1"/>
        <v>31.626008442956902</v>
      </c>
      <c r="AG6102" s="2">
        <f ca="1"/>
        <v>0.70037219520939042</v>
      </c>
      <c r="AH6102" s="2" t="str">
        <f ca="1"/>
        <v>Bad</v>
      </c>
    </row>
    <row r="6103" spans="2:34" x14ac:dyDescent="0.2">
      <c r="B6103" s="2">
        <f ca="1"/>
        <v>0.70622606125996734</v>
      </c>
      <c r="O6103" s="2">
        <f ca="1"/>
        <v>1.6085600194877736</v>
      </c>
      <c r="X6103" s="2">
        <f ca="1"/>
        <v>47.911001395244128</v>
      </c>
      <c r="AG6103" s="2">
        <f ca="1"/>
        <v>0.92810736339737643</v>
      </c>
      <c r="AH6103" s="2" t="str">
        <f ca="1"/>
        <v>Bad</v>
      </c>
    </row>
    <row r="6104" spans="2:34" x14ac:dyDescent="0.2">
      <c r="B6104" s="2">
        <f ca="1"/>
        <v>0.19158140267797985</v>
      </c>
      <c r="O6104" s="2">
        <f ca="1"/>
        <v>0.67472742834373756</v>
      </c>
      <c r="X6104" s="2">
        <f ca="1"/>
        <v>36.643004725430927</v>
      </c>
      <c r="AG6104" s="2">
        <f ca="1"/>
        <v>0.50209624342492898</v>
      </c>
      <c r="AH6104" s="2" t="str">
        <f ca="1"/>
        <v>Bad</v>
      </c>
    </row>
    <row r="6105" spans="2:34" x14ac:dyDescent="0.2">
      <c r="B6105" s="2">
        <f ca="1"/>
        <v>0.82458591965616668</v>
      </c>
      <c r="O6105" s="2">
        <f ca="1"/>
        <v>-1.1669297887767562</v>
      </c>
      <c r="X6105" s="2">
        <f ca="1"/>
        <v>40.370588599077458</v>
      </c>
      <c r="AG6105" s="2">
        <f ca="1"/>
        <v>0.93735291453614589</v>
      </c>
      <c r="AH6105" s="2" t="str">
        <f ca="1"/>
        <v>Bad</v>
      </c>
    </row>
    <row r="6106" spans="2:34" x14ac:dyDescent="0.2">
      <c r="B6106" s="2">
        <f ca="1"/>
        <v>0.35800660014350938</v>
      </c>
      <c r="O6106" s="2">
        <f ca="1"/>
        <v>0.76231840907968873</v>
      </c>
      <c r="X6106" s="2">
        <f ca="1"/>
        <v>49.795930643511277</v>
      </c>
      <c r="AG6106" s="2">
        <f ca="1"/>
        <v>8.0090793689701512E-2</v>
      </c>
      <c r="AH6106" s="2" t="str">
        <f ca="1"/>
        <v>OK</v>
      </c>
    </row>
    <row r="6107" spans="2:34" x14ac:dyDescent="0.2">
      <c r="B6107" s="2">
        <f ca="1"/>
        <v>0.73199708583260281</v>
      </c>
      <c r="O6107" s="2">
        <f ca="1"/>
        <v>0.48298175217166323</v>
      </c>
      <c r="X6107" s="2">
        <f ca="1"/>
        <v>46.417998299581171</v>
      </c>
      <c r="AG6107" s="2">
        <f ca="1"/>
        <v>0.16467279080022612</v>
      </c>
      <c r="AH6107" s="2" t="str">
        <f ca="1"/>
        <v>OK</v>
      </c>
    </row>
    <row r="6108" spans="2:34" x14ac:dyDescent="0.2">
      <c r="B6108" s="2">
        <f ca="1"/>
        <v>0.17227951600716396</v>
      </c>
      <c r="O6108" s="2">
        <f ca="1"/>
        <v>0.13705720081530265</v>
      </c>
      <c r="X6108" s="2">
        <f ca="1"/>
        <v>45.147892976353134</v>
      </c>
      <c r="AG6108" s="2">
        <f ca="1"/>
        <v>0.52926827246115438</v>
      </c>
      <c r="AH6108" s="2" t="str">
        <f ca="1"/>
        <v>Bad</v>
      </c>
    </row>
    <row r="6109" spans="2:34" x14ac:dyDescent="0.2">
      <c r="B6109" s="2">
        <f ca="1"/>
        <v>0.95880681951746727</v>
      </c>
      <c r="O6109" s="2">
        <f ca="1"/>
        <v>-0.96687317395035355</v>
      </c>
      <c r="X6109" s="2">
        <f ca="1"/>
        <v>43.306859852130167</v>
      </c>
      <c r="AG6109" s="2">
        <f ca="1"/>
        <v>0.14731331357335131</v>
      </c>
      <c r="AH6109" s="2" t="str">
        <f ca="1"/>
        <v>OK</v>
      </c>
    </row>
    <row r="6110" spans="2:34" x14ac:dyDescent="0.2">
      <c r="B6110" s="2">
        <f ca="1"/>
        <v>0.28738953033899528</v>
      </c>
      <c r="O6110" s="2">
        <f ca="1"/>
        <v>-1.211040377148358</v>
      </c>
      <c r="X6110" s="2">
        <f ca="1"/>
        <v>39.549304683965609</v>
      </c>
      <c r="AG6110" s="2">
        <f ca="1"/>
        <v>0.45881365285303222</v>
      </c>
      <c r="AH6110" s="2" t="str">
        <f ca="1"/>
        <v>Bad</v>
      </c>
    </row>
    <row r="6111" spans="2:34" x14ac:dyDescent="0.2">
      <c r="B6111" s="2">
        <f ca="1"/>
        <v>0.54626976530968707</v>
      </c>
      <c r="O6111" s="2">
        <f ca="1"/>
        <v>6.0687162280107974E-2</v>
      </c>
      <c r="X6111" s="2">
        <f ca="1"/>
        <v>65.28432484048956</v>
      </c>
      <c r="AG6111" s="2">
        <f ca="1"/>
        <v>0.95587421176088405</v>
      </c>
      <c r="AH6111" s="2" t="str">
        <f ca="1"/>
        <v>Bad</v>
      </c>
    </row>
    <row r="6112" spans="2:34" x14ac:dyDescent="0.2">
      <c r="B6112" s="2">
        <f ca="1"/>
        <v>0.57381051288690532</v>
      </c>
      <c r="O6112" s="2">
        <f ca="1"/>
        <v>-2.2179398183558034</v>
      </c>
      <c r="X6112" s="2">
        <f ca="1"/>
        <v>36.53999675191298</v>
      </c>
      <c r="AG6112" s="2">
        <f ca="1"/>
        <v>0.60748408958196731</v>
      </c>
      <c r="AH6112" s="2" t="str">
        <f ca="1"/>
        <v>Bad</v>
      </c>
    </row>
    <row r="6113" spans="2:34" x14ac:dyDescent="0.2">
      <c r="B6113" s="2">
        <f ca="1"/>
        <v>0.52510249183763147</v>
      </c>
      <c r="O6113" s="2">
        <f ca="1"/>
        <v>1.0294210591028321</v>
      </c>
      <c r="X6113" s="2">
        <f ca="1"/>
        <v>44.001565751074679</v>
      </c>
      <c r="AG6113" s="2">
        <f ca="1"/>
        <v>0.22592452519021267</v>
      </c>
      <c r="AH6113" s="2" t="str">
        <f ca="1"/>
        <v>OK</v>
      </c>
    </row>
    <row r="6114" spans="2:34" x14ac:dyDescent="0.2">
      <c r="B6114" s="2">
        <f ca="1"/>
        <v>0.3918424970536325</v>
      </c>
      <c r="O6114" s="2">
        <f ca="1"/>
        <v>-0.45373052933878483</v>
      </c>
      <c r="X6114" s="2">
        <f ca="1"/>
        <v>52.14139898877918</v>
      </c>
      <c r="AG6114" s="2">
        <f ca="1"/>
        <v>0.4913464949037567</v>
      </c>
      <c r="AH6114" s="2" t="str">
        <f ca="1"/>
        <v>Bad</v>
      </c>
    </row>
    <row r="6115" spans="2:34" x14ac:dyDescent="0.2">
      <c r="B6115" s="2">
        <f ca="1"/>
        <v>5.5918010179943023E-2</v>
      </c>
      <c r="O6115" s="2">
        <f ca="1"/>
        <v>-0.32102258655266164</v>
      </c>
      <c r="X6115" s="2">
        <f ca="1"/>
        <v>49.165975405538198</v>
      </c>
      <c r="AG6115" s="2">
        <f ca="1"/>
        <v>0.46728482294432094</v>
      </c>
      <c r="AH6115" s="2" t="str">
        <f ca="1"/>
        <v>Bad</v>
      </c>
    </row>
    <row r="6116" spans="2:34" x14ac:dyDescent="0.2">
      <c r="B6116" s="2">
        <f ca="1"/>
        <v>0.7976469364824923</v>
      </c>
      <c r="O6116" s="2">
        <f ca="1"/>
        <v>0.1989407254624368</v>
      </c>
      <c r="X6116" s="2">
        <f ca="1"/>
        <v>47.104370486152888</v>
      </c>
      <c r="AG6116" s="2">
        <f ca="1"/>
        <v>0.4569473454524775</v>
      </c>
      <c r="AH6116" s="2" t="str">
        <f ca="1"/>
        <v>Bad</v>
      </c>
    </row>
    <row r="6117" spans="2:34" x14ac:dyDescent="0.2">
      <c r="B6117" s="2">
        <f ca="1"/>
        <v>0.57306134082718474</v>
      </c>
      <c r="O6117" s="2">
        <f ca="1"/>
        <v>-0.80224265790172367</v>
      </c>
      <c r="X6117" s="2">
        <f ca="1"/>
        <v>42.923350466686031</v>
      </c>
      <c r="AG6117" s="2">
        <f ca="1"/>
        <v>0.67632692569302777</v>
      </c>
      <c r="AH6117" s="2" t="str">
        <f ca="1"/>
        <v>Bad</v>
      </c>
    </row>
    <row r="6118" spans="2:34" x14ac:dyDescent="0.2">
      <c r="B6118" s="2">
        <f ca="1"/>
        <v>0.72541447608044729</v>
      </c>
      <c r="O6118" s="2">
        <f ca="1"/>
        <v>-0.79134055604343934</v>
      </c>
      <c r="X6118" s="2">
        <f ca="1"/>
        <v>49.420714264955166</v>
      </c>
      <c r="AG6118" s="2">
        <f ca="1"/>
        <v>0.1774056525846881</v>
      </c>
      <c r="AH6118" s="2" t="str">
        <f ca="1"/>
        <v>OK</v>
      </c>
    </row>
    <row r="6119" spans="2:34" x14ac:dyDescent="0.2">
      <c r="B6119" s="2">
        <f ca="1"/>
        <v>0.41002676411123029</v>
      </c>
      <c r="O6119" s="2">
        <f ca="1"/>
        <v>0.94305697868068483</v>
      </c>
      <c r="X6119" s="2">
        <f ca="1"/>
        <v>54.082766586755639</v>
      </c>
      <c r="AG6119" s="2">
        <f ca="1"/>
        <v>0.74442591169868622</v>
      </c>
      <c r="AH6119" s="2" t="str">
        <f ca="1"/>
        <v>Bad</v>
      </c>
    </row>
    <row r="6120" spans="2:34" x14ac:dyDescent="0.2">
      <c r="B6120" s="2">
        <f ca="1"/>
        <v>0.84619776509910838</v>
      </c>
      <c r="O6120" s="2">
        <f ca="1"/>
        <v>-0.9178275515391694</v>
      </c>
      <c r="X6120" s="2">
        <f ca="1"/>
        <v>48.896118218672783</v>
      </c>
      <c r="AG6120" s="2">
        <f ca="1"/>
        <v>0.71081548138856676</v>
      </c>
      <c r="AH6120" s="2" t="str">
        <f ca="1"/>
        <v>Bad</v>
      </c>
    </row>
    <row r="6121" spans="2:34" x14ac:dyDescent="0.2">
      <c r="B6121" s="2">
        <f ca="1"/>
        <v>0.44735282402455989</v>
      </c>
      <c r="O6121" s="2">
        <f ca="1"/>
        <v>-0.5371931117913854</v>
      </c>
      <c r="X6121" s="2">
        <f ca="1"/>
        <v>47.653678477133113</v>
      </c>
      <c r="AG6121" s="2">
        <f ca="1"/>
        <v>0.50592430405398225</v>
      </c>
      <c r="AH6121" s="2" t="str">
        <f ca="1"/>
        <v>Bad</v>
      </c>
    </row>
    <row r="6122" spans="2:34" x14ac:dyDescent="0.2">
      <c r="B6122" s="2">
        <f ca="1"/>
        <v>0.69971558322421834</v>
      </c>
      <c r="O6122" s="2">
        <f ca="1"/>
        <v>0.55518668795052395</v>
      </c>
      <c r="X6122" s="2">
        <f ca="1"/>
        <v>44.596783106456769</v>
      </c>
      <c r="AG6122" s="2">
        <f ca="1"/>
        <v>0.47405984352816066</v>
      </c>
      <c r="AH6122" s="2" t="str">
        <f ca="1"/>
        <v>Bad</v>
      </c>
    </row>
    <row r="6123" spans="2:34" x14ac:dyDescent="0.2">
      <c r="B6123" s="2">
        <f ca="1"/>
        <v>0.82708099811831182</v>
      </c>
      <c r="O6123" s="2">
        <f ca="1"/>
        <v>1.3777133280877056</v>
      </c>
      <c r="X6123" s="2">
        <f ca="1"/>
        <v>63.612444909877297</v>
      </c>
      <c r="AG6123" s="2">
        <f ca="1"/>
        <v>0.31216577572273674</v>
      </c>
      <c r="AH6123" s="2" t="str">
        <f ca="1"/>
        <v>OK</v>
      </c>
    </row>
    <row r="6124" spans="2:34" x14ac:dyDescent="0.2">
      <c r="B6124" s="2">
        <f ca="1"/>
        <v>0.84064623433884544</v>
      </c>
      <c r="O6124" s="2">
        <f ca="1"/>
        <v>0.34514094400295542</v>
      </c>
      <c r="X6124" s="2">
        <f ca="1"/>
        <v>33.707798062223901</v>
      </c>
      <c r="AG6124" s="2">
        <f ca="1"/>
        <v>2.2583135140507693E-2</v>
      </c>
      <c r="AH6124" s="2" t="str">
        <f ca="1"/>
        <v>Good</v>
      </c>
    </row>
    <row r="6125" spans="2:34" x14ac:dyDescent="0.2">
      <c r="B6125" s="2">
        <f ca="1"/>
        <v>0.48673726818085017</v>
      </c>
      <c r="O6125" s="2">
        <f ca="1"/>
        <v>0.21332872533279787</v>
      </c>
      <c r="X6125" s="2">
        <f ca="1"/>
        <v>63.137677661606602</v>
      </c>
      <c r="AG6125" s="2">
        <f ca="1"/>
        <v>0.4499661696869548</v>
      </c>
      <c r="AH6125" s="2" t="str">
        <f ca="1"/>
        <v>Bad</v>
      </c>
    </row>
    <row r="6126" spans="2:34" x14ac:dyDescent="0.2">
      <c r="B6126" s="2">
        <f ca="1"/>
        <v>0.62538845602327009</v>
      </c>
      <c r="O6126" s="2">
        <f ca="1"/>
        <v>1.8914159527635306</v>
      </c>
      <c r="X6126" s="2">
        <f ca="1"/>
        <v>32.40285763944879</v>
      </c>
      <c r="AG6126" s="2">
        <f ca="1"/>
        <v>0.77907230146357587</v>
      </c>
      <c r="AH6126" s="2" t="str">
        <f ca="1"/>
        <v>Bad</v>
      </c>
    </row>
    <row r="6127" spans="2:34" x14ac:dyDescent="0.2">
      <c r="B6127" s="2">
        <f ca="1"/>
        <v>0.32924880698159198</v>
      </c>
      <c r="O6127" s="2">
        <f ca="1"/>
        <v>2.2777242220118596</v>
      </c>
      <c r="X6127" s="2">
        <f ca="1"/>
        <v>24.462091654188907</v>
      </c>
      <c r="AG6127" s="2">
        <f ca="1"/>
        <v>0.21794689907584353</v>
      </c>
      <c r="AH6127" s="2" t="str">
        <f ca="1"/>
        <v>OK</v>
      </c>
    </row>
    <row r="6128" spans="2:34" x14ac:dyDescent="0.2">
      <c r="B6128" s="2">
        <f ca="1"/>
        <v>0.20475220934326321</v>
      </c>
      <c r="O6128" s="2">
        <f ca="1"/>
        <v>0.88563698352465658</v>
      </c>
      <c r="X6128" s="2">
        <f ca="1"/>
        <v>44.276780348311959</v>
      </c>
      <c r="AG6128" s="2">
        <f ca="1"/>
        <v>0.14839183652742816</v>
      </c>
      <c r="AH6128" s="2" t="str">
        <f ca="1"/>
        <v>OK</v>
      </c>
    </row>
    <row r="6129" spans="2:34" x14ac:dyDescent="0.2">
      <c r="B6129" s="2">
        <f ca="1"/>
        <v>0.57714979330661342</v>
      </c>
      <c r="O6129" s="2">
        <f ca="1"/>
        <v>0.47076900947592787</v>
      </c>
      <c r="X6129" s="2">
        <f ca="1"/>
        <v>49.217298208769257</v>
      </c>
      <c r="AG6129" s="2">
        <f ca="1"/>
        <v>0.18663089940899447</v>
      </c>
      <c r="AH6129" s="2" t="str">
        <f ca="1"/>
        <v>OK</v>
      </c>
    </row>
    <row r="6130" spans="2:34" x14ac:dyDescent="0.2">
      <c r="B6130" s="2">
        <f ca="1"/>
        <v>0.44502551206750462</v>
      </c>
      <c r="O6130" s="2">
        <f ca="1"/>
        <v>-1.8871602006714978</v>
      </c>
      <c r="X6130" s="2">
        <f ca="1"/>
        <v>50.799704204371629</v>
      </c>
      <c r="AG6130" s="2">
        <f ca="1"/>
        <v>0.23881628569653679</v>
      </c>
      <c r="AH6130" s="2" t="str">
        <f ca="1"/>
        <v>OK</v>
      </c>
    </row>
    <row r="6131" spans="2:34" x14ac:dyDescent="0.2">
      <c r="B6131" s="2">
        <f ca="1"/>
        <v>0.15261866658340106</v>
      </c>
      <c r="O6131" s="2">
        <f ca="1"/>
        <v>0.13861362912798358</v>
      </c>
      <c r="X6131" s="2">
        <f ca="1"/>
        <v>19.43806791207113</v>
      </c>
      <c r="AG6131" s="2">
        <f ca="1"/>
        <v>0.68670745160251601</v>
      </c>
      <c r="AH6131" s="2" t="str">
        <f ca="1"/>
        <v>Bad</v>
      </c>
    </row>
    <row r="6132" spans="2:34" x14ac:dyDescent="0.2">
      <c r="B6132" s="2">
        <f ca="1"/>
        <v>0.65762967823139373</v>
      </c>
      <c r="O6132" s="2">
        <f ca="1"/>
        <v>0.21650305964400762</v>
      </c>
      <c r="X6132" s="2">
        <f ca="1"/>
        <v>73.168905591985066</v>
      </c>
      <c r="AG6132" s="2">
        <f ca="1"/>
        <v>0.49982817441026106</v>
      </c>
      <c r="AH6132" s="2" t="str">
        <f ca="1"/>
        <v>Bad</v>
      </c>
    </row>
    <row r="6133" spans="2:34" x14ac:dyDescent="0.2">
      <c r="B6133" s="2">
        <f ca="1"/>
        <v>0.32408069707369536</v>
      </c>
      <c r="O6133" s="2">
        <f ca="1"/>
        <v>-0.3660803137886709</v>
      </c>
      <c r="X6133" s="2">
        <f ca="1"/>
        <v>32.688086554611523</v>
      </c>
      <c r="AG6133" s="2">
        <f ca="1"/>
        <v>8.3829954411328123E-2</v>
      </c>
      <c r="AH6133" s="2" t="str">
        <f ca="1"/>
        <v>OK</v>
      </c>
    </row>
    <row r="6134" spans="2:34" x14ac:dyDescent="0.2">
      <c r="B6134" s="2">
        <f ca="1"/>
        <v>0.98202909231752744</v>
      </c>
      <c r="O6134" s="2">
        <f ca="1"/>
        <v>-0.38549802266923777</v>
      </c>
      <c r="X6134" s="2">
        <f ca="1"/>
        <v>37.321210883182196</v>
      </c>
      <c r="AG6134" s="2">
        <f ca="1"/>
        <v>0.58037344267598323</v>
      </c>
      <c r="AH6134" s="2" t="str">
        <f ca="1"/>
        <v>Bad</v>
      </c>
    </row>
    <row r="6135" spans="2:34" x14ac:dyDescent="0.2">
      <c r="B6135" s="2">
        <f ca="1"/>
        <v>0.96570458725352415</v>
      </c>
      <c r="O6135" s="2">
        <f ca="1"/>
        <v>-0.69133325452422845</v>
      </c>
      <c r="X6135" s="2">
        <f ca="1"/>
        <v>62.506690268602689</v>
      </c>
      <c r="AG6135" s="2">
        <f ca="1"/>
        <v>0.82892808810257201</v>
      </c>
      <c r="AH6135" s="2" t="str">
        <f ca="1"/>
        <v>Bad</v>
      </c>
    </row>
    <row r="6136" spans="2:34" x14ac:dyDescent="0.2">
      <c r="B6136" s="2">
        <f ca="1"/>
        <v>0.35960858432795684</v>
      </c>
      <c r="O6136" s="2">
        <f ca="1"/>
        <v>-1.1718080507902318</v>
      </c>
      <c r="X6136" s="2">
        <f ca="1"/>
        <v>46.578016197166491</v>
      </c>
      <c r="AG6136" s="2">
        <f ca="1"/>
        <v>1.8870471043288539E-2</v>
      </c>
      <c r="AH6136" s="2" t="str">
        <f ca="1"/>
        <v>Good</v>
      </c>
    </row>
    <row r="6137" spans="2:34" x14ac:dyDescent="0.2">
      <c r="B6137" s="2">
        <f ca="1"/>
        <v>0.46551710968800908</v>
      </c>
      <c r="O6137" s="2">
        <f ca="1"/>
        <v>0.79714336334244396</v>
      </c>
      <c r="X6137" s="2">
        <f ca="1"/>
        <v>40.429709105560541</v>
      </c>
      <c r="AG6137" s="2">
        <f ca="1"/>
        <v>0.37141714941830384</v>
      </c>
      <c r="AH6137" s="2" t="str">
        <f ca="1"/>
        <v>OK</v>
      </c>
    </row>
    <row r="6138" spans="2:34" x14ac:dyDescent="0.2">
      <c r="B6138" s="2">
        <f ca="1"/>
        <v>0.18286897492240284</v>
      </c>
      <c r="O6138" s="2">
        <f ca="1"/>
        <v>-1.2250981320080394</v>
      </c>
      <c r="X6138" s="2">
        <f ca="1"/>
        <v>33.515678740053318</v>
      </c>
      <c r="AG6138" s="2">
        <f ca="1"/>
        <v>0.40594864177449219</v>
      </c>
      <c r="AH6138" s="2" t="str">
        <f ca="1"/>
        <v>Bad</v>
      </c>
    </row>
    <row r="6139" spans="2:34" x14ac:dyDescent="0.2">
      <c r="B6139" s="2">
        <f ca="1"/>
        <v>8.9496575592034278E-2</v>
      </c>
      <c r="O6139" s="2">
        <f ca="1"/>
        <v>0.39967343669268168</v>
      </c>
      <c r="X6139" s="2">
        <f ca="1"/>
        <v>53.388029899547206</v>
      </c>
      <c r="AG6139" s="2">
        <f ca="1"/>
        <v>7.7059711166944211E-2</v>
      </c>
      <c r="AH6139" s="2" t="str">
        <f ca="1"/>
        <v>OK</v>
      </c>
    </row>
    <row r="6140" spans="2:34" x14ac:dyDescent="0.2">
      <c r="B6140" s="2">
        <f ca="1"/>
        <v>0.67354452420977307</v>
      </c>
      <c r="O6140" s="2">
        <f ca="1"/>
        <v>-1.4368403530122007</v>
      </c>
      <c r="X6140" s="2">
        <f ca="1"/>
        <v>46.103615223263517</v>
      </c>
      <c r="AG6140" s="2">
        <f ca="1"/>
        <v>0.14032608393746004</v>
      </c>
      <c r="AH6140" s="2" t="str">
        <f ca="1"/>
        <v>OK</v>
      </c>
    </row>
    <row r="6141" spans="2:34" x14ac:dyDescent="0.2">
      <c r="B6141" s="2">
        <f ca="1"/>
        <v>0.40644264222710369</v>
      </c>
      <c r="O6141" s="2">
        <f ca="1"/>
        <v>-0.35377300453055072</v>
      </c>
      <c r="X6141" s="2">
        <f ca="1"/>
        <v>67.612134187028715</v>
      </c>
      <c r="AG6141" s="2">
        <f ca="1"/>
        <v>0.70194691098819484</v>
      </c>
      <c r="AH6141" s="2" t="str">
        <f ca="1"/>
        <v>Bad</v>
      </c>
    </row>
    <row r="6142" spans="2:34" x14ac:dyDescent="0.2">
      <c r="B6142" s="2">
        <f ca="1"/>
        <v>0.7033369089013326</v>
      </c>
      <c r="O6142" s="2">
        <f ca="1"/>
        <v>9.6371284410174451E-2</v>
      </c>
      <c r="X6142" s="2">
        <f ca="1"/>
        <v>28.703048516911291</v>
      </c>
      <c r="AG6142" s="2">
        <f ca="1"/>
        <v>0.12278337358350622</v>
      </c>
      <c r="AH6142" s="2" t="str">
        <f ca="1"/>
        <v>OK</v>
      </c>
    </row>
    <row r="6143" spans="2:34" x14ac:dyDescent="0.2">
      <c r="B6143" s="2">
        <f ca="1"/>
        <v>0.62637377800057337</v>
      </c>
      <c r="O6143" s="2">
        <f ca="1"/>
        <v>-1.448940920986528</v>
      </c>
      <c r="X6143" s="2">
        <f ca="1"/>
        <v>31.575334101394223</v>
      </c>
      <c r="AG6143" s="2">
        <f ca="1"/>
        <v>5.2829797557207847E-4</v>
      </c>
      <c r="AH6143" s="2" t="str">
        <f ca="1"/>
        <v>Good</v>
      </c>
    </row>
    <row r="6144" spans="2:34" x14ac:dyDescent="0.2">
      <c r="B6144" s="2">
        <f ca="1"/>
        <v>0.65569330572455686</v>
      </c>
      <c r="O6144" s="2">
        <f ca="1"/>
        <v>-0.35403103966547406</v>
      </c>
      <c r="X6144" s="2">
        <f ca="1"/>
        <v>48.236919725015532</v>
      </c>
      <c r="AG6144" s="2">
        <f ca="1"/>
        <v>0.41605757767939355</v>
      </c>
      <c r="AH6144" s="2" t="str">
        <f ca="1"/>
        <v>Bad</v>
      </c>
    </row>
    <row r="6145" spans="2:34" x14ac:dyDescent="0.2">
      <c r="B6145" s="2">
        <f ca="1"/>
        <v>0.42789092098001014</v>
      </c>
      <c r="O6145" s="2">
        <f ca="1"/>
        <v>1.3644523165821398</v>
      </c>
      <c r="X6145" s="2">
        <f ca="1"/>
        <v>48.092501725062846</v>
      </c>
      <c r="AG6145" s="2">
        <f ca="1"/>
        <v>0.4565938025435714</v>
      </c>
      <c r="AH6145" s="2" t="str">
        <f ca="1"/>
        <v>Bad</v>
      </c>
    </row>
    <row r="6146" spans="2:34" x14ac:dyDescent="0.2">
      <c r="B6146" s="2">
        <f ca="1"/>
        <v>0.46488118918371901</v>
      </c>
      <c r="O6146" s="2">
        <f ca="1"/>
        <v>-0.49477297001508752</v>
      </c>
      <c r="X6146" s="2">
        <f ca="1"/>
        <v>19.284035970235276</v>
      </c>
      <c r="AG6146" s="2">
        <f ca="1"/>
        <v>0.61724152474788241</v>
      </c>
      <c r="AH6146" s="2" t="str">
        <f ca="1"/>
        <v>Bad</v>
      </c>
    </row>
    <row r="6147" spans="2:34" x14ac:dyDescent="0.2">
      <c r="B6147" s="2">
        <f ca="1"/>
        <v>3.0776238149443857E-2</v>
      </c>
      <c r="O6147" s="2">
        <f ca="1"/>
        <v>-1.2820317872521407</v>
      </c>
      <c r="X6147" s="2">
        <f ca="1"/>
        <v>33.87082468280996</v>
      </c>
      <c r="AG6147" s="2">
        <f ca="1"/>
        <v>0.39065991216393714</v>
      </c>
      <c r="AH6147" s="2" t="str">
        <f ca="1"/>
        <v>OK</v>
      </c>
    </row>
    <row r="6148" spans="2:34" x14ac:dyDescent="0.2">
      <c r="B6148" s="2">
        <f ca="1"/>
        <v>0.16202433123968585</v>
      </c>
      <c r="O6148" s="2">
        <f ca="1"/>
        <v>1.3613898622364873</v>
      </c>
      <c r="X6148" s="2">
        <f ca="1"/>
        <v>59.227568446633533</v>
      </c>
      <c r="AG6148" s="2">
        <f ca="1"/>
        <v>0.14402851248707216</v>
      </c>
      <c r="AH6148" s="2" t="str">
        <f ca="1"/>
        <v>OK</v>
      </c>
    </row>
    <row r="6149" spans="2:34" x14ac:dyDescent="0.2">
      <c r="B6149" s="2">
        <f ca="1"/>
        <v>0.3685187300799484</v>
      </c>
      <c r="O6149" s="2">
        <f ca="1"/>
        <v>0.98138235970834942</v>
      </c>
      <c r="X6149" s="2">
        <f ca="1"/>
        <v>58.360918903934163</v>
      </c>
      <c r="AG6149" s="2">
        <f ca="1"/>
        <v>0.29109282755757215</v>
      </c>
      <c r="AH6149" s="2" t="str">
        <f ca="1"/>
        <v>OK</v>
      </c>
    </row>
    <row r="6150" spans="2:34" x14ac:dyDescent="0.2">
      <c r="B6150" s="2">
        <f ca="1"/>
        <v>0.96635233754561134</v>
      </c>
      <c r="O6150" s="2">
        <f ca="1"/>
        <v>9.001601611196107E-2</v>
      </c>
      <c r="X6150" s="2">
        <f ca="1"/>
        <v>52.072521887501253</v>
      </c>
      <c r="AG6150" s="2">
        <f ca="1"/>
        <v>0.57876729143115346</v>
      </c>
      <c r="AH6150" s="2" t="str">
        <f ca="1"/>
        <v>Bad</v>
      </c>
    </row>
    <row r="6151" spans="2:34" x14ac:dyDescent="0.2">
      <c r="B6151" s="2">
        <f ca="1"/>
        <v>9.8605789505793462E-2</v>
      </c>
      <c r="O6151" s="2">
        <f ca="1"/>
        <v>-0.81435493995460673</v>
      </c>
      <c r="X6151" s="2">
        <f ca="1"/>
        <v>63.318899457911407</v>
      </c>
      <c r="AG6151" s="2">
        <f ca="1"/>
        <v>0.46034656795103746</v>
      </c>
      <c r="AH6151" s="2" t="str">
        <f ca="1"/>
        <v>Bad</v>
      </c>
    </row>
    <row r="6152" spans="2:34" x14ac:dyDescent="0.2">
      <c r="B6152" s="2">
        <f ca="1"/>
        <v>0.99119494192585811</v>
      </c>
      <c r="O6152" s="2">
        <f ca="1"/>
        <v>-0.23266975701990231</v>
      </c>
      <c r="X6152" s="2">
        <f ca="1"/>
        <v>49.642782065801669</v>
      </c>
      <c r="AG6152" s="2">
        <f ca="1"/>
        <v>0.93845127045350996</v>
      </c>
      <c r="AH6152" s="2" t="str">
        <f ca="1"/>
        <v>Bad</v>
      </c>
    </row>
    <row r="6153" spans="2:34" x14ac:dyDescent="0.2">
      <c r="B6153" s="2">
        <f ca="1"/>
        <v>0.12796379135691605</v>
      </c>
      <c r="O6153" s="2">
        <f ca="1"/>
        <v>0.24839863370235715</v>
      </c>
      <c r="X6153" s="2">
        <f ca="1"/>
        <v>114.38838599034105</v>
      </c>
      <c r="AG6153" s="2">
        <f ca="1"/>
        <v>0.90981457818509592</v>
      </c>
      <c r="AH6153" s="2" t="str">
        <f ca="1"/>
        <v>Bad</v>
      </c>
    </row>
    <row r="6154" spans="2:34" x14ac:dyDescent="0.2">
      <c r="B6154" s="2">
        <f ca="1"/>
        <v>0.31523833316847427</v>
      </c>
      <c r="O6154" s="2">
        <f ca="1"/>
        <v>-0.58705501906813395</v>
      </c>
      <c r="X6154" s="2">
        <f ca="1"/>
        <v>52.707166162569592</v>
      </c>
      <c r="AG6154" s="2">
        <f ca="1"/>
        <v>0.8401848229045894</v>
      </c>
      <c r="AH6154" s="2" t="str">
        <f ca="1"/>
        <v>Bad</v>
      </c>
    </row>
    <row r="6155" spans="2:34" x14ac:dyDescent="0.2">
      <c r="B6155" s="2">
        <f ca="1"/>
        <v>0.77451243914159273</v>
      </c>
      <c r="O6155" s="2">
        <f ca="1"/>
        <v>-0.82466118580569359</v>
      </c>
      <c r="X6155" s="2">
        <f ca="1"/>
        <v>30.205274287357284</v>
      </c>
      <c r="AG6155" s="2">
        <f ca="1"/>
        <v>4.0321482959398969E-2</v>
      </c>
      <c r="AH6155" s="2" t="str">
        <f ca="1"/>
        <v>Good</v>
      </c>
    </row>
    <row r="6156" spans="2:34" x14ac:dyDescent="0.2">
      <c r="B6156" s="2">
        <f ca="1"/>
        <v>0.67126351214019642</v>
      </c>
      <c r="O6156" s="2">
        <f ca="1"/>
        <v>0.67762551539689941</v>
      </c>
      <c r="X6156" s="2">
        <f ca="1"/>
        <v>43.099496248148405</v>
      </c>
      <c r="AG6156" s="2">
        <f ca="1"/>
        <v>0.17275884961700494</v>
      </c>
      <c r="AH6156" s="2" t="str">
        <f ca="1"/>
        <v>OK</v>
      </c>
    </row>
    <row r="6157" spans="2:34" x14ac:dyDescent="0.2">
      <c r="B6157" s="2">
        <f ca="1"/>
        <v>5.9441828552046827E-2</v>
      </c>
      <c r="O6157" s="2">
        <f ca="1"/>
        <v>-0.3619145846987164</v>
      </c>
      <c r="X6157" s="2">
        <f ca="1"/>
        <v>70.171658604217328</v>
      </c>
      <c r="AG6157" s="2">
        <f ca="1"/>
        <v>0.37429383551530515</v>
      </c>
      <c r="AH6157" s="2" t="str">
        <f ca="1"/>
        <v>OK</v>
      </c>
    </row>
    <row r="6158" spans="2:34" x14ac:dyDescent="0.2">
      <c r="B6158" s="2">
        <f ca="1"/>
        <v>0.46676729324495558</v>
      </c>
      <c r="O6158" s="2">
        <f ca="1"/>
        <v>0.85890045960026673</v>
      </c>
      <c r="X6158" s="2">
        <f ca="1"/>
        <v>32.128403600082954</v>
      </c>
      <c r="AG6158" s="2">
        <f ca="1"/>
        <v>0.5415093457632123</v>
      </c>
      <c r="AH6158" s="2" t="str">
        <f ca="1"/>
        <v>Bad</v>
      </c>
    </row>
    <row r="6159" spans="2:34" x14ac:dyDescent="0.2">
      <c r="B6159" s="2">
        <f ca="1"/>
        <v>0.12658959076665566</v>
      </c>
      <c r="O6159" s="2">
        <f ca="1"/>
        <v>-0.77359571100711788</v>
      </c>
      <c r="X6159" s="2">
        <f ca="1"/>
        <v>31.581636549644863</v>
      </c>
      <c r="AG6159" s="2">
        <f ca="1"/>
        <v>3.3787328330520561E-2</v>
      </c>
      <c r="AH6159" s="2" t="str">
        <f ca="1"/>
        <v>Good</v>
      </c>
    </row>
    <row r="6160" spans="2:34" x14ac:dyDescent="0.2">
      <c r="B6160" s="2">
        <f ca="1"/>
        <v>0.95288906159247255</v>
      </c>
      <c r="O6160" s="2">
        <f ca="1"/>
        <v>-1.2892010635991666</v>
      </c>
      <c r="X6160" s="2">
        <f ca="1"/>
        <v>62.191230288674717</v>
      </c>
      <c r="AG6160" s="2">
        <f ca="1"/>
        <v>0.56551338533473561</v>
      </c>
      <c r="AH6160" s="2" t="str">
        <f ca="1"/>
        <v>Bad</v>
      </c>
    </row>
    <row r="6161" spans="2:34" x14ac:dyDescent="0.2">
      <c r="B6161" s="2">
        <f ca="1"/>
        <v>0.27244240645126805</v>
      </c>
      <c r="O6161" s="2">
        <f ca="1"/>
        <v>-0.64760380018909935</v>
      </c>
      <c r="X6161" s="2">
        <f ca="1"/>
        <v>30.159094355486594</v>
      </c>
      <c r="AG6161" s="2">
        <f ca="1"/>
        <v>0.2377275336366711</v>
      </c>
      <c r="AH6161" s="2" t="str">
        <f ca="1"/>
        <v>OK</v>
      </c>
    </row>
    <row r="6162" spans="2:34" x14ac:dyDescent="0.2">
      <c r="B6162" s="2">
        <f ca="1"/>
        <v>0.81237021437012169</v>
      </c>
      <c r="O6162" s="2">
        <f ca="1"/>
        <v>1.0204398675266402</v>
      </c>
      <c r="X6162" s="2">
        <f ca="1"/>
        <v>27.758694074722129</v>
      </c>
      <c r="AG6162" s="2">
        <f ca="1"/>
        <v>0.18621605109101114</v>
      </c>
      <c r="AH6162" s="2" t="str">
        <f ca="1"/>
        <v>OK</v>
      </c>
    </row>
    <row r="6163" spans="2:34" x14ac:dyDescent="0.2">
      <c r="B6163" s="2">
        <f ca="1"/>
        <v>0.20693624774850994</v>
      </c>
      <c r="O6163" s="2">
        <f ca="1"/>
        <v>-1.4394070053098899E-2</v>
      </c>
      <c r="X6163" s="2">
        <f ca="1"/>
        <v>79.036649223067883</v>
      </c>
      <c r="AG6163" s="2">
        <f ca="1"/>
        <v>0.36196521852247066</v>
      </c>
      <c r="AH6163" s="2" t="str">
        <f ca="1"/>
        <v>OK</v>
      </c>
    </row>
    <row r="6164" spans="2:34" x14ac:dyDescent="0.2">
      <c r="B6164" s="2">
        <f ca="1"/>
        <v>0.44508134462832682</v>
      </c>
      <c r="O6164" s="2">
        <f ca="1"/>
        <v>-0.71968546301620651</v>
      </c>
      <c r="X6164" s="2">
        <f ca="1"/>
        <v>29.554478701045227</v>
      </c>
      <c r="AG6164" s="2">
        <f ca="1"/>
        <v>0.37766743309149486</v>
      </c>
      <c r="AH6164" s="2" t="str">
        <f ca="1"/>
        <v>OK</v>
      </c>
    </row>
    <row r="6165" spans="2:34" x14ac:dyDescent="0.2">
      <c r="B6165" s="2">
        <f ca="1"/>
        <v>0.72633101497006436</v>
      </c>
      <c r="O6165" s="2">
        <f ca="1"/>
        <v>0.33302537280825251</v>
      </c>
      <c r="X6165" s="2">
        <f ca="1"/>
        <v>38.015961123984624</v>
      </c>
      <c r="AG6165" s="2">
        <f ca="1"/>
        <v>0.21847752151482358</v>
      </c>
      <c r="AH6165" s="2" t="str">
        <f ca="1"/>
        <v>OK</v>
      </c>
    </row>
    <row r="6166" spans="2:34" x14ac:dyDescent="0.2">
      <c r="B6166" s="2">
        <f ca="1"/>
        <v>0.63945414547138602</v>
      </c>
      <c r="O6166" s="2">
        <f ca="1"/>
        <v>-1.8524385044210325</v>
      </c>
      <c r="X6166" s="2">
        <f ca="1"/>
        <v>31.651044122723487</v>
      </c>
      <c r="AG6166" s="2">
        <f ca="1"/>
        <v>0.61941689054330262</v>
      </c>
      <c r="AH6166" s="2" t="str">
        <f ca="1"/>
        <v>Bad</v>
      </c>
    </row>
    <row r="6167" spans="2:34" x14ac:dyDescent="0.2">
      <c r="B6167" s="2">
        <f ca="1"/>
        <v>0.30922790788261212</v>
      </c>
      <c r="O6167" s="2">
        <f ca="1"/>
        <v>-0.95694772025929198</v>
      </c>
      <c r="X6167" s="2">
        <f ca="1"/>
        <v>32.488891869022808</v>
      </c>
      <c r="AG6167" s="2">
        <f ca="1"/>
        <v>0.86530208486741422</v>
      </c>
      <c r="AH6167" s="2" t="str">
        <f ca="1"/>
        <v>Bad</v>
      </c>
    </row>
    <row r="6168" spans="2:34" x14ac:dyDescent="0.2">
      <c r="B6168" s="2">
        <f ca="1"/>
        <v>0.46139551511437271</v>
      </c>
      <c r="O6168" s="2">
        <f ca="1"/>
        <v>1.0079964271079525</v>
      </c>
      <c r="X6168" s="2">
        <f ca="1"/>
        <v>32.239907699733898</v>
      </c>
      <c r="AG6168" s="2">
        <f ca="1"/>
        <v>0.37597088159607783</v>
      </c>
      <c r="AH6168" s="2" t="str">
        <f ca="1"/>
        <v>OK</v>
      </c>
    </row>
    <row r="6169" spans="2:34" x14ac:dyDescent="0.2">
      <c r="B6169" s="2">
        <f ca="1"/>
        <v>0.47494324982138214</v>
      </c>
      <c r="O6169" s="2">
        <f ca="1"/>
        <v>-0.46012473201229082</v>
      </c>
      <c r="X6169" s="2">
        <f ca="1"/>
        <v>60.565325408977479</v>
      </c>
      <c r="AG6169" s="2">
        <f ca="1"/>
        <v>0.40445247226457526</v>
      </c>
      <c r="AH6169" s="2" t="str">
        <f ca="1"/>
        <v>Bad</v>
      </c>
    </row>
    <row r="6170" spans="2:34" x14ac:dyDescent="0.2">
      <c r="B6170" s="2">
        <f ca="1"/>
        <v>0.69745354898237766</v>
      </c>
      <c r="O6170" s="2">
        <f ca="1"/>
        <v>0.90331124771591886</v>
      </c>
      <c r="X6170" s="2">
        <f ca="1"/>
        <v>46.500421415949511</v>
      </c>
      <c r="AG6170" s="2">
        <f ca="1"/>
        <v>5.6522256233749513E-2</v>
      </c>
      <c r="AH6170" s="2" t="str">
        <f ca="1"/>
        <v>OK</v>
      </c>
    </row>
    <row r="6171" spans="2:34" x14ac:dyDescent="0.2">
      <c r="B6171" s="2">
        <f ca="1"/>
        <v>0.80151696701720154</v>
      </c>
      <c r="O6171" s="2">
        <f ca="1"/>
        <v>-1.7694482707913872</v>
      </c>
      <c r="X6171" s="2">
        <f ca="1"/>
        <v>48.822242491175132</v>
      </c>
      <c r="AG6171" s="2">
        <f ca="1"/>
        <v>0.58687333582204104</v>
      </c>
      <c r="AH6171" s="2" t="str">
        <f ca="1"/>
        <v>Bad</v>
      </c>
    </row>
    <row r="6172" spans="2:34" x14ac:dyDescent="0.2">
      <c r="B6172" s="2">
        <f ca="1"/>
        <v>0.71468370552460958</v>
      </c>
      <c r="O6172" s="2">
        <f ca="1"/>
        <v>2.1052834237900391</v>
      </c>
      <c r="X6172" s="2">
        <f ca="1"/>
        <v>39.806893841474611</v>
      </c>
      <c r="AG6172" s="2">
        <f ca="1"/>
        <v>0.73070461697997957</v>
      </c>
      <c r="AH6172" s="2" t="str">
        <f ca="1"/>
        <v>Bad</v>
      </c>
    </row>
    <row r="6173" spans="2:34" x14ac:dyDescent="0.2">
      <c r="B6173" s="2">
        <f ca="1"/>
        <v>0.96867749379734569</v>
      </c>
      <c r="O6173" s="2">
        <f ca="1"/>
        <v>0.23278976594194409</v>
      </c>
      <c r="X6173" s="2">
        <f ca="1"/>
        <v>47.866683373436459</v>
      </c>
      <c r="AG6173" s="2">
        <f ca="1"/>
        <v>0.45182913761415899</v>
      </c>
      <c r="AH6173" s="2" t="str">
        <f ca="1"/>
        <v>Bad</v>
      </c>
    </row>
    <row r="6174" spans="2:34" x14ac:dyDescent="0.2">
      <c r="B6174" s="2">
        <f ca="1"/>
        <v>0.23202692696518179</v>
      </c>
      <c r="O6174" s="2">
        <f ca="1"/>
        <v>-0.38331941159232691</v>
      </c>
      <c r="X6174" s="2">
        <f ca="1"/>
        <v>69.77720404107869</v>
      </c>
      <c r="AG6174" s="2">
        <f ca="1"/>
        <v>0.59421015458449022</v>
      </c>
      <c r="AH6174" s="2" t="str">
        <f ca="1"/>
        <v>Bad</v>
      </c>
    </row>
    <row r="6175" spans="2:34" x14ac:dyDescent="0.2">
      <c r="B6175" s="2">
        <f ca="1"/>
        <v>0.53762701338423735</v>
      </c>
      <c r="O6175" s="2">
        <f ca="1"/>
        <v>-1.3234868083022764</v>
      </c>
      <c r="X6175" s="2">
        <f ca="1"/>
        <v>30.67736933709666</v>
      </c>
      <c r="AG6175" s="2">
        <f ca="1"/>
        <v>0.86069268907237473</v>
      </c>
      <c r="AH6175" s="2" t="str">
        <f ca="1"/>
        <v>Bad</v>
      </c>
    </row>
    <row r="6176" spans="2:34" x14ac:dyDescent="0.2">
      <c r="B6176" s="2">
        <f ca="1"/>
        <v>0.74459201213290571</v>
      </c>
      <c r="O6176" s="2">
        <f ca="1"/>
        <v>1.7297773562538858E-2</v>
      </c>
      <c r="X6176" s="2">
        <f ca="1"/>
        <v>40.057761191091373</v>
      </c>
      <c r="AG6176" s="2">
        <f ca="1"/>
        <v>0.44319198122891024</v>
      </c>
      <c r="AH6176" s="2" t="str">
        <f ca="1"/>
        <v>Bad</v>
      </c>
    </row>
    <row r="6177" spans="2:34" x14ac:dyDescent="0.2">
      <c r="B6177" s="2">
        <f ca="1"/>
        <v>0.73200428121952288</v>
      </c>
      <c r="O6177" s="2">
        <f ca="1"/>
        <v>0.20191355757163795</v>
      </c>
      <c r="X6177" s="2">
        <f ca="1"/>
        <v>42.112497194110688</v>
      </c>
      <c r="AG6177" s="2">
        <f ca="1"/>
        <v>0.97756912691602005</v>
      </c>
      <c r="AH6177" s="2" t="str">
        <f ca="1"/>
        <v>Bad</v>
      </c>
    </row>
    <row r="6178" spans="2:34" x14ac:dyDescent="0.2">
      <c r="B6178" s="2">
        <f ca="1"/>
        <v>0.65390267325538254</v>
      </c>
      <c r="O6178" s="2">
        <f ca="1"/>
        <v>9.19193485731883E-2</v>
      </c>
      <c r="X6178" s="2">
        <f ca="1"/>
        <v>47.028143298076841</v>
      </c>
      <c r="AG6178" s="2">
        <f ca="1"/>
        <v>0.68387246005238511</v>
      </c>
      <c r="AH6178" s="2" t="str">
        <f ca="1"/>
        <v>Bad</v>
      </c>
    </row>
    <row r="6179" spans="2:34" x14ac:dyDescent="0.2">
      <c r="B6179" s="2">
        <f ca="1"/>
        <v>0.37897958650489882</v>
      </c>
      <c r="O6179" s="2">
        <f ca="1"/>
        <v>-0.79642036415247042</v>
      </c>
      <c r="X6179" s="2">
        <f ca="1"/>
        <v>52.306243357514894</v>
      </c>
      <c r="AG6179" s="2">
        <f ca="1"/>
        <v>0.92704006915718873</v>
      </c>
      <c r="AH6179" s="2" t="str">
        <f ca="1"/>
        <v>Bad</v>
      </c>
    </row>
    <row r="6180" spans="2:34" x14ac:dyDescent="0.2">
      <c r="B6180" s="2">
        <f ca="1"/>
        <v>7.8630087890742884E-2</v>
      </c>
      <c r="O6180" s="2">
        <f ca="1"/>
        <v>-0.28877920549647595</v>
      </c>
      <c r="X6180" s="2">
        <f ca="1"/>
        <v>55.720489599587715</v>
      </c>
      <c r="AG6180" s="2">
        <f ca="1"/>
        <v>0.19714335578389508</v>
      </c>
      <c r="AH6180" s="2" t="str">
        <f ca="1"/>
        <v>OK</v>
      </c>
    </row>
    <row r="6181" spans="2:34" x14ac:dyDescent="0.2">
      <c r="B6181" s="2">
        <f ca="1"/>
        <v>0.37706580278355029</v>
      </c>
      <c r="O6181" s="2">
        <f ca="1"/>
        <v>-0.4588881490269936</v>
      </c>
      <c r="X6181" s="2">
        <f ca="1"/>
        <v>27.561094322719878</v>
      </c>
      <c r="AG6181" s="2">
        <f ca="1"/>
        <v>0.62748872557481405</v>
      </c>
      <c r="AH6181" s="2" t="str">
        <f ca="1"/>
        <v>Bad</v>
      </c>
    </row>
    <row r="6182" spans="2:34" x14ac:dyDescent="0.2">
      <c r="B6182" s="2">
        <f ca="1"/>
        <v>0.43791229195275094</v>
      </c>
      <c r="O6182" s="2">
        <f ca="1"/>
        <v>1.3325526580258313</v>
      </c>
      <c r="X6182" s="2">
        <f ca="1"/>
        <v>46.90328904824252</v>
      </c>
      <c r="AG6182" s="2">
        <f ca="1"/>
        <v>6.6615670670891358E-2</v>
      </c>
      <c r="AH6182" s="2" t="str">
        <f ca="1"/>
        <v>OK</v>
      </c>
    </row>
    <row r="6183" spans="2:34" x14ac:dyDescent="0.2">
      <c r="B6183" s="2">
        <f ca="1"/>
        <v>0.52918988978008286</v>
      </c>
      <c r="O6183" s="2">
        <f ca="1"/>
        <v>2.4512881637849553</v>
      </c>
      <c r="X6183" s="2">
        <f ca="1"/>
        <v>49.973383802578518</v>
      </c>
      <c r="AG6183" s="2">
        <f ca="1"/>
        <v>0.29289546638687591</v>
      </c>
      <c r="AH6183" s="2" t="str">
        <f ca="1"/>
        <v>OK</v>
      </c>
    </row>
    <row r="6184" spans="2:34" x14ac:dyDescent="0.2">
      <c r="B6184" s="2">
        <f ca="1"/>
        <v>0.33860612382999933</v>
      </c>
      <c r="O6184" s="2">
        <f ca="1"/>
        <v>0.87698870738297496</v>
      </c>
      <c r="X6184" s="2">
        <f ca="1"/>
        <v>71.221842387170597</v>
      </c>
      <c r="AG6184" s="2">
        <f ca="1"/>
        <v>0.74087629487678353</v>
      </c>
      <c r="AH6184" s="2" t="str">
        <f ca="1"/>
        <v>Bad</v>
      </c>
    </row>
    <row r="6185" spans="2:34" x14ac:dyDescent="0.2">
      <c r="B6185" s="2">
        <f ca="1"/>
        <v>0.29761209537458244</v>
      </c>
      <c r="O6185" s="2">
        <f ca="1"/>
        <v>0.28508636018465061</v>
      </c>
      <c r="X6185" s="2">
        <f ca="1"/>
        <v>57.783400985426077</v>
      </c>
      <c r="AG6185" s="2">
        <f ca="1"/>
        <v>0.86528315502237363</v>
      </c>
      <c r="AH6185" s="2" t="str">
        <f ca="1"/>
        <v>Bad</v>
      </c>
    </row>
    <row r="6186" spans="2:34" x14ac:dyDescent="0.2">
      <c r="B6186" s="2">
        <f ca="1"/>
        <v>9.8587538277277842E-2</v>
      </c>
      <c r="O6186" s="2">
        <f ca="1"/>
        <v>-0.71531596757345162</v>
      </c>
      <c r="X6186" s="2">
        <f ca="1"/>
        <v>56.079924360549697</v>
      </c>
      <c r="AG6186" s="2">
        <f ca="1"/>
        <v>0.67320256624475672</v>
      </c>
      <c r="AH6186" s="2" t="str">
        <f ca="1"/>
        <v>Bad</v>
      </c>
    </row>
    <row r="6187" spans="2:34" x14ac:dyDescent="0.2">
      <c r="B6187" s="2">
        <f ca="1"/>
        <v>0.91188486393551904</v>
      </c>
      <c r="O6187" s="2">
        <f ca="1"/>
        <v>0.62501239255809726</v>
      </c>
      <c r="X6187" s="2">
        <f ca="1"/>
        <v>47.086594688387422</v>
      </c>
      <c r="AG6187" s="2">
        <f ca="1"/>
        <v>0.1162504480031521</v>
      </c>
      <c r="AH6187" s="2" t="str">
        <f ca="1"/>
        <v>OK</v>
      </c>
    </row>
    <row r="6188" spans="2:34" x14ac:dyDescent="0.2">
      <c r="B6188" s="2">
        <f ca="1"/>
        <v>0.97586709687344442</v>
      </c>
      <c r="O6188" s="2">
        <f ca="1"/>
        <v>-0.72254757474001929</v>
      </c>
      <c r="X6188" s="2">
        <f ca="1"/>
        <v>46.783286359937868</v>
      </c>
      <c r="AG6188" s="2">
        <f ca="1"/>
        <v>0.19165803729874509</v>
      </c>
      <c r="AH6188" s="2" t="str">
        <f ca="1"/>
        <v>OK</v>
      </c>
    </row>
    <row r="6189" spans="2:34" x14ac:dyDescent="0.2">
      <c r="B6189" s="2">
        <f ca="1"/>
        <v>0.85889940876338922</v>
      </c>
      <c r="O6189" s="2">
        <f ca="1"/>
        <v>0.54312180894508544</v>
      </c>
      <c r="X6189" s="2">
        <f ca="1"/>
        <v>31.82913990629913</v>
      </c>
      <c r="AG6189" s="2">
        <f ca="1"/>
        <v>0.69523874636636829</v>
      </c>
      <c r="AH6189" s="2" t="str">
        <f ca="1"/>
        <v>Bad</v>
      </c>
    </row>
    <row r="6190" spans="2:34" x14ac:dyDescent="0.2">
      <c r="B6190" s="2">
        <f ca="1"/>
        <v>8.8254488551431365E-5</v>
      </c>
      <c r="O6190" s="2">
        <f ca="1"/>
        <v>-0.39571251463448992</v>
      </c>
      <c r="X6190" s="2">
        <f ca="1"/>
        <v>40.021338213016293</v>
      </c>
      <c r="AG6190" s="2">
        <f ca="1"/>
        <v>0.72925046245417913</v>
      </c>
      <c r="AH6190" s="2" t="str">
        <f ca="1"/>
        <v>Bad</v>
      </c>
    </row>
    <row r="6191" spans="2:34" x14ac:dyDescent="0.2">
      <c r="B6191" s="2">
        <f ca="1"/>
        <v>0.27538227902384294</v>
      </c>
      <c r="O6191" s="2">
        <f ca="1"/>
        <v>-1.4299580475247033</v>
      </c>
      <c r="X6191" s="2">
        <f ca="1"/>
        <v>67.364343916749135</v>
      </c>
      <c r="AG6191" s="2">
        <f ca="1"/>
        <v>0.67637649074436879</v>
      </c>
      <c r="AH6191" s="2" t="str">
        <f ca="1"/>
        <v>Bad</v>
      </c>
    </row>
    <row r="6192" spans="2:34" x14ac:dyDescent="0.2">
      <c r="B6192" s="2">
        <f ca="1"/>
        <v>0.57866187723912588</v>
      </c>
      <c r="O6192" s="2">
        <f ca="1"/>
        <v>-0.64969259986558858</v>
      </c>
      <c r="X6192" s="2">
        <f ca="1"/>
        <v>43.347396455082638</v>
      </c>
      <c r="AG6192" s="2">
        <f ca="1"/>
        <v>0.57979276383568434</v>
      </c>
      <c r="AH6192" s="2" t="str">
        <f ca="1"/>
        <v>Bad</v>
      </c>
    </row>
    <row r="6193" spans="2:34" x14ac:dyDescent="0.2">
      <c r="B6193" s="2">
        <f ca="1"/>
        <v>0.67308156746495018</v>
      </c>
      <c r="O6193" s="2">
        <f ca="1"/>
        <v>3.9899277385259231E-2</v>
      </c>
      <c r="X6193" s="2">
        <f ca="1"/>
        <v>67.885626744303977</v>
      </c>
      <c r="AG6193" s="2">
        <f ca="1"/>
        <v>0.8741682277315812</v>
      </c>
      <c r="AH6193" s="2" t="str">
        <f ca="1"/>
        <v>Bad</v>
      </c>
    </row>
    <row r="6194" spans="2:34" x14ac:dyDescent="0.2">
      <c r="B6194" s="2">
        <f ca="1"/>
        <v>0.4115980108109627</v>
      </c>
      <c r="O6194" s="2">
        <f ca="1"/>
        <v>-0.55533733560641385</v>
      </c>
      <c r="X6194" s="2">
        <f ca="1"/>
        <v>53.736768483519725</v>
      </c>
      <c r="AG6194" s="2">
        <f ca="1"/>
        <v>0.72454592946304341</v>
      </c>
      <c r="AH6194" s="2" t="str">
        <f ca="1"/>
        <v>Bad</v>
      </c>
    </row>
    <row r="6195" spans="2:34" x14ac:dyDescent="0.2">
      <c r="B6195" s="2">
        <f ca="1"/>
        <v>0.20554392656767817</v>
      </c>
      <c r="O6195" s="2">
        <f ca="1"/>
        <v>-5.9475706998988152E-2</v>
      </c>
      <c r="X6195" s="2">
        <f ca="1"/>
        <v>39.942355568158916</v>
      </c>
      <c r="AG6195" s="2">
        <f ca="1"/>
        <v>0.14058492927192545</v>
      </c>
      <c r="AH6195" s="2" t="str">
        <f ca="1"/>
        <v>OK</v>
      </c>
    </row>
    <row r="6196" spans="2:34" x14ac:dyDescent="0.2">
      <c r="B6196" s="2">
        <f ca="1"/>
        <v>0.7687066740058659</v>
      </c>
      <c r="O6196" s="2">
        <f ca="1"/>
        <v>-0.57179657692048669</v>
      </c>
      <c r="X6196" s="2">
        <f ca="1"/>
        <v>64.19938775621371</v>
      </c>
      <c r="AG6196" s="2">
        <f ca="1"/>
        <v>0.76022555478895448</v>
      </c>
      <c r="AH6196" s="2" t="str">
        <f ca="1"/>
        <v>Bad</v>
      </c>
    </row>
    <row r="6197" spans="2:34" x14ac:dyDescent="0.2">
      <c r="B6197" s="2">
        <f ca="1"/>
        <v>0.57075315708547403</v>
      </c>
      <c r="O6197" s="2">
        <f ca="1"/>
        <v>-0.57530167658802622</v>
      </c>
      <c r="X6197" s="2">
        <f ca="1"/>
        <v>54.867503223507413</v>
      </c>
      <c r="AG6197" s="2">
        <f ca="1"/>
        <v>0.56790282397241354</v>
      </c>
      <c r="AH6197" s="2" t="str">
        <f ca="1"/>
        <v>Bad</v>
      </c>
    </row>
    <row r="6198" spans="2:34" x14ac:dyDescent="0.2">
      <c r="B6198" s="2">
        <f ca="1"/>
        <v>6.0689118939886821E-2</v>
      </c>
      <c r="O6198" s="2">
        <f ca="1"/>
        <v>-1.11782290964703</v>
      </c>
      <c r="X6198" s="2">
        <f ca="1"/>
        <v>41.456872240666797</v>
      </c>
      <c r="AG6198" s="2">
        <f ca="1"/>
        <v>0.16671586731275201</v>
      </c>
      <c r="AH6198" s="2" t="str">
        <f ca="1"/>
        <v>OK</v>
      </c>
    </row>
    <row r="6199" spans="2:34" x14ac:dyDescent="0.2">
      <c r="B6199" s="2">
        <f ca="1"/>
        <v>0.54337208385865465</v>
      </c>
      <c r="O6199" s="2">
        <f ca="1"/>
        <v>0.92648137577995959</v>
      </c>
      <c r="X6199" s="2">
        <f ca="1"/>
        <v>55.841114572692028</v>
      </c>
      <c r="AG6199" s="2">
        <f ca="1"/>
        <v>0.84993090925537174</v>
      </c>
      <c r="AH6199" s="2" t="str">
        <f ca="1"/>
        <v>Bad</v>
      </c>
    </row>
    <row r="6200" spans="2:34" x14ac:dyDescent="0.2">
      <c r="B6200" s="2">
        <f ca="1"/>
        <v>0.77822143996660631</v>
      </c>
      <c r="O6200" s="2">
        <f ca="1"/>
        <v>0.17982899948574513</v>
      </c>
      <c r="X6200" s="2">
        <f ca="1"/>
        <v>33.059451747450268</v>
      </c>
      <c r="AG6200" s="2">
        <f ca="1"/>
        <v>3.7112859150465471E-2</v>
      </c>
      <c r="AH6200" s="2" t="str">
        <f ca="1"/>
        <v>Good</v>
      </c>
    </row>
    <row r="6201" spans="2:34" x14ac:dyDescent="0.2">
      <c r="B6201" s="2">
        <f ca="1"/>
        <v>0.88420314265864475</v>
      </c>
      <c r="O6201" s="2">
        <f ca="1"/>
        <v>0.2820534206153168</v>
      </c>
      <c r="X6201" s="2">
        <f ca="1"/>
        <v>44.133245724987511</v>
      </c>
      <c r="AG6201" s="2">
        <f ca="1"/>
        <v>0.29067227073235102</v>
      </c>
      <c r="AH6201" s="2" t="str">
        <f ca="1"/>
        <v>OK</v>
      </c>
    </row>
    <row r="6202" spans="2:34" x14ac:dyDescent="0.2">
      <c r="B6202" s="2">
        <f ca="1"/>
        <v>0.37687471793754157</v>
      </c>
      <c r="O6202" s="2">
        <f ca="1"/>
        <v>-0.43326105917367336</v>
      </c>
      <c r="X6202" s="2">
        <f ca="1"/>
        <v>31.875371192101937</v>
      </c>
      <c r="AG6202" s="2">
        <f ca="1"/>
        <v>0.84203130678056004</v>
      </c>
      <c r="AH6202" s="2" t="str">
        <f ca="1"/>
        <v>Bad</v>
      </c>
    </row>
    <row r="6203" spans="2:34" x14ac:dyDescent="0.2">
      <c r="B6203" s="2">
        <f ca="1"/>
        <v>0.50294247127975455</v>
      </c>
      <c r="O6203" s="2">
        <f ca="1"/>
        <v>-0.66152831122819955</v>
      </c>
      <c r="X6203" s="2">
        <f ca="1"/>
        <v>37.889715403567401</v>
      </c>
      <c r="AG6203" s="2">
        <f ca="1"/>
        <v>0.14213951643018996</v>
      </c>
      <c r="AH6203" s="2" t="str">
        <f ca="1"/>
        <v>OK</v>
      </c>
    </row>
    <row r="6204" spans="2:34" x14ac:dyDescent="0.2">
      <c r="B6204" s="2">
        <f ca="1"/>
        <v>6.4844579394812696E-2</v>
      </c>
      <c r="O6204" s="2">
        <f ca="1"/>
        <v>0.30445873411986774</v>
      </c>
      <c r="X6204" s="2">
        <f ca="1"/>
        <v>52.759361339837753</v>
      </c>
      <c r="AG6204" s="2">
        <f ca="1"/>
        <v>0.42546621147075281</v>
      </c>
      <c r="AH6204" s="2" t="str">
        <f ca="1"/>
        <v>Bad</v>
      </c>
    </row>
    <row r="6205" spans="2:34" x14ac:dyDescent="0.2">
      <c r="B6205" s="2">
        <f ca="1"/>
        <v>0.99665378740654353</v>
      </c>
      <c r="O6205" s="2">
        <f ca="1"/>
        <v>-3.882957814222595E-2</v>
      </c>
      <c r="X6205" s="2">
        <f ca="1"/>
        <v>54.79260318441662</v>
      </c>
      <c r="AG6205" s="2">
        <f ca="1"/>
        <v>0.25486593603815755</v>
      </c>
      <c r="AH6205" s="2" t="str">
        <f ca="1"/>
        <v>OK</v>
      </c>
    </row>
    <row r="6206" spans="2:34" x14ac:dyDescent="0.2">
      <c r="B6206" s="2">
        <f ca="1"/>
        <v>5.1165369587095277E-2</v>
      </c>
      <c r="O6206" s="2">
        <f ca="1"/>
        <v>-9.471875486150921E-3</v>
      </c>
      <c r="X6206" s="2">
        <f ca="1"/>
        <v>57.722717731790567</v>
      </c>
      <c r="AG6206" s="2">
        <f ca="1"/>
        <v>0.23095271246146343</v>
      </c>
      <c r="AH6206" s="2" t="str">
        <f ca="1"/>
        <v>OK</v>
      </c>
    </row>
    <row r="6207" spans="2:34" x14ac:dyDescent="0.2">
      <c r="B6207" s="2">
        <f ca="1"/>
        <v>0.81410424421630578</v>
      </c>
      <c r="O6207" s="2">
        <f ca="1"/>
        <v>-0.21994542407913897</v>
      </c>
      <c r="X6207" s="2">
        <f ca="1"/>
        <v>36.168258786828609</v>
      </c>
      <c r="AG6207" s="2">
        <f ca="1"/>
        <v>0.12699296823036388</v>
      </c>
      <c r="AH6207" s="2" t="str">
        <f ca="1"/>
        <v>OK</v>
      </c>
    </row>
    <row r="6208" spans="2:34" x14ac:dyDescent="0.2">
      <c r="B6208" s="2">
        <f ca="1"/>
        <v>0.15401547747169375</v>
      </c>
      <c r="O6208" s="2">
        <f ca="1"/>
        <v>1.0209506119465448</v>
      </c>
      <c r="X6208" s="2">
        <f ca="1"/>
        <v>60.596235938003566</v>
      </c>
      <c r="AG6208" s="2">
        <f ca="1"/>
        <v>2.8897393339573085E-3</v>
      </c>
      <c r="AH6208" s="2" t="str">
        <f ca="1"/>
        <v>Good</v>
      </c>
    </row>
    <row r="6209" spans="2:34" x14ac:dyDescent="0.2">
      <c r="B6209" s="2">
        <f ca="1"/>
        <v>0.52524758640959868</v>
      </c>
      <c r="O6209" s="2">
        <f ca="1"/>
        <v>0.33814277058207859</v>
      </c>
      <c r="X6209" s="2">
        <f ca="1"/>
        <v>52.691208850234375</v>
      </c>
      <c r="AG6209" s="2">
        <f ca="1"/>
        <v>0.51484141498068525</v>
      </c>
      <c r="AH6209" s="2" t="str">
        <f ca="1"/>
        <v>Bad</v>
      </c>
    </row>
    <row r="6210" spans="2:34" x14ac:dyDescent="0.2">
      <c r="B6210" s="2">
        <f ca="1"/>
        <v>0.46716708530586448</v>
      </c>
      <c r="O6210" s="2">
        <f ca="1"/>
        <v>1.3564644950125655</v>
      </c>
      <c r="X6210" s="2">
        <f ca="1"/>
        <v>23.771412899644343</v>
      </c>
      <c r="AG6210" s="2">
        <f ca="1"/>
        <v>0.34496212576029683</v>
      </c>
      <c r="AH6210" s="2" t="str">
        <f ca="1"/>
        <v>OK</v>
      </c>
    </row>
    <row r="6211" spans="2:34" x14ac:dyDescent="0.2">
      <c r="B6211" s="2">
        <f ca="1"/>
        <v>0.24004744653201371</v>
      </c>
      <c r="O6211" s="2">
        <f ca="1"/>
        <v>0.13793591749315415</v>
      </c>
      <c r="X6211" s="2">
        <f ca="1"/>
        <v>27.536827321728033</v>
      </c>
      <c r="AG6211" s="2">
        <f ca="1"/>
        <v>0.7535473870499616</v>
      </c>
      <c r="AH6211" s="2" t="str">
        <f ca="1"/>
        <v>Bad</v>
      </c>
    </row>
    <row r="6212" spans="2:34" x14ac:dyDescent="0.2">
      <c r="B6212" s="2">
        <f ca="1"/>
        <v>0.55455500245927714</v>
      </c>
      <c r="O6212" s="2">
        <f ca="1"/>
        <v>-0.99355010590684079</v>
      </c>
      <c r="X6212" s="2">
        <f ca="1"/>
        <v>43.989093749751227</v>
      </c>
      <c r="AG6212" s="2">
        <f ca="1"/>
        <v>0.25128683293528731</v>
      </c>
      <c r="AH6212" s="2" t="str">
        <f ca="1"/>
        <v>OK</v>
      </c>
    </row>
    <row r="6213" spans="2:34" x14ac:dyDescent="0.2">
      <c r="B6213" s="2">
        <f ca="1"/>
        <v>0.77877710378020271</v>
      </c>
      <c r="O6213" s="2">
        <f ca="1"/>
        <v>-0.67567616411881914</v>
      </c>
      <c r="X6213" s="2">
        <f ca="1"/>
        <v>24.23213963709118</v>
      </c>
      <c r="AG6213" s="2">
        <f ca="1"/>
        <v>0.493835458284553</v>
      </c>
      <c r="AH6213" s="2" t="str">
        <f ca="1"/>
        <v>Bad</v>
      </c>
    </row>
    <row r="6214" spans="2:34" x14ac:dyDescent="0.2">
      <c r="B6214" s="2">
        <f ca="1"/>
        <v>0.96824756573837578</v>
      </c>
      <c r="O6214" s="2">
        <f ca="1"/>
        <v>0.56572591202545519</v>
      </c>
      <c r="X6214" s="2">
        <f ca="1"/>
        <v>50.251063200802967</v>
      </c>
      <c r="AG6214" s="2">
        <f ca="1"/>
        <v>0.31061241400098716</v>
      </c>
      <c r="AH6214" s="2" t="str">
        <f ca="1"/>
        <v>OK</v>
      </c>
    </row>
    <row r="6215" spans="2:34" x14ac:dyDescent="0.2">
      <c r="B6215" s="2">
        <f ca="1"/>
        <v>0.55314471145612121</v>
      </c>
      <c r="O6215" s="2">
        <f ca="1"/>
        <v>-0.46763033834800793</v>
      </c>
      <c r="X6215" s="2">
        <f ca="1"/>
        <v>40.708074959076654</v>
      </c>
      <c r="AG6215" s="2">
        <f ca="1"/>
        <v>0.19092717082260369</v>
      </c>
      <c r="AH6215" s="2" t="str">
        <f ca="1"/>
        <v>OK</v>
      </c>
    </row>
    <row r="6216" spans="2:34" x14ac:dyDescent="0.2">
      <c r="B6216" s="2">
        <f ca="1"/>
        <v>0.36335082149373021</v>
      </c>
      <c r="O6216" s="2">
        <f ca="1"/>
        <v>0.39855383890691543</v>
      </c>
      <c r="X6216" s="2">
        <f ca="1"/>
        <v>50.664771628924505</v>
      </c>
      <c r="AG6216" s="2">
        <f ca="1"/>
        <v>3.1508971576173384E-2</v>
      </c>
      <c r="AH6216" s="2" t="str">
        <f ca="1"/>
        <v>Good</v>
      </c>
    </row>
    <row r="6217" spans="2:34" x14ac:dyDescent="0.2">
      <c r="B6217" s="2">
        <f ca="1"/>
        <v>4.4729734213918571E-2</v>
      </c>
      <c r="O6217" s="2">
        <f ca="1"/>
        <v>2.1587039437644644</v>
      </c>
      <c r="X6217" s="2">
        <f ca="1"/>
        <v>50.854083544229312</v>
      </c>
      <c r="AG6217" s="2">
        <f ca="1"/>
        <v>0.95832306516024368</v>
      </c>
      <c r="AH6217" s="2" t="str">
        <f ca="1"/>
        <v>Bad</v>
      </c>
    </row>
    <row r="6218" spans="2:34" x14ac:dyDescent="0.2">
      <c r="B6218" s="2">
        <f ca="1"/>
        <v>0.62790221938719948</v>
      </c>
      <c r="O6218" s="2">
        <f ca="1"/>
        <v>-0.73832612127121799</v>
      </c>
      <c r="X6218" s="2">
        <f ca="1"/>
        <v>40.267808207133804</v>
      </c>
      <c r="AG6218" s="2">
        <f ca="1"/>
        <v>0.34992357812104813</v>
      </c>
      <c r="AH6218" s="2" t="str">
        <f ca="1"/>
        <v>OK</v>
      </c>
    </row>
    <row r="6219" spans="2:34" x14ac:dyDescent="0.2">
      <c r="B6219" s="2">
        <f ca="1"/>
        <v>0.82000411890100899</v>
      </c>
      <c r="O6219" s="2">
        <f ca="1"/>
        <v>-0.15912269713488233</v>
      </c>
      <c r="X6219" s="2">
        <f ca="1"/>
        <v>52.040610615497975</v>
      </c>
      <c r="AG6219" s="2">
        <f ca="1"/>
        <v>0.74635055545616202</v>
      </c>
      <c r="AH6219" s="2" t="str">
        <f ca="1"/>
        <v>Bad</v>
      </c>
    </row>
    <row r="6220" spans="2:34" x14ac:dyDescent="0.2">
      <c r="B6220" s="2">
        <f ca="1"/>
        <v>0.76516354162162958</v>
      </c>
      <c r="O6220" s="2">
        <f ca="1"/>
        <v>1.3337945355326168</v>
      </c>
      <c r="X6220" s="2">
        <f ca="1"/>
        <v>35.736369570690627</v>
      </c>
      <c r="AG6220" s="2">
        <f ca="1"/>
        <v>0.27322896549808351</v>
      </c>
      <c r="AH6220" s="2" t="str">
        <f ca="1"/>
        <v>OK</v>
      </c>
    </row>
    <row r="6221" spans="2:34" x14ac:dyDescent="0.2">
      <c r="B6221" s="2">
        <f ca="1"/>
        <v>0.41481162608978717</v>
      </c>
      <c r="O6221" s="2">
        <f ca="1"/>
        <v>-0.8058704116461175</v>
      </c>
      <c r="X6221" s="2">
        <f ca="1"/>
        <v>41.256948488823369</v>
      </c>
      <c r="AG6221" s="2">
        <f ca="1"/>
        <v>0.18053052517990298</v>
      </c>
      <c r="AH6221" s="2" t="str">
        <f ca="1"/>
        <v>OK</v>
      </c>
    </row>
    <row r="6222" spans="2:34" x14ac:dyDescent="0.2">
      <c r="B6222" s="2">
        <f ca="1"/>
        <v>0.59872497455953289</v>
      </c>
      <c r="O6222" s="2">
        <f ca="1"/>
        <v>0.34211078655710431</v>
      </c>
      <c r="X6222" s="2">
        <f ca="1"/>
        <v>39.663884518459696</v>
      </c>
      <c r="AG6222" s="2">
        <f ca="1"/>
        <v>0.57038712830959293</v>
      </c>
      <c r="AH6222" s="2" t="str">
        <f ca="1"/>
        <v>Bad</v>
      </c>
    </row>
    <row r="6223" spans="2:34" x14ac:dyDescent="0.2">
      <c r="B6223" s="2">
        <f ca="1"/>
        <v>0.99377313699357361</v>
      </c>
      <c r="O6223" s="2">
        <f ca="1"/>
        <v>-1.8571412007931554</v>
      </c>
      <c r="X6223" s="2">
        <f ca="1"/>
        <v>66.813883887816729</v>
      </c>
      <c r="AG6223" s="2">
        <f ca="1"/>
        <v>0.77610794445394693</v>
      </c>
      <c r="AH6223" s="2" t="str">
        <f ca="1"/>
        <v>Bad</v>
      </c>
    </row>
    <row r="6224" spans="2:34" x14ac:dyDescent="0.2">
      <c r="B6224" s="2">
        <f ca="1"/>
        <v>0.30964423065932545</v>
      </c>
      <c r="O6224" s="2">
        <f ca="1"/>
        <v>-0.23423966148341327</v>
      </c>
      <c r="X6224" s="2">
        <f ca="1"/>
        <v>56.432072960231174</v>
      </c>
      <c r="AG6224" s="2">
        <f ca="1"/>
        <v>0.19047817858217764</v>
      </c>
      <c r="AH6224" s="2" t="str">
        <f ca="1"/>
        <v>OK</v>
      </c>
    </row>
    <row r="6225" spans="2:34" x14ac:dyDescent="0.2">
      <c r="B6225" s="2">
        <f ca="1"/>
        <v>0.26247681018760005</v>
      </c>
      <c r="O6225" s="2">
        <f ca="1"/>
        <v>1.9763491234235036</v>
      </c>
      <c r="X6225" s="2">
        <f ca="1"/>
        <v>51.80237833613468</v>
      </c>
      <c r="AG6225" s="2">
        <f ca="1"/>
        <v>0.56846974585560783</v>
      </c>
      <c r="AH6225" s="2" t="str">
        <f ca="1"/>
        <v>Bad</v>
      </c>
    </row>
    <row r="6226" spans="2:34" x14ac:dyDescent="0.2">
      <c r="B6226" s="2">
        <f ca="1"/>
        <v>0.70899927376338945</v>
      </c>
      <c r="O6226" s="2">
        <f ca="1"/>
        <v>-0.64291279314768435</v>
      </c>
      <c r="X6226" s="2">
        <f ca="1"/>
        <v>49.72338015775285</v>
      </c>
      <c r="AG6226" s="2">
        <f ca="1"/>
        <v>2.1841944098345722E-2</v>
      </c>
      <c r="AH6226" s="2" t="str">
        <f ca="1"/>
        <v>Good</v>
      </c>
    </row>
    <row r="6227" spans="2:34" x14ac:dyDescent="0.2">
      <c r="B6227" s="2">
        <f ca="1"/>
        <v>0.51799384922237501</v>
      </c>
      <c r="O6227" s="2">
        <f ca="1"/>
        <v>-1.1762701579532213</v>
      </c>
      <c r="X6227" s="2">
        <f ca="1"/>
        <v>53.665557311281461</v>
      </c>
      <c r="AG6227" s="2">
        <f ca="1"/>
        <v>0.65732821334646618</v>
      </c>
      <c r="AH6227" s="2" t="str">
        <f ca="1"/>
        <v>Bad</v>
      </c>
    </row>
    <row r="6228" spans="2:34" x14ac:dyDescent="0.2">
      <c r="B6228" s="2">
        <f ca="1"/>
        <v>0.49387852073047545</v>
      </c>
      <c r="O6228" s="2">
        <f ca="1"/>
        <v>-1.3451185979379441</v>
      </c>
      <c r="X6228" s="2">
        <f ca="1"/>
        <v>29.074591434664843</v>
      </c>
      <c r="AG6228" s="2">
        <f ca="1"/>
        <v>0.30419523460734577</v>
      </c>
      <c r="AH6228" s="2" t="str">
        <f ca="1"/>
        <v>OK</v>
      </c>
    </row>
    <row r="6229" spans="2:34" x14ac:dyDescent="0.2">
      <c r="B6229" s="2">
        <f ca="1"/>
        <v>0.41914398864324509</v>
      </c>
      <c r="O6229" s="2">
        <f ca="1"/>
        <v>-0.76294821021693027</v>
      </c>
      <c r="X6229" s="2">
        <f ca="1"/>
        <v>28.93039070207211</v>
      </c>
      <c r="AG6229" s="2">
        <f ca="1"/>
        <v>0.12312034388946924</v>
      </c>
      <c r="AH6229" s="2" t="str">
        <f ca="1"/>
        <v>OK</v>
      </c>
    </row>
    <row r="6230" spans="2:34" x14ac:dyDescent="0.2">
      <c r="B6230" s="2">
        <f ca="1"/>
        <v>0.98718748261025135</v>
      </c>
      <c r="O6230" s="2">
        <f ca="1"/>
        <v>-4.855871689749227E-2</v>
      </c>
      <c r="X6230" s="2">
        <f ca="1"/>
        <v>45.043586472842037</v>
      </c>
      <c r="AG6230" s="2">
        <f ca="1"/>
        <v>7.9876270054139331E-2</v>
      </c>
      <c r="AH6230" s="2" t="str">
        <f ca="1"/>
        <v>OK</v>
      </c>
    </row>
    <row r="6231" spans="2:34" x14ac:dyDescent="0.2">
      <c r="B6231" s="2">
        <f ca="1"/>
        <v>0.69526123744310486</v>
      </c>
      <c r="O6231" s="2">
        <f ca="1"/>
        <v>1.8346849278385553</v>
      </c>
      <c r="X6231" s="2">
        <f ca="1"/>
        <v>67.654362925986774</v>
      </c>
      <c r="AG6231" s="2">
        <f ca="1"/>
        <v>0.18674449516300062</v>
      </c>
      <c r="AH6231" s="2" t="str">
        <f ca="1"/>
        <v>OK</v>
      </c>
    </row>
    <row r="6232" spans="2:34" x14ac:dyDescent="0.2">
      <c r="B6232" s="2">
        <f ca="1"/>
        <v>0.14099079685341942</v>
      </c>
      <c r="O6232" s="2">
        <f ca="1"/>
        <v>0.25927521643577517</v>
      </c>
      <c r="X6232" s="2">
        <f ca="1"/>
        <v>51.599257981128162</v>
      </c>
      <c r="AG6232" s="2">
        <f ca="1"/>
        <v>0.62413488696496655</v>
      </c>
      <c r="AH6232" s="2" t="str">
        <f ca="1"/>
        <v>Bad</v>
      </c>
    </row>
    <row r="6233" spans="2:34" x14ac:dyDescent="0.2">
      <c r="B6233" s="2">
        <f ca="1"/>
        <v>0.77050510499894931</v>
      </c>
      <c r="O6233" s="2">
        <f ca="1"/>
        <v>0.98675981966501214</v>
      </c>
      <c r="X6233" s="2">
        <f ca="1"/>
        <v>45.140038264185435</v>
      </c>
      <c r="AG6233" s="2">
        <f ca="1"/>
        <v>0.18442403539560326</v>
      </c>
      <c r="AH6233" s="2" t="str">
        <f ca="1"/>
        <v>OK</v>
      </c>
    </row>
    <row r="6234" spans="2:34" x14ac:dyDescent="0.2">
      <c r="B6234" s="2">
        <f ca="1"/>
        <v>0.56381454972393774</v>
      </c>
      <c r="O6234" s="2">
        <f ca="1"/>
        <v>1.7756187086171555</v>
      </c>
      <c r="X6234" s="2">
        <f ca="1"/>
        <v>60.637949722197078</v>
      </c>
      <c r="AG6234" s="2">
        <f ca="1"/>
        <v>0.30785154291732053</v>
      </c>
      <c r="AH6234" s="2" t="str">
        <f ca="1"/>
        <v>OK</v>
      </c>
    </row>
    <row r="6235" spans="2:34" x14ac:dyDescent="0.2">
      <c r="B6235" s="2">
        <f ca="1"/>
        <v>0.85033501572172443</v>
      </c>
      <c r="O6235" s="2">
        <f ca="1"/>
        <v>-1.115658527208732</v>
      </c>
      <c r="X6235" s="2">
        <f ca="1"/>
        <v>104.51441007213202</v>
      </c>
      <c r="AG6235" s="2">
        <f ca="1"/>
        <v>0.66850310516825329</v>
      </c>
      <c r="AH6235" s="2" t="str">
        <f ca="1"/>
        <v>Bad</v>
      </c>
    </row>
    <row r="6236" spans="2:34" x14ac:dyDescent="0.2">
      <c r="B6236" s="2">
        <f ca="1"/>
        <v>0.53735019486556967</v>
      </c>
      <c r="O6236" s="2">
        <f ca="1"/>
        <v>0.91525098160300256</v>
      </c>
      <c r="X6236" s="2">
        <f ca="1"/>
        <v>58.872451220609101</v>
      </c>
      <c r="AG6236" s="2">
        <f ca="1"/>
        <v>3.5717070721706268E-2</v>
      </c>
      <c r="AH6236" s="2" t="str">
        <f ca="1"/>
        <v>Good</v>
      </c>
    </row>
    <row r="6237" spans="2:34" x14ac:dyDescent="0.2">
      <c r="B6237" s="2">
        <f ca="1"/>
        <v>0.84973948301026825</v>
      </c>
      <c r="O6237" s="2">
        <f ca="1"/>
        <v>0.14407422012810092</v>
      </c>
      <c r="X6237" s="2">
        <f ca="1"/>
        <v>43.830306085005986</v>
      </c>
      <c r="AG6237" s="2">
        <f ca="1"/>
        <v>0.76387671899279241</v>
      </c>
      <c r="AH6237" s="2" t="str">
        <f ca="1"/>
        <v>Bad</v>
      </c>
    </row>
    <row r="6238" spans="2:34" x14ac:dyDescent="0.2">
      <c r="B6238" s="2">
        <f ca="1"/>
        <v>0.49448471914050285</v>
      </c>
      <c r="O6238" s="2">
        <f ca="1"/>
        <v>0.72996569651867971</v>
      </c>
      <c r="X6238" s="2">
        <f ca="1"/>
        <v>54.029594187561123</v>
      </c>
      <c r="AG6238" s="2">
        <f ca="1"/>
        <v>0.20166137988713406</v>
      </c>
      <c r="AH6238" s="2" t="str">
        <f ca="1"/>
        <v>OK</v>
      </c>
    </row>
    <row r="6239" spans="2:34" x14ac:dyDescent="0.2">
      <c r="B6239" s="2">
        <f ca="1"/>
        <v>0.70912799208422483</v>
      </c>
      <c r="O6239" s="2">
        <f ca="1"/>
        <v>-0.22525006712082626</v>
      </c>
      <c r="X6239" s="2">
        <f ca="1"/>
        <v>69.770863233177039</v>
      </c>
      <c r="AG6239" s="2">
        <f ca="1"/>
        <v>8.5513857810652905E-2</v>
      </c>
      <c r="AH6239" s="2" t="str">
        <f ca="1"/>
        <v>OK</v>
      </c>
    </row>
    <row r="6240" spans="2:34" x14ac:dyDescent="0.2">
      <c r="B6240" s="2">
        <f ca="1"/>
        <v>0.8718942493509696</v>
      </c>
      <c r="O6240" s="2">
        <f ca="1"/>
        <v>2.2305594850566006</v>
      </c>
      <c r="X6240" s="2">
        <f ca="1"/>
        <v>63.797147880116576</v>
      </c>
      <c r="AG6240" s="2">
        <f ca="1"/>
        <v>0.85369374214774196</v>
      </c>
      <c r="AH6240" s="2" t="str">
        <f ca="1"/>
        <v>Bad</v>
      </c>
    </row>
    <row r="6241" spans="2:34" x14ac:dyDescent="0.2">
      <c r="B6241" s="2">
        <f ca="1"/>
        <v>0.24452536548247616</v>
      </c>
      <c r="O6241" s="2">
        <f ca="1"/>
        <v>0.6837292639443201</v>
      </c>
      <c r="X6241" s="2">
        <f ca="1"/>
        <v>45.263287695111543</v>
      </c>
      <c r="AG6241" s="2">
        <f ca="1"/>
        <v>0.48981435175496246</v>
      </c>
      <c r="AH6241" s="2" t="str">
        <f ca="1"/>
        <v>Bad</v>
      </c>
    </row>
    <row r="6242" spans="2:34" x14ac:dyDescent="0.2">
      <c r="B6242" s="2">
        <f ca="1"/>
        <v>0.63163242399010544</v>
      </c>
      <c r="O6242" s="2">
        <f ca="1"/>
        <v>-1.0289270701686992</v>
      </c>
      <c r="X6242" s="2">
        <f ca="1"/>
        <v>45.36080613699626</v>
      </c>
      <c r="AG6242" s="2">
        <f ca="1"/>
        <v>0.35529077243886187</v>
      </c>
      <c r="AH6242" s="2" t="str">
        <f ca="1"/>
        <v>OK</v>
      </c>
    </row>
    <row r="6243" spans="2:34" x14ac:dyDescent="0.2">
      <c r="B6243" s="2">
        <f ca="1"/>
        <v>0.89177527293806946</v>
      </c>
      <c r="O6243" s="2">
        <f ca="1"/>
        <v>0.93156837830265882</v>
      </c>
      <c r="X6243" s="2">
        <f ca="1"/>
        <v>57.6887309677535</v>
      </c>
      <c r="AG6243" s="2">
        <f ca="1"/>
        <v>0.62121188459795995</v>
      </c>
      <c r="AH6243" s="2" t="str">
        <f ca="1"/>
        <v>Bad</v>
      </c>
    </row>
    <row r="6244" spans="2:34" x14ac:dyDescent="0.2">
      <c r="B6244" s="2">
        <f ca="1"/>
        <v>0.74257323395222441</v>
      </c>
      <c r="O6244" s="2">
        <f ca="1"/>
        <v>-1.0921574920417365</v>
      </c>
      <c r="X6244" s="2">
        <f ca="1"/>
        <v>41.520502672123271</v>
      </c>
      <c r="AG6244" s="2">
        <f ca="1"/>
        <v>0.97012525830399832</v>
      </c>
      <c r="AH6244" s="2" t="str">
        <f ca="1"/>
        <v>Bad</v>
      </c>
    </row>
    <row r="6245" spans="2:34" x14ac:dyDescent="0.2">
      <c r="B6245" s="2">
        <f ca="1"/>
        <v>0.33991691490584919</v>
      </c>
      <c r="O6245" s="2">
        <f ca="1"/>
        <v>4.9542990260100547E-2</v>
      </c>
      <c r="X6245" s="2">
        <f ca="1"/>
        <v>48.139832295693779</v>
      </c>
      <c r="AG6245" s="2">
        <f ca="1"/>
        <v>0.58144275394139933</v>
      </c>
      <c r="AH6245" s="2" t="str">
        <f ca="1"/>
        <v>Bad</v>
      </c>
    </row>
    <row r="6246" spans="2:34" x14ac:dyDescent="0.2">
      <c r="B6246" s="2">
        <f ca="1"/>
        <v>0.94672207576578016</v>
      </c>
      <c r="O6246" s="2">
        <f ca="1"/>
        <v>0.30818972238559478</v>
      </c>
      <c r="X6246" s="2">
        <f ca="1"/>
        <v>89.703680247002893</v>
      </c>
      <c r="AG6246" s="2">
        <f ca="1"/>
        <v>0.79149652445558316</v>
      </c>
      <c r="AH6246" s="2" t="str">
        <f ca="1"/>
        <v>Bad</v>
      </c>
    </row>
    <row r="6247" spans="2:34" x14ac:dyDescent="0.2">
      <c r="B6247" s="2">
        <f ca="1"/>
        <v>0.69688348526183397</v>
      </c>
      <c r="O6247" s="2">
        <f ca="1"/>
        <v>-0.81492596120473026</v>
      </c>
      <c r="X6247" s="2">
        <f ca="1"/>
        <v>43.810132534093896</v>
      </c>
      <c r="AG6247" s="2">
        <f ca="1"/>
        <v>4.9357191812835266E-2</v>
      </c>
      <c r="AH6247" s="2" t="str">
        <f ca="1"/>
        <v>Good</v>
      </c>
    </row>
    <row r="6248" spans="2:34" x14ac:dyDescent="0.2">
      <c r="B6248" s="2">
        <f ca="1"/>
        <v>0.60153459778162355</v>
      </c>
      <c r="O6248" s="2">
        <f ca="1"/>
        <v>0.14353569085609511</v>
      </c>
      <c r="X6248" s="2">
        <f ca="1"/>
        <v>41.023444504274778</v>
      </c>
      <c r="AG6248" s="2">
        <f ca="1"/>
        <v>0.39164111322958339</v>
      </c>
      <c r="AH6248" s="2" t="str">
        <f ca="1"/>
        <v>OK</v>
      </c>
    </row>
    <row r="6249" spans="2:34" x14ac:dyDescent="0.2">
      <c r="B6249" s="2">
        <f ca="1"/>
        <v>0.85352170821191775</v>
      </c>
      <c r="O6249" s="2">
        <f ca="1"/>
        <v>-1.0570200021378569</v>
      </c>
      <c r="X6249" s="2">
        <f ca="1"/>
        <v>36.662864674197735</v>
      </c>
      <c r="AG6249" s="2">
        <f ca="1"/>
        <v>0.25026161454555251</v>
      </c>
      <c r="AH6249" s="2" t="str">
        <f ca="1"/>
        <v>OK</v>
      </c>
    </row>
    <row r="6250" spans="2:34" x14ac:dyDescent="0.2">
      <c r="B6250" s="2">
        <f ca="1"/>
        <v>0.58762632539896553</v>
      </c>
      <c r="O6250" s="2">
        <f ca="1"/>
        <v>-1.3297087856113805</v>
      </c>
      <c r="X6250" s="2">
        <f ca="1"/>
        <v>39.576775017682003</v>
      </c>
      <c r="AG6250" s="2">
        <f ca="1"/>
        <v>0.38096823526169632</v>
      </c>
      <c r="AH6250" s="2" t="str">
        <f ca="1"/>
        <v>OK</v>
      </c>
    </row>
    <row r="6251" spans="2:34" x14ac:dyDescent="0.2">
      <c r="B6251" s="2">
        <f ca="1"/>
        <v>0.83575151213479293</v>
      </c>
      <c r="O6251" s="2">
        <f ca="1"/>
        <v>-0.53063656032238882</v>
      </c>
      <c r="X6251" s="2">
        <f ca="1"/>
        <v>71.334168201597066</v>
      </c>
      <c r="AG6251" s="2">
        <f ca="1"/>
        <v>0.47696386087588483</v>
      </c>
      <c r="AH6251" s="2" t="str">
        <f ca="1"/>
        <v>Bad</v>
      </c>
    </row>
    <row r="6252" spans="2:34" x14ac:dyDescent="0.2">
      <c r="B6252" s="2">
        <f ca="1"/>
        <v>4.5609435457347081E-2</v>
      </c>
      <c r="O6252" s="2">
        <f ca="1"/>
        <v>-0.69598076452848634</v>
      </c>
      <c r="X6252" s="2">
        <f ca="1"/>
        <v>54.536798312248678</v>
      </c>
      <c r="AG6252" s="2">
        <f ca="1"/>
        <v>0.55622768720967786</v>
      </c>
      <c r="AH6252" s="2" t="str">
        <f ca="1"/>
        <v>Bad</v>
      </c>
    </row>
    <row r="6253" spans="2:34" x14ac:dyDescent="0.2">
      <c r="B6253" s="2">
        <f ca="1"/>
        <v>0.52524074899032525</v>
      </c>
      <c r="O6253" s="2">
        <f ca="1"/>
        <v>0.55519327523461992</v>
      </c>
      <c r="X6253" s="2">
        <f ca="1"/>
        <v>38.555478554708344</v>
      </c>
      <c r="AG6253" s="2">
        <f ca="1"/>
        <v>0.86642485425155402</v>
      </c>
      <c r="AH6253" s="2" t="str">
        <f ca="1"/>
        <v>Bad</v>
      </c>
    </row>
    <row r="6254" spans="2:34" x14ac:dyDescent="0.2">
      <c r="B6254" s="2">
        <f ca="1"/>
        <v>0.29816610197834659</v>
      </c>
      <c r="O6254" s="2">
        <f ca="1"/>
        <v>2.6017878966806753</v>
      </c>
      <c r="X6254" s="2">
        <f ca="1"/>
        <v>70.145977396493024</v>
      </c>
      <c r="AG6254" s="2">
        <f ca="1"/>
        <v>0.37204658424272075</v>
      </c>
      <c r="AH6254" s="2" t="str">
        <f ca="1"/>
        <v>OK</v>
      </c>
    </row>
    <row r="6255" spans="2:34" x14ac:dyDescent="0.2">
      <c r="B6255" s="2">
        <f ca="1"/>
        <v>0.29395645932010628</v>
      </c>
      <c r="O6255" s="2">
        <f ca="1"/>
        <v>0.70290739285751602</v>
      </c>
      <c r="X6255" s="2">
        <f ca="1"/>
        <v>82.552097977937976</v>
      </c>
      <c r="AG6255" s="2">
        <f ca="1"/>
        <v>0.79780446594744125</v>
      </c>
      <c r="AH6255" s="2" t="str">
        <f ca="1"/>
        <v>Bad</v>
      </c>
    </row>
    <row r="6256" spans="2:34" x14ac:dyDescent="0.2">
      <c r="B6256" s="2">
        <f ca="1"/>
        <v>0.62730287220556402</v>
      </c>
      <c r="O6256" s="2">
        <f ca="1"/>
        <v>0.18492074678050263</v>
      </c>
      <c r="X6256" s="2">
        <f ca="1"/>
        <v>42.975396588251442</v>
      </c>
      <c r="AG6256" s="2">
        <f ca="1"/>
        <v>0.15575032824448076</v>
      </c>
      <c r="AH6256" s="2" t="str">
        <f ca="1"/>
        <v>OK</v>
      </c>
    </row>
    <row r="6257" spans="2:34" x14ac:dyDescent="0.2">
      <c r="B6257" s="2">
        <f ca="1"/>
        <v>0.23668777119570183</v>
      </c>
      <c r="O6257" s="2">
        <f ca="1"/>
        <v>1.2713229995679531</v>
      </c>
      <c r="X6257" s="2">
        <f ca="1"/>
        <v>38.179936199516355</v>
      </c>
      <c r="AG6257" s="2">
        <f ca="1"/>
        <v>6.3293674487730156E-2</v>
      </c>
      <c r="AH6257" s="2" t="str">
        <f ca="1"/>
        <v>OK</v>
      </c>
    </row>
    <row r="6258" spans="2:34" x14ac:dyDescent="0.2">
      <c r="B6258" s="2">
        <f ca="1"/>
        <v>0.71996224850967194</v>
      </c>
      <c r="O6258" s="2">
        <f ca="1"/>
        <v>0.15308226114472406</v>
      </c>
      <c r="X6258" s="2">
        <f ca="1"/>
        <v>46.759894329388487</v>
      </c>
      <c r="AG6258" s="2">
        <f ca="1"/>
        <v>0.46931217775674616</v>
      </c>
      <c r="AH6258" s="2" t="str">
        <f ca="1"/>
        <v>Bad</v>
      </c>
    </row>
    <row r="6259" spans="2:34" x14ac:dyDescent="0.2">
      <c r="B6259" s="2">
        <f ca="1"/>
        <v>0.50577564422714993</v>
      </c>
      <c r="O6259" s="2">
        <f ca="1"/>
        <v>1.0179314015930883</v>
      </c>
      <c r="X6259" s="2">
        <f ca="1"/>
        <v>35.345221203291246</v>
      </c>
      <c r="AG6259" s="2">
        <f ca="1"/>
        <v>0.23455430828380663</v>
      </c>
      <c r="AH6259" s="2" t="str">
        <f ca="1"/>
        <v>OK</v>
      </c>
    </row>
    <row r="6260" spans="2:34" x14ac:dyDescent="0.2">
      <c r="B6260" s="2">
        <f ca="1"/>
        <v>0.77263742598459406</v>
      </c>
      <c r="O6260" s="2">
        <f ca="1"/>
        <v>-0.60345235567893851</v>
      </c>
      <c r="X6260" s="2">
        <f ca="1"/>
        <v>62.111280456343053</v>
      </c>
      <c r="AG6260" s="2">
        <f ca="1"/>
        <v>0.73893882396879529</v>
      </c>
      <c r="AH6260" s="2" t="str">
        <f ca="1"/>
        <v>Bad</v>
      </c>
    </row>
    <row r="6261" spans="2:34" x14ac:dyDescent="0.2">
      <c r="B6261" s="2">
        <f ca="1"/>
        <v>0.24585497218036823</v>
      </c>
      <c r="O6261" s="2">
        <f ca="1"/>
        <v>2.2396421937129301</v>
      </c>
      <c r="X6261" s="2">
        <f ca="1"/>
        <v>42.950622433772011</v>
      </c>
      <c r="AG6261" s="2">
        <f ca="1"/>
        <v>0.63743154157712478</v>
      </c>
      <c r="AH6261" s="2" t="str">
        <f ca="1"/>
        <v>Bad</v>
      </c>
    </row>
    <row r="6262" spans="2:34" x14ac:dyDescent="0.2">
      <c r="B6262" s="2">
        <f ca="1"/>
        <v>0.5011927742041804</v>
      </c>
      <c r="O6262" s="2">
        <f ca="1"/>
        <v>-0.31130897664873958</v>
      </c>
      <c r="X6262" s="2">
        <f ca="1"/>
        <v>64.692425400106288</v>
      </c>
      <c r="AG6262" s="2">
        <f ca="1"/>
        <v>0.37727858644743684</v>
      </c>
      <c r="AH6262" s="2" t="str">
        <f ca="1"/>
        <v>OK</v>
      </c>
    </row>
    <row r="6263" spans="2:34" x14ac:dyDescent="0.2">
      <c r="B6263" s="2">
        <f ca="1"/>
        <v>0.40791499273284537</v>
      </c>
      <c r="O6263" s="2">
        <f ca="1"/>
        <v>0.35702502887116461</v>
      </c>
      <c r="X6263" s="2">
        <f ca="1"/>
        <v>49.891848157970614</v>
      </c>
      <c r="AG6263" s="2">
        <f ca="1"/>
        <v>0.48687538087045001</v>
      </c>
      <c r="AH6263" s="2" t="str">
        <f ca="1"/>
        <v>Bad</v>
      </c>
    </row>
    <row r="6264" spans="2:34" x14ac:dyDescent="0.2">
      <c r="B6264" s="2">
        <f ca="1"/>
        <v>0.98915336046621927</v>
      </c>
      <c r="O6264" s="2">
        <f ca="1"/>
        <v>-1.9863916981913825</v>
      </c>
      <c r="X6264" s="2">
        <f ca="1"/>
        <v>47.181702108848746</v>
      </c>
      <c r="AG6264" s="2">
        <f ca="1"/>
        <v>0.49655554422450199</v>
      </c>
      <c r="AH6264" s="2" t="str">
        <f ca="1"/>
        <v>Bad</v>
      </c>
    </row>
    <row r="6265" spans="2:34" x14ac:dyDescent="0.2">
      <c r="B6265" s="2">
        <f ca="1"/>
        <v>0.6928596375951801</v>
      </c>
      <c r="O6265" s="2">
        <f ca="1"/>
        <v>2.1749207615720376</v>
      </c>
      <c r="X6265" s="2">
        <f ca="1"/>
        <v>62.310695538724019</v>
      </c>
      <c r="AG6265" s="2">
        <f ca="1"/>
        <v>0.89635806521370509</v>
      </c>
      <c r="AH6265" s="2" t="str">
        <f ca="1"/>
        <v>Bad</v>
      </c>
    </row>
    <row r="6266" spans="2:34" x14ac:dyDescent="0.2">
      <c r="B6266" s="2">
        <f ca="1"/>
        <v>0.79994417243012794</v>
      </c>
      <c r="O6266" s="2">
        <f ca="1"/>
        <v>1.323375374506826</v>
      </c>
      <c r="X6266" s="2">
        <f ca="1"/>
        <v>36.67880672350568</v>
      </c>
      <c r="AG6266" s="2">
        <f ca="1"/>
        <v>0.73462788075672014</v>
      </c>
      <c r="AH6266" s="2" t="str">
        <f ca="1"/>
        <v>Bad</v>
      </c>
    </row>
    <row r="6267" spans="2:34" x14ac:dyDescent="0.2">
      <c r="B6267" s="2">
        <f ca="1"/>
        <v>0.92948919031280886</v>
      </c>
      <c r="O6267" s="2">
        <f ca="1"/>
        <v>0.37801815238857928</v>
      </c>
      <c r="X6267" s="2">
        <f ca="1"/>
        <v>50.288120967468288</v>
      </c>
      <c r="AG6267" s="2">
        <f ca="1"/>
        <v>0.40267426511393634</v>
      </c>
      <c r="AH6267" s="2" t="str">
        <f ca="1"/>
        <v>Bad</v>
      </c>
    </row>
    <row r="6268" spans="2:34" x14ac:dyDescent="0.2">
      <c r="B6268" s="2">
        <f ca="1"/>
        <v>0.27705880200729216</v>
      </c>
      <c r="O6268" s="2">
        <f ca="1"/>
        <v>0.14254132627917046</v>
      </c>
      <c r="X6268" s="2">
        <f ca="1"/>
        <v>65.588458536281379</v>
      </c>
      <c r="AG6268" s="2">
        <f ca="1"/>
        <v>9.9428604943694987E-2</v>
      </c>
      <c r="AH6268" s="2" t="str">
        <f ca="1"/>
        <v>OK</v>
      </c>
    </row>
    <row r="6269" spans="2:34" x14ac:dyDescent="0.2">
      <c r="B6269" s="2">
        <f ca="1"/>
        <v>3.5564187326551533E-2</v>
      </c>
      <c r="O6269" s="2">
        <f ca="1"/>
        <v>0.66245927563846496</v>
      </c>
      <c r="X6269" s="2">
        <f ca="1"/>
        <v>51.020835860886791</v>
      </c>
      <c r="AG6269" s="2">
        <f ca="1"/>
        <v>0.86364478615421025</v>
      </c>
      <c r="AH6269" s="2" t="str">
        <f ca="1"/>
        <v>Bad</v>
      </c>
    </row>
    <row r="6270" spans="2:34" x14ac:dyDescent="0.2">
      <c r="B6270" s="2">
        <f ca="1"/>
        <v>0.61858200965440124</v>
      </c>
      <c r="O6270" s="2">
        <f ca="1"/>
        <v>0.44388011811496897</v>
      </c>
      <c r="X6270" s="2">
        <f ca="1"/>
        <v>61.013910507870222</v>
      </c>
      <c r="AG6270" s="2">
        <f ca="1"/>
        <v>0.84541977669474466</v>
      </c>
      <c r="AH6270" s="2" t="str">
        <f ca="1"/>
        <v>Bad</v>
      </c>
    </row>
    <row r="6271" spans="2:34" x14ac:dyDescent="0.2">
      <c r="B6271" s="2">
        <f ca="1"/>
        <v>0.24746108200647043</v>
      </c>
      <c r="O6271" s="2">
        <f ca="1"/>
        <v>0.18473689650681452</v>
      </c>
      <c r="X6271" s="2">
        <f ca="1"/>
        <v>76.866393032560595</v>
      </c>
      <c r="AG6271" s="2">
        <f ca="1"/>
        <v>0.70548557292573988</v>
      </c>
      <c r="AH6271" s="2" t="str">
        <f ca="1"/>
        <v>Bad</v>
      </c>
    </row>
    <row r="6272" spans="2:34" x14ac:dyDescent="0.2">
      <c r="B6272" s="2">
        <f ca="1"/>
        <v>0.20694325440153483</v>
      </c>
      <c r="O6272" s="2">
        <f ca="1"/>
        <v>0.43034561361577212</v>
      </c>
      <c r="X6272" s="2">
        <f ca="1"/>
        <v>68.539155223119465</v>
      </c>
      <c r="AG6272" s="2">
        <f ca="1"/>
        <v>0.23271617103294151</v>
      </c>
      <c r="AH6272" s="2" t="str">
        <f ca="1"/>
        <v>OK</v>
      </c>
    </row>
    <row r="6273" spans="2:34" x14ac:dyDescent="0.2">
      <c r="B6273" s="2">
        <f ca="1"/>
        <v>0.71661667515950289</v>
      </c>
      <c r="O6273" s="2">
        <f ca="1"/>
        <v>-0.50003580579312046</v>
      </c>
      <c r="X6273" s="2">
        <f ca="1"/>
        <v>32.443552927770789</v>
      </c>
      <c r="AG6273" s="2">
        <f ca="1"/>
        <v>0.55891452737306069</v>
      </c>
      <c r="AH6273" s="2" t="str">
        <f ca="1"/>
        <v>Bad</v>
      </c>
    </row>
    <row r="6274" spans="2:34" x14ac:dyDescent="0.2">
      <c r="B6274" s="2">
        <f ca="1"/>
        <v>0.61437540855058237</v>
      </c>
      <c r="O6274" s="2">
        <f ca="1"/>
        <v>-1.4954296240069378</v>
      </c>
      <c r="X6274" s="2">
        <f ca="1"/>
        <v>18.010084714356243</v>
      </c>
      <c r="AG6274" s="2">
        <f ca="1"/>
        <v>0.76980689660524826</v>
      </c>
      <c r="AH6274" s="2" t="str">
        <f ca="1"/>
        <v>Bad</v>
      </c>
    </row>
    <row r="6275" spans="2:34" x14ac:dyDescent="0.2">
      <c r="B6275" s="2">
        <f ca="1"/>
        <v>0.68103247203688699</v>
      </c>
      <c r="O6275" s="2">
        <f ca="1"/>
        <v>-0.96744021393520341</v>
      </c>
      <c r="X6275" s="2">
        <f ca="1"/>
        <v>39.201870210188979</v>
      </c>
      <c r="AG6275" s="2">
        <f ca="1"/>
        <v>0.59809243039738336</v>
      </c>
      <c r="AH6275" s="2" t="str">
        <f ca="1"/>
        <v>Bad</v>
      </c>
    </row>
    <row r="6276" spans="2:34" x14ac:dyDescent="0.2">
      <c r="B6276" s="2">
        <f ca="1"/>
        <v>0.52517833287181759</v>
      </c>
      <c r="O6276" s="2">
        <f ca="1"/>
        <v>-0.48141712160797262</v>
      </c>
      <c r="X6276" s="2">
        <f ca="1"/>
        <v>28.541054147247067</v>
      </c>
      <c r="AG6276" s="2">
        <f ca="1"/>
        <v>0.59232421664575075</v>
      </c>
      <c r="AH6276" s="2" t="str">
        <f ca="1"/>
        <v>Bad</v>
      </c>
    </row>
    <row r="6277" spans="2:34" x14ac:dyDescent="0.2">
      <c r="B6277" s="2">
        <f ca="1"/>
        <v>0.33075647309739331</v>
      </c>
      <c r="O6277" s="2">
        <f ca="1"/>
        <v>0.8081196753492802</v>
      </c>
      <c r="X6277" s="2">
        <f ca="1"/>
        <v>28.266515622587853</v>
      </c>
      <c r="AG6277" s="2">
        <f ca="1"/>
        <v>0.98059099481183121</v>
      </c>
      <c r="AH6277" s="2" t="str">
        <f ca="1"/>
        <v>Bad</v>
      </c>
    </row>
    <row r="6278" spans="2:34" x14ac:dyDescent="0.2">
      <c r="B6278" s="2">
        <f ca="1"/>
        <v>0.74647754212045081</v>
      </c>
      <c r="O6278" s="2">
        <f ca="1"/>
        <v>0.12643176521527608</v>
      </c>
      <c r="X6278" s="2">
        <f ca="1"/>
        <v>47.406316039430379</v>
      </c>
      <c r="AG6278" s="2">
        <f ca="1"/>
        <v>0.38646830295148016</v>
      </c>
      <c r="AH6278" s="2" t="str">
        <f ca="1"/>
        <v>OK</v>
      </c>
    </row>
    <row r="6279" spans="2:34" x14ac:dyDescent="0.2">
      <c r="B6279" s="2">
        <f ca="1"/>
        <v>0.6621449422472796</v>
      </c>
      <c r="O6279" s="2">
        <f ca="1"/>
        <v>0.72521602116445327</v>
      </c>
      <c r="X6279" s="2">
        <f ca="1"/>
        <v>54.596009872120916</v>
      </c>
      <c r="AG6279" s="2">
        <f ca="1"/>
        <v>0.92812622654309718</v>
      </c>
      <c r="AH6279" s="2" t="str">
        <f ca="1"/>
        <v>Bad</v>
      </c>
    </row>
    <row r="6280" spans="2:34" x14ac:dyDescent="0.2">
      <c r="B6280" s="2">
        <f ca="1"/>
        <v>0.89778229621576044</v>
      </c>
      <c r="O6280" s="2">
        <f ca="1"/>
        <v>0.85645179340213018</v>
      </c>
      <c r="X6280" s="2">
        <f ca="1"/>
        <v>46.435949005939676</v>
      </c>
      <c r="AG6280" s="2">
        <f ca="1"/>
        <v>0.10019442804009882</v>
      </c>
      <c r="AH6280" s="2" t="str">
        <f ca="1"/>
        <v>OK</v>
      </c>
    </row>
    <row r="6281" spans="2:34" x14ac:dyDescent="0.2">
      <c r="B6281" s="2">
        <f ca="1"/>
        <v>0.72374058159171084</v>
      </c>
      <c r="O6281" s="2">
        <f ca="1"/>
        <v>3.3752506359053899E-2</v>
      </c>
      <c r="X6281" s="2">
        <f ca="1"/>
        <v>30.224868067670762</v>
      </c>
      <c r="AG6281" s="2">
        <f ca="1"/>
        <v>0.95601304737666082</v>
      </c>
      <c r="AH6281" s="2" t="str">
        <f ca="1"/>
        <v>Bad</v>
      </c>
    </row>
    <row r="6282" spans="2:34" x14ac:dyDescent="0.2">
      <c r="B6282" s="2">
        <f ca="1"/>
        <v>7.14428853304796E-2</v>
      </c>
      <c r="O6282" s="2">
        <f ca="1"/>
        <v>0.10846464164997148</v>
      </c>
      <c r="X6282" s="2">
        <f ca="1"/>
        <v>60.8136236058034</v>
      </c>
      <c r="AG6282" s="2">
        <f ca="1"/>
        <v>0.7606629321053231</v>
      </c>
      <c r="AH6282" s="2" t="str">
        <f ca="1"/>
        <v>Bad</v>
      </c>
    </row>
    <row r="6283" spans="2:34" x14ac:dyDescent="0.2">
      <c r="B6283" s="2">
        <f ca="1"/>
        <v>0.32395890933629512</v>
      </c>
      <c r="O6283" s="2">
        <f ca="1"/>
        <v>-0.23333179792804026</v>
      </c>
      <c r="X6283" s="2">
        <f ca="1"/>
        <v>44.524820778529389</v>
      </c>
      <c r="AG6283" s="2">
        <f ca="1"/>
        <v>0.57708605105509947</v>
      </c>
      <c r="AH6283" s="2" t="str">
        <f ca="1"/>
        <v>Bad</v>
      </c>
    </row>
    <row r="6284" spans="2:34" x14ac:dyDescent="0.2">
      <c r="B6284" s="2">
        <f ca="1"/>
        <v>0.43198231756247996</v>
      </c>
      <c r="O6284" s="2">
        <f ca="1"/>
        <v>-0.14361772369837067</v>
      </c>
      <c r="X6284" s="2">
        <f ca="1"/>
        <v>55.542860590240537</v>
      </c>
      <c r="AG6284" s="2">
        <f ca="1"/>
        <v>0.62262316264028272</v>
      </c>
      <c r="AH6284" s="2" t="str">
        <f ca="1"/>
        <v>Bad</v>
      </c>
    </row>
    <row r="6285" spans="2:34" x14ac:dyDescent="0.2">
      <c r="B6285" s="2">
        <f ca="1"/>
        <v>8.3792449718457229E-2</v>
      </c>
      <c r="O6285" s="2">
        <f ca="1"/>
        <v>1.3750243955200012</v>
      </c>
      <c r="X6285" s="2">
        <f ca="1"/>
        <v>44.642658430976958</v>
      </c>
      <c r="AG6285" s="2">
        <f ca="1"/>
        <v>0.36801330056597981</v>
      </c>
      <c r="AH6285" s="2" t="str">
        <f ca="1"/>
        <v>OK</v>
      </c>
    </row>
    <row r="6286" spans="2:34" x14ac:dyDescent="0.2">
      <c r="B6286" s="2">
        <f ca="1"/>
        <v>0.3891720319143499</v>
      </c>
      <c r="O6286" s="2">
        <f ca="1"/>
        <v>-1.9213169896142959</v>
      </c>
      <c r="X6286" s="2">
        <f ca="1"/>
        <v>44.114190113030304</v>
      </c>
      <c r="AG6286" s="2">
        <f ca="1"/>
        <v>0.2955224306547668</v>
      </c>
      <c r="AH6286" s="2" t="str">
        <f ca="1"/>
        <v>OK</v>
      </c>
    </row>
    <row r="6287" spans="2:34" x14ac:dyDescent="0.2">
      <c r="B6287" s="2">
        <f ca="1"/>
        <v>0.45532449178772749</v>
      </c>
      <c r="O6287" s="2">
        <f ca="1"/>
        <v>-0.79202584902882944</v>
      </c>
      <c r="X6287" s="2">
        <f ca="1"/>
        <v>62.315231520316907</v>
      </c>
      <c r="AG6287" s="2">
        <f ca="1"/>
        <v>0.67127682412629763</v>
      </c>
      <c r="AH6287" s="2" t="str">
        <f ca="1"/>
        <v>Bad</v>
      </c>
    </row>
    <row r="6288" spans="2:34" x14ac:dyDescent="0.2">
      <c r="B6288" s="2">
        <f ca="1"/>
        <v>0.56472462571956705</v>
      </c>
      <c r="O6288" s="2">
        <f ca="1"/>
        <v>-0.4914335363490534</v>
      </c>
      <c r="X6288" s="2">
        <f ca="1"/>
        <v>29.283035520562137</v>
      </c>
      <c r="AG6288" s="2">
        <f ca="1"/>
        <v>0.39817567062894543</v>
      </c>
      <c r="AH6288" s="2" t="str">
        <f ca="1"/>
        <v>OK</v>
      </c>
    </row>
    <row r="6289" spans="2:34" x14ac:dyDescent="0.2">
      <c r="B6289" s="2">
        <f ca="1"/>
        <v>0.27768114472527516</v>
      </c>
      <c r="O6289" s="2">
        <f ca="1"/>
        <v>0.61037718885458714</v>
      </c>
      <c r="X6289" s="2">
        <f ca="1"/>
        <v>62.852013955919944</v>
      </c>
      <c r="AG6289" s="2">
        <f ca="1"/>
        <v>0.11056305994626792</v>
      </c>
      <c r="AH6289" s="2" t="str">
        <f ca="1"/>
        <v>OK</v>
      </c>
    </row>
    <row r="6290" spans="2:34" x14ac:dyDescent="0.2">
      <c r="B6290" s="2">
        <f ca="1"/>
        <v>0.99025968920047669</v>
      </c>
      <c r="O6290" s="2">
        <f ca="1"/>
        <v>1.0143123052694958</v>
      </c>
      <c r="X6290" s="2">
        <f ca="1"/>
        <v>88.683655170974376</v>
      </c>
      <c r="AG6290" s="2">
        <f ca="1"/>
        <v>0.3969855344901807</v>
      </c>
      <c r="AH6290" s="2" t="str">
        <f ca="1"/>
        <v>OK</v>
      </c>
    </row>
    <row r="6291" spans="2:34" x14ac:dyDescent="0.2">
      <c r="B6291" s="2">
        <f ca="1"/>
        <v>0.81583574274853876</v>
      </c>
      <c r="O6291" s="2">
        <f ca="1"/>
        <v>-0.48756638783083422</v>
      </c>
      <c r="X6291" s="2">
        <f ca="1"/>
        <v>34.540166886530805</v>
      </c>
      <c r="AG6291" s="2">
        <f ca="1"/>
        <v>0.19730341569498977</v>
      </c>
      <c r="AH6291" s="2" t="str">
        <f ca="1"/>
        <v>OK</v>
      </c>
    </row>
    <row r="6292" spans="2:34" x14ac:dyDescent="0.2">
      <c r="B6292" s="2">
        <f ca="1"/>
        <v>0.15254557954965686</v>
      </c>
      <c r="O6292" s="2">
        <f ca="1"/>
        <v>-0.3479402632069738</v>
      </c>
      <c r="X6292" s="2">
        <f ca="1"/>
        <v>71.854255002294451</v>
      </c>
      <c r="AG6292" s="2">
        <f ca="1"/>
        <v>0.19387697482415867</v>
      </c>
      <c r="AH6292" s="2" t="str">
        <f ca="1"/>
        <v>OK</v>
      </c>
    </row>
    <row r="6293" spans="2:34" x14ac:dyDescent="0.2">
      <c r="B6293" s="2">
        <f ca="1"/>
        <v>4.5983000531867546E-2</v>
      </c>
      <c r="O6293" s="2">
        <f ca="1"/>
        <v>-0.72044095506016581</v>
      </c>
      <c r="X6293" s="2">
        <f ca="1"/>
        <v>73.723717534176984</v>
      </c>
      <c r="AG6293" s="2">
        <f ca="1"/>
        <v>0.71312803036809336</v>
      </c>
      <c r="AH6293" s="2" t="str">
        <f ca="1"/>
        <v>Bad</v>
      </c>
    </row>
    <row r="6294" spans="2:34" x14ac:dyDescent="0.2">
      <c r="B6294" s="2">
        <f ca="1"/>
        <v>0.40782797754072808</v>
      </c>
      <c r="O6294" s="2">
        <f ca="1"/>
        <v>1.776864760570148</v>
      </c>
      <c r="X6294" s="2">
        <f ca="1"/>
        <v>48.818032023978702</v>
      </c>
      <c r="AG6294" s="2">
        <f ca="1"/>
        <v>0.67968314453452128</v>
      </c>
      <c r="AH6294" s="2" t="str">
        <f ca="1"/>
        <v>Bad</v>
      </c>
    </row>
    <row r="6295" spans="2:34" x14ac:dyDescent="0.2">
      <c r="B6295" s="2">
        <f ca="1"/>
        <v>0.26146192888736852</v>
      </c>
      <c r="O6295" s="2">
        <f ca="1"/>
        <v>-0.32899866670455985</v>
      </c>
      <c r="X6295" s="2">
        <f ca="1"/>
        <v>65.126700240705176</v>
      </c>
      <c r="AG6295" s="2">
        <f ca="1"/>
        <v>0.4716011019276154</v>
      </c>
      <c r="AH6295" s="2" t="str">
        <f ca="1"/>
        <v>Bad</v>
      </c>
    </row>
    <row r="6296" spans="2:34" x14ac:dyDescent="0.2">
      <c r="B6296" s="2">
        <f ca="1"/>
        <v>0.61430538921380773</v>
      </c>
      <c r="O6296" s="2">
        <f ca="1"/>
        <v>-0.43890157635861604</v>
      </c>
      <c r="X6296" s="2">
        <f ca="1"/>
        <v>51.791233835368864</v>
      </c>
      <c r="AG6296" s="2">
        <f ca="1"/>
        <v>0.46437057806490012</v>
      </c>
      <c r="AH6296" s="2" t="str">
        <f ca="1"/>
        <v>Bad</v>
      </c>
    </row>
    <row r="6297" spans="2:34" x14ac:dyDescent="0.2">
      <c r="B6297" s="2">
        <f ca="1"/>
        <v>0.58874070429456205</v>
      </c>
      <c r="O6297" s="2">
        <f ca="1"/>
        <v>-0.36045517717848807</v>
      </c>
      <c r="X6297" s="2">
        <f ca="1"/>
        <v>43.505164069948748</v>
      </c>
      <c r="AG6297" s="2">
        <f ca="1"/>
        <v>0.16134354910255122</v>
      </c>
      <c r="AH6297" s="2" t="str">
        <f ca="1"/>
        <v>OK</v>
      </c>
    </row>
    <row r="6298" spans="2:34" x14ac:dyDescent="0.2">
      <c r="B6298" s="2">
        <f ca="1"/>
        <v>0.32569696866604092</v>
      </c>
      <c r="O6298" s="2">
        <f ca="1"/>
        <v>1.0952319550159224</v>
      </c>
      <c r="X6298" s="2">
        <f ca="1"/>
        <v>32.561590352301138</v>
      </c>
      <c r="AG6298" s="2">
        <f ca="1"/>
        <v>0.61291613965900615</v>
      </c>
      <c r="AH6298" s="2" t="str">
        <f ca="1"/>
        <v>Bad</v>
      </c>
    </row>
    <row r="6299" spans="2:34" x14ac:dyDescent="0.2">
      <c r="B6299" s="2">
        <f ca="1"/>
        <v>0.85341496709631559</v>
      </c>
      <c r="O6299" s="2">
        <f ca="1"/>
        <v>-6.262916447607926E-2</v>
      </c>
      <c r="X6299" s="2">
        <f ca="1"/>
        <v>31.453563681926507</v>
      </c>
      <c r="AG6299" s="2">
        <f ca="1"/>
        <v>0.87383261046921734</v>
      </c>
      <c r="AH6299" s="2" t="str">
        <f ca="1"/>
        <v>Bad</v>
      </c>
    </row>
    <row r="6300" spans="2:34" x14ac:dyDescent="0.2">
      <c r="B6300" s="2">
        <f ca="1"/>
        <v>4.8674207520537305E-2</v>
      </c>
      <c r="O6300" s="2">
        <f ca="1"/>
        <v>0.13123601461630105</v>
      </c>
      <c r="X6300" s="2">
        <f ca="1"/>
        <v>67.014630650370492</v>
      </c>
      <c r="AG6300" s="2">
        <f ca="1"/>
        <v>0.34607009392413524</v>
      </c>
      <c r="AH6300" s="2" t="str">
        <f ca="1"/>
        <v>OK</v>
      </c>
    </row>
    <row r="6301" spans="2:34" x14ac:dyDescent="0.2">
      <c r="B6301" s="2">
        <f ca="1"/>
        <v>0.46658818238725197</v>
      </c>
      <c r="O6301" s="2">
        <f ca="1"/>
        <v>-0.44589945581191454</v>
      </c>
      <c r="X6301" s="2">
        <f ca="1"/>
        <v>35.052094066530344</v>
      </c>
      <c r="AG6301" s="2">
        <f ca="1"/>
        <v>0.57295301621223027</v>
      </c>
      <c r="AH6301" s="2" t="str">
        <f ca="1"/>
        <v>Bad</v>
      </c>
    </row>
    <row r="6302" spans="2:34" x14ac:dyDescent="0.2">
      <c r="B6302" s="2">
        <f ca="1"/>
        <v>0.33719583007794207</v>
      </c>
      <c r="O6302" s="2">
        <f ca="1"/>
        <v>0.23744294562344676</v>
      </c>
      <c r="X6302" s="2">
        <f ca="1"/>
        <v>46.689229649291491</v>
      </c>
      <c r="AG6302" s="2">
        <f ca="1"/>
        <v>0.66966834506958728</v>
      </c>
      <c r="AH6302" s="2" t="str">
        <f ca="1"/>
        <v>Bad</v>
      </c>
    </row>
    <row r="6303" spans="2:34" x14ac:dyDescent="0.2">
      <c r="B6303" s="2">
        <f ca="1"/>
        <v>0.11814289083727259</v>
      </c>
      <c r="O6303" s="2">
        <f ca="1"/>
        <v>-0.27941068866885643</v>
      </c>
      <c r="X6303" s="2">
        <f ca="1"/>
        <v>77.942273128813355</v>
      </c>
      <c r="AG6303" s="2">
        <f ca="1"/>
        <v>0.12289240141226743</v>
      </c>
      <c r="AH6303" s="2" t="str">
        <f ca="1"/>
        <v>OK</v>
      </c>
    </row>
    <row r="6304" spans="2:34" x14ac:dyDescent="0.2">
      <c r="B6304" s="2">
        <f ca="1"/>
        <v>0.89389106670293605</v>
      </c>
      <c r="O6304" s="2">
        <f ca="1"/>
        <v>0.64470377174567728</v>
      </c>
      <c r="X6304" s="2">
        <f ca="1"/>
        <v>41.841990871233534</v>
      </c>
      <c r="AG6304" s="2">
        <f ca="1"/>
        <v>0.885515789391081</v>
      </c>
      <c r="AH6304" s="2" t="str">
        <f ca="1"/>
        <v>Bad</v>
      </c>
    </row>
    <row r="6305" spans="2:34" x14ac:dyDescent="0.2">
      <c r="B6305" s="2">
        <f ca="1"/>
        <v>0.87648356285205797</v>
      </c>
      <c r="O6305" s="2">
        <f ca="1"/>
        <v>2.0534542072585515</v>
      </c>
      <c r="X6305" s="2">
        <f ca="1"/>
        <v>48.923845122820723</v>
      </c>
      <c r="AG6305" s="2">
        <f ca="1"/>
        <v>0.5377540965589469</v>
      </c>
      <c r="AH6305" s="2" t="str">
        <f ca="1"/>
        <v>Bad</v>
      </c>
    </row>
    <row r="6306" spans="2:34" x14ac:dyDescent="0.2">
      <c r="B6306" s="2">
        <f ca="1"/>
        <v>0.93401905953977926</v>
      </c>
      <c r="O6306" s="2">
        <f ca="1"/>
        <v>1.8962193062810129</v>
      </c>
      <c r="X6306" s="2">
        <f ca="1"/>
        <v>78.168518851458614</v>
      </c>
      <c r="AG6306" s="2">
        <f ca="1"/>
        <v>0.22220399556820736</v>
      </c>
      <c r="AH6306" s="2" t="str">
        <f ca="1"/>
        <v>OK</v>
      </c>
    </row>
    <row r="6307" spans="2:34" x14ac:dyDescent="0.2">
      <c r="B6307" s="2">
        <f ca="1"/>
        <v>0.17239985156303872</v>
      </c>
      <c r="O6307" s="2">
        <f ca="1"/>
        <v>0.23329257076920096</v>
      </c>
      <c r="X6307" s="2">
        <f ca="1"/>
        <v>78.771838989601108</v>
      </c>
      <c r="AG6307" s="2">
        <f ca="1"/>
        <v>0.26738858436987845</v>
      </c>
      <c r="AH6307" s="2" t="str">
        <f ca="1"/>
        <v>OK</v>
      </c>
    </row>
    <row r="6308" spans="2:34" x14ac:dyDescent="0.2">
      <c r="B6308" s="2">
        <f ca="1"/>
        <v>0.33287170446947822</v>
      </c>
      <c r="O6308" s="2">
        <f ca="1"/>
        <v>-1.4928270611561587</v>
      </c>
      <c r="X6308" s="2">
        <f ca="1"/>
        <v>66.140298199908941</v>
      </c>
      <c r="AG6308" s="2">
        <f ca="1"/>
        <v>0.67986426135910549</v>
      </c>
      <c r="AH6308" s="2" t="str">
        <f ca="1"/>
        <v>Bad</v>
      </c>
    </row>
    <row r="6309" spans="2:34" x14ac:dyDescent="0.2">
      <c r="B6309" s="2">
        <f ca="1"/>
        <v>0.40820480346926336</v>
      </c>
      <c r="O6309" s="2">
        <f ca="1"/>
        <v>1.158347963947004</v>
      </c>
      <c r="X6309" s="2">
        <f ca="1"/>
        <v>59.988135252891666</v>
      </c>
      <c r="AG6309" s="2">
        <f ca="1"/>
        <v>0.13768886000713043</v>
      </c>
      <c r="AH6309" s="2" t="str">
        <f ca="1"/>
        <v>OK</v>
      </c>
    </row>
    <row r="6310" spans="2:34" x14ac:dyDescent="0.2">
      <c r="B6310" s="2">
        <f ca="1"/>
        <v>0.49807451640730216</v>
      </c>
      <c r="O6310" s="2">
        <f ca="1"/>
        <v>0.46769838422370313</v>
      </c>
      <c r="X6310" s="2">
        <f ca="1"/>
        <v>72.839984971788397</v>
      </c>
      <c r="AG6310" s="2">
        <f ca="1"/>
        <v>0.70727109508758557</v>
      </c>
      <c r="AH6310" s="2" t="str">
        <f ca="1"/>
        <v>Bad</v>
      </c>
    </row>
    <row r="6311" spans="2:34" x14ac:dyDescent="0.2">
      <c r="B6311" s="2">
        <f ca="1"/>
        <v>0.19249853155803698</v>
      </c>
      <c r="O6311" s="2">
        <f ca="1"/>
        <v>1.2747740698101928</v>
      </c>
      <c r="X6311" s="2">
        <f ca="1"/>
        <v>64.742765595685455</v>
      </c>
      <c r="AG6311" s="2">
        <f ca="1"/>
        <v>0.91885853200973933</v>
      </c>
      <c r="AH6311" s="2" t="str">
        <f ca="1"/>
        <v>Bad</v>
      </c>
    </row>
    <row r="6312" spans="2:34" x14ac:dyDescent="0.2">
      <c r="B6312" s="2">
        <f ca="1"/>
        <v>0.86012578836155074</v>
      </c>
      <c r="O6312" s="2">
        <f ca="1"/>
        <v>2.2199123284817075</v>
      </c>
      <c r="X6312" s="2">
        <f ca="1"/>
        <v>41.695212615062687</v>
      </c>
      <c r="AG6312" s="2">
        <f ca="1"/>
        <v>0.8961356871206636</v>
      </c>
      <c r="AH6312" s="2" t="str">
        <f ca="1"/>
        <v>Bad</v>
      </c>
    </row>
    <row r="6313" spans="2:34" x14ac:dyDescent="0.2">
      <c r="B6313" s="2">
        <f ca="1"/>
        <v>0.13460230594527944</v>
      </c>
      <c r="O6313" s="2">
        <f ca="1"/>
        <v>0.52524630906475256</v>
      </c>
      <c r="X6313" s="2">
        <f ca="1"/>
        <v>74.967426840279387</v>
      </c>
      <c r="AG6313" s="2">
        <f ca="1"/>
        <v>0.29579129004622939</v>
      </c>
      <c r="AH6313" s="2" t="str">
        <f ca="1"/>
        <v>OK</v>
      </c>
    </row>
    <row r="6314" spans="2:34" x14ac:dyDescent="0.2">
      <c r="B6314" s="2">
        <f ca="1"/>
        <v>0.54057759517561643</v>
      </c>
      <c r="O6314" s="2">
        <f ca="1"/>
        <v>-1.4191974674874186</v>
      </c>
      <c r="X6314" s="2">
        <f ca="1"/>
        <v>34.661977201535919</v>
      </c>
      <c r="AG6314" s="2">
        <f ca="1"/>
        <v>0.72263347273585987</v>
      </c>
      <c r="AH6314" s="2" t="str">
        <f ca="1"/>
        <v>Bad</v>
      </c>
    </row>
    <row r="6315" spans="2:34" x14ac:dyDescent="0.2">
      <c r="B6315" s="2">
        <f ca="1"/>
        <v>0.76611524703636991</v>
      </c>
      <c r="O6315" s="2">
        <f ca="1"/>
        <v>5.0951509054130949E-2</v>
      </c>
      <c r="X6315" s="2">
        <f ca="1"/>
        <v>68.09961931742248</v>
      </c>
      <c r="AG6315" s="2">
        <f ca="1"/>
        <v>0.4851190418932787</v>
      </c>
      <c r="AH6315" s="2" t="str">
        <f ca="1"/>
        <v>Bad</v>
      </c>
    </row>
    <row r="6316" spans="2:34" x14ac:dyDescent="0.2">
      <c r="B6316" s="2">
        <f ca="1"/>
        <v>0.13995860306156538</v>
      </c>
      <c r="O6316" s="2">
        <f ca="1"/>
        <v>-1.8878610567358984</v>
      </c>
      <c r="X6316" s="2">
        <f ca="1"/>
        <v>62.860066303982343</v>
      </c>
      <c r="AG6316" s="2">
        <f ca="1"/>
        <v>5.9620119866524712E-2</v>
      </c>
      <c r="AH6316" s="2" t="str">
        <f ca="1"/>
        <v>OK</v>
      </c>
    </row>
    <row r="6317" spans="2:34" x14ac:dyDescent="0.2">
      <c r="B6317" s="2">
        <f ca="1"/>
        <v>0.76630514967797247</v>
      </c>
      <c r="O6317" s="2">
        <f ca="1"/>
        <v>-0.69585825409962665</v>
      </c>
      <c r="X6317" s="2">
        <f ca="1"/>
        <v>45.453261382258965</v>
      </c>
      <c r="AG6317" s="2">
        <f ca="1"/>
        <v>0.70271456104489394</v>
      </c>
      <c r="AH6317" s="2" t="str">
        <f ca="1"/>
        <v>Bad</v>
      </c>
    </row>
    <row r="6318" spans="2:34" x14ac:dyDescent="0.2">
      <c r="B6318" s="2">
        <f ca="1"/>
        <v>4.0127804362426023E-2</v>
      </c>
      <c r="O6318" s="2">
        <f ca="1"/>
        <v>-0.17643072382745775</v>
      </c>
      <c r="X6318" s="2">
        <f ca="1"/>
        <v>64.948606898732194</v>
      </c>
      <c r="AG6318" s="2">
        <f ca="1"/>
        <v>6.6468844564294027E-2</v>
      </c>
      <c r="AH6318" s="2" t="str">
        <f ca="1"/>
        <v>OK</v>
      </c>
    </row>
    <row r="6319" spans="2:34" x14ac:dyDescent="0.2">
      <c r="B6319" s="2">
        <f ca="1"/>
        <v>6.986807765541081E-2</v>
      </c>
      <c r="O6319" s="2">
        <f ca="1"/>
        <v>-1.2424705075989093</v>
      </c>
      <c r="X6319" s="2">
        <f ca="1"/>
        <v>55.420049192754064</v>
      </c>
      <c r="AG6319" s="2">
        <f ca="1"/>
        <v>0.4772360736755592</v>
      </c>
      <c r="AH6319" s="2" t="str">
        <f ca="1"/>
        <v>Bad</v>
      </c>
    </row>
    <row r="6320" spans="2:34" x14ac:dyDescent="0.2">
      <c r="B6320" s="2">
        <f ca="1"/>
        <v>0.50673439242775875</v>
      </c>
      <c r="O6320" s="2">
        <f ca="1"/>
        <v>0.2231116757754717</v>
      </c>
      <c r="X6320" s="2">
        <f ca="1"/>
        <v>30.251411613204681</v>
      </c>
      <c r="AG6320" s="2">
        <f ca="1"/>
        <v>0.47811551353843584</v>
      </c>
      <c r="AH6320" s="2" t="str">
        <f ca="1"/>
        <v>Bad</v>
      </c>
    </row>
    <row r="6321" spans="2:34" x14ac:dyDescent="0.2">
      <c r="B6321" s="2">
        <f ca="1"/>
        <v>0.2819687829921369</v>
      </c>
      <c r="O6321" s="2">
        <f ca="1"/>
        <v>-0.87269265527482343</v>
      </c>
      <c r="X6321" s="2">
        <f ca="1"/>
        <v>31.974843106823858</v>
      </c>
      <c r="AG6321" s="2">
        <f ca="1"/>
        <v>0.48540265620871481</v>
      </c>
      <c r="AH6321" s="2" t="str">
        <f ca="1"/>
        <v>Bad</v>
      </c>
    </row>
    <row r="6322" spans="2:34" x14ac:dyDescent="0.2">
      <c r="B6322" s="2">
        <f ca="1"/>
        <v>0.64152214672177932</v>
      </c>
      <c r="O6322" s="2">
        <f ca="1"/>
        <v>-0.96797517129101507</v>
      </c>
      <c r="X6322" s="2">
        <f ca="1"/>
        <v>48.649119415973061</v>
      </c>
      <c r="AG6322" s="2">
        <f ca="1"/>
        <v>0.93290723955633359</v>
      </c>
      <c r="AH6322" s="2" t="str">
        <f ca="1"/>
        <v>Bad</v>
      </c>
    </row>
    <row r="6323" spans="2:34" x14ac:dyDescent="0.2">
      <c r="B6323" s="2">
        <f ca="1"/>
        <v>0.48260351321824912</v>
      </c>
      <c r="O6323" s="2">
        <f ca="1"/>
        <v>-1.7719723949095161</v>
      </c>
      <c r="X6323" s="2">
        <f ca="1"/>
        <v>58.991595487031034</v>
      </c>
      <c r="AG6323" s="2">
        <f ca="1"/>
        <v>0.93044020495825586</v>
      </c>
      <c r="AH6323" s="2" t="str">
        <f ca="1"/>
        <v>Bad</v>
      </c>
    </row>
    <row r="6324" spans="2:34" x14ac:dyDescent="0.2">
      <c r="B6324" s="2">
        <f ca="1"/>
        <v>3.3940851811209649E-2</v>
      </c>
      <c r="O6324" s="2">
        <f ca="1"/>
        <v>0.41506106787282399</v>
      </c>
      <c r="X6324" s="2">
        <f ca="1"/>
        <v>80.189152930556133</v>
      </c>
      <c r="AG6324" s="2">
        <f ca="1"/>
        <v>0.50573954520240916</v>
      </c>
      <c r="AH6324" s="2" t="str">
        <f ca="1"/>
        <v>Bad</v>
      </c>
    </row>
    <row r="6325" spans="2:34" x14ac:dyDescent="0.2">
      <c r="B6325" s="2">
        <f ca="1"/>
        <v>0.76227087755990453</v>
      </c>
      <c r="O6325" s="2">
        <f ca="1"/>
        <v>1.9500365300175495</v>
      </c>
      <c r="X6325" s="2">
        <f ca="1"/>
        <v>31.57180191752856</v>
      </c>
      <c r="AG6325" s="2">
        <f ca="1"/>
        <v>0.68043137037405454</v>
      </c>
      <c r="AH6325" s="2" t="str">
        <f ca="1"/>
        <v>Bad</v>
      </c>
    </row>
    <row r="6326" spans="2:34" x14ac:dyDescent="0.2">
      <c r="B6326" s="2">
        <f ca="1"/>
        <v>0.82918925696995749</v>
      </c>
      <c r="O6326" s="2">
        <f ca="1"/>
        <v>1.4940879619809724</v>
      </c>
      <c r="X6326" s="2">
        <f ca="1"/>
        <v>43.651073309522715</v>
      </c>
      <c r="AG6326" s="2">
        <f ca="1"/>
        <v>0.86303866669881324</v>
      </c>
      <c r="AH6326" s="2" t="str">
        <f ca="1"/>
        <v>Bad</v>
      </c>
    </row>
    <row r="6327" spans="2:34" x14ac:dyDescent="0.2">
      <c r="B6327" s="2">
        <f ca="1"/>
        <v>0.42000927683815115</v>
      </c>
      <c r="O6327" s="2">
        <f ca="1"/>
        <v>0.37498645975049316</v>
      </c>
      <c r="X6327" s="2">
        <f ca="1"/>
        <v>25.484524520873478</v>
      </c>
      <c r="AG6327" s="2">
        <f ca="1"/>
        <v>0.17228484342313299</v>
      </c>
      <c r="AH6327" s="2" t="str">
        <f ca="1"/>
        <v>OK</v>
      </c>
    </row>
    <row r="6328" spans="2:34" x14ac:dyDescent="0.2">
      <c r="B6328" s="2">
        <f ca="1"/>
        <v>0.3616007451868426</v>
      </c>
      <c r="O6328" s="2">
        <f ca="1"/>
        <v>-1.0655057581125462</v>
      </c>
      <c r="X6328" s="2">
        <f ca="1"/>
        <v>53.369654366261088</v>
      </c>
      <c r="AG6328" s="2">
        <f ca="1"/>
        <v>0.98373363264439129</v>
      </c>
      <c r="AH6328" s="2" t="str">
        <f ca="1"/>
        <v>Bad</v>
      </c>
    </row>
    <row r="6329" spans="2:34" x14ac:dyDescent="0.2">
      <c r="B6329" s="2">
        <f ca="1"/>
        <v>0.5374307051150482</v>
      </c>
      <c r="O6329" s="2">
        <f ca="1"/>
        <v>0.73680632755455366</v>
      </c>
      <c r="X6329" s="2">
        <f ca="1"/>
        <v>42.224965954975097</v>
      </c>
      <c r="AG6329" s="2">
        <f ca="1"/>
        <v>0.42622391807037263</v>
      </c>
      <c r="AH6329" s="2" t="str">
        <f ca="1"/>
        <v>Bad</v>
      </c>
    </row>
    <row r="6330" spans="2:34" x14ac:dyDescent="0.2">
      <c r="B6330" s="2">
        <f ca="1"/>
        <v>0.36688991095887524</v>
      </c>
      <c r="O6330" s="2">
        <f ca="1"/>
        <v>-0.76274392489057097</v>
      </c>
      <c r="X6330" s="2">
        <f ca="1"/>
        <v>43.215578286183003</v>
      </c>
      <c r="AG6330" s="2">
        <f ca="1"/>
        <v>0.24834844636561915</v>
      </c>
      <c r="AH6330" s="2" t="str">
        <f ca="1"/>
        <v>OK</v>
      </c>
    </row>
    <row r="6331" spans="2:34" x14ac:dyDescent="0.2">
      <c r="B6331" s="2">
        <f ca="1"/>
        <v>0.41892330368863173</v>
      </c>
      <c r="O6331" s="2">
        <f ca="1"/>
        <v>1.2850938440077742</v>
      </c>
      <c r="X6331" s="2">
        <f ca="1"/>
        <v>54.83794935184747</v>
      </c>
      <c r="AG6331" s="2">
        <f ca="1"/>
        <v>0.95631130975559886</v>
      </c>
      <c r="AH6331" s="2" t="str">
        <f ca="1"/>
        <v>Bad</v>
      </c>
    </row>
    <row r="6332" spans="2:34" x14ac:dyDescent="0.2">
      <c r="B6332" s="2">
        <f ca="1"/>
        <v>0.61996569135887425</v>
      </c>
      <c r="O6332" s="2">
        <f ca="1"/>
        <v>0.29426127203156</v>
      </c>
      <c r="X6332" s="2">
        <f ca="1"/>
        <v>43.393398700033813</v>
      </c>
      <c r="AG6332" s="2">
        <f ca="1"/>
        <v>0.74842533340765516</v>
      </c>
      <c r="AH6332" s="2" t="str">
        <f ca="1"/>
        <v>Bad</v>
      </c>
    </row>
    <row r="6333" spans="2:34" x14ac:dyDescent="0.2">
      <c r="B6333" s="2">
        <f ca="1"/>
        <v>0.8860532370576093</v>
      </c>
      <c r="O6333" s="2">
        <f ca="1"/>
        <v>0.24745006031138975</v>
      </c>
      <c r="X6333" s="2">
        <f ca="1"/>
        <v>76.925194256498543</v>
      </c>
      <c r="AG6333" s="2">
        <f ca="1"/>
        <v>0.84500683694141987</v>
      </c>
      <c r="AH6333" s="2" t="str">
        <f ca="1"/>
        <v>Bad</v>
      </c>
    </row>
    <row r="6334" spans="2:34" x14ac:dyDescent="0.2">
      <c r="B6334" s="2">
        <f ca="1"/>
        <v>0.55825463914309004</v>
      </c>
      <c r="O6334" s="2">
        <f ca="1"/>
        <v>1.1231221502589406</v>
      </c>
      <c r="X6334" s="2">
        <f ca="1"/>
        <v>34.814295869616501</v>
      </c>
      <c r="AG6334" s="2">
        <f ca="1"/>
        <v>0.62003185274420169</v>
      </c>
      <c r="AH6334" s="2" t="str">
        <f ca="1"/>
        <v>Bad</v>
      </c>
    </row>
    <row r="6335" spans="2:34" x14ac:dyDescent="0.2">
      <c r="B6335" s="2">
        <f ca="1"/>
        <v>0.18266866574233021</v>
      </c>
      <c r="O6335" s="2">
        <f ca="1"/>
        <v>0.16519092400274191</v>
      </c>
      <c r="X6335" s="2">
        <f ca="1"/>
        <v>84.601539769169293</v>
      </c>
      <c r="AG6335" s="2">
        <f ca="1"/>
        <v>0.19917364967126239</v>
      </c>
      <c r="AH6335" s="2" t="str">
        <f ca="1"/>
        <v>OK</v>
      </c>
    </row>
    <row r="6336" spans="2:34" x14ac:dyDescent="0.2">
      <c r="B6336" s="2">
        <f ca="1"/>
        <v>0.35082314757747057</v>
      </c>
      <c r="O6336" s="2">
        <f ca="1"/>
        <v>-0.58955081784127206</v>
      </c>
      <c r="X6336" s="2">
        <f ca="1"/>
        <v>52.228444891701038</v>
      </c>
      <c r="AG6336" s="2">
        <f ca="1"/>
        <v>6.0257092179024641E-2</v>
      </c>
      <c r="AH6336" s="2" t="str">
        <f ca="1"/>
        <v>OK</v>
      </c>
    </row>
    <row r="6337" spans="2:34" x14ac:dyDescent="0.2">
      <c r="B6337" s="2">
        <f ca="1"/>
        <v>0.63480166253013626</v>
      </c>
      <c r="O6337" s="2">
        <f ca="1"/>
        <v>0.85744377270554295</v>
      </c>
      <c r="X6337" s="2">
        <f ca="1"/>
        <v>44.258582930465963</v>
      </c>
      <c r="AG6337" s="2">
        <f ca="1"/>
        <v>0.8083934243087556</v>
      </c>
      <c r="AH6337" s="2" t="str">
        <f ca="1"/>
        <v>Bad</v>
      </c>
    </row>
    <row r="6338" spans="2:34" x14ac:dyDescent="0.2">
      <c r="B6338" s="2">
        <f ca="1"/>
        <v>3.0143015211858692E-2</v>
      </c>
      <c r="O6338" s="2">
        <f ca="1"/>
        <v>-0.30128572557829536</v>
      </c>
      <c r="X6338" s="2">
        <f ca="1"/>
        <v>45.505292250220123</v>
      </c>
      <c r="AG6338" s="2">
        <f ca="1"/>
        <v>0.35774115817131125</v>
      </c>
      <c r="AH6338" s="2" t="str">
        <f ca="1"/>
        <v>OK</v>
      </c>
    </row>
    <row r="6339" spans="2:34" x14ac:dyDescent="0.2">
      <c r="B6339" s="2">
        <f ca="1"/>
        <v>0.54860806736845924</v>
      </c>
      <c r="O6339" s="2">
        <f ca="1"/>
        <v>1.0314133501124176</v>
      </c>
      <c r="X6339" s="2">
        <f ca="1"/>
        <v>69.349417318075197</v>
      </c>
      <c r="AG6339" s="2">
        <f ca="1"/>
        <v>0.22105837261390726</v>
      </c>
      <c r="AH6339" s="2" t="str">
        <f ca="1"/>
        <v>OK</v>
      </c>
    </row>
    <row r="6340" spans="2:34" x14ac:dyDescent="0.2">
      <c r="B6340" s="2">
        <f ca="1"/>
        <v>0.75311396968034483</v>
      </c>
      <c r="O6340" s="2">
        <f ca="1"/>
        <v>-1.8171446356275536</v>
      </c>
      <c r="X6340" s="2">
        <f ca="1"/>
        <v>62.992500095571245</v>
      </c>
      <c r="AG6340" s="2">
        <f ca="1"/>
        <v>1.3817805429939378E-2</v>
      </c>
      <c r="AH6340" s="2" t="str">
        <f ca="1"/>
        <v>Good</v>
      </c>
    </row>
    <row r="6341" spans="2:34" x14ac:dyDescent="0.2">
      <c r="B6341" s="2">
        <f ca="1"/>
        <v>0.81495491965301414</v>
      </c>
      <c r="O6341" s="2">
        <f ca="1"/>
        <v>9.2220102702251672E-2</v>
      </c>
      <c r="X6341" s="2">
        <f ca="1"/>
        <v>55.439244107741246</v>
      </c>
      <c r="AG6341" s="2">
        <f ca="1"/>
        <v>0.71370853999931483</v>
      </c>
      <c r="AH6341" s="2" t="str">
        <f ca="1"/>
        <v>Bad</v>
      </c>
    </row>
    <row r="6342" spans="2:34" x14ac:dyDescent="0.2">
      <c r="B6342" s="2">
        <f ca="1"/>
        <v>0.89497210729614363</v>
      </c>
      <c r="O6342" s="2">
        <f ca="1"/>
        <v>-0.73466585858691635</v>
      </c>
      <c r="X6342" s="2">
        <f ca="1"/>
        <v>34.325400315798731</v>
      </c>
      <c r="AG6342" s="2">
        <f ca="1"/>
        <v>0.57705431971259213</v>
      </c>
      <c r="AH6342" s="2" t="str">
        <f ca="1"/>
        <v>Bad</v>
      </c>
    </row>
    <row r="6343" spans="2:34" x14ac:dyDescent="0.2">
      <c r="B6343" s="2">
        <f ca="1"/>
        <v>4.3016630018051671E-2</v>
      </c>
      <c r="O6343" s="2">
        <f ca="1"/>
        <v>0.4550250619839209</v>
      </c>
      <c r="X6343" s="2">
        <f ca="1"/>
        <v>65.808379820341315</v>
      </c>
      <c r="AG6343" s="2">
        <f ca="1"/>
        <v>6.2065712883198065E-2</v>
      </c>
      <c r="AH6343" s="2" t="str">
        <f ca="1"/>
        <v>OK</v>
      </c>
    </row>
    <row r="6344" spans="2:34" x14ac:dyDescent="0.2">
      <c r="B6344" s="2">
        <f ca="1"/>
        <v>0.70196627862607386</v>
      </c>
      <c r="O6344" s="2">
        <f ca="1"/>
        <v>-0.57425243969910666</v>
      </c>
      <c r="X6344" s="2">
        <f ca="1"/>
        <v>24.929659572092206</v>
      </c>
      <c r="AG6344" s="2">
        <f ca="1"/>
        <v>0.56143624170833828</v>
      </c>
      <c r="AH6344" s="2" t="str">
        <f ca="1"/>
        <v>Bad</v>
      </c>
    </row>
    <row r="6345" spans="2:34" x14ac:dyDescent="0.2">
      <c r="B6345" s="2">
        <f ca="1"/>
        <v>0.23549023490670673</v>
      </c>
      <c r="O6345" s="2">
        <f ca="1"/>
        <v>2.2148308496057454</v>
      </c>
      <c r="X6345" s="2">
        <f ca="1"/>
        <v>45.710556998847032</v>
      </c>
      <c r="AG6345" s="2">
        <f ca="1"/>
        <v>0.87509613147197074</v>
      </c>
      <c r="AH6345" s="2" t="str">
        <f ca="1"/>
        <v>Bad</v>
      </c>
    </row>
    <row r="6346" spans="2:34" x14ac:dyDescent="0.2">
      <c r="B6346" s="2">
        <f ca="1"/>
        <v>1.0982021276186416E-2</v>
      </c>
      <c r="O6346" s="2">
        <f ca="1"/>
        <v>-2.6065428724343831</v>
      </c>
      <c r="X6346" s="2">
        <f ca="1"/>
        <v>34.093227572999673</v>
      </c>
      <c r="AG6346" s="2">
        <f ca="1"/>
        <v>0.4967913780686164</v>
      </c>
      <c r="AH6346" s="2" t="str">
        <f ca="1"/>
        <v>Bad</v>
      </c>
    </row>
    <row r="6347" spans="2:34" x14ac:dyDescent="0.2">
      <c r="B6347" s="2">
        <f ca="1"/>
        <v>0.16186895431845394</v>
      </c>
      <c r="O6347" s="2">
        <f ca="1"/>
        <v>0.16748296526080519</v>
      </c>
      <c r="X6347" s="2">
        <f ca="1"/>
        <v>53.288721898860906</v>
      </c>
      <c r="AG6347" s="2">
        <f ca="1"/>
        <v>0.42021708729002882</v>
      </c>
      <c r="AH6347" s="2" t="str">
        <f ca="1"/>
        <v>Bad</v>
      </c>
    </row>
    <row r="6348" spans="2:34" x14ac:dyDescent="0.2">
      <c r="B6348" s="2">
        <f ca="1"/>
        <v>0.15072906331038993</v>
      </c>
      <c r="O6348" s="2">
        <f ca="1"/>
        <v>0.89465288656423758</v>
      </c>
      <c r="X6348" s="2">
        <f ca="1"/>
        <v>72.158570914300071</v>
      </c>
      <c r="AG6348" s="2">
        <f ca="1"/>
        <v>0.86520400429074384</v>
      </c>
      <c r="AH6348" s="2" t="str">
        <f ca="1"/>
        <v>Bad</v>
      </c>
    </row>
    <row r="6349" spans="2:34" x14ac:dyDescent="0.2">
      <c r="B6349" s="2">
        <f ca="1"/>
        <v>0.46859400626970005</v>
      </c>
      <c r="O6349" s="2">
        <f ca="1"/>
        <v>1.7189706160300418</v>
      </c>
      <c r="X6349" s="2">
        <f ca="1"/>
        <v>47.417568207243612</v>
      </c>
      <c r="AG6349" s="2">
        <f ca="1"/>
        <v>0.40851747831311735</v>
      </c>
      <c r="AH6349" s="2" t="str">
        <f ca="1"/>
        <v>Bad</v>
      </c>
    </row>
    <row r="6350" spans="2:34" x14ac:dyDescent="0.2">
      <c r="B6350" s="2">
        <f ca="1"/>
        <v>0.22514092783351636</v>
      </c>
      <c r="O6350" s="2">
        <f ca="1"/>
        <v>-1.1588915618802176</v>
      </c>
      <c r="X6350" s="2">
        <f ca="1"/>
        <v>30.627441867143204</v>
      </c>
      <c r="AG6350" s="2">
        <f ca="1"/>
        <v>0.98097747079965303</v>
      </c>
      <c r="AH6350" s="2" t="str">
        <f ca="1"/>
        <v>Bad</v>
      </c>
    </row>
    <row r="6351" spans="2:34" x14ac:dyDescent="0.2">
      <c r="B6351" s="2">
        <f ca="1"/>
        <v>0.46959986630019745</v>
      </c>
      <c r="O6351" s="2">
        <f ca="1"/>
        <v>-1.0969863089341636</v>
      </c>
      <c r="X6351" s="2">
        <f ca="1"/>
        <v>56.690682534519965</v>
      </c>
      <c r="AG6351" s="2">
        <f ca="1"/>
        <v>0.78721690463671568</v>
      </c>
      <c r="AH6351" s="2" t="str">
        <f ca="1"/>
        <v>Bad</v>
      </c>
    </row>
    <row r="6352" spans="2:34" x14ac:dyDescent="0.2">
      <c r="B6352" s="2">
        <f ca="1"/>
        <v>7.3202550109471076E-2</v>
      </c>
      <c r="O6352" s="2">
        <f ca="1"/>
        <v>1.7344434221710565</v>
      </c>
      <c r="X6352" s="2">
        <f ca="1"/>
        <v>51.208409451584835</v>
      </c>
      <c r="AG6352" s="2">
        <f ca="1"/>
        <v>0.10841730757107659</v>
      </c>
      <c r="AH6352" s="2" t="str">
        <f ca="1"/>
        <v>OK</v>
      </c>
    </row>
    <row r="6353" spans="2:34" x14ac:dyDescent="0.2">
      <c r="B6353" s="2">
        <f ca="1"/>
        <v>0.39288405515839631</v>
      </c>
      <c r="O6353" s="2">
        <f ca="1"/>
        <v>-0.30960935744344192</v>
      </c>
      <c r="X6353" s="2">
        <f ca="1"/>
        <v>48.717810216110806</v>
      </c>
      <c r="AG6353" s="2">
        <f ca="1"/>
        <v>0.56095742326361941</v>
      </c>
      <c r="AH6353" s="2" t="str">
        <f ca="1"/>
        <v>Bad</v>
      </c>
    </row>
    <row r="6354" spans="2:34" x14ac:dyDescent="0.2">
      <c r="B6354" s="2">
        <f ca="1"/>
        <v>0.3760743584663464</v>
      </c>
      <c r="O6354" s="2">
        <f ca="1"/>
        <v>0.80517485603665218</v>
      </c>
      <c r="X6354" s="2">
        <f ca="1"/>
        <v>44.651457533530518</v>
      </c>
      <c r="AG6354" s="2">
        <f ca="1"/>
        <v>0.13415190834211166</v>
      </c>
      <c r="AH6354" s="2" t="str">
        <f ca="1"/>
        <v>OK</v>
      </c>
    </row>
    <row r="6355" spans="2:34" x14ac:dyDescent="0.2">
      <c r="B6355" s="2">
        <f ca="1"/>
        <v>0.7667202638860624</v>
      </c>
      <c r="O6355" s="2">
        <f ca="1"/>
        <v>5.3327959409897379E-3</v>
      </c>
      <c r="X6355" s="2">
        <f ca="1"/>
        <v>63.796523553818894</v>
      </c>
      <c r="AG6355" s="2">
        <f ca="1"/>
        <v>0.54624602537644584</v>
      </c>
      <c r="AH6355" s="2" t="str">
        <f ca="1"/>
        <v>Bad</v>
      </c>
    </row>
    <row r="6356" spans="2:34" x14ac:dyDescent="0.2">
      <c r="B6356" s="2">
        <f ca="1"/>
        <v>0.47466240515586788</v>
      </c>
      <c r="O6356" s="2">
        <f ca="1"/>
        <v>0.30358230794969032</v>
      </c>
      <c r="X6356" s="2">
        <f ca="1"/>
        <v>67.721295580945537</v>
      </c>
      <c r="AG6356" s="2">
        <f ca="1"/>
        <v>0.80186706972142763</v>
      </c>
      <c r="AH6356" s="2" t="str">
        <f ca="1"/>
        <v>Bad</v>
      </c>
    </row>
    <row r="6357" spans="2:34" x14ac:dyDescent="0.2">
      <c r="B6357" s="2">
        <f ca="1"/>
        <v>0.72146598290765551</v>
      </c>
      <c r="O6357" s="2">
        <f ca="1"/>
        <v>2.0407362021599122</v>
      </c>
      <c r="X6357" s="2">
        <f ca="1"/>
        <v>29.730645648670958</v>
      </c>
      <c r="AG6357" s="2">
        <f ca="1"/>
        <v>0.63331532187642514</v>
      </c>
      <c r="AH6357" s="2" t="str">
        <f ca="1"/>
        <v>Bad</v>
      </c>
    </row>
    <row r="6358" spans="2:34" x14ac:dyDescent="0.2">
      <c r="B6358" s="2">
        <f ca="1"/>
        <v>0.37641688920028171</v>
      </c>
      <c r="O6358" s="2">
        <f ca="1"/>
        <v>1.1651150346312011</v>
      </c>
      <c r="X6358" s="2">
        <f ca="1"/>
        <v>41.138397224516545</v>
      </c>
      <c r="AG6358" s="2">
        <f ca="1"/>
        <v>0.7555280589969815</v>
      </c>
      <c r="AH6358" s="2" t="str">
        <f ca="1"/>
        <v>Bad</v>
      </c>
    </row>
    <row r="6359" spans="2:34" x14ac:dyDescent="0.2">
      <c r="B6359" s="2">
        <f ca="1"/>
        <v>0.86385353284368294</v>
      </c>
      <c r="O6359" s="2">
        <f ca="1"/>
        <v>0.41706732247764655</v>
      </c>
      <c r="X6359" s="2">
        <f ca="1"/>
        <v>58.401538344090639</v>
      </c>
      <c r="AG6359" s="2">
        <f ca="1"/>
        <v>0.7601475312284518</v>
      </c>
      <c r="AH6359" s="2" t="str">
        <f ca="1"/>
        <v>Bad</v>
      </c>
    </row>
    <row r="6360" spans="2:34" x14ac:dyDescent="0.2">
      <c r="B6360" s="2">
        <f ca="1"/>
        <v>0.64731715225973985</v>
      </c>
      <c r="O6360" s="2">
        <f ca="1"/>
        <v>1.1772894178392279</v>
      </c>
      <c r="X6360" s="2">
        <f ca="1"/>
        <v>70.802194921718254</v>
      </c>
      <c r="AG6360" s="2">
        <f ca="1"/>
        <v>2.7542635437448615E-2</v>
      </c>
      <c r="AH6360" s="2" t="str">
        <f ca="1"/>
        <v>Good</v>
      </c>
    </row>
    <row r="6361" spans="2:34" x14ac:dyDescent="0.2">
      <c r="B6361" s="2">
        <f ca="1"/>
        <v>0.36078603198721115</v>
      </c>
      <c r="O6361" s="2">
        <f ca="1"/>
        <v>0.54505736670251814</v>
      </c>
      <c r="X6361" s="2">
        <f ca="1"/>
        <v>46.688971921423104</v>
      </c>
      <c r="AG6361" s="2">
        <f ca="1"/>
        <v>0.78372056515192168</v>
      </c>
      <c r="AH6361" s="2" t="str">
        <f ca="1"/>
        <v>Bad</v>
      </c>
    </row>
    <row r="6362" spans="2:34" x14ac:dyDescent="0.2">
      <c r="B6362" s="2">
        <f ca="1"/>
        <v>0.49976316065653492</v>
      </c>
      <c r="O6362" s="2">
        <f ca="1"/>
        <v>-0.17129382079677685</v>
      </c>
      <c r="X6362" s="2">
        <f ca="1"/>
        <v>42.875073470313801</v>
      </c>
      <c r="AG6362" s="2">
        <f ca="1"/>
        <v>0.15063650230923731</v>
      </c>
      <c r="AH6362" s="2" t="str">
        <f ca="1"/>
        <v>OK</v>
      </c>
    </row>
    <row r="6363" spans="2:34" x14ac:dyDescent="0.2">
      <c r="B6363" s="2">
        <f ca="1"/>
        <v>0.79019728762421071</v>
      </c>
      <c r="O6363" s="2">
        <f ca="1"/>
        <v>1.7335749795093544E-2</v>
      </c>
      <c r="X6363" s="2">
        <f ca="1"/>
        <v>62.768773839818209</v>
      </c>
      <c r="AG6363" s="2">
        <f ca="1"/>
        <v>0.24834144051168638</v>
      </c>
      <c r="AH6363" s="2" t="str">
        <f ca="1"/>
        <v>OK</v>
      </c>
    </row>
    <row r="6364" spans="2:34" x14ac:dyDescent="0.2">
      <c r="B6364" s="2">
        <f ca="1"/>
        <v>0.13557987132298255</v>
      </c>
      <c r="O6364" s="2">
        <f ca="1"/>
        <v>-0.8923108789280686</v>
      </c>
      <c r="X6364" s="2">
        <f ca="1"/>
        <v>34.485914499149814</v>
      </c>
      <c r="AG6364" s="2">
        <f ca="1"/>
        <v>0.46964895635849824</v>
      </c>
      <c r="AH6364" s="2" t="str">
        <f ca="1"/>
        <v>Bad</v>
      </c>
    </row>
    <row r="6365" spans="2:34" x14ac:dyDescent="0.2">
      <c r="B6365" s="2">
        <f ca="1"/>
        <v>0.16965398042565338</v>
      </c>
      <c r="O6365" s="2">
        <f ca="1"/>
        <v>0.17161722509938471</v>
      </c>
      <c r="X6365" s="2">
        <f ca="1"/>
        <v>47.368365886820953</v>
      </c>
      <c r="AG6365" s="2">
        <f ca="1"/>
        <v>0.5785643820529347</v>
      </c>
      <c r="AH6365" s="2" t="str">
        <f ca="1"/>
        <v>Bad</v>
      </c>
    </row>
    <row r="6366" spans="2:34" x14ac:dyDescent="0.2">
      <c r="B6366" s="2">
        <f ca="1"/>
        <v>0.60016782912114697</v>
      </c>
      <c r="O6366" s="2">
        <f ca="1"/>
        <v>-0.42218219555541475</v>
      </c>
      <c r="X6366" s="2">
        <f ca="1"/>
        <v>52.894446816933382</v>
      </c>
      <c r="AG6366" s="2">
        <f ca="1"/>
        <v>0.95368049552000866</v>
      </c>
      <c r="AH6366" s="2" t="str">
        <f ca="1"/>
        <v>Bad</v>
      </c>
    </row>
    <row r="6367" spans="2:34" x14ac:dyDescent="0.2">
      <c r="B6367" s="2">
        <f ca="1"/>
        <v>0.32115963100775691</v>
      </c>
      <c r="O6367" s="2">
        <f ca="1"/>
        <v>1.164369871045563</v>
      </c>
      <c r="X6367" s="2">
        <f ca="1"/>
        <v>30.969914944118567</v>
      </c>
      <c r="AG6367" s="2">
        <f ca="1"/>
        <v>5.4439671827892555E-2</v>
      </c>
      <c r="AH6367" s="2" t="str">
        <f ca="1"/>
        <v>OK</v>
      </c>
    </row>
    <row r="6368" spans="2:34" x14ac:dyDescent="0.2">
      <c r="B6368" s="2">
        <f ca="1"/>
        <v>0.12343250732570987</v>
      </c>
      <c r="O6368" s="2">
        <f ca="1"/>
        <v>-2.566722106680587</v>
      </c>
      <c r="X6368" s="2">
        <f ca="1"/>
        <v>76.949093448623273</v>
      </c>
      <c r="AG6368" s="2">
        <f ca="1"/>
        <v>0.49194393517661839</v>
      </c>
      <c r="AH6368" s="2" t="str">
        <f ca="1"/>
        <v>Bad</v>
      </c>
    </row>
    <row r="6369" spans="2:34" x14ac:dyDescent="0.2">
      <c r="B6369" s="2">
        <f ca="1"/>
        <v>0.49258890058707538</v>
      </c>
      <c r="O6369" s="2">
        <f ca="1"/>
        <v>-2.5276203288393826</v>
      </c>
      <c r="X6369" s="2">
        <f ca="1"/>
        <v>36.598599467489599</v>
      </c>
      <c r="AG6369" s="2">
        <f ca="1"/>
        <v>0.6613709839697226</v>
      </c>
      <c r="AH6369" s="2" t="str">
        <f ca="1"/>
        <v>Bad</v>
      </c>
    </row>
    <row r="6370" spans="2:34" x14ac:dyDescent="0.2">
      <c r="B6370" s="2">
        <f ca="1"/>
        <v>0.7413002587694788</v>
      </c>
      <c r="O6370" s="2">
        <f ca="1"/>
        <v>-0.56547576678447919</v>
      </c>
      <c r="X6370" s="2">
        <f ca="1"/>
        <v>49.458471594441356</v>
      </c>
      <c r="AG6370" s="2">
        <f ca="1"/>
        <v>0.62642343344020635</v>
      </c>
      <c r="AH6370" s="2" t="str">
        <f ca="1"/>
        <v>Bad</v>
      </c>
    </row>
    <row r="6371" spans="2:34" x14ac:dyDescent="0.2">
      <c r="B6371" s="2">
        <f ca="1"/>
        <v>0.99109000634254318</v>
      </c>
      <c r="O6371" s="2">
        <f ca="1"/>
        <v>1.9579754557322031</v>
      </c>
      <c r="X6371" s="2">
        <f ca="1"/>
        <v>36.995814367793891</v>
      </c>
      <c r="AG6371" s="2">
        <f ca="1"/>
        <v>0.20166783732046745</v>
      </c>
      <c r="AH6371" s="2" t="str">
        <f ca="1"/>
        <v>OK</v>
      </c>
    </row>
    <row r="6372" spans="2:34" x14ac:dyDescent="0.2">
      <c r="B6372" s="2">
        <f ca="1"/>
        <v>0.30820918819728971</v>
      </c>
      <c r="O6372" s="2">
        <f ca="1"/>
        <v>-0.99176255066931285</v>
      </c>
      <c r="X6372" s="2">
        <f ca="1"/>
        <v>43.05999199808295</v>
      </c>
      <c r="AG6372" s="2">
        <f ca="1"/>
        <v>0.2988968895461237</v>
      </c>
      <c r="AH6372" s="2" t="str">
        <f ca="1"/>
        <v>OK</v>
      </c>
    </row>
    <row r="6373" spans="2:34" x14ac:dyDescent="0.2">
      <c r="B6373" s="2">
        <f ca="1"/>
        <v>0.91202609358638664</v>
      </c>
      <c r="O6373" s="2">
        <f ca="1"/>
        <v>0.49695616773990575</v>
      </c>
      <c r="X6373" s="2">
        <f ca="1"/>
        <v>49.795028608444333</v>
      </c>
      <c r="AG6373" s="2">
        <f ca="1"/>
        <v>0.89629172475986141</v>
      </c>
      <c r="AH6373" s="2" t="str">
        <f ca="1"/>
        <v>Bad</v>
      </c>
    </row>
    <row r="6374" spans="2:34" x14ac:dyDescent="0.2">
      <c r="B6374" s="2">
        <f ca="1"/>
        <v>0.16433156103879298</v>
      </c>
      <c r="O6374" s="2">
        <f ca="1"/>
        <v>-0.15479638962430647</v>
      </c>
      <c r="X6374" s="2">
        <f ca="1"/>
        <v>48.121099445859585</v>
      </c>
      <c r="AG6374" s="2">
        <f ca="1"/>
        <v>0.60726345921657199</v>
      </c>
      <c r="AH6374" s="2" t="str">
        <f ca="1"/>
        <v>Bad</v>
      </c>
    </row>
    <row r="6375" spans="2:34" x14ac:dyDescent="0.2">
      <c r="B6375" s="2">
        <f ca="1"/>
        <v>0.62381714818317469</v>
      </c>
      <c r="O6375" s="2">
        <f ca="1"/>
        <v>-0.21706422082805943</v>
      </c>
      <c r="X6375" s="2">
        <f ca="1"/>
        <v>52.961973177651778</v>
      </c>
      <c r="AG6375" s="2">
        <f ca="1"/>
        <v>0.38509203077799969</v>
      </c>
      <c r="AH6375" s="2" t="str">
        <f ca="1"/>
        <v>OK</v>
      </c>
    </row>
    <row r="6376" spans="2:34" x14ac:dyDescent="0.2">
      <c r="B6376" s="2">
        <f ca="1"/>
        <v>0.5689162813649149</v>
      </c>
      <c r="O6376" s="2">
        <f ca="1"/>
        <v>0.24568838783109981</v>
      </c>
      <c r="X6376" s="2">
        <f ca="1"/>
        <v>46.772240133928236</v>
      </c>
      <c r="AG6376" s="2">
        <f ca="1"/>
        <v>0.23447566203080705</v>
      </c>
      <c r="AH6376" s="2" t="str">
        <f ca="1"/>
        <v>OK</v>
      </c>
    </row>
    <row r="6377" spans="2:34" x14ac:dyDescent="0.2">
      <c r="B6377" s="2">
        <f ca="1"/>
        <v>0.55123228675936065</v>
      </c>
      <c r="O6377" s="2">
        <f ca="1"/>
        <v>-0.34788538143681985</v>
      </c>
      <c r="X6377" s="2">
        <f ca="1"/>
        <v>28.68070706748242</v>
      </c>
      <c r="AG6377" s="2">
        <f ca="1"/>
        <v>0.11559725058164094</v>
      </c>
      <c r="AH6377" s="2" t="str">
        <f ca="1"/>
        <v>OK</v>
      </c>
    </row>
    <row r="6378" spans="2:34" x14ac:dyDescent="0.2">
      <c r="B6378" s="2">
        <f ca="1"/>
        <v>0.34681718885644419</v>
      </c>
      <c r="O6378" s="2">
        <f ca="1"/>
        <v>-0.43086681990946479</v>
      </c>
      <c r="X6378" s="2">
        <f ca="1"/>
        <v>36.373625101592133</v>
      </c>
      <c r="AG6378" s="2">
        <f ca="1"/>
        <v>0.26414141364768984</v>
      </c>
      <c r="AH6378" s="2" t="str">
        <f ca="1"/>
        <v>OK</v>
      </c>
    </row>
    <row r="6379" spans="2:34" x14ac:dyDescent="0.2">
      <c r="B6379" s="2">
        <f ca="1"/>
        <v>0.28980291214632747</v>
      </c>
      <c r="O6379" s="2">
        <f ca="1"/>
        <v>0.39406899605251372</v>
      </c>
      <c r="X6379" s="2">
        <f ca="1"/>
        <v>36.981381573075474</v>
      </c>
      <c r="AG6379" s="2">
        <f ca="1"/>
        <v>0.64830563232483063</v>
      </c>
      <c r="AH6379" s="2" t="str">
        <f ca="1"/>
        <v>Bad</v>
      </c>
    </row>
    <row r="6380" spans="2:34" x14ac:dyDescent="0.2">
      <c r="B6380" s="2">
        <f ca="1"/>
        <v>0.22012008884089895</v>
      </c>
      <c r="O6380" s="2">
        <f ca="1"/>
        <v>-0.73006371073553311</v>
      </c>
      <c r="X6380" s="2">
        <f ca="1"/>
        <v>62.818728930667177</v>
      </c>
      <c r="AG6380" s="2">
        <f ca="1"/>
        <v>0.70516634147682877</v>
      </c>
      <c r="AH6380" s="2" t="str">
        <f ca="1"/>
        <v>Bad</v>
      </c>
    </row>
    <row r="6381" spans="2:34" x14ac:dyDescent="0.2">
      <c r="B6381" s="2">
        <f ca="1"/>
        <v>0.24434999294362103</v>
      </c>
      <c r="O6381" s="2">
        <f ca="1"/>
        <v>-0.25564874255549891</v>
      </c>
      <c r="X6381" s="2">
        <f ca="1"/>
        <v>88.791211538388367</v>
      </c>
      <c r="AG6381" s="2">
        <f ca="1"/>
        <v>8.5734705761757235E-2</v>
      </c>
      <c r="AH6381" s="2" t="str">
        <f ca="1"/>
        <v>OK</v>
      </c>
    </row>
    <row r="6382" spans="2:34" x14ac:dyDescent="0.2">
      <c r="B6382" s="2">
        <f ca="1"/>
        <v>0.48348550732756213</v>
      </c>
      <c r="O6382" s="2">
        <f ca="1"/>
        <v>0.16317732596644827</v>
      </c>
      <c r="X6382" s="2">
        <f ca="1"/>
        <v>64.17024075571257</v>
      </c>
      <c r="AG6382" s="2">
        <f ca="1"/>
        <v>0.80346544748715854</v>
      </c>
      <c r="AH6382" s="2" t="str">
        <f ca="1"/>
        <v>Bad</v>
      </c>
    </row>
    <row r="6383" spans="2:34" x14ac:dyDescent="0.2">
      <c r="B6383" s="2">
        <f ca="1"/>
        <v>0.71635105285517819</v>
      </c>
      <c r="O6383" s="2">
        <f ca="1"/>
        <v>-0.86855049775585336</v>
      </c>
      <c r="X6383" s="2">
        <f ca="1"/>
        <v>35.573267285179284</v>
      </c>
      <c r="AG6383" s="2">
        <f ca="1"/>
        <v>0.13310171494186007</v>
      </c>
      <c r="AH6383" s="2" t="str">
        <f ca="1"/>
        <v>OK</v>
      </c>
    </row>
    <row r="6384" spans="2:34" x14ac:dyDescent="0.2">
      <c r="B6384" s="2">
        <f ca="1"/>
        <v>4.7227035962278396E-3</v>
      </c>
      <c r="O6384" s="2">
        <f ca="1"/>
        <v>2.0967844466328676</v>
      </c>
      <c r="X6384" s="2">
        <f ca="1"/>
        <v>79.401084839849105</v>
      </c>
      <c r="AG6384" s="2">
        <f ca="1"/>
        <v>0.82149412724599635</v>
      </c>
      <c r="AH6384" s="2" t="str">
        <f ca="1"/>
        <v>Bad</v>
      </c>
    </row>
    <row r="6385" spans="2:34" x14ac:dyDescent="0.2">
      <c r="B6385" s="2">
        <f ca="1"/>
        <v>0.26840739219413812</v>
      </c>
      <c r="O6385" s="2">
        <f ca="1"/>
        <v>-2.0901221162693484</v>
      </c>
      <c r="X6385" s="2">
        <f ca="1"/>
        <v>86.181183728220162</v>
      </c>
      <c r="AG6385" s="2">
        <f ca="1"/>
        <v>0.38196080081030503</v>
      </c>
      <c r="AH6385" s="2" t="str">
        <f ca="1"/>
        <v>OK</v>
      </c>
    </row>
    <row r="6386" spans="2:34" x14ac:dyDescent="0.2">
      <c r="B6386" s="2">
        <f ca="1"/>
        <v>0.86854426675844354</v>
      </c>
      <c r="O6386" s="2">
        <f ca="1"/>
        <v>2.5132346010841351</v>
      </c>
      <c r="X6386" s="2">
        <f ca="1"/>
        <v>37.497864273401291</v>
      </c>
      <c r="AG6386" s="2">
        <f ca="1"/>
        <v>0.50349652715552429</v>
      </c>
      <c r="AH6386" s="2" t="str">
        <f ca="1"/>
        <v>Bad</v>
      </c>
    </row>
    <row r="6387" spans="2:34" x14ac:dyDescent="0.2">
      <c r="B6387" s="2">
        <f ca="1"/>
        <v>0.27473008939171573</v>
      </c>
      <c r="O6387" s="2">
        <f ca="1"/>
        <v>0.94147905950143274</v>
      </c>
      <c r="X6387" s="2">
        <f ca="1"/>
        <v>44.900802201694681</v>
      </c>
      <c r="AG6387" s="2">
        <f ca="1"/>
        <v>0.8400073903553007</v>
      </c>
      <c r="AH6387" s="2" t="str">
        <f ca="1"/>
        <v>Bad</v>
      </c>
    </row>
    <row r="6388" spans="2:34" x14ac:dyDescent="0.2">
      <c r="B6388" s="2">
        <f ca="1"/>
        <v>0.31168230533401164</v>
      </c>
      <c r="O6388" s="2">
        <f ca="1"/>
        <v>-0.36064345241678686</v>
      </c>
      <c r="X6388" s="2">
        <f ca="1"/>
        <v>51.875655544496567</v>
      </c>
      <c r="AG6388" s="2">
        <f ca="1"/>
        <v>0.64928748865131514</v>
      </c>
      <c r="AH6388" s="2" t="str">
        <f ca="1"/>
        <v>Bad</v>
      </c>
    </row>
    <row r="6389" spans="2:34" x14ac:dyDescent="0.2">
      <c r="B6389" s="2">
        <f ca="1"/>
        <v>0.85717265877267668</v>
      </c>
      <c r="O6389" s="2">
        <f ca="1"/>
        <v>-1.9827991364947799</v>
      </c>
      <c r="X6389" s="2">
        <f ca="1"/>
        <v>47.188332973923941</v>
      </c>
      <c r="AG6389" s="2">
        <f ca="1"/>
        <v>0.41442940456884836</v>
      </c>
      <c r="AH6389" s="2" t="str">
        <f ca="1"/>
        <v>Bad</v>
      </c>
    </row>
    <row r="6390" spans="2:34" x14ac:dyDescent="0.2">
      <c r="B6390" s="2">
        <f ca="1"/>
        <v>0.85563774550960514</v>
      </c>
      <c r="O6390" s="2">
        <f ca="1"/>
        <v>-1.5184962967960747</v>
      </c>
      <c r="X6390" s="2">
        <f ca="1"/>
        <v>36.38928167208072</v>
      </c>
      <c r="AG6390" s="2">
        <f ca="1"/>
        <v>0.52751900358388593</v>
      </c>
      <c r="AH6390" s="2" t="str">
        <f ca="1"/>
        <v>Bad</v>
      </c>
    </row>
    <row r="6391" spans="2:34" x14ac:dyDescent="0.2">
      <c r="B6391" s="2">
        <f ca="1"/>
        <v>0.36887432970337053</v>
      </c>
      <c r="O6391" s="2">
        <f ca="1"/>
        <v>1.4496496865429422</v>
      </c>
      <c r="X6391" s="2">
        <f ca="1"/>
        <v>37.26626087539988</v>
      </c>
      <c r="AG6391" s="2">
        <f ca="1"/>
        <v>0.17590789205745794</v>
      </c>
      <c r="AH6391" s="2" t="str">
        <f ca="1"/>
        <v>OK</v>
      </c>
    </row>
    <row r="6392" spans="2:34" x14ac:dyDescent="0.2">
      <c r="B6392" s="2">
        <f ca="1"/>
        <v>0.64930722274999453</v>
      </c>
      <c r="O6392" s="2">
        <f ca="1"/>
        <v>0.42736284071229852</v>
      </c>
      <c r="X6392" s="2">
        <f ca="1"/>
        <v>51.603438267856887</v>
      </c>
      <c r="AG6392" s="2">
        <f ca="1"/>
        <v>7.3321655052342782E-2</v>
      </c>
      <c r="AH6392" s="2" t="str">
        <f ca="1"/>
        <v>OK</v>
      </c>
    </row>
    <row r="6393" spans="2:34" x14ac:dyDescent="0.2">
      <c r="B6393" s="2">
        <f ca="1"/>
        <v>9.3499585083461456E-2</v>
      </c>
      <c r="O6393" s="2">
        <f ca="1"/>
        <v>-1.467589975968191</v>
      </c>
      <c r="X6393" s="2">
        <f ca="1"/>
        <v>45.267046028017639</v>
      </c>
      <c r="AG6393" s="2">
        <f ca="1"/>
        <v>0.19429561654260752</v>
      </c>
      <c r="AH6393" s="2" t="str">
        <f ca="1"/>
        <v>OK</v>
      </c>
    </row>
    <row r="6394" spans="2:34" x14ac:dyDescent="0.2">
      <c r="B6394" s="2">
        <f ca="1"/>
        <v>0.75911578117959544</v>
      </c>
      <c r="O6394" s="2">
        <f ca="1"/>
        <v>-0.27513646468961001</v>
      </c>
      <c r="X6394" s="2">
        <f ca="1"/>
        <v>61.348312370299773</v>
      </c>
      <c r="AG6394" s="2">
        <f ca="1"/>
        <v>0.32764736925090321</v>
      </c>
      <c r="AH6394" s="2" t="str">
        <f ca="1"/>
        <v>OK</v>
      </c>
    </row>
    <row r="6395" spans="2:34" x14ac:dyDescent="0.2">
      <c r="B6395" s="2">
        <f ca="1"/>
        <v>0.8119189983649453</v>
      </c>
      <c r="O6395" s="2">
        <f ca="1"/>
        <v>0.90844960047901546</v>
      </c>
      <c r="X6395" s="2">
        <f ca="1"/>
        <v>53.43710343179221</v>
      </c>
      <c r="AG6395" s="2">
        <f ca="1"/>
        <v>0.49392715444444946</v>
      </c>
      <c r="AH6395" s="2" t="str">
        <f ca="1"/>
        <v>Bad</v>
      </c>
    </row>
    <row r="6396" spans="2:34" x14ac:dyDescent="0.2">
      <c r="B6396" s="2">
        <f ca="1"/>
        <v>0.98057224388044184</v>
      </c>
      <c r="O6396" s="2">
        <f ca="1"/>
        <v>0.7981705525762679</v>
      </c>
      <c r="X6396" s="2">
        <f ca="1"/>
        <v>59.234295210923513</v>
      </c>
      <c r="AG6396" s="2">
        <f ca="1"/>
        <v>0.49952730669186196</v>
      </c>
      <c r="AH6396" s="2" t="str">
        <f ca="1"/>
        <v>Bad</v>
      </c>
    </row>
    <row r="6397" spans="2:34" x14ac:dyDescent="0.2">
      <c r="B6397" s="2">
        <f ca="1"/>
        <v>0.73230174663723924</v>
      </c>
      <c r="O6397" s="2">
        <f ca="1"/>
        <v>1.1826401279951431</v>
      </c>
      <c r="X6397" s="2">
        <f ca="1"/>
        <v>47.412443493179467</v>
      </c>
      <c r="AG6397" s="2">
        <f ca="1"/>
        <v>0.81903612505503753</v>
      </c>
      <c r="AH6397" s="2" t="str">
        <f ca="1"/>
        <v>Bad</v>
      </c>
    </row>
    <row r="6398" spans="2:34" x14ac:dyDescent="0.2">
      <c r="B6398" s="2">
        <f ca="1"/>
        <v>0.97192168506343335</v>
      </c>
      <c r="O6398" s="2">
        <f ca="1"/>
        <v>8.1319626685197627E-2</v>
      </c>
      <c r="X6398" s="2">
        <f ca="1"/>
        <v>34.290712509102491</v>
      </c>
      <c r="AG6398" s="2">
        <f ca="1"/>
        <v>2.8860745498993534E-2</v>
      </c>
      <c r="AH6398" s="2" t="str">
        <f ca="1"/>
        <v>Good</v>
      </c>
    </row>
    <row r="6399" spans="2:34" x14ac:dyDescent="0.2">
      <c r="B6399" s="2">
        <f ca="1"/>
        <v>0.88737181853975766</v>
      </c>
      <c r="O6399" s="2">
        <f ca="1"/>
        <v>0.28095054764741056</v>
      </c>
      <c r="X6399" s="2">
        <f ca="1"/>
        <v>19.845765651815604</v>
      </c>
      <c r="AG6399" s="2">
        <f ca="1"/>
        <v>0.31498988019357888</v>
      </c>
      <c r="AH6399" s="2" t="str">
        <f ca="1"/>
        <v>OK</v>
      </c>
    </row>
    <row r="6400" spans="2:34" x14ac:dyDescent="0.2">
      <c r="B6400" s="2">
        <f ca="1"/>
        <v>0.45627212149947471</v>
      </c>
      <c r="O6400" s="2">
        <f ca="1"/>
        <v>-0.13412755323399733</v>
      </c>
      <c r="X6400" s="2">
        <f ca="1"/>
        <v>46.114947355555728</v>
      </c>
      <c r="AG6400" s="2">
        <f ca="1"/>
        <v>0.62110654256797027</v>
      </c>
      <c r="AH6400" s="2" t="str">
        <f ca="1"/>
        <v>Bad</v>
      </c>
    </row>
    <row r="6401" spans="2:34" x14ac:dyDescent="0.2">
      <c r="B6401" s="2">
        <f ca="1"/>
        <v>0.52404212103452341</v>
      </c>
      <c r="O6401" s="2">
        <f ca="1"/>
        <v>0.42658485055137246</v>
      </c>
      <c r="X6401" s="2">
        <f ca="1"/>
        <v>60.00394404870999</v>
      </c>
      <c r="AG6401" s="2">
        <f ca="1"/>
        <v>0.64373049460448573</v>
      </c>
      <c r="AH6401" s="2" t="str">
        <f ca="1"/>
        <v>Bad</v>
      </c>
    </row>
    <row r="6402" spans="2:34" x14ac:dyDescent="0.2">
      <c r="B6402" s="2">
        <f ca="1"/>
        <v>0.51189034027107128</v>
      </c>
      <c r="O6402" s="2">
        <f ca="1"/>
        <v>-0.33479066210894021</v>
      </c>
      <c r="X6402" s="2">
        <f ca="1"/>
        <v>49.288903626841716</v>
      </c>
      <c r="AG6402" s="2">
        <f ca="1"/>
        <v>0.44049614862598219</v>
      </c>
      <c r="AH6402" s="2" t="str">
        <f ca="1"/>
        <v>Bad</v>
      </c>
    </row>
    <row r="6403" spans="2:34" x14ac:dyDescent="0.2">
      <c r="B6403" s="2">
        <f ca="1"/>
        <v>0.68512505972450732</v>
      </c>
      <c r="O6403" s="2">
        <f ca="1"/>
        <v>0.74952641020456534</v>
      </c>
      <c r="X6403" s="2">
        <f ca="1"/>
        <v>34.722957923146438</v>
      </c>
      <c r="AG6403" s="2">
        <f ca="1"/>
        <v>0.3438148417506699</v>
      </c>
      <c r="AH6403" s="2" t="str">
        <f ca="1"/>
        <v>OK</v>
      </c>
    </row>
    <row r="6404" spans="2:34" x14ac:dyDescent="0.2">
      <c r="B6404" s="2">
        <f ca="1"/>
        <v>0.27419167619294083</v>
      </c>
      <c r="O6404" s="2">
        <f ca="1"/>
        <v>-1.1718253593007832</v>
      </c>
      <c r="X6404" s="2">
        <f ca="1"/>
        <v>60.85951619725256</v>
      </c>
      <c r="AG6404" s="2">
        <f ca="1"/>
        <v>0.26997512050795702</v>
      </c>
      <c r="AH6404" s="2" t="str">
        <f ca="1"/>
        <v>OK</v>
      </c>
    </row>
    <row r="6405" spans="2:34" x14ac:dyDescent="0.2">
      <c r="B6405" s="2">
        <f ca="1"/>
        <v>0.8520809123945412</v>
      </c>
      <c r="O6405" s="2">
        <f ca="1"/>
        <v>0.29683193488711174</v>
      </c>
      <c r="X6405" s="2">
        <f ca="1"/>
        <v>62.463507474588909</v>
      </c>
      <c r="AG6405" s="2">
        <f ca="1"/>
        <v>0.16084451735883154</v>
      </c>
      <c r="AH6405" s="2" t="str">
        <f ca="1"/>
        <v>OK</v>
      </c>
    </row>
    <row r="6406" spans="2:34" x14ac:dyDescent="0.2">
      <c r="B6406" s="2">
        <f ca="1"/>
        <v>0.48522977589355887</v>
      </c>
      <c r="O6406" s="2">
        <f ca="1"/>
        <v>-0.24815143435413051</v>
      </c>
      <c r="X6406" s="2">
        <f ca="1"/>
        <v>38.310324222759292</v>
      </c>
      <c r="AG6406" s="2">
        <f ca="1"/>
        <v>0.69371049116533001</v>
      </c>
      <c r="AH6406" s="2" t="str">
        <f ca="1"/>
        <v>Bad</v>
      </c>
    </row>
    <row r="6407" spans="2:34" x14ac:dyDescent="0.2">
      <c r="B6407" s="2">
        <f ca="1"/>
        <v>0.85494351349378306</v>
      </c>
      <c r="O6407" s="2">
        <f ca="1"/>
        <v>1.1590964508877946</v>
      </c>
      <c r="X6407" s="2">
        <f ca="1"/>
        <v>64.185421328132279</v>
      </c>
      <c r="AG6407" s="2">
        <f ca="1"/>
        <v>0.95884708314572276</v>
      </c>
      <c r="AH6407" s="2" t="str">
        <f ca="1"/>
        <v>Bad</v>
      </c>
    </row>
    <row r="6408" spans="2:34" x14ac:dyDescent="0.2">
      <c r="B6408" s="2">
        <f ca="1"/>
        <v>0.51855449651651853</v>
      </c>
      <c r="O6408" s="2">
        <f ca="1"/>
        <v>0.43239106962818286</v>
      </c>
      <c r="X6408" s="2">
        <f ca="1"/>
        <v>33.16423780481071</v>
      </c>
      <c r="AG6408" s="2">
        <f ca="1"/>
        <v>0.56460368017625728</v>
      </c>
      <c r="AH6408" s="2" t="str">
        <f ca="1"/>
        <v>Bad</v>
      </c>
    </row>
    <row r="6409" spans="2:34" x14ac:dyDescent="0.2">
      <c r="B6409" s="2">
        <f ca="1"/>
        <v>0.34033433944261193</v>
      </c>
      <c r="O6409" s="2">
        <f ca="1"/>
        <v>-0.73497111274381344</v>
      </c>
      <c r="X6409" s="2">
        <f ca="1"/>
        <v>34.422259619601533</v>
      </c>
      <c r="AG6409" s="2">
        <f ca="1"/>
        <v>0.22105039878156485</v>
      </c>
      <c r="AH6409" s="2" t="str">
        <f ca="1"/>
        <v>OK</v>
      </c>
    </row>
    <row r="6410" spans="2:34" x14ac:dyDescent="0.2">
      <c r="B6410" s="2">
        <f ca="1"/>
        <v>0.62101134333929897</v>
      </c>
      <c r="O6410" s="2">
        <f ca="1"/>
        <v>1.9741522388746278</v>
      </c>
      <c r="X6410" s="2">
        <f ca="1"/>
        <v>57.062465716252042</v>
      </c>
      <c r="AG6410" s="2">
        <f ca="1"/>
        <v>0.39912832495774286</v>
      </c>
      <c r="AH6410" s="2" t="str">
        <f ca="1"/>
        <v>OK</v>
      </c>
    </row>
    <row r="6411" spans="2:34" x14ac:dyDescent="0.2">
      <c r="B6411" s="2">
        <f ca="1"/>
        <v>0.1694923399247017</v>
      </c>
      <c r="O6411" s="2">
        <f ca="1"/>
        <v>-1.4308436577314478</v>
      </c>
      <c r="X6411" s="2">
        <f ca="1"/>
        <v>35.530069250191985</v>
      </c>
      <c r="AG6411" s="2">
        <f ca="1"/>
        <v>0.33927831543330988</v>
      </c>
      <c r="AH6411" s="2" t="str">
        <f ca="1"/>
        <v>OK</v>
      </c>
    </row>
    <row r="6412" spans="2:34" x14ac:dyDescent="0.2">
      <c r="B6412" s="2">
        <f ca="1"/>
        <v>0.2872801048447029</v>
      </c>
      <c r="O6412" s="2">
        <f ca="1"/>
        <v>1.7265155680639055</v>
      </c>
      <c r="X6412" s="2">
        <f ca="1"/>
        <v>66.071904355966694</v>
      </c>
      <c r="AG6412" s="2">
        <f ca="1"/>
        <v>0.82496307373003264</v>
      </c>
      <c r="AH6412" s="2" t="str">
        <f ca="1"/>
        <v>Bad</v>
      </c>
    </row>
    <row r="6413" spans="2:34" x14ac:dyDescent="0.2">
      <c r="B6413" s="2">
        <f ca="1"/>
        <v>0.87704121569237214</v>
      </c>
      <c r="O6413" s="2">
        <f ca="1"/>
        <v>1.3037430917710069</v>
      </c>
      <c r="X6413" s="2">
        <f ca="1"/>
        <v>50.650974552655285</v>
      </c>
      <c r="AG6413" s="2">
        <f ca="1"/>
        <v>0.33451265771987115</v>
      </c>
      <c r="AH6413" s="2" t="str">
        <f ca="1"/>
        <v>OK</v>
      </c>
    </row>
    <row r="6414" spans="2:34" x14ac:dyDescent="0.2">
      <c r="B6414" s="2">
        <f ca="1"/>
        <v>0.33718905638000751</v>
      </c>
      <c r="O6414" s="2">
        <f ca="1"/>
        <v>0.71915278510007419</v>
      </c>
      <c r="X6414" s="2">
        <f ca="1"/>
        <v>67.32040523012509</v>
      </c>
      <c r="AG6414" s="2">
        <f ca="1"/>
        <v>0.29612962078500393</v>
      </c>
      <c r="AH6414" s="2" t="str">
        <f ca="1"/>
        <v>OK</v>
      </c>
    </row>
    <row r="6415" spans="2:34" x14ac:dyDescent="0.2">
      <c r="B6415" s="2">
        <f ca="1"/>
        <v>0.49761369746656881</v>
      </c>
      <c r="O6415" s="2">
        <f ca="1"/>
        <v>0.78773491885530988</v>
      </c>
      <c r="X6415" s="2">
        <f ca="1"/>
        <v>27.489269096518036</v>
      </c>
      <c r="AG6415" s="2">
        <f ca="1"/>
        <v>0.92214531703838243</v>
      </c>
      <c r="AH6415" s="2" t="str">
        <f ca="1"/>
        <v>Bad</v>
      </c>
    </row>
    <row r="6416" spans="2:34" x14ac:dyDescent="0.2">
      <c r="B6416" s="2">
        <f ca="1"/>
        <v>3.2160310608221554E-2</v>
      </c>
      <c r="O6416" s="2">
        <f ca="1"/>
        <v>0.45224030985504121</v>
      </c>
      <c r="X6416" s="2">
        <f ca="1"/>
        <v>26.785986219729715</v>
      </c>
      <c r="AG6416" s="2">
        <f ca="1"/>
        <v>0.61806245463043674</v>
      </c>
      <c r="AH6416" s="2" t="str">
        <f ca="1"/>
        <v>Bad</v>
      </c>
    </row>
    <row r="6417" spans="2:34" x14ac:dyDescent="0.2">
      <c r="B6417" s="2">
        <f ca="1"/>
        <v>0.14572245735042189</v>
      </c>
      <c r="O6417" s="2">
        <f ca="1"/>
        <v>0.43259581245108442</v>
      </c>
      <c r="X6417" s="2">
        <f ca="1"/>
        <v>51.053000100701098</v>
      </c>
      <c r="AG6417" s="2">
        <f ca="1"/>
        <v>0.48152375420933069</v>
      </c>
      <c r="AH6417" s="2" t="str">
        <f ca="1"/>
        <v>Bad</v>
      </c>
    </row>
    <row r="6418" spans="2:34" x14ac:dyDescent="0.2">
      <c r="B6418" s="2">
        <f ca="1"/>
        <v>0.45290537446912316</v>
      </c>
      <c r="O6418" s="2">
        <f ca="1"/>
        <v>-0.37523329199572292</v>
      </c>
      <c r="X6418" s="2">
        <f ca="1"/>
        <v>57.235046861084491</v>
      </c>
      <c r="AG6418" s="2">
        <f ca="1"/>
        <v>0.35066052637239165</v>
      </c>
      <c r="AH6418" s="2" t="str">
        <f ca="1"/>
        <v>OK</v>
      </c>
    </row>
    <row r="6419" spans="2:34" x14ac:dyDescent="0.2">
      <c r="B6419" s="2">
        <f ca="1"/>
        <v>0.84871024576213339</v>
      </c>
      <c r="O6419" s="2">
        <f ca="1"/>
        <v>-0.23532710044893715</v>
      </c>
      <c r="X6419" s="2">
        <f ca="1"/>
        <v>54.971277724485702</v>
      </c>
      <c r="AG6419" s="2">
        <f ca="1"/>
        <v>0.29418242770783909</v>
      </c>
      <c r="AH6419" s="2" t="str">
        <f ca="1"/>
        <v>OK</v>
      </c>
    </row>
    <row r="6420" spans="2:34" x14ac:dyDescent="0.2">
      <c r="B6420" s="2">
        <f ca="1"/>
        <v>0.6953820314190029</v>
      </c>
      <c r="O6420" s="2">
        <f ca="1"/>
        <v>0.88706871529283093</v>
      </c>
      <c r="X6420" s="2">
        <f ca="1"/>
        <v>50.031386190886984</v>
      </c>
      <c r="AG6420" s="2">
        <f ca="1"/>
        <v>0.6008518732838759</v>
      </c>
      <c r="AH6420" s="2" t="str">
        <f ca="1"/>
        <v>Bad</v>
      </c>
    </row>
    <row r="6421" spans="2:34" x14ac:dyDescent="0.2">
      <c r="B6421" s="2">
        <f ca="1"/>
        <v>8.4432246684730927E-2</v>
      </c>
      <c r="O6421" s="2">
        <f ca="1"/>
        <v>-1.3628198550193587</v>
      </c>
      <c r="X6421" s="2">
        <f ca="1"/>
        <v>37.488414009115047</v>
      </c>
      <c r="AG6421" s="2">
        <f ca="1"/>
        <v>0.38723165266652981</v>
      </c>
      <c r="AH6421" s="2" t="str">
        <f ca="1"/>
        <v>OK</v>
      </c>
    </row>
    <row r="6422" spans="2:34" x14ac:dyDescent="0.2">
      <c r="B6422" s="2">
        <f ca="1"/>
        <v>0.36859051344413363</v>
      </c>
      <c r="O6422" s="2">
        <f ca="1"/>
        <v>-0.34085200635055374</v>
      </c>
      <c r="X6422" s="2">
        <f ca="1"/>
        <v>57.021224124231111</v>
      </c>
      <c r="AG6422" s="2">
        <f ca="1"/>
        <v>0.55128985233387695</v>
      </c>
      <c r="AH6422" s="2" t="str">
        <f ca="1"/>
        <v>Bad</v>
      </c>
    </row>
    <row r="6423" spans="2:34" x14ac:dyDescent="0.2">
      <c r="B6423" s="2">
        <f ca="1"/>
        <v>0.50842784103475158</v>
      </c>
      <c r="O6423" s="2">
        <f ca="1"/>
        <v>-0.87695221027910697</v>
      </c>
      <c r="X6423" s="2">
        <f ca="1"/>
        <v>36.496047728791737</v>
      </c>
      <c r="AG6423" s="2">
        <f ca="1"/>
        <v>0.84742117292757979</v>
      </c>
      <c r="AH6423" s="2" t="str">
        <f ca="1"/>
        <v>Bad</v>
      </c>
    </row>
    <row r="6424" spans="2:34" x14ac:dyDescent="0.2">
      <c r="B6424" s="2">
        <f ca="1"/>
        <v>0.78222465645878625</v>
      </c>
      <c r="O6424" s="2">
        <f ca="1"/>
        <v>-1.3370376920709233</v>
      </c>
      <c r="X6424" s="2">
        <f ca="1"/>
        <v>47.229764398591072</v>
      </c>
      <c r="AG6424" s="2">
        <f ca="1"/>
        <v>0.20369547707640301</v>
      </c>
      <c r="AH6424" s="2" t="str">
        <f ca="1"/>
        <v>OK</v>
      </c>
    </row>
    <row r="6425" spans="2:34" x14ac:dyDescent="0.2">
      <c r="B6425" s="2">
        <f ca="1"/>
        <v>0.41669053144886758</v>
      </c>
      <c r="O6425" s="2">
        <f ca="1"/>
        <v>-0.24710433031485496</v>
      </c>
      <c r="X6425" s="2">
        <f ca="1"/>
        <v>64.967397477691492</v>
      </c>
      <c r="AG6425" s="2">
        <f ca="1"/>
        <v>0.17633216798216211</v>
      </c>
      <c r="AH6425" s="2" t="str">
        <f ca="1"/>
        <v>OK</v>
      </c>
    </row>
    <row r="6426" spans="2:34" x14ac:dyDescent="0.2">
      <c r="B6426" s="2">
        <f ca="1"/>
        <v>0.40619889096874884</v>
      </c>
      <c r="O6426" s="2">
        <f ca="1"/>
        <v>0.84279283034182806</v>
      </c>
      <c r="X6426" s="2">
        <f ca="1"/>
        <v>103.82559461429443</v>
      </c>
      <c r="AG6426" s="2">
        <f ca="1"/>
        <v>0.86371274092824613</v>
      </c>
      <c r="AH6426" s="2" t="str">
        <f ca="1"/>
        <v>Bad</v>
      </c>
    </row>
    <row r="6427" spans="2:34" x14ac:dyDescent="0.2">
      <c r="B6427" s="2">
        <f ca="1"/>
        <v>0.78675265060410027</v>
      </c>
      <c r="O6427" s="2">
        <f ca="1"/>
        <v>0.33476546202788071</v>
      </c>
      <c r="X6427" s="2">
        <f ca="1"/>
        <v>55.211813329046002</v>
      </c>
      <c r="AG6427" s="2">
        <f ca="1"/>
        <v>0.77505981168947513</v>
      </c>
      <c r="AH6427" s="2" t="str">
        <f ca="1"/>
        <v>Bad</v>
      </c>
    </row>
    <row r="6428" spans="2:34" x14ac:dyDescent="0.2">
      <c r="B6428" s="2">
        <f ca="1"/>
        <v>0.18590050738377029</v>
      </c>
      <c r="O6428" s="2">
        <f ca="1"/>
        <v>0.84227757617052912</v>
      </c>
      <c r="X6428" s="2">
        <f ca="1"/>
        <v>61.485975232765746</v>
      </c>
      <c r="AG6428" s="2">
        <f ca="1"/>
        <v>0.95772964559293405</v>
      </c>
      <c r="AH6428" s="2" t="str">
        <f ca="1"/>
        <v>Bad</v>
      </c>
    </row>
    <row r="6429" spans="2:34" x14ac:dyDescent="0.2">
      <c r="B6429" s="2">
        <f ca="1"/>
        <v>0.28452884473202311</v>
      </c>
      <c r="O6429" s="2">
        <f ca="1"/>
        <v>1.1026044647588615</v>
      </c>
      <c r="X6429" s="2">
        <f ca="1"/>
        <v>48.162535758466987</v>
      </c>
      <c r="AG6429" s="2">
        <f ca="1"/>
        <v>0.22762715038640002</v>
      </c>
      <c r="AH6429" s="2" t="str">
        <f ca="1"/>
        <v>OK</v>
      </c>
    </row>
    <row r="6430" spans="2:34" x14ac:dyDescent="0.2">
      <c r="B6430" s="2">
        <f ca="1"/>
        <v>0.45623321293715535</v>
      </c>
      <c r="O6430" s="2">
        <f ca="1"/>
        <v>-0.40521574172690544</v>
      </c>
      <c r="X6430" s="2">
        <f ca="1"/>
        <v>25.127404052693898</v>
      </c>
      <c r="AG6430" s="2">
        <f ca="1"/>
        <v>0.16529493889763081</v>
      </c>
      <c r="AH6430" s="2" t="str">
        <f ca="1"/>
        <v>OK</v>
      </c>
    </row>
    <row r="6431" spans="2:34" x14ac:dyDescent="0.2">
      <c r="B6431" s="2">
        <f ca="1"/>
        <v>0.19217314952736886</v>
      </c>
      <c r="O6431" s="2">
        <f ca="1"/>
        <v>0.78011375363049273</v>
      </c>
      <c r="X6431" s="2">
        <f ca="1"/>
        <v>72.033002592442784</v>
      </c>
      <c r="AG6431" s="2">
        <f ca="1"/>
        <v>0.97914074238851945</v>
      </c>
      <c r="AH6431" s="2" t="str">
        <f ca="1"/>
        <v>Bad</v>
      </c>
    </row>
    <row r="6432" spans="2:34" x14ac:dyDescent="0.2">
      <c r="B6432" s="2">
        <f ca="1"/>
        <v>0.80027422549843785</v>
      </c>
      <c r="O6432" s="2">
        <f ca="1"/>
        <v>-0.4764643137957042</v>
      </c>
      <c r="X6432" s="2">
        <f ca="1"/>
        <v>55.018457191918571</v>
      </c>
      <c r="AG6432" s="2">
        <f ca="1"/>
        <v>0.87037214794130069</v>
      </c>
      <c r="AH6432" s="2" t="str">
        <f ca="1"/>
        <v>Bad</v>
      </c>
    </row>
    <row r="6433" spans="2:34" x14ac:dyDescent="0.2">
      <c r="B6433" s="2">
        <f ca="1"/>
        <v>0.96819864872939032</v>
      </c>
      <c r="O6433" s="2">
        <f ca="1"/>
        <v>-2.0089059791143296</v>
      </c>
      <c r="X6433" s="2">
        <f ca="1"/>
        <v>27.846186787520061</v>
      </c>
      <c r="AG6433" s="2">
        <f ca="1"/>
        <v>0.54601754681335901</v>
      </c>
      <c r="AH6433" s="2" t="str">
        <f ca="1"/>
        <v>Bad</v>
      </c>
    </row>
    <row r="6434" spans="2:34" x14ac:dyDescent="0.2">
      <c r="B6434" s="2">
        <f ca="1"/>
        <v>0.26792112302400306</v>
      </c>
      <c r="O6434" s="2">
        <f ca="1"/>
        <v>0.53955880940102852</v>
      </c>
      <c r="X6434" s="2">
        <f ca="1"/>
        <v>22.06746815215557</v>
      </c>
      <c r="AG6434" s="2">
        <f ca="1"/>
        <v>0.82342809791033478</v>
      </c>
      <c r="AH6434" s="2" t="str">
        <f ca="1"/>
        <v>Bad</v>
      </c>
    </row>
    <row r="6435" spans="2:34" x14ac:dyDescent="0.2">
      <c r="B6435" s="2">
        <f ca="1"/>
        <v>0.99422537749091022</v>
      </c>
      <c r="O6435" s="2">
        <f ca="1"/>
        <v>0.77696879541964003</v>
      </c>
      <c r="X6435" s="2">
        <f ca="1"/>
        <v>59.923466855314345</v>
      </c>
      <c r="AG6435" s="2">
        <f ca="1"/>
        <v>0.46087930110404574</v>
      </c>
      <c r="AH6435" s="2" t="str">
        <f ca="1"/>
        <v>Bad</v>
      </c>
    </row>
    <row r="6436" spans="2:34" x14ac:dyDescent="0.2">
      <c r="B6436" s="2">
        <f ca="1"/>
        <v>0.90581288971425944</v>
      </c>
      <c r="O6436" s="2">
        <f ca="1"/>
        <v>-0.58122756070407555</v>
      </c>
      <c r="X6436" s="2">
        <f ca="1"/>
        <v>25.465971391731721</v>
      </c>
      <c r="AG6436" s="2">
        <f ca="1"/>
        <v>0.94518810396006847</v>
      </c>
      <c r="AH6436" s="2" t="str">
        <f ca="1"/>
        <v>Bad</v>
      </c>
    </row>
    <row r="6437" spans="2:34" x14ac:dyDescent="0.2">
      <c r="B6437" s="2">
        <f ca="1"/>
        <v>0.40235654215563166</v>
      </c>
      <c r="O6437" s="2">
        <f ca="1"/>
        <v>0.4541932456843577</v>
      </c>
      <c r="X6437" s="2">
        <f ca="1"/>
        <v>96.875068507664878</v>
      </c>
      <c r="AG6437" s="2">
        <f ca="1"/>
        <v>0.71339228459866466</v>
      </c>
      <c r="AH6437" s="2" t="str">
        <f ca="1"/>
        <v>Bad</v>
      </c>
    </row>
    <row r="6438" spans="2:34" x14ac:dyDescent="0.2">
      <c r="B6438" s="2">
        <f ca="1"/>
        <v>0.34539236509944371</v>
      </c>
      <c r="O6438" s="2">
        <f ca="1"/>
        <v>-0.10241189829143892</v>
      </c>
      <c r="X6438" s="2">
        <f ca="1"/>
        <v>46.221335865701221</v>
      </c>
      <c r="AG6438" s="2">
        <f ca="1"/>
        <v>0.45003779201240679</v>
      </c>
      <c r="AH6438" s="2" t="str">
        <f ca="1"/>
        <v>Bad</v>
      </c>
    </row>
    <row r="6439" spans="2:34" x14ac:dyDescent="0.2">
      <c r="B6439" s="2">
        <f ca="1"/>
        <v>0.87455786051430517</v>
      </c>
      <c r="O6439" s="2">
        <f ca="1"/>
        <v>1.2443504535659347</v>
      </c>
      <c r="X6439" s="2">
        <f ca="1"/>
        <v>25.995407910311343</v>
      </c>
      <c r="AG6439" s="2">
        <f ca="1"/>
        <v>0.59914738376663279</v>
      </c>
      <c r="AH6439" s="2" t="str">
        <f ca="1"/>
        <v>Bad</v>
      </c>
    </row>
    <row r="6440" spans="2:34" x14ac:dyDescent="0.2">
      <c r="B6440" s="2">
        <f ca="1"/>
        <v>0.98005201082563542</v>
      </c>
      <c r="O6440" s="2">
        <f ca="1"/>
        <v>0.13692901377740857</v>
      </c>
      <c r="X6440" s="2">
        <f ca="1"/>
        <v>36.661724147935736</v>
      </c>
      <c r="AG6440" s="2">
        <f ca="1"/>
        <v>0.85221786014786982</v>
      </c>
      <c r="AH6440" s="2" t="str">
        <f ca="1"/>
        <v>Bad</v>
      </c>
    </row>
    <row r="6441" spans="2:34" x14ac:dyDescent="0.2">
      <c r="B6441" s="2">
        <f ca="1"/>
        <v>0.59084597532385463</v>
      </c>
      <c r="O6441" s="2">
        <f ca="1"/>
        <v>3.504703377701766</v>
      </c>
      <c r="X6441" s="2">
        <f ca="1"/>
        <v>51.49510842962804</v>
      </c>
      <c r="AG6441" s="2">
        <f ca="1"/>
        <v>0.10787742152518698</v>
      </c>
      <c r="AH6441" s="2" t="str">
        <f ca="1"/>
        <v>OK</v>
      </c>
    </row>
    <row r="6442" spans="2:34" x14ac:dyDescent="0.2">
      <c r="B6442" s="2">
        <f ca="1"/>
        <v>0.64450353548147143</v>
      </c>
      <c r="O6442" s="2">
        <f ca="1"/>
        <v>1.1353974342593671</v>
      </c>
      <c r="X6442" s="2">
        <f ca="1"/>
        <v>57.020105056469788</v>
      </c>
      <c r="AG6442" s="2">
        <f ca="1"/>
        <v>0.73111634297593087</v>
      </c>
      <c r="AH6442" s="2" t="str">
        <f ca="1"/>
        <v>Bad</v>
      </c>
    </row>
    <row r="6443" spans="2:34" x14ac:dyDescent="0.2">
      <c r="B6443" s="2">
        <f ca="1"/>
        <v>0.70241792693291871</v>
      </c>
      <c r="O6443" s="2">
        <f ca="1"/>
        <v>-0.64580757853876547</v>
      </c>
      <c r="X6443" s="2">
        <f ca="1"/>
        <v>75.089407105171489</v>
      </c>
      <c r="AG6443" s="2">
        <f ca="1"/>
        <v>0.57169531120719363</v>
      </c>
      <c r="AH6443" s="2" t="str">
        <f ca="1"/>
        <v>Bad</v>
      </c>
    </row>
    <row r="6444" spans="2:34" x14ac:dyDescent="0.2">
      <c r="B6444" s="2">
        <f ca="1"/>
        <v>0.68806522451754759</v>
      </c>
      <c r="O6444" s="2">
        <f ca="1"/>
        <v>1.3188472117352168</v>
      </c>
      <c r="X6444" s="2">
        <f ca="1"/>
        <v>32.755076339538</v>
      </c>
      <c r="AG6444" s="2">
        <f ca="1"/>
        <v>0.66866533242687121</v>
      </c>
      <c r="AH6444" s="2" t="str">
        <f ca="1"/>
        <v>Bad</v>
      </c>
    </row>
    <row r="6445" spans="2:34" x14ac:dyDescent="0.2">
      <c r="B6445" s="2">
        <f ca="1"/>
        <v>0.66199481840491692</v>
      </c>
      <c r="O6445" s="2">
        <f ca="1"/>
        <v>0.22206815152211112</v>
      </c>
      <c r="X6445" s="2">
        <f ca="1"/>
        <v>88.315143430812526</v>
      </c>
      <c r="AG6445" s="2">
        <f ca="1"/>
        <v>0.2065248670218105</v>
      </c>
      <c r="AH6445" s="2" t="str">
        <f ca="1"/>
        <v>OK</v>
      </c>
    </row>
    <row r="6446" spans="2:34" x14ac:dyDescent="0.2">
      <c r="B6446" s="2">
        <f ca="1"/>
        <v>0.98758689948083478</v>
      </c>
      <c r="O6446" s="2">
        <f ca="1"/>
        <v>0.31418157514830219</v>
      </c>
      <c r="X6446" s="2">
        <f ca="1"/>
        <v>62.008959559388082</v>
      </c>
      <c r="AG6446" s="2">
        <f ca="1"/>
        <v>0.93118209539049923</v>
      </c>
      <c r="AH6446" s="2" t="str">
        <f ca="1"/>
        <v>Bad</v>
      </c>
    </row>
    <row r="6447" spans="2:34" x14ac:dyDescent="0.2">
      <c r="B6447" s="2">
        <f ca="1"/>
        <v>0.3934047571968915</v>
      </c>
      <c r="O6447" s="2">
        <f ca="1"/>
        <v>-0.32385843609658516</v>
      </c>
      <c r="X6447" s="2">
        <f ca="1"/>
        <v>23.204539907213967</v>
      </c>
      <c r="AG6447" s="2">
        <f ca="1"/>
        <v>0.11892741557117148</v>
      </c>
      <c r="AH6447" s="2" t="str">
        <f ca="1"/>
        <v>OK</v>
      </c>
    </row>
    <row r="6448" spans="2:34" x14ac:dyDescent="0.2">
      <c r="B6448" s="2">
        <f ca="1"/>
        <v>8.4625734785848117E-2</v>
      </c>
      <c r="O6448" s="2">
        <f ca="1"/>
        <v>0.66272141978838939</v>
      </c>
      <c r="X6448" s="2">
        <f ca="1"/>
        <v>37.900759782362783</v>
      </c>
      <c r="AG6448" s="2">
        <f ca="1"/>
        <v>0.24665169697485023</v>
      </c>
      <c r="AH6448" s="2" t="str">
        <f ca="1"/>
        <v>OK</v>
      </c>
    </row>
    <row r="6449" spans="2:34" x14ac:dyDescent="0.2">
      <c r="B6449" s="2">
        <f ca="1"/>
        <v>0.93368420629929094</v>
      </c>
      <c r="O6449" s="2">
        <f ca="1"/>
        <v>2.6740370723995203E-2</v>
      </c>
      <c r="X6449" s="2">
        <f ca="1"/>
        <v>62.355572675202012</v>
      </c>
      <c r="AG6449" s="2">
        <f ca="1"/>
        <v>0.76333440347353698</v>
      </c>
      <c r="AH6449" s="2" t="str">
        <f ca="1"/>
        <v>Bad</v>
      </c>
    </row>
    <row r="6450" spans="2:34" x14ac:dyDescent="0.2">
      <c r="B6450" s="2">
        <f ca="1"/>
        <v>0.61291726683621661</v>
      </c>
      <c r="O6450" s="2">
        <f ca="1"/>
        <v>3.1748354892241655E-2</v>
      </c>
      <c r="X6450" s="2">
        <f ca="1"/>
        <v>26.284487714757336</v>
      </c>
      <c r="AG6450" s="2">
        <f ca="1"/>
        <v>0.38366980896976055</v>
      </c>
      <c r="AH6450" s="2" t="str">
        <f ca="1"/>
        <v>OK</v>
      </c>
    </row>
    <row r="6451" spans="2:34" x14ac:dyDescent="0.2">
      <c r="B6451" s="2">
        <f ca="1"/>
        <v>0.48032059339053723</v>
      </c>
      <c r="O6451" s="2">
        <f ca="1"/>
        <v>2.7152991649074196</v>
      </c>
      <c r="X6451" s="2">
        <f ca="1"/>
        <v>49.045411439191341</v>
      </c>
      <c r="AG6451" s="2">
        <f ca="1"/>
        <v>0.93217252367214387</v>
      </c>
      <c r="AH6451" s="2" t="str">
        <f ca="1"/>
        <v>Bad</v>
      </c>
    </row>
    <row r="6452" spans="2:34" x14ac:dyDescent="0.2">
      <c r="B6452" s="2">
        <f ca="1"/>
        <v>0.72241286233889568</v>
      </c>
      <c r="O6452" s="2">
        <f ca="1"/>
        <v>0.65968977566080922</v>
      </c>
      <c r="X6452" s="2">
        <f ca="1"/>
        <v>55.833514670924309</v>
      </c>
      <c r="AG6452" s="2">
        <f ca="1"/>
        <v>0.74173737594687261</v>
      </c>
      <c r="AH6452" s="2" t="str">
        <f ca="1"/>
        <v>Bad</v>
      </c>
    </row>
    <row r="6453" spans="2:34" x14ac:dyDescent="0.2">
      <c r="B6453" s="2">
        <f ca="1"/>
        <v>0.7931381739010992</v>
      </c>
      <c r="O6453" s="2">
        <f ca="1"/>
        <v>0.93102586507008578</v>
      </c>
      <c r="X6453" s="2">
        <f ca="1"/>
        <v>49.698892557300383</v>
      </c>
      <c r="AG6453" s="2">
        <f ca="1"/>
        <v>0.59326010480879132</v>
      </c>
      <c r="AH6453" s="2" t="str">
        <f ca="1"/>
        <v>Bad</v>
      </c>
    </row>
    <row r="6454" spans="2:34" x14ac:dyDescent="0.2">
      <c r="B6454" s="2">
        <f ca="1"/>
        <v>0.87438269495482657</v>
      </c>
      <c r="O6454" s="2">
        <f ca="1"/>
        <v>1.965375031627095</v>
      </c>
      <c r="X6454" s="2">
        <f ca="1"/>
        <v>34.957960303940638</v>
      </c>
      <c r="AG6454" s="2">
        <f ca="1"/>
        <v>0.38312717393825357</v>
      </c>
      <c r="AH6454" s="2" t="str">
        <f ca="1"/>
        <v>OK</v>
      </c>
    </row>
    <row r="6455" spans="2:34" x14ac:dyDescent="0.2">
      <c r="B6455" s="2">
        <f ca="1"/>
        <v>4.8236715864109714E-2</v>
      </c>
      <c r="O6455" s="2">
        <f ca="1"/>
        <v>-0.7877731099208336</v>
      </c>
      <c r="X6455" s="2">
        <f ca="1"/>
        <v>54.042290651094298</v>
      </c>
      <c r="AG6455" s="2">
        <f ca="1"/>
        <v>0.35022437494287018</v>
      </c>
      <c r="AH6455" s="2" t="str">
        <f ca="1"/>
        <v>OK</v>
      </c>
    </row>
    <row r="6456" spans="2:34" x14ac:dyDescent="0.2">
      <c r="B6456" s="2">
        <f ca="1"/>
        <v>0.22344461947860816</v>
      </c>
      <c r="O6456" s="2">
        <f ca="1"/>
        <v>-0.24418295038272225</v>
      </c>
      <c r="X6456" s="2">
        <f ca="1"/>
        <v>33.613725671873425</v>
      </c>
      <c r="AG6456" s="2">
        <f ca="1"/>
        <v>0.89638894896694765</v>
      </c>
      <c r="AH6456" s="2" t="str">
        <f ca="1"/>
        <v>Bad</v>
      </c>
    </row>
    <row r="6457" spans="2:34" x14ac:dyDescent="0.2">
      <c r="B6457" s="2">
        <f ca="1"/>
        <v>0.3956796992561229</v>
      </c>
      <c r="O6457" s="2">
        <f ca="1"/>
        <v>7.5669931702182766E-2</v>
      </c>
      <c r="X6457" s="2">
        <f ca="1"/>
        <v>63.295100677583505</v>
      </c>
      <c r="AG6457" s="2">
        <f ca="1"/>
        <v>0.94087688694766447</v>
      </c>
      <c r="AH6457" s="2" t="str">
        <f ca="1"/>
        <v>Bad</v>
      </c>
    </row>
    <row r="6458" spans="2:34" x14ac:dyDescent="0.2">
      <c r="B6458" s="2">
        <f ca="1"/>
        <v>0.81052756381102276</v>
      </c>
      <c r="O6458" s="2">
        <f ca="1"/>
        <v>0.96502305339175332</v>
      </c>
      <c r="X6458" s="2">
        <f ca="1"/>
        <v>56.592187361499469</v>
      </c>
      <c r="AG6458" s="2">
        <f ca="1"/>
        <v>0.94594013321634907</v>
      </c>
      <c r="AH6458" s="2" t="str">
        <f ca="1"/>
        <v>Bad</v>
      </c>
    </row>
    <row r="6459" spans="2:34" x14ac:dyDescent="0.2">
      <c r="B6459" s="2">
        <f ca="1"/>
        <v>0.61915717295494344</v>
      </c>
      <c r="O6459" s="2">
        <f ca="1"/>
        <v>-0.85456725205599859</v>
      </c>
      <c r="X6459" s="2">
        <f ca="1"/>
        <v>28.602228786573445</v>
      </c>
      <c r="AG6459" s="2">
        <f ca="1"/>
        <v>4.5732858986488489E-2</v>
      </c>
      <c r="AH6459" s="2" t="str">
        <f ca="1"/>
        <v>Good</v>
      </c>
    </row>
    <row r="6460" spans="2:34" x14ac:dyDescent="0.2">
      <c r="B6460" s="2">
        <f ca="1"/>
        <v>0.65712780212085797</v>
      </c>
      <c r="O6460" s="2">
        <f ca="1"/>
        <v>-2.534118167453177</v>
      </c>
      <c r="X6460" s="2">
        <f ca="1"/>
        <v>51.401396573179774</v>
      </c>
      <c r="AG6460" s="2">
        <f ca="1"/>
        <v>0.373548405448618</v>
      </c>
      <c r="AH6460" s="2" t="str">
        <f ca="1"/>
        <v>OK</v>
      </c>
    </row>
    <row r="6461" spans="2:34" x14ac:dyDescent="0.2">
      <c r="B6461" s="2">
        <f ca="1"/>
        <v>0.90550634984798473</v>
      </c>
      <c r="O6461" s="2">
        <f ca="1"/>
        <v>1.0240717652983786</v>
      </c>
      <c r="X6461" s="2">
        <f ca="1"/>
        <v>57.965922383892241</v>
      </c>
      <c r="AG6461" s="2">
        <f ca="1"/>
        <v>0.52662680166914266</v>
      </c>
      <c r="AH6461" s="2" t="str">
        <f ca="1"/>
        <v>Bad</v>
      </c>
    </row>
    <row r="6462" spans="2:34" x14ac:dyDescent="0.2">
      <c r="B6462" s="2">
        <f ca="1"/>
        <v>0.34965743465991816</v>
      </c>
      <c r="O6462" s="2">
        <f ca="1"/>
        <v>0.9001382750339435</v>
      </c>
      <c r="X6462" s="2">
        <f ca="1"/>
        <v>43.771693328566393</v>
      </c>
      <c r="AG6462" s="2">
        <f ca="1"/>
        <v>0.73079748252932197</v>
      </c>
      <c r="AH6462" s="2" t="str">
        <f ca="1"/>
        <v>Bad</v>
      </c>
    </row>
    <row r="6463" spans="2:34" x14ac:dyDescent="0.2">
      <c r="B6463" s="2">
        <f ca="1"/>
        <v>0.91620233231047288</v>
      </c>
      <c r="O6463" s="2">
        <f ca="1"/>
        <v>0.51465957367320025</v>
      </c>
      <c r="X6463" s="2">
        <f ca="1"/>
        <v>70.725415506505982</v>
      </c>
      <c r="AG6463" s="2">
        <f ca="1"/>
        <v>0.68871172865788899</v>
      </c>
      <c r="AH6463" s="2" t="str">
        <f ca="1"/>
        <v>Bad</v>
      </c>
    </row>
    <row r="6464" spans="2:34" x14ac:dyDescent="0.2">
      <c r="B6464" s="2">
        <f ca="1"/>
        <v>0.79005083417577104</v>
      </c>
      <c r="O6464" s="2">
        <f ca="1"/>
        <v>1.0565245499261327</v>
      </c>
      <c r="X6464" s="2">
        <f ca="1"/>
        <v>48.515248997373341</v>
      </c>
      <c r="AG6464" s="2">
        <f ca="1"/>
        <v>0.3577388386475111</v>
      </c>
      <c r="AH6464" s="2" t="str">
        <f ca="1"/>
        <v>OK</v>
      </c>
    </row>
    <row r="6465" spans="2:34" x14ac:dyDescent="0.2">
      <c r="B6465" s="2">
        <f ca="1"/>
        <v>0.50539031404882828</v>
      </c>
      <c r="O6465" s="2">
        <f ca="1"/>
        <v>0.40675737503224435</v>
      </c>
      <c r="X6465" s="2">
        <f ca="1"/>
        <v>48.536270123815029</v>
      </c>
      <c r="AG6465" s="2">
        <f ca="1"/>
        <v>0.99504972508902756</v>
      </c>
      <c r="AH6465" s="2" t="str">
        <f ca="1"/>
        <v>Bad</v>
      </c>
    </row>
    <row r="6466" spans="2:34" x14ac:dyDescent="0.2">
      <c r="B6466" s="2">
        <f ca="1"/>
        <v>0.38547407024290381</v>
      </c>
      <c r="O6466" s="2">
        <f ca="1"/>
        <v>-0.36233631580342152</v>
      </c>
      <c r="X6466" s="2">
        <f ca="1"/>
        <v>51.146387002802754</v>
      </c>
      <c r="AG6466" s="2">
        <f ca="1"/>
        <v>0.50603300732323753</v>
      </c>
      <c r="AH6466" s="2" t="str">
        <f ca="1"/>
        <v>Bad</v>
      </c>
    </row>
    <row r="6467" spans="2:34" x14ac:dyDescent="0.2">
      <c r="B6467" s="2">
        <f ca="1"/>
        <v>0.80157695001763773</v>
      </c>
      <c r="O6467" s="2">
        <f ca="1"/>
        <v>0.83170858095979616</v>
      </c>
      <c r="X6467" s="2">
        <f ca="1"/>
        <v>59.798299668852721</v>
      </c>
      <c r="AG6467" s="2">
        <f ca="1"/>
        <v>4.3934582721608439E-2</v>
      </c>
      <c r="AH6467" s="2" t="str">
        <f ca="1"/>
        <v>Good</v>
      </c>
    </row>
    <row r="6468" spans="2:34" x14ac:dyDescent="0.2">
      <c r="B6468" s="2">
        <f ca="1"/>
        <v>6.3545114895425803E-2</v>
      </c>
      <c r="O6468" s="2">
        <f ca="1"/>
        <v>-1.4731773909629817</v>
      </c>
      <c r="X6468" s="2">
        <f ca="1"/>
        <v>30.293180998378972</v>
      </c>
      <c r="AG6468" s="2">
        <f ca="1"/>
        <v>0.72936702483066118</v>
      </c>
      <c r="AH6468" s="2" t="str">
        <f ca="1"/>
        <v>Bad</v>
      </c>
    </row>
    <row r="6469" spans="2:34" x14ac:dyDescent="0.2">
      <c r="B6469" s="2">
        <f ca="1"/>
        <v>0.47834198043903542</v>
      </c>
      <c r="O6469" s="2">
        <f ca="1"/>
        <v>-1.6553698350326211</v>
      </c>
      <c r="X6469" s="2">
        <f ca="1"/>
        <v>61.142606914927541</v>
      </c>
      <c r="AG6469" s="2">
        <f ca="1"/>
        <v>0.24537635851947126</v>
      </c>
      <c r="AH6469" s="2" t="str">
        <f ca="1"/>
        <v>OK</v>
      </c>
    </row>
    <row r="6470" spans="2:34" x14ac:dyDescent="0.2">
      <c r="B6470" s="2">
        <f ca="1"/>
        <v>0.73950278224559551</v>
      </c>
      <c r="O6470" s="2">
        <f ca="1"/>
        <v>0.44188747913870741</v>
      </c>
      <c r="X6470" s="2">
        <f ca="1"/>
        <v>68.456749741875839</v>
      </c>
      <c r="AG6470" s="2">
        <f ca="1"/>
        <v>6.5018153549822877E-4</v>
      </c>
      <c r="AH6470" s="2" t="str">
        <f ca="1"/>
        <v>Good</v>
      </c>
    </row>
    <row r="6471" spans="2:34" x14ac:dyDescent="0.2">
      <c r="B6471" s="2">
        <f ca="1"/>
        <v>0.1297618074046627</v>
      </c>
      <c r="O6471" s="2">
        <f ca="1"/>
        <v>0.21145931144930719</v>
      </c>
      <c r="X6471" s="2">
        <f ca="1"/>
        <v>52.006323665094179</v>
      </c>
      <c r="AG6471" s="2">
        <f ca="1"/>
        <v>0.74015060931827503</v>
      </c>
      <c r="AH6471" s="2" t="str">
        <f ca="1"/>
        <v>Bad</v>
      </c>
    </row>
    <row r="6472" spans="2:34" x14ac:dyDescent="0.2">
      <c r="B6472" s="2">
        <f ca="1"/>
        <v>0.75712466787835475</v>
      </c>
      <c r="O6472" s="2">
        <f ca="1"/>
        <v>1.5509857599555865</v>
      </c>
      <c r="X6472" s="2">
        <f ca="1"/>
        <v>46.057232601784541</v>
      </c>
      <c r="AG6472" s="2">
        <f ca="1"/>
        <v>0.71551108131107966</v>
      </c>
      <c r="AH6472" s="2" t="str">
        <f ca="1"/>
        <v>Bad</v>
      </c>
    </row>
    <row r="6473" spans="2:34" x14ac:dyDescent="0.2">
      <c r="B6473" s="2">
        <f ca="1"/>
        <v>0.64608937517649756</v>
      </c>
      <c r="O6473" s="2">
        <f ca="1"/>
        <v>0.33356341802058975</v>
      </c>
      <c r="X6473" s="2">
        <f ca="1"/>
        <v>69.620016570846317</v>
      </c>
      <c r="AG6473" s="2">
        <f ca="1"/>
        <v>0.53827887328845314</v>
      </c>
      <c r="AH6473" s="2" t="str">
        <f ca="1"/>
        <v>Bad</v>
      </c>
    </row>
    <row r="6474" spans="2:34" x14ac:dyDescent="0.2">
      <c r="B6474" s="2">
        <f ca="1"/>
        <v>0.62036289337283246</v>
      </c>
      <c r="O6474" s="2">
        <f ca="1"/>
        <v>0.78370636766416923</v>
      </c>
      <c r="X6474" s="2">
        <f ca="1"/>
        <v>41.764685375656782</v>
      </c>
      <c r="AG6474" s="2">
        <f ca="1"/>
        <v>0.80408915037517792</v>
      </c>
      <c r="AH6474" s="2" t="str">
        <f ca="1"/>
        <v>Bad</v>
      </c>
    </row>
    <row r="6475" spans="2:34" x14ac:dyDescent="0.2">
      <c r="B6475" s="2">
        <f ca="1"/>
        <v>9.9032867240207434E-2</v>
      </c>
      <c r="O6475" s="2">
        <f ca="1"/>
        <v>0.14600183918831794</v>
      </c>
      <c r="X6475" s="2">
        <f ca="1"/>
        <v>22.740357817974974</v>
      </c>
      <c r="AG6475" s="2">
        <f ca="1"/>
        <v>0.20044454908487697</v>
      </c>
      <c r="AH6475" s="2" t="str">
        <f ca="1"/>
        <v>OK</v>
      </c>
    </row>
    <row r="6476" spans="2:34" x14ac:dyDescent="0.2">
      <c r="B6476" s="2">
        <f ca="1"/>
        <v>0.36990036626715583</v>
      </c>
      <c r="O6476" s="2">
        <f ca="1"/>
        <v>-0.490075986300674</v>
      </c>
      <c r="X6476" s="2">
        <f ca="1"/>
        <v>38.07121847291689</v>
      </c>
      <c r="AG6476" s="2">
        <f ca="1"/>
        <v>0.17346152568862783</v>
      </c>
      <c r="AH6476" s="2" t="str">
        <f ca="1"/>
        <v>OK</v>
      </c>
    </row>
    <row r="6477" spans="2:34" x14ac:dyDescent="0.2">
      <c r="B6477" s="2">
        <f ca="1"/>
        <v>0.28442231450967337</v>
      </c>
      <c r="O6477" s="2">
        <f ca="1"/>
        <v>0.47794069711843695</v>
      </c>
      <c r="X6477" s="2">
        <f ca="1"/>
        <v>71.260879016515773</v>
      </c>
      <c r="AG6477" s="2">
        <f ca="1"/>
        <v>0.35392928116840161</v>
      </c>
      <c r="AH6477" s="2" t="str">
        <f ca="1"/>
        <v>OK</v>
      </c>
    </row>
    <row r="6478" spans="2:34" x14ac:dyDescent="0.2">
      <c r="B6478" s="2">
        <f ca="1"/>
        <v>0.82990746636075774</v>
      </c>
      <c r="O6478" s="2">
        <f ca="1"/>
        <v>-0.16700994019125598</v>
      </c>
      <c r="X6478" s="2">
        <f ca="1"/>
        <v>20.396066910690728</v>
      </c>
      <c r="AG6478" s="2">
        <f ca="1"/>
        <v>0.55083635893085314</v>
      </c>
      <c r="AH6478" s="2" t="str">
        <f ca="1"/>
        <v>Bad</v>
      </c>
    </row>
    <row r="6479" spans="2:34" x14ac:dyDescent="0.2">
      <c r="B6479" s="2">
        <f ca="1"/>
        <v>6.9681214855990214E-2</v>
      </c>
      <c r="O6479" s="2">
        <f ca="1"/>
        <v>0.17771873718656905</v>
      </c>
      <c r="X6479" s="2">
        <f ca="1"/>
        <v>70.503086394272316</v>
      </c>
      <c r="AG6479" s="2">
        <f ca="1"/>
        <v>0.3592069699207141</v>
      </c>
      <c r="AH6479" s="2" t="str">
        <f ca="1"/>
        <v>OK</v>
      </c>
    </row>
    <row r="6480" spans="2:34" x14ac:dyDescent="0.2">
      <c r="B6480" s="2">
        <f ca="1"/>
        <v>0.5104957070707723</v>
      </c>
      <c r="O6480" s="2">
        <f ca="1"/>
        <v>1.6733327756614211</v>
      </c>
      <c r="X6480" s="2">
        <f ca="1"/>
        <v>55.83138295702944</v>
      </c>
      <c r="AG6480" s="2">
        <f ca="1"/>
        <v>0.15106784251158034</v>
      </c>
      <c r="AH6480" s="2" t="str">
        <f ca="1"/>
        <v>OK</v>
      </c>
    </row>
    <row r="6481" spans="2:34" x14ac:dyDescent="0.2">
      <c r="B6481" s="2">
        <f ca="1"/>
        <v>0.37177539742100629</v>
      </c>
      <c r="O6481" s="2">
        <f ca="1"/>
        <v>-1.3708248418738611</v>
      </c>
      <c r="X6481" s="2">
        <f ca="1"/>
        <v>49.605814680855893</v>
      </c>
      <c r="AG6481" s="2">
        <f ca="1"/>
        <v>0.25925556700253782</v>
      </c>
      <c r="AH6481" s="2" t="str">
        <f ca="1"/>
        <v>OK</v>
      </c>
    </row>
    <row r="6482" spans="2:34" x14ac:dyDescent="0.2">
      <c r="B6482" s="2">
        <f ca="1"/>
        <v>0.92727089653202488</v>
      </c>
      <c r="O6482" s="2">
        <f ca="1"/>
        <v>-1.0132155288677673</v>
      </c>
      <c r="X6482" s="2">
        <f ca="1"/>
        <v>102.02575462396769</v>
      </c>
      <c r="AG6482" s="2">
        <f ca="1"/>
        <v>0.55503622222058357</v>
      </c>
      <c r="AH6482" s="2" t="str">
        <f ca="1"/>
        <v>Bad</v>
      </c>
    </row>
    <row r="6483" spans="2:34" x14ac:dyDescent="0.2">
      <c r="B6483" s="2">
        <f ca="1"/>
        <v>0.47117305391590647</v>
      </c>
      <c r="O6483" s="2">
        <f ca="1"/>
        <v>-0.8377939540135787</v>
      </c>
      <c r="X6483" s="2">
        <f ca="1"/>
        <v>75.72847346455552</v>
      </c>
      <c r="AG6483" s="2">
        <f ca="1"/>
        <v>0.93189081089783676</v>
      </c>
      <c r="AH6483" s="2" t="str">
        <f ca="1"/>
        <v>Bad</v>
      </c>
    </row>
    <row r="6484" spans="2:34" x14ac:dyDescent="0.2">
      <c r="B6484" s="2">
        <f ca="1"/>
        <v>0.14977569762421639</v>
      </c>
      <c r="O6484" s="2">
        <f ca="1"/>
        <v>-0.46507759902692741</v>
      </c>
      <c r="X6484" s="2">
        <f ca="1"/>
        <v>61.795666484134799</v>
      </c>
      <c r="AG6484" s="2">
        <f ca="1"/>
        <v>8.4834469185326888E-2</v>
      </c>
      <c r="AH6484" s="2" t="str">
        <f ca="1"/>
        <v>OK</v>
      </c>
    </row>
    <row r="6485" spans="2:34" x14ac:dyDescent="0.2">
      <c r="B6485" s="2">
        <f ca="1"/>
        <v>0.74340652013534148</v>
      </c>
      <c r="O6485" s="2">
        <f ca="1"/>
        <v>0.97786860876850223</v>
      </c>
      <c r="X6485" s="2">
        <f ca="1"/>
        <v>61.223551940874472</v>
      </c>
      <c r="AG6485" s="2">
        <f ca="1"/>
        <v>0.30121554693355246</v>
      </c>
      <c r="AH6485" s="2" t="str">
        <f ca="1"/>
        <v>OK</v>
      </c>
    </row>
    <row r="6486" spans="2:34" x14ac:dyDescent="0.2">
      <c r="B6486" s="2">
        <f ca="1"/>
        <v>0.99000034270121229</v>
      </c>
      <c r="O6486" s="2">
        <f ca="1"/>
        <v>0.32741611231771944</v>
      </c>
      <c r="X6486" s="2">
        <f ca="1"/>
        <v>57.565769487277436</v>
      </c>
      <c r="AG6486" s="2">
        <f ca="1"/>
        <v>0.5667807370435054</v>
      </c>
      <c r="AH6486" s="2" t="str">
        <f ca="1"/>
        <v>Bad</v>
      </c>
    </row>
    <row r="6487" spans="2:34" x14ac:dyDescent="0.2">
      <c r="B6487" s="2">
        <f ca="1"/>
        <v>0.38097799411946931</v>
      </c>
      <c r="O6487" s="2">
        <f ca="1"/>
        <v>1.3844845648931898</v>
      </c>
      <c r="X6487" s="2">
        <f ca="1"/>
        <v>48.000754690040168</v>
      </c>
      <c r="AG6487" s="2">
        <f ca="1"/>
        <v>0.46673491592873728</v>
      </c>
      <c r="AH6487" s="2" t="str">
        <f ca="1"/>
        <v>Bad</v>
      </c>
    </row>
    <row r="6488" spans="2:34" x14ac:dyDescent="0.2">
      <c r="B6488" s="2">
        <f ca="1"/>
        <v>0.58268908062802494</v>
      </c>
      <c r="O6488" s="2">
        <f ca="1"/>
        <v>-0.77447671841609067</v>
      </c>
      <c r="X6488" s="2">
        <f ca="1"/>
        <v>55.428770399084037</v>
      </c>
      <c r="AG6488" s="2">
        <f ca="1"/>
        <v>0.24271194510008209</v>
      </c>
      <c r="AH6488" s="2" t="str">
        <f ca="1"/>
        <v>OK</v>
      </c>
    </row>
    <row r="6489" spans="2:34" x14ac:dyDescent="0.2">
      <c r="B6489" s="2">
        <f ca="1"/>
        <v>0.69433426814037547</v>
      </c>
      <c r="O6489" s="2">
        <f ca="1"/>
        <v>1.8712528164621789</v>
      </c>
      <c r="X6489" s="2">
        <f ca="1"/>
        <v>67.074745819311346</v>
      </c>
      <c r="AG6489" s="2">
        <f ca="1"/>
        <v>0.7614926083881921</v>
      </c>
      <c r="AH6489" s="2" t="str">
        <f ca="1"/>
        <v>Bad</v>
      </c>
    </row>
    <row r="6490" spans="2:34" x14ac:dyDescent="0.2">
      <c r="B6490" s="2">
        <f ca="1"/>
        <v>0.17176268199697797</v>
      </c>
      <c r="O6490" s="2">
        <f ca="1"/>
        <v>-0.57410968646515181</v>
      </c>
      <c r="X6490" s="2">
        <f ca="1"/>
        <v>40.574167971298294</v>
      </c>
      <c r="AG6490" s="2">
        <f ca="1"/>
        <v>0.36680324193244651</v>
      </c>
      <c r="AH6490" s="2" t="str">
        <f ca="1"/>
        <v>OK</v>
      </c>
    </row>
    <row r="6491" spans="2:34" x14ac:dyDescent="0.2">
      <c r="B6491" s="2">
        <f ca="1"/>
        <v>0.61733446310085838</v>
      </c>
      <c r="O6491" s="2">
        <f ca="1"/>
        <v>-0.40327091226791484</v>
      </c>
      <c r="X6491" s="2">
        <f ca="1"/>
        <v>64.338645084541639</v>
      </c>
      <c r="AG6491" s="2">
        <f ca="1"/>
        <v>0.51998455680842492</v>
      </c>
      <c r="AH6491" s="2" t="str">
        <f ca="1"/>
        <v>Bad</v>
      </c>
    </row>
    <row r="6492" spans="2:34" x14ac:dyDescent="0.2">
      <c r="B6492" s="2">
        <f ca="1"/>
        <v>4.1512475447089914E-2</v>
      </c>
      <c r="O6492" s="2">
        <f ca="1"/>
        <v>8.1832612083037382E-2</v>
      </c>
      <c r="X6492" s="2">
        <f ca="1"/>
        <v>60.487937361020059</v>
      </c>
      <c r="AG6492" s="2">
        <f ca="1"/>
        <v>0.99482083390950238</v>
      </c>
      <c r="AH6492" s="2" t="str">
        <f ca="1"/>
        <v>Bad</v>
      </c>
    </row>
    <row r="6493" spans="2:34" x14ac:dyDescent="0.2">
      <c r="B6493" s="2">
        <f ca="1"/>
        <v>0.26099219487382297</v>
      </c>
      <c r="O6493" s="2">
        <f ca="1"/>
        <v>0.13945987280165412</v>
      </c>
      <c r="X6493" s="2">
        <f ca="1"/>
        <v>46.068601436148541</v>
      </c>
      <c r="AG6493" s="2">
        <f ca="1"/>
        <v>0.34543590403013735</v>
      </c>
      <c r="AH6493" s="2" t="str">
        <f ca="1"/>
        <v>OK</v>
      </c>
    </row>
    <row r="6494" spans="2:34" x14ac:dyDescent="0.2">
      <c r="B6494" s="2">
        <f ca="1"/>
        <v>0.12618526182653778</v>
      </c>
      <c r="O6494" s="2">
        <f ca="1"/>
        <v>-0.45909441137092982</v>
      </c>
      <c r="X6494" s="2">
        <f ca="1"/>
        <v>40.426653811725373</v>
      </c>
      <c r="AG6494" s="2">
        <f ca="1"/>
        <v>0.54360627684751495</v>
      </c>
      <c r="AH6494" s="2" t="str">
        <f ca="1"/>
        <v>Bad</v>
      </c>
    </row>
    <row r="6495" spans="2:34" x14ac:dyDescent="0.2">
      <c r="B6495" s="2">
        <f ca="1"/>
        <v>0.24030090061744813</v>
      </c>
      <c r="O6495" s="2">
        <f ca="1"/>
        <v>4.4456531899670117E-2</v>
      </c>
      <c r="X6495" s="2">
        <f ca="1"/>
        <v>57.2256520162939</v>
      </c>
      <c r="AG6495" s="2">
        <f ca="1"/>
        <v>0.41522928073584553</v>
      </c>
      <c r="AH6495" s="2" t="str">
        <f ca="1"/>
        <v>Bad</v>
      </c>
    </row>
    <row r="6496" spans="2:34" x14ac:dyDescent="0.2">
      <c r="B6496" s="2">
        <f ca="1"/>
        <v>6.9406827667392257E-2</v>
      </c>
      <c r="O6496" s="2">
        <f ca="1"/>
        <v>1.6877292153367103</v>
      </c>
      <c r="X6496" s="2">
        <f ca="1"/>
        <v>36.305593195361084</v>
      </c>
      <c r="AG6496" s="2">
        <f ca="1"/>
        <v>0.49071285791572317</v>
      </c>
      <c r="AH6496" s="2" t="str">
        <f ca="1"/>
        <v>Bad</v>
      </c>
    </row>
    <row r="6497" spans="2:34" x14ac:dyDescent="0.2">
      <c r="B6497" s="2">
        <f ca="1"/>
        <v>0.9988083852094245</v>
      </c>
      <c r="O6497" s="2">
        <f ca="1"/>
        <v>1.5784432702358144</v>
      </c>
      <c r="X6497" s="2">
        <f ca="1"/>
        <v>68.732005221478801</v>
      </c>
      <c r="AG6497" s="2">
        <f ca="1"/>
        <v>0.79605778199679933</v>
      </c>
      <c r="AH6497" s="2" t="str">
        <f ca="1"/>
        <v>Bad</v>
      </c>
    </row>
    <row r="6498" spans="2:34" x14ac:dyDescent="0.2">
      <c r="B6498" s="2">
        <f ca="1"/>
        <v>0.77273412991516266</v>
      </c>
      <c r="O6498" s="2">
        <f ca="1"/>
        <v>-0.40038323741221882</v>
      </c>
      <c r="X6498" s="2">
        <f ca="1"/>
        <v>31.700701526671736</v>
      </c>
      <c r="AG6498" s="2">
        <f ca="1"/>
        <v>0.53014230162829934</v>
      </c>
      <c r="AH6498" s="2" t="str">
        <f ca="1"/>
        <v>Bad</v>
      </c>
    </row>
    <row r="6499" spans="2:34" x14ac:dyDescent="0.2">
      <c r="B6499" s="2">
        <f ca="1"/>
        <v>0.89386172342223036</v>
      </c>
      <c r="O6499" s="2">
        <f ca="1"/>
        <v>-2.5234791161127337E-2</v>
      </c>
      <c r="X6499" s="2">
        <f ca="1"/>
        <v>29.960913775624537</v>
      </c>
      <c r="AG6499" s="2">
        <f ca="1"/>
        <v>0.8805276311429151</v>
      </c>
      <c r="AH6499" s="2" t="str">
        <f ca="1"/>
        <v>Bad</v>
      </c>
    </row>
    <row r="6500" spans="2:34" x14ac:dyDescent="0.2">
      <c r="B6500" s="2">
        <f ca="1"/>
        <v>0.34813408195058004</v>
      </c>
      <c r="O6500" s="2">
        <f ca="1"/>
        <v>-0.90543216677624228</v>
      </c>
      <c r="X6500" s="2">
        <f ca="1"/>
        <v>88.609957446919765</v>
      </c>
      <c r="AG6500" s="2">
        <f ca="1"/>
        <v>0.60395715440151898</v>
      </c>
      <c r="AH6500" s="2" t="str">
        <f ca="1"/>
        <v>Bad</v>
      </c>
    </row>
    <row r="6501" spans="2:34" x14ac:dyDescent="0.2">
      <c r="B6501" s="2">
        <f ca="1"/>
        <v>0.44877642447484134</v>
      </c>
      <c r="O6501" s="2">
        <f ca="1"/>
        <v>1.0259737920747523</v>
      </c>
      <c r="X6501" s="2">
        <f ca="1"/>
        <v>35.923671545171118</v>
      </c>
      <c r="AG6501" s="2">
        <f ca="1"/>
        <v>0.88484915823187982</v>
      </c>
      <c r="AH6501" s="2" t="str">
        <f ca="1"/>
        <v>Bad</v>
      </c>
    </row>
    <row r="6502" spans="2:34" x14ac:dyDescent="0.2">
      <c r="B6502" s="2">
        <f ca="1"/>
        <v>0.78530443247135073</v>
      </c>
      <c r="O6502" s="2">
        <f ca="1"/>
        <v>-0.17176570000954508</v>
      </c>
      <c r="X6502" s="2">
        <f ca="1"/>
        <v>66.511629016026433</v>
      </c>
      <c r="AG6502" s="2">
        <f ca="1"/>
        <v>0.34708382223309964</v>
      </c>
      <c r="AH6502" s="2" t="str">
        <f ca="1"/>
        <v>OK</v>
      </c>
    </row>
    <row r="6503" spans="2:34" x14ac:dyDescent="0.2">
      <c r="B6503" s="2">
        <f ca="1"/>
        <v>3.9194649540034376E-2</v>
      </c>
      <c r="O6503" s="2">
        <f ca="1"/>
        <v>-0.85734565134391039</v>
      </c>
      <c r="X6503" s="2">
        <f ca="1"/>
        <v>69.455151834946236</v>
      </c>
      <c r="AG6503" s="2">
        <f ca="1"/>
        <v>0.54366762904057131</v>
      </c>
      <c r="AH6503" s="2" t="str">
        <f ca="1"/>
        <v>Bad</v>
      </c>
    </row>
    <row r="6504" spans="2:34" x14ac:dyDescent="0.2">
      <c r="B6504" s="2">
        <f ca="1"/>
        <v>0.52852812278274808</v>
      </c>
      <c r="O6504" s="2">
        <f ca="1"/>
        <v>-1.3438461335901484</v>
      </c>
      <c r="X6504" s="2">
        <f ca="1"/>
        <v>55.241826578138387</v>
      </c>
      <c r="AG6504" s="2">
        <f ca="1"/>
        <v>0.88720932769987915</v>
      </c>
      <c r="AH6504" s="2" t="str">
        <f ca="1"/>
        <v>Bad</v>
      </c>
    </row>
    <row r="6505" spans="2:34" x14ac:dyDescent="0.2">
      <c r="B6505" s="2">
        <f ca="1"/>
        <v>6.369709445449212E-2</v>
      </c>
      <c r="O6505" s="2">
        <f ca="1"/>
        <v>-0.48390373803784992</v>
      </c>
      <c r="X6505" s="2">
        <f ca="1"/>
        <v>48.903971599621499</v>
      </c>
      <c r="AG6505" s="2">
        <f ca="1"/>
        <v>0.66085650679355012</v>
      </c>
      <c r="AH6505" s="2" t="str">
        <f ca="1"/>
        <v>Bad</v>
      </c>
    </row>
    <row r="6506" spans="2:34" x14ac:dyDescent="0.2">
      <c r="B6506" s="2">
        <f ca="1"/>
        <v>0.35089207604096506</v>
      </c>
      <c r="O6506" s="2">
        <f ca="1"/>
        <v>0.65432079878201954</v>
      </c>
      <c r="X6506" s="2">
        <f ca="1"/>
        <v>58.967000682592037</v>
      </c>
      <c r="AG6506" s="2">
        <f ca="1"/>
        <v>0.96418922456828327</v>
      </c>
      <c r="AH6506" s="2" t="str">
        <f ca="1"/>
        <v>Bad</v>
      </c>
    </row>
    <row r="6507" spans="2:34" x14ac:dyDescent="0.2">
      <c r="B6507" s="2">
        <f ca="1"/>
        <v>4.8951666926848603E-3</v>
      </c>
      <c r="O6507" s="2">
        <f ca="1"/>
        <v>-5.405742844485404E-2</v>
      </c>
      <c r="X6507" s="2">
        <f ca="1"/>
        <v>30.366490925542987</v>
      </c>
      <c r="AG6507" s="2">
        <f ca="1"/>
        <v>0.78878828599747486</v>
      </c>
      <c r="AH6507" s="2" t="str">
        <f ca="1"/>
        <v>Bad</v>
      </c>
    </row>
    <row r="6508" spans="2:34" x14ac:dyDescent="0.2">
      <c r="B6508" s="2">
        <f ca="1"/>
        <v>3.703629728424529E-2</v>
      </c>
      <c r="O6508" s="2">
        <f ca="1"/>
        <v>-1.5615486553519298</v>
      </c>
      <c r="X6508" s="2">
        <f ca="1"/>
        <v>45.478104843061502</v>
      </c>
      <c r="AG6508" s="2">
        <f ca="1"/>
        <v>0.76108925176733444</v>
      </c>
      <c r="AH6508" s="2" t="str">
        <f ca="1"/>
        <v>Bad</v>
      </c>
    </row>
    <row r="6509" spans="2:34" x14ac:dyDescent="0.2">
      <c r="B6509" s="2">
        <f ca="1"/>
        <v>0.60314301012245664</v>
      </c>
      <c r="O6509" s="2">
        <f ca="1"/>
        <v>0.51776252392794719</v>
      </c>
      <c r="X6509" s="2">
        <f ca="1"/>
        <v>61.221539749760595</v>
      </c>
      <c r="AG6509" s="2">
        <f ca="1"/>
        <v>0.21012496952838866</v>
      </c>
      <c r="AH6509" s="2" t="str">
        <f ca="1"/>
        <v>OK</v>
      </c>
    </row>
    <row r="6510" spans="2:34" x14ac:dyDescent="0.2">
      <c r="B6510" s="2">
        <f ca="1"/>
        <v>0.13746340375540722</v>
      </c>
      <c r="O6510" s="2">
        <f ca="1"/>
        <v>-1.7908850352433532</v>
      </c>
      <c r="X6510" s="2">
        <f ca="1"/>
        <v>42.169116522240643</v>
      </c>
      <c r="AG6510" s="2">
        <f ca="1"/>
        <v>0.82392669342866998</v>
      </c>
      <c r="AH6510" s="2" t="str">
        <f ca="1"/>
        <v>Bad</v>
      </c>
    </row>
    <row r="6511" spans="2:34" x14ac:dyDescent="0.2">
      <c r="B6511" s="2">
        <f ca="1"/>
        <v>0.69915540657858233</v>
      </c>
      <c r="O6511" s="2">
        <f ca="1"/>
        <v>0.42517061830962072</v>
      </c>
      <c r="X6511" s="2">
        <f ca="1"/>
        <v>43.067049523525384</v>
      </c>
      <c r="AG6511" s="2">
        <f ca="1"/>
        <v>0.84306819544407419</v>
      </c>
      <c r="AH6511" s="2" t="str">
        <f ca="1"/>
        <v>Bad</v>
      </c>
    </row>
    <row r="6512" spans="2:34" x14ac:dyDescent="0.2">
      <c r="B6512" s="2">
        <f ca="1"/>
        <v>0.66786611629389414</v>
      </c>
      <c r="O6512" s="2">
        <f ca="1"/>
        <v>1.0038017748392938</v>
      </c>
      <c r="X6512" s="2">
        <f ca="1"/>
        <v>39.865657305056601</v>
      </c>
      <c r="AG6512" s="2">
        <f ca="1"/>
        <v>0.95372557902256938</v>
      </c>
      <c r="AH6512" s="2" t="str">
        <f ca="1"/>
        <v>Bad</v>
      </c>
    </row>
    <row r="6513" spans="2:34" x14ac:dyDescent="0.2">
      <c r="B6513" s="2">
        <f ca="1"/>
        <v>0.21729969676895822</v>
      </c>
      <c r="O6513" s="2">
        <f ca="1"/>
        <v>-0.46703889447230834</v>
      </c>
      <c r="X6513" s="2">
        <f ca="1"/>
        <v>57.002617233583813</v>
      </c>
      <c r="AG6513" s="2">
        <f ca="1"/>
        <v>5.6332775830693071E-2</v>
      </c>
      <c r="AH6513" s="2" t="str">
        <f ca="1"/>
        <v>OK</v>
      </c>
    </row>
    <row r="6514" spans="2:34" x14ac:dyDescent="0.2">
      <c r="B6514" s="2">
        <f ca="1"/>
        <v>0.66756368752073159</v>
      </c>
      <c r="O6514" s="2">
        <f ca="1"/>
        <v>5.7021395486353526E-3</v>
      </c>
      <c r="X6514" s="2">
        <f ca="1"/>
        <v>44.677612844060349</v>
      </c>
      <c r="AG6514" s="2">
        <f ca="1"/>
        <v>0.47569313615287712</v>
      </c>
      <c r="AH6514" s="2" t="str">
        <f ca="1"/>
        <v>Bad</v>
      </c>
    </row>
    <row r="6515" spans="2:34" x14ac:dyDescent="0.2">
      <c r="B6515" s="2">
        <f ca="1"/>
        <v>0.14639460514261304</v>
      </c>
      <c r="O6515" s="2">
        <f ca="1"/>
        <v>-0.13423196703218274</v>
      </c>
      <c r="X6515" s="2">
        <f ca="1"/>
        <v>37.518994334542732</v>
      </c>
      <c r="AG6515" s="2">
        <f ca="1"/>
        <v>0.8585871767230433</v>
      </c>
      <c r="AH6515" s="2" t="str">
        <f ca="1"/>
        <v>Bad</v>
      </c>
    </row>
    <row r="6516" spans="2:34" x14ac:dyDescent="0.2">
      <c r="B6516" s="2">
        <f ca="1"/>
        <v>0.8023813609894821</v>
      </c>
      <c r="O6516" s="2">
        <f ca="1"/>
        <v>-1.0378224028794283</v>
      </c>
      <c r="X6516" s="2">
        <f ca="1"/>
        <v>53.659811006602929</v>
      </c>
      <c r="AG6516" s="2">
        <f ca="1"/>
        <v>0.43593610856163822</v>
      </c>
      <c r="AH6516" s="2" t="str">
        <f ca="1"/>
        <v>Bad</v>
      </c>
    </row>
    <row r="6517" spans="2:34" x14ac:dyDescent="0.2">
      <c r="B6517" s="2">
        <f ca="1"/>
        <v>0.12122751319542857</v>
      </c>
      <c r="O6517" s="2">
        <f ca="1"/>
        <v>-0.27801671066366185</v>
      </c>
      <c r="X6517" s="2">
        <f ca="1"/>
        <v>43.94658454850385</v>
      </c>
      <c r="AG6517" s="2">
        <f ca="1"/>
        <v>0.97184506744094112</v>
      </c>
      <c r="AH6517" s="2" t="str">
        <f ca="1"/>
        <v>Bad</v>
      </c>
    </row>
    <row r="6518" spans="2:34" x14ac:dyDescent="0.2">
      <c r="B6518" s="2">
        <f ca="1"/>
        <v>0.93348460189470495</v>
      </c>
      <c r="O6518" s="2">
        <f ca="1"/>
        <v>1.6179562053959116</v>
      </c>
      <c r="X6518" s="2">
        <f ca="1"/>
        <v>34.378803253988067</v>
      </c>
      <c r="AG6518" s="2">
        <f ca="1"/>
        <v>0.86935443129126977</v>
      </c>
      <c r="AH6518" s="2" t="str">
        <f ca="1"/>
        <v>Bad</v>
      </c>
    </row>
    <row r="6519" spans="2:34" x14ac:dyDescent="0.2">
      <c r="B6519" s="2">
        <f ca="1"/>
        <v>9.1849633798464447E-2</v>
      </c>
      <c r="O6519" s="2">
        <f ca="1"/>
        <v>0.13800063768305026</v>
      </c>
      <c r="X6519" s="2">
        <f ca="1"/>
        <v>37.202013162564633</v>
      </c>
      <c r="AG6519" s="2">
        <f ca="1"/>
        <v>0.19083626075584736</v>
      </c>
      <c r="AH6519" s="2" t="str">
        <f ca="1"/>
        <v>OK</v>
      </c>
    </row>
    <row r="6520" spans="2:34" x14ac:dyDescent="0.2">
      <c r="B6520" s="2">
        <f ca="1"/>
        <v>0.10317969793641413</v>
      </c>
      <c r="O6520" s="2">
        <f ca="1"/>
        <v>0.17741283424334767</v>
      </c>
      <c r="X6520" s="2">
        <f ca="1"/>
        <v>24.710139502268827</v>
      </c>
      <c r="AG6520" s="2">
        <f ca="1"/>
        <v>0.80571563554803483</v>
      </c>
      <c r="AH6520" s="2" t="str">
        <f ca="1"/>
        <v>Bad</v>
      </c>
    </row>
    <row r="6521" spans="2:34" x14ac:dyDescent="0.2">
      <c r="B6521" s="2">
        <f ca="1"/>
        <v>0.19158906726786373</v>
      </c>
      <c r="O6521" s="2">
        <f ca="1"/>
        <v>-0.60525972580584209</v>
      </c>
      <c r="X6521" s="2">
        <f ca="1"/>
        <v>49.312419974320349</v>
      </c>
      <c r="AG6521" s="2">
        <f ca="1"/>
        <v>0.73854602179959006</v>
      </c>
      <c r="AH6521" s="2" t="str">
        <f ca="1"/>
        <v>Bad</v>
      </c>
    </row>
    <row r="6522" spans="2:34" x14ac:dyDescent="0.2">
      <c r="B6522" s="2">
        <f ca="1"/>
        <v>0.19085813799843243</v>
      </c>
      <c r="O6522" s="2">
        <f ca="1"/>
        <v>-2.0395063233359454</v>
      </c>
      <c r="X6522" s="2">
        <f ca="1"/>
        <v>39.205360782841275</v>
      </c>
      <c r="AG6522" s="2">
        <f ca="1"/>
        <v>0.1877501247268818</v>
      </c>
      <c r="AH6522" s="2" t="str">
        <f ca="1"/>
        <v>OK</v>
      </c>
    </row>
    <row r="6523" spans="2:34" x14ac:dyDescent="0.2">
      <c r="B6523" s="2">
        <f ca="1"/>
        <v>0.6156557023760969</v>
      </c>
      <c r="O6523" s="2">
        <f ca="1"/>
        <v>0.2596838403290056</v>
      </c>
      <c r="X6523" s="2">
        <f ca="1"/>
        <v>41.376052956301521</v>
      </c>
      <c r="AG6523" s="2">
        <f ca="1"/>
        <v>0.85786375605172349</v>
      </c>
      <c r="AH6523" s="2" t="str">
        <f ca="1"/>
        <v>Bad</v>
      </c>
    </row>
    <row r="6524" spans="2:34" x14ac:dyDescent="0.2">
      <c r="B6524" s="2">
        <f ca="1"/>
        <v>0.14971933246894897</v>
      </c>
      <c r="O6524" s="2">
        <f ca="1"/>
        <v>0.15787074243089172</v>
      </c>
      <c r="X6524" s="2">
        <f ca="1"/>
        <v>50.902998259665694</v>
      </c>
      <c r="AG6524" s="2">
        <f ca="1"/>
        <v>0.92167895597983329</v>
      </c>
      <c r="AH6524" s="2" t="str">
        <f ca="1"/>
        <v>Bad</v>
      </c>
    </row>
    <row r="6525" spans="2:34" x14ac:dyDescent="0.2">
      <c r="B6525" s="2">
        <f ca="1"/>
        <v>0.78777460063875937</v>
      </c>
      <c r="O6525" s="2">
        <f ca="1"/>
        <v>0.18691523813455857</v>
      </c>
      <c r="X6525" s="2">
        <f ca="1"/>
        <v>57.037011548050891</v>
      </c>
      <c r="AG6525" s="2">
        <f ca="1"/>
        <v>0.83111503159663358</v>
      </c>
      <c r="AH6525" s="2" t="str">
        <f ca="1"/>
        <v>Bad</v>
      </c>
    </row>
    <row r="6526" spans="2:34" x14ac:dyDescent="0.2">
      <c r="B6526" s="2">
        <f ca="1"/>
        <v>0.91286392273996309</v>
      </c>
      <c r="O6526" s="2">
        <f ca="1"/>
        <v>-0.14823303855421782</v>
      </c>
      <c r="X6526" s="2">
        <f ca="1"/>
        <v>65.992511659373051</v>
      </c>
      <c r="AG6526" s="2">
        <f ca="1"/>
        <v>0.12140841103790634</v>
      </c>
      <c r="AH6526" s="2" t="str">
        <f ca="1"/>
        <v>OK</v>
      </c>
    </row>
    <row r="6527" spans="2:34" x14ac:dyDescent="0.2">
      <c r="B6527" s="2">
        <f ca="1"/>
        <v>0.77565989430467508</v>
      </c>
      <c r="O6527" s="2">
        <f ca="1"/>
        <v>-0.87638552175530271</v>
      </c>
      <c r="X6527" s="2">
        <f ca="1"/>
        <v>46.159200184336541</v>
      </c>
      <c r="AG6527" s="2">
        <f ca="1"/>
        <v>0.90054296653701971</v>
      </c>
      <c r="AH6527" s="2" t="str">
        <f ca="1"/>
        <v>Bad</v>
      </c>
    </row>
    <row r="6528" spans="2:34" x14ac:dyDescent="0.2">
      <c r="B6528" s="2">
        <f ca="1"/>
        <v>0.82336902055920835</v>
      </c>
      <c r="O6528" s="2">
        <f ca="1"/>
        <v>-1.4533273326015888</v>
      </c>
      <c r="X6528" s="2">
        <f ca="1"/>
        <v>29.590017746761347</v>
      </c>
      <c r="AG6528" s="2">
        <f ca="1"/>
        <v>0.28831319296887981</v>
      </c>
      <c r="AH6528" s="2" t="str">
        <f ca="1"/>
        <v>OK</v>
      </c>
    </row>
    <row r="6529" spans="2:34" x14ac:dyDescent="0.2">
      <c r="B6529" s="2">
        <f ca="1"/>
        <v>0.30190323024499377</v>
      </c>
      <c r="O6529" s="2">
        <f ca="1"/>
        <v>-0.45662229850015201</v>
      </c>
      <c r="X6529" s="2">
        <f ca="1"/>
        <v>39.876634748280928</v>
      </c>
      <c r="AG6529" s="2">
        <f ca="1"/>
        <v>0.14372281116620567</v>
      </c>
      <c r="AH6529" s="2" t="str">
        <f ca="1"/>
        <v>OK</v>
      </c>
    </row>
    <row r="6530" spans="2:34" x14ac:dyDescent="0.2">
      <c r="B6530" s="2">
        <f ca="1"/>
        <v>9.1625454607981771E-2</v>
      </c>
      <c r="O6530" s="2">
        <f ca="1"/>
        <v>-1.5807395690539676</v>
      </c>
      <c r="X6530" s="2">
        <f ca="1"/>
        <v>66.043348749400636</v>
      </c>
      <c r="AG6530" s="2">
        <f ca="1"/>
        <v>0.42493792141177411</v>
      </c>
      <c r="AH6530" s="2" t="str">
        <f ca="1"/>
        <v>Bad</v>
      </c>
    </row>
    <row r="6531" spans="2:34" x14ac:dyDescent="0.2">
      <c r="B6531" s="2">
        <f ca="1"/>
        <v>0.68802207533118476</v>
      </c>
      <c r="O6531" s="2">
        <f ca="1"/>
        <v>1.6024815756344815</v>
      </c>
      <c r="X6531" s="2">
        <f ca="1"/>
        <v>42.633401324779896</v>
      </c>
      <c r="AG6531" s="2">
        <f ca="1"/>
        <v>0.732222318444119</v>
      </c>
      <c r="AH6531" s="2" t="str">
        <f ca="1"/>
        <v>Bad</v>
      </c>
    </row>
    <row r="6532" spans="2:34" x14ac:dyDescent="0.2">
      <c r="B6532" s="2">
        <f ca="1"/>
        <v>0.16172696343665249</v>
      </c>
      <c r="O6532" s="2">
        <f ca="1"/>
        <v>0.65291152267036712</v>
      </c>
      <c r="X6532" s="2">
        <f ca="1"/>
        <v>37.990193657405676</v>
      </c>
      <c r="AG6532" s="2">
        <f ca="1"/>
        <v>0.70492346177065324</v>
      </c>
      <c r="AH6532" s="2" t="str">
        <f ca="1"/>
        <v>Bad</v>
      </c>
    </row>
    <row r="6533" spans="2:34" x14ac:dyDescent="0.2">
      <c r="B6533" s="2">
        <f ca="1"/>
        <v>0.39092574368071453</v>
      </c>
      <c r="O6533" s="2">
        <f ca="1"/>
        <v>1.4207724683238383</v>
      </c>
      <c r="X6533" s="2">
        <f ca="1"/>
        <v>48.430151636408098</v>
      </c>
      <c r="AG6533" s="2">
        <f ca="1"/>
        <v>0.17252799761117377</v>
      </c>
      <c r="AH6533" s="2" t="str">
        <f ca="1"/>
        <v>OK</v>
      </c>
    </row>
    <row r="6534" spans="2:34" x14ac:dyDescent="0.2">
      <c r="B6534" s="2">
        <f ca="1"/>
        <v>0.91867122195328932</v>
      </c>
      <c r="O6534" s="2">
        <f ca="1"/>
        <v>1.492038735350993</v>
      </c>
      <c r="X6534" s="2">
        <f ca="1"/>
        <v>42.809864092474577</v>
      </c>
      <c r="AG6534" s="2">
        <f ca="1"/>
        <v>0.73113611839836712</v>
      </c>
      <c r="AH6534" s="2" t="str">
        <f ca="1"/>
        <v>Bad</v>
      </c>
    </row>
    <row r="6535" spans="2:34" x14ac:dyDescent="0.2">
      <c r="B6535" s="2">
        <f ca="1"/>
        <v>0.69003339090765858</v>
      </c>
      <c r="O6535" s="2">
        <f ca="1"/>
        <v>-0.51151075264752299</v>
      </c>
      <c r="X6535" s="2">
        <f ca="1"/>
        <v>33.708117080121838</v>
      </c>
      <c r="AG6535" s="2">
        <f ca="1"/>
        <v>0.37891341579053428</v>
      </c>
      <c r="AH6535" s="2" t="str">
        <f ca="1"/>
        <v>OK</v>
      </c>
    </row>
    <row r="6536" spans="2:34" x14ac:dyDescent="0.2">
      <c r="B6536" s="2">
        <f ca="1"/>
        <v>0.67214553014135481</v>
      </c>
      <c r="O6536" s="2">
        <f ca="1"/>
        <v>-0.20667761525524828</v>
      </c>
      <c r="X6536" s="2">
        <f ca="1"/>
        <v>71.029729974936814</v>
      </c>
      <c r="AG6536" s="2">
        <f ca="1"/>
        <v>0.58534028542277738</v>
      </c>
      <c r="AH6536" s="2" t="str">
        <f ca="1"/>
        <v>Bad</v>
      </c>
    </row>
    <row r="6537" spans="2:34" x14ac:dyDescent="0.2">
      <c r="B6537" s="2">
        <f ca="1"/>
        <v>0.20515953792899122</v>
      </c>
      <c r="O6537" s="2">
        <f ca="1"/>
        <v>-0.80811274510169273</v>
      </c>
      <c r="X6537" s="2">
        <f ca="1"/>
        <v>54.386704748137959</v>
      </c>
      <c r="AG6537" s="2">
        <f ca="1"/>
        <v>0.69627703783956907</v>
      </c>
      <c r="AH6537" s="2" t="str">
        <f ca="1"/>
        <v>Bad</v>
      </c>
    </row>
    <row r="6538" spans="2:34" x14ac:dyDescent="0.2">
      <c r="B6538" s="2">
        <f ca="1"/>
        <v>0.17972670048995676</v>
      </c>
      <c r="O6538" s="2">
        <f ca="1"/>
        <v>0.56376747148520867</v>
      </c>
      <c r="X6538" s="2">
        <f ca="1"/>
        <v>44.031259304823955</v>
      </c>
      <c r="AG6538" s="2">
        <f ca="1"/>
        <v>0.2676372424267075</v>
      </c>
      <c r="AH6538" s="2" t="str">
        <f ca="1"/>
        <v>OK</v>
      </c>
    </row>
    <row r="6539" spans="2:34" x14ac:dyDescent="0.2">
      <c r="B6539" s="2">
        <f ca="1"/>
        <v>0.66355781755610166</v>
      </c>
      <c r="O6539" s="2">
        <f ca="1"/>
        <v>-0.51695886662364032</v>
      </c>
      <c r="X6539" s="2">
        <f ca="1"/>
        <v>36.458933047830982</v>
      </c>
      <c r="AG6539" s="2">
        <f ca="1"/>
        <v>0.91331231436631222</v>
      </c>
      <c r="AH6539" s="2" t="str">
        <f ca="1"/>
        <v>Bad</v>
      </c>
    </row>
    <row r="6540" spans="2:34" x14ac:dyDescent="0.2">
      <c r="B6540" s="2">
        <f ca="1"/>
        <v>0.97269008161971415</v>
      </c>
      <c r="O6540" s="2">
        <f ca="1"/>
        <v>2.3126682789554942</v>
      </c>
      <c r="X6540" s="2">
        <f ca="1"/>
        <v>53.319143548657095</v>
      </c>
      <c r="AG6540" s="2">
        <f ca="1"/>
        <v>3.4652095563850516E-2</v>
      </c>
      <c r="AH6540" s="2" t="str">
        <f ca="1"/>
        <v>Good</v>
      </c>
    </row>
    <row r="6541" spans="2:34" x14ac:dyDescent="0.2">
      <c r="B6541" s="2">
        <f ca="1"/>
        <v>0.44918833630988098</v>
      </c>
      <c r="O6541" s="2">
        <f ca="1"/>
        <v>1.4648057748152772</v>
      </c>
      <c r="X6541" s="2">
        <f ca="1"/>
        <v>35.436074284018751</v>
      </c>
      <c r="AG6541" s="2">
        <f ca="1"/>
        <v>6.2572160978819458E-2</v>
      </c>
      <c r="AH6541" s="2" t="str">
        <f ca="1"/>
        <v>OK</v>
      </c>
    </row>
    <row r="6542" spans="2:34" x14ac:dyDescent="0.2">
      <c r="B6542" s="2">
        <f ca="1"/>
        <v>0.95634405492961938</v>
      </c>
      <c r="O6542" s="2">
        <f ca="1"/>
        <v>-0.11316913604258386</v>
      </c>
      <c r="X6542" s="2">
        <f ca="1"/>
        <v>75.374999957594255</v>
      </c>
      <c r="AG6542" s="2">
        <f ca="1"/>
        <v>0.50217781963646124</v>
      </c>
      <c r="AH6542" s="2" t="str">
        <f ca="1"/>
        <v>Bad</v>
      </c>
    </row>
    <row r="6543" spans="2:34" x14ac:dyDescent="0.2">
      <c r="B6543" s="2">
        <f ca="1"/>
        <v>0.11155452377469421</v>
      </c>
      <c r="O6543" s="2">
        <f ca="1"/>
        <v>1.3174963688009158</v>
      </c>
      <c r="X6543" s="2">
        <f ca="1"/>
        <v>64.585617802785919</v>
      </c>
      <c r="AG6543" s="2">
        <f ca="1"/>
        <v>0.99262074263302025</v>
      </c>
      <c r="AH6543" s="2" t="str">
        <f ca="1"/>
        <v>Bad</v>
      </c>
    </row>
    <row r="6544" spans="2:34" x14ac:dyDescent="0.2">
      <c r="B6544" s="2">
        <f ca="1"/>
        <v>0.92034862319424837</v>
      </c>
      <c r="O6544" s="2">
        <f ca="1"/>
        <v>1.1947883381204019</v>
      </c>
      <c r="X6544" s="2">
        <f ca="1"/>
        <v>30.328238221483804</v>
      </c>
      <c r="AG6544" s="2">
        <f ca="1"/>
        <v>0.82320632400019056</v>
      </c>
      <c r="AH6544" s="2" t="str">
        <f ca="1"/>
        <v>Bad</v>
      </c>
    </row>
    <row r="6545" spans="2:34" x14ac:dyDescent="0.2">
      <c r="B6545" s="2">
        <f ca="1"/>
        <v>2.0996014247696149E-2</v>
      </c>
      <c r="O6545" s="2">
        <f ca="1"/>
        <v>0.18802156332300668</v>
      </c>
      <c r="X6545" s="2">
        <f ca="1"/>
        <v>63.418337216288698</v>
      </c>
      <c r="AG6545" s="2">
        <f ca="1"/>
        <v>0.85688751423721499</v>
      </c>
      <c r="AH6545" s="2" t="str">
        <f ca="1"/>
        <v>Bad</v>
      </c>
    </row>
    <row r="6546" spans="2:34" x14ac:dyDescent="0.2">
      <c r="B6546" s="2">
        <f ca="1"/>
        <v>0.69784168120456469</v>
      </c>
      <c r="O6546" s="2">
        <f ca="1"/>
        <v>0.92226562996775396</v>
      </c>
      <c r="X6546" s="2">
        <f ca="1"/>
        <v>43.880383243801475</v>
      </c>
      <c r="AG6546" s="2">
        <f ca="1"/>
        <v>0.76595733458415749</v>
      </c>
      <c r="AH6546" s="2" t="str">
        <f ca="1"/>
        <v>Bad</v>
      </c>
    </row>
    <row r="6547" spans="2:34" x14ac:dyDescent="0.2">
      <c r="B6547" s="2">
        <f ca="1"/>
        <v>0.39726916724492822</v>
      </c>
      <c r="O6547" s="2">
        <f ca="1"/>
        <v>-0.2372696580009202</v>
      </c>
      <c r="X6547" s="2">
        <f ca="1"/>
        <v>66.119555726389649</v>
      </c>
      <c r="AG6547" s="2">
        <f ca="1"/>
        <v>0.57079545934483589</v>
      </c>
      <c r="AH6547" s="2" t="str">
        <f ca="1"/>
        <v>Bad</v>
      </c>
    </row>
    <row r="6548" spans="2:34" x14ac:dyDescent="0.2">
      <c r="B6548" s="2">
        <f ca="1"/>
        <v>0.78600688161205623</v>
      </c>
      <c r="O6548" s="2">
        <f ca="1"/>
        <v>-1.2609450618222253</v>
      </c>
      <c r="X6548" s="2">
        <f ca="1"/>
        <v>42.383111334854277</v>
      </c>
      <c r="AG6548" s="2">
        <f ca="1"/>
        <v>0.36444901198719082</v>
      </c>
      <c r="AH6548" s="2" t="str">
        <f ca="1"/>
        <v>OK</v>
      </c>
    </row>
    <row r="6549" spans="2:34" x14ac:dyDescent="0.2">
      <c r="B6549" s="2">
        <f ca="1"/>
        <v>0.19008059836746138</v>
      </c>
      <c r="O6549" s="2">
        <f ca="1"/>
        <v>0.41449467313348332</v>
      </c>
      <c r="X6549" s="2">
        <f ca="1"/>
        <v>53.887054227522114</v>
      </c>
      <c r="AG6549" s="2">
        <f ca="1"/>
        <v>0.81979056924312088</v>
      </c>
      <c r="AH6549" s="2" t="str">
        <f ca="1"/>
        <v>Bad</v>
      </c>
    </row>
    <row r="6550" spans="2:34" x14ac:dyDescent="0.2">
      <c r="B6550" s="2">
        <f ca="1"/>
        <v>0.13587348869817517</v>
      </c>
      <c r="O6550" s="2">
        <f ca="1"/>
        <v>-1.2994721392651245</v>
      </c>
      <c r="X6550" s="2">
        <f ca="1"/>
        <v>50.950484936697734</v>
      </c>
      <c r="AG6550" s="2">
        <f ca="1"/>
        <v>0.96340080679040785</v>
      </c>
      <c r="AH6550" s="2" t="str">
        <f ca="1"/>
        <v>Bad</v>
      </c>
    </row>
    <row r="6551" spans="2:34" x14ac:dyDescent="0.2">
      <c r="B6551" s="2">
        <f ca="1"/>
        <v>0.98332130445616173</v>
      </c>
      <c r="O6551" s="2">
        <f ca="1"/>
        <v>-1.9306598852223935E-2</v>
      </c>
      <c r="X6551" s="2">
        <f ca="1"/>
        <v>29.818129448788468</v>
      </c>
      <c r="AG6551" s="2">
        <f ca="1"/>
        <v>0.27625556297101328</v>
      </c>
      <c r="AH6551" s="2" t="str">
        <f ca="1"/>
        <v>OK</v>
      </c>
    </row>
    <row r="6552" spans="2:34" x14ac:dyDescent="0.2">
      <c r="B6552" s="2">
        <f ca="1"/>
        <v>0.29762790870295408</v>
      </c>
      <c r="O6552" s="2">
        <f ca="1"/>
        <v>-0.33479056699323506</v>
      </c>
      <c r="X6552" s="2">
        <f ca="1"/>
        <v>50.19988937599885</v>
      </c>
      <c r="AG6552" s="2">
        <f ca="1"/>
        <v>0.37362567198814522</v>
      </c>
      <c r="AH6552" s="2" t="str">
        <f ca="1"/>
        <v>OK</v>
      </c>
    </row>
    <row r="6553" spans="2:34" x14ac:dyDescent="0.2">
      <c r="B6553" s="2">
        <f ca="1"/>
        <v>0.2840532648231362</v>
      </c>
      <c r="O6553" s="2">
        <f ca="1"/>
        <v>-0.89008955577658211</v>
      </c>
      <c r="X6553" s="2">
        <f ca="1"/>
        <v>56.969381168576675</v>
      </c>
      <c r="AG6553" s="2">
        <f ca="1"/>
        <v>0.62049739782041757</v>
      </c>
      <c r="AH6553" s="2" t="str">
        <f ca="1"/>
        <v>Bad</v>
      </c>
    </row>
    <row r="6554" spans="2:34" x14ac:dyDescent="0.2">
      <c r="B6554" s="2">
        <f ca="1"/>
        <v>0.84321007434556017</v>
      </c>
      <c r="O6554" s="2">
        <f ca="1"/>
        <v>-0.35862129674805726</v>
      </c>
      <c r="X6554" s="2">
        <f ca="1"/>
        <v>57.522214593752466</v>
      </c>
      <c r="AG6554" s="2">
        <f ca="1"/>
        <v>0.69527544123226415</v>
      </c>
      <c r="AH6554" s="2" t="str">
        <f ca="1"/>
        <v>Bad</v>
      </c>
    </row>
    <row r="6555" spans="2:34" x14ac:dyDescent="0.2">
      <c r="B6555" s="2">
        <f ca="1"/>
        <v>0.25240450866702036</v>
      </c>
      <c r="O6555" s="2">
        <f ca="1"/>
        <v>0.68798203079023657</v>
      </c>
      <c r="X6555" s="2">
        <f ca="1"/>
        <v>38.540275197020634</v>
      </c>
      <c r="AG6555" s="2">
        <f ca="1"/>
        <v>0.79657865038753206</v>
      </c>
      <c r="AH6555" s="2" t="str">
        <f ca="1"/>
        <v>Bad</v>
      </c>
    </row>
    <row r="6556" spans="2:34" x14ac:dyDescent="0.2">
      <c r="B6556" s="2">
        <f ca="1"/>
        <v>8.73790324853434E-2</v>
      </c>
      <c r="O6556" s="2">
        <f ca="1"/>
        <v>0.5479903971597947</v>
      </c>
      <c r="X6556" s="2">
        <f ca="1"/>
        <v>72.731061705271003</v>
      </c>
      <c r="AG6556" s="2">
        <f ca="1"/>
        <v>0.73922861307415988</v>
      </c>
      <c r="AH6556" s="2" t="str">
        <f ca="1"/>
        <v>Bad</v>
      </c>
    </row>
    <row r="6557" spans="2:34" x14ac:dyDescent="0.2">
      <c r="B6557" s="2">
        <f ca="1"/>
        <v>0.60637012428529569</v>
      </c>
      <c r="O6557" s="2">
        <f ca="1"/>
        <v>-2.0963592280156186E-2</v>
      </c>
      <c r="X6557" s="2">
        <f ca="1"/>
        <v>66.275327144432481</v>
      </c>
      <c r="AG6557" s="2">
        <f ca="1"/>
        <v>0.30867790124494299</v>
      </c>
      <c r="AH6557" s="2" t="str">
        <f ca="1"/>
        <v>OK</v>
      </c>
    </row>
    <row r="6558" spans="2:34" x14ac:dyDescent="0.2">
      <c r="B6558" s="2">
        <f ca="1"/>
        <v>0.24154143615062429</v>
      </c>
      <c r="O6558" s="2">
        <f ca="1"/>
        <v>1.1549756931500388</v>
      </c>
      <c r="X6558" s="2">
        <f ca="1"/>
        <v>36.850189904186287</v>
      </c>
      <c r="AG6558" s="2">
        <f ca="1"/>
        <v>0.6285690824223511</v>
      </c>
      <c r="AH6558" s="2" t="str">
        <f ca="1"/>
        <v>Bad</v>
      </c>
    </row>
    <row r="6559" spans="2:34" x14ac:dyDescent="0.2">
      <c r="B6559" s="2">
        <f ca="1"/>
        <v>0.47712842795071531</v>
      </c>
      <c r="O6559" s="2">
        <f ca="1"/>
        <v>1.8438650020083094</v>
      </c>
      <c r="X6559" s="2">
        <f ca="1"/>
        <v>45.394661390957808</v>
      </c>
      <c r="AG6559" s="2">
        <f ca="1"/>
        <v>0.74721977787128879</v>
      </c>
      <c r="AH6559" s="2" t="str">
        <f ca="1"/>
        <v>Bad</v>
      </c>
    </row>
    <row r="6560" spans="2:34" x14ac:dyDescent="0.2">
      <c r="B6560" s="2">
        <f ca="1"/>
        <v>0.76402575241629878</v>
      </c>
      <c r="O6560" s="2">
        <f ca="1"/>
        <v>0.48368904992699457</v>
      </c>
      <c r="X6560" s="2">
        <f ca="1"/>
        <v>18.710189885221443</v>
      </c>
      <c r="AG6560" s="2">
        <f ca="1"/>
        <v>0.72227567453942054</v>
      </c>
      <c r="AH6560" s="2" t="str">
        <f ca="1"/>
        <v>Bad</v>
      </c>
    </row>
    <row r="6561" spans="2:34" x14ac:dyDescent="0.2">
      <c r="B6561" s="2">
        <f ca="1"/>
        <v>0.1936872343563496</v>
      </c>
      <c r="O6561" s="2">
        <f ca="1"/>
        <v>0.5826611283652211</v>
      </c>
      <c r="X6561" s="2">
        <f ca="1"/>
        <v>59.268123263157989</v>
      </c>
      <c r="AG6561" s="2">
        <f ca="1"/>
        <v>0.71629088259679441</v>
      </c>
      <c r="AH6561" s="2" t="str">
        <f ca="1"/>
        <v>Bad</v>
      </c>
    </row>
    <row r="6562" spans="2:34" x14ac:dyDescent="0.2">
      <c r="B6562" s="2">
        <f ca="1"/>
        <v>0.59316486655107048</v>
      </c>
      <c r="O6562" s="2">
        <f ca="1"/>
        <v>0.43123203667372362</v>
      </c>
      <c r="X6562" s="2">
        <f ca="1"/>
        <v>38.811502702241391</v>
      </c>
      <c r="AG6562" s="2">
        <f ca="1"/>
        <v>0.14489193990658822</v>
      </c>
      <c r="AH6562" s="2" t="str">
        <f ca="1"/>
        <v>OK</v>
      </c>
    </row>
    <row r="6563" spans="2:34" x14ac:dyDescent="0.2">
      <c r="B6563" s="2">
        <f ca="1"/>
        <v>9.5887339519357573E-2</v>
      </c>
      <c r="O6563" s="2">
        <f ca="1"/>
        <v>1.7246303044878484</v>
      </c>
      <c r="X6563" s="2">
        <f ca="1"/>
        <v>26.037912903353341</v>
      </c>
      <c r="AG6563" s="2">
        <f ca="1"/>
        <v>0.18149140800320018</v>
      </c>
      <c r="AH6563" s="2" t="str">
        <f ca="1"/>
        <v>OK</v>
      </c>
    </row>
    <row r="6564" spans="2:34" x14ac:dyDescent="0.2">
      <c r="B6564" s="2">
        <f ca="1"/>
        <v>0.34119403177719554</v>
      </c>
      <c r="O6564" s="2">
        <f ca="1"/>
        <v>-0.60254356934447018</v>
      </c>
      <c r="X6564" s="2">
        <f ca="1"/>
        <v>42.54932092785586</v>
      </c>
      <c r="AG6564" s="2">
        <f ca="1"/>
        <v>6.3016014660571829E-2</v>
      </c>
      <c r="AH6564" s="2" t="str">
        <f ca="1"/>
        <v>OK</v>
      </c>
    </row>
    <row r="6565" spans="2:34" x14ac:dyDescent="0.2">
      <c r="B6565" s="2">
        <f ca="1"/>
        <v>0.79764742274388523</v>
      </c>
      <c r="O6565" s="2">
        <f ca="1"/>
        <v>2.1692134773354415</v>
      </c>
      <c r="X6565" s="2">
        <f ca="1"/>
        <v>53.526842988315209</v>
      </c>
      <c r="AG6565" s="2">
        <f ca="1"/>
        <v>0.36633598289361835</v>
      </c>
      <c r="AH6565" s="2" t="str">
        <f ca="1"/>
        <v>OK</v>
      </c>
    </row>
    <row r="6566" spans="2:34" x14ac:dyDescent="0.2">
      <c r="B6566" s="2">
        <f ca="1"/>
        <v>0.89712625032533055</v>
      </c>
      <c r="O6566" s="2">
        <f ca="1"/>
        <v>-0.46081447938426273</v>
      </c>
      <c r="X6566" s="2">
        <f ca="1"/>
        <v>35.156843146707757</v>
      </c>
      <c r="AG6566" s="2">
        <f ca="1"/>
        <v>0.63808496579290108</v>
      </c>
      <c r="AH6566" s="2" t="str">
        <f ca="1"/>
        <v>Bad</v>
      </c>
    </row>
    <row r="6567" spans="2:34" x14ac:dyDescent="0.2">
      <c r="B6567" s="2">
        <f ca="1"/>
        <v>0.6710771259593602</v>
      </c>
      <c r="O6567" s="2">
        <f ca="1"/>
        <v>0.41034039946950474</v>
      </c>
      <c r="X6567" s="2">
        <f ca="1"/>
        <v>30.267872299398263</v>
      </c>
      <c r="AG6567" s="2">
        <f ca="1"/>
        <v>0.64876163569677558</v>
      </c>
      <c r="AH6567" s="2" t="str">
        <f ca="1"/>
        <v>Bad</v>
      </c>
    </row>
    <row r="6568" spans="2:34" x14ac:dyDescent="0.2">
      <c r="B6568" s="2">
        <f ca="1"/>
        <v>0.36213683420043008</v>
      </c>
      <c r="O6568" s="2">
        <f ca="1"/>
        <v>0.50146460717619967</v>
      </c>
      <c r="X6568" s="2">
        <f ca="1"/>
        <v>49.785148606490417</v>
      </c>
      <c r="AG6568" s="2">
        <f ca="1"/>
        <v>0.19967902052244368</v>
      </c>
      <c r="AH6568" s="2" t="str">
        <f ca="1"/>
        <v>OK</v>
      </c>
    </row>
    <row r="6569" spans="2:34" x14ac:dyDescent="0.2">
      <c r="B6569" s="2">
        <f ca="1"/>
        <v>0.35696409934159745</v>
      </c>
      <c r="O6569" s="2">
        <f ca="1"/>
        <v>-0.78477286372299115</v>
      </c>
      <c r="X6569" s="2">
        <f ca="1"/>
        <v>52.484833465829979</v>
      </c>
      <c r="AG6569" s="2">
        <f ca="1"/>
        <v>0.61651590596837202</v>
      </c>
      <c r="AH6569" s="2" t="str">
        <f ca="1"/>
        <v>Bad</v>
      </c>
    </row>
    <row r="6570" spans="2:34" x14ac:dyDescent="0.2">
      <c r="B6570" s="2">
        <f ca="1"/>
        <v>0.89696038823920787</v>
      </c>
      <c r="O6570" s="2">
        <f ca="1"/>
        <v>0.39313981965725242</v>
      </c>
      <c r="X6570" s="2">
        <f ca="1"/>
        <v>98.900687811593144</v>
      </c>
      <c r="AG6570" s="2">
        <f ca="1"/>
        <v>0.55600571818340572</v>
      </c>
      <c r="AH6570" s="2" t="str">
        <f ca="1"/>
        <v>Bad</v>
      </c>
    </row>
    <row r="6571" spans="2:34" x14ac:dyDescent="0.2">
      <c r="B6571" s="2">
        <f ca="1"/>
        <v>0.25850440467122038</v>
      </c>
      <c r="O6571" s="2">
        <f ca="1"/>
        <v>-3.4796355452063624E-2</v>
      </c>
      <c r="X6571" s="2">
        <f ca="1"/>
        <v>52.321940633839986</v>
      </c>
      <c r="AG6571" s="2">
        <f ca="1"/>
        <v>0.34785276986417757</v>
      </c>
      <c r="AH6571" s="2" t="str">
        <f ca="1"/>
        <v>OK</v>
      </c>
    </row>
    <row r="6572" spans="2:34" x14ac:dyDescent="0.2">
      <c r="B6572" s="2">
        <f ca="1"/>
        <v>0.16658875141773044</v>
      </c>
      <c r="O6572" s="2">
        <f ca="1"/>
        <v>5.6244330240074053E-2</v>
      </c>
      <c r="X6572" s="2">
        <f ca="1"/>
        <v>34.972619739605648</v>
      </c>
      <c r="AG6572" s="2">
        <f ca="1"/>
        <v>0.22496129742121362</v>
      </c>
      <c r="AH6572" s="2" t="str">
        <f ca="1"/>
        <v>OK</v>
      </c>
    </row>
    <row r="6573" spans="2:34" x14ac:dyDescent="0.2">
      <c r="B6573" s="2">
        <f ca="1"/>
        <v>0.84238498357547575</v>
      </c>
      <c r="O6573" s="2">
        <f ca="1"/>
        <v>-4.3840703104440118E-2</v>
      </c>
      <c r="X6573" s="2">
        <f ca="1"/>
        <v>47.497705284226285</v>
      </c>
      <c r="AG6573" s="2">
        <f ca="1"/>
        <v>0.87293197932377664</v>
      </c>
      <c r="AH6573" s="2" t="str">
        <f ca="1"/>
        <v>Bad</v>
      </c>
    </row>
    <row r="6574" spans="2:34" x14ac:dyDescent="0.2">
      <c r="B6574" s="2">
        <f ca="1"/>
        <v>0.78998749757944009</v>
      </c>
      <c r="O6574" s="2">
        <f ca="1"/>
        <v>0.27688358421191739</v>
      </c>
      <c r="X6574" s="2">
        <f ca="1"/>
        <v>62.875043838749242</v>
      </c>
      <c r="AG6574" s="2">
        <f ca="1"/>
        <v>0.5593911586753828</v>
      </c>
      <c r="AH6574" s="2" t="str">
        <f ca="1"/>
        <v>Bad</v>
      </c>
    </row>
    <row r="6575" spans="2:34" x14ac:dyDescent="0.2">
      <c r="B6575" s="2">
        <f ca="1"/>
        <v>0.65665989267043789</v>
      </c>
      <c r="O6575" s="2">
        <f ca="1"/>
        <v>0.69708705971546636</v>
      </c>
      <c r="X6575" s="2">
        <f ca="1"/>
        <v>31.55084503514334</v>
      </c>
      <c r="AG6575" s="2">
        <f ca="1"/>
        <v>0.59483797877141908</v>
      </c>
      <c r="AH6575" s="2" t="str">
        <f ca="1"/>
        <v>Bad</v>
      </c>
    </row>
    <row r="6576" spans="2:34" x14ac:dyDescent="0.2">
      <c r="B6576" s="2">
        <f ca="1"/>
        <v>0.49845241673170881</v>
      </c>
      <c r="O6576" s="2">
        <f ca="1"/>
        <v>0.32576598476856877</v>
      </c>
      <c r="X6576" s="2">
        <f ca="1"/>
        <v>53.627550062920889</v>
      </c>
      <c r="AG6576" s="2">
        <f ca="1"/>
        <v>0.99055672357102109</v>
      </c>
      <c r="AH6576" s="2" t="str">
        <f ca="1"/>
        <v>Bad</v>
      </c>
    </row>
    <row r="6577" spans="2:34" x14ac:dyDescent="0.2">
      <c r="B6577" s="2">
        <f ca="1"/>
        <v>4.6275357524876215E-2</v>
      </c>
      <c r="O6577" s="2">
        <f ca="1"/>
        <v>-0.45425124524348998</v>
      </c>
      <c r="X6577" s="2">
        <f ca="1"/>
        <v>35.017018370477857</v>
      </c>
      <c r="AG6577" s="2">
        <f ca="1"/>
        <v>0.9942610849376079</v>
      </c>
      <c r="AH6577" s="2" t="str">
        <f ca="1"/>
        <v>Bad</v>
      </c>
    </row>
    <row r="6578" spans="2:34" x14ac:dyDescent="0.2">
      <c r="B6578" s="2">
        <f ca="1"/>
        <v>0.32898735745732965</v>
      </c>
      <c r="O6578" s="2">
        <f ca="1"/>
        <v>0.16638260806627678</v>
      </c>
      <c r="X6578" s="2">
        <f ca="1"/>
        <v>52.690672354264372</v>
      </c>
      <c r="AG6578" s="2">
        <f ca="1"/>
        <v>0.7186256832040594</v>
      </c>
      <c r="AH6578" s="2" t="str">
        <f ca="1"/>
        <v>Bad</v>
      </c>
    </row>
    <row r="6579" spans="2:34" x14ac:dyDescent="0.2">
      <c r="B6579" s="2">
        <f ca="1"/>
        <v>0.74215794353775966</v>
      </c>
      <c r="O6579" s="2">
        <f ca="1"/>
        <v>0.99673423747494228</v>
      </c>
      <c r="X6579" s="2">
        <f ca="1"/>
        <v>67.634592451465139</v>
      </c>
      <c r="AG6579" s="2">
        <f ca="1"/>
        <v>0.76800000421750059</v>
      </c>
      <c r="AH6579" s="2" t="str">
        <f ca="1"/>
        <v>Bad</v>
      </c>
    </row>
    <row r="6580" spans="2:34" x14ac:dyDescent="0.2">
      <c r="B6580" s="2">
        <f ca="1"/>
        <v>0.72827494031480611</v>
      </c>
      <c r="O6580" s="2">
        <f ca="1"/>
        <v>-1.2436859370439293</v>
      </c>
      <c r="X6580" s="2">
        <f ca="1"/>
        <v>55.365937901635192</v>
      </c>
      <c r="AG6580" s="2">
        <f ca="1"/>
        <v>0.51085522469819988</v>
      </c>
      <c r="AH6580" s="2" t="str">
        <f ca="1"/>
        <v>Bad</v>
      </c>
    </row>
    <row r="6581" spans="2:34" x14ac:dyDescent="0.2">
      <c r="B6581" s="2">
        <f ca="1"/>
        <v>0.7412881709394008</v>
      </c>
      <c r="O6581" s="2">
        <f ca="1"/>
        <v>-0.4460219329244422</v>
      </c>
      <c r="X6581" s="2">
        <f ca="1"/>
        <v>42.049768828060778</v>
      </c>
      <c r="AG6581" s="2">
        <f ca="1"/>
        <v>0.85556955528305956</v>
      </c>
      <c r="AH6581" s="2" t="str">
        <f ca="1"/>
        <v>Bad</v>
      </c>
    </row>
    <row r="6582" spans="2:34" x14ac:dyDescent="0.2">
      <c r="B6582" s="2">
        <f ca="1"/>
        <v>0.90723372825376436</v>
      </c>
      <c r="O6582" s="2">
        <f ca="1"/>
        <v>0.73021573603563894</v>
      </c>
      <c r="X6582" s="2">
        <f ca="1"/>
        <v>78.148674294754755</v>
      </c>
      <c r="AG6582" s="2">
        <f ca="1"/>
        <v>0.31907724981335983</v>
      </c>
      <c r="AH6582" s="2" t="str">
        <f ca="1"/>
        <v>OK</v>
      </c>
    </row>
    <row r="6583" spans="2:34" x14ac:dyDescent="0.2">
      <c r="B6583" s="2">
        <f ca="1"/>
        <v>0.18890061594867547</v>
      </c>
      <c r="O6583" s="2">
        <f ca="1"/>
        <v>-0.40888211454799722</v>
      </c>
      <c r="X6583" s="2">
        <f ca="1"/>
        <v>39.057317557692421</v>
      </c>
      <c r="AG6583" s="2">
        <f ca="1"/>
        <v>0.77578979050998131</v>
      </c>
      <c r="AH6583" s="2" t="str">
        <f ca="1"/>
        <v>Bad</v>
      </c>
    </row>
    <row r="6584" spans="2:34" x14ac:dyDescent="0.2">
      <c r="B6584" s="2">
        <f ca="1"/>
        <v>9.9293148818468069E-2</v>
      </c>
      <c r="O6584" s="2">
        <f ca="1"/>
        <v>0.67839684336286898</v>
      </c>
      <c r="X6584" s="2">
        <f ca="1"/>
        <v>44.188125706817488</v>
      </c>
      <c r="AG6584" s="2">
        <f ca="1"/>
        <v>0.91635730671200011</v>
      </c>
      <c r="AH6584" s="2" t="str">
        <f ca="1"/>
        <v>Bad</v>
      </c>
    </row>
    <row r="6585" spans="2:34" x14ac:dyDescent="0.2">
      <c r="B6585" s="2">
        <f ca="1"/>
        <v>5.7402810777677171E-2</v>
      </c>
      <c r="O6585" s="2">
        <f ca="1"/>
        <v>-0.39884781472502989</v>
      </c>
      <c r="X6585" s="2">
        <f ca="1"/>
        <v>60.773513748627714</v>
      </c>
      <c r="AG6585" s="2">
        <f ca="1"/>
        <v>0.29527822342386378</v>
      </c>
      <c r="AH6585" s="2" t="str">
        <f ca="1"/>
        <v>OK</v>
      </c>
    </row>
    <row r="6586" spans="2:34" x14ac:dyDescent="0.2">
      <c r="B6586" s="2">
        <f ca="1"/>
        <v>0.33106486344943198</v>
      </c>
      <c r="O6586" s="2">
        <f ca="1"/>
        <v>0.56207539745774937</v>
      </c>
      <c r="X6586" s="2">
        <f ca="1"/>
        <v>32.247035175090673</v>
      </c>
      <c r="AG6586" s="2">
        <f ca="1"/>
        <v>0.50928600621174169</v>
      </c>
      <c r="AH6586" s="2" t="str">
        <f ca="1"/>
        <v>Bad</v>
      </c>
    </row>
    <row r="6587" spans="2:34" x14ac:dyDescent="0.2">
      <c r="B6587" s="2">
        <f ca="1"/>
        <v>0.32194947853420786</v>
      </c>
      <c r="O6587" s="2">
        <f ca="1"/>
        <v>-0.21291898794838626</v>
      </c>
      <c r="X6587" s="2">
        <f ca="1"/>
        <v>60.934927088096856</v>
      </c>
      <c r="AG6587" s="2">
        <f ca="1"/>
        <v>0.24777618645578414</v>
      </c>
      <c r="AH6587" s="2" t="str">
        <f ca="1"/>
        <v>OK</v>
      </c>
    </row>
    <row r="6588" spans="2:34" x14ac:dyDescent="0.2">
      <c r="B6588" s="2">
        <f ca="1"/>
        <v>7.2207967406292761E-2</v>
      </c>
      <c r="O6588" s="2">
        <f ca="1"/>
        <v>-0.63614082482673651</v>
      </c>
      <c r="X6588" s="2">
        <f ca="1"/>
        <v>79.927704492622183</v>
      </c>
      <c r="AG6588" s="2">
        <f ca="1"/>
        <v>0.94503067905081006</v>
      </c>
      <c r="AH6588" s="2" t="str">
        <f ca="1"/>
        <v>Bad</v>
      </c>
    </row>
    <row r="6589" spans="2:34" x14ac:dyDescent="0.2">
      <c r="B6589" s="2">
        <f ca="1"/>
        <v>0.46238178700994403</v>
      </c>
      <c r="O6589" s="2">
        <f ca="1"/>
        <v>1.5113517552894451</v>
      </c>
      <c r="X6589" s="2">
        <f ca="1"/>
        <v>53.759693752262947</v>
      </c>
      <c r="AG6589" s="2">
        <f ca="1"/>
        <v>0.86287238795624965</v>
      </c>
      <c r="AH6589" s="2" t="str">
        <f ca="1"/>
        <v>Bad</v>
      </c>
    </row>
    <row r="6590" spans="2:34" x14ac:dyDescent="0.2">
      <c r="B6590" s="2">
        <f ca="1"/>
        <v>0.62001207325655949</v>
      </c>
      <c r="O6590" s="2">
        <f ca="1"/>
        <v>0.99830970222407167</v>
      </c>
      <c r="X6590" s="2">
        <f ca="1"/>
        <v>87.98161761529407</v>
      </c>
      <c r="AG6590" s="2">
        <f ca="1"/>
        <v>0.96589806194132422</v>
      </c>
      <c r="AH6590" s="2" t="str">
        <f ca="1"/>
        <v>Bad</v>
      </c>
    </row>
    <row r="6591" spans="2:34" x14ac:dyDescent="0.2">
      <c r="B6591" s="2">
        <f ca="1"/>
        <v>0.68041294804138541</v>
      </c>
      <c r="O6591" s="2">
        <f ca="1"/>
        <v>-1.327357886356819</v>
      </c>
      <c r="X6591" s="2">
        <f ca="1"/>
        <v>41.103928396939352</v>
      </c>
      <c r="AG6591" s="2">
        <f ca="1"/>
        <v>0.26463571801064956</v>
      </c>
      <c r="AH6591" s="2" t="str">
        <f ca="1"/>
        <v>OK</v>
      </c>
    </row>
    <row r="6592" spans="2:34" x14ac:dyDescent="0.2">
      <c r="B6592" s="2">
        <f ca="1"/>
        <v>2.2851558079336698E-2</v>
      </c>
      <c r="O6592" s="2">
        <f ca="1"/>
        <v>-0.37456101482820325</v>
      </c>
      <c r="X6592" s="2">
        <f ca="1"/>
        <v>39.197601254245463</v>
      </c>
      <c r="AG6592" s="2">
        <f ca="1"/>
        <v>0.53304231614493736</v>
      </c>
      <c r="AH6592" s="2" t="str">
        <f ca="1"/>
        <v>Bad</v>
      </c>
    </row>
    <row r="6593" spans="2:34" x14ac:dyDescent="0.2">
      <c r="B6593" s="2">
        <f ca="1"/>
        <v>0.16618050041096666</v>
      </c>
      <c r="O6593" s="2">
        <f ca="1"/>
        <v>-2.6044999061304317</v>
      </c>
      <c r="X6593" s="2">
        <f ca="1"/>
        <v>33.631647894245077</v>
      </c>
      <c r="AG6593" s="2">
        <f ca="1"/>
        <v>0.4720179337976711</v>
      </c>
      <c r="AH6593" s="2" t="str">
        <f ca="1"/>
        <v>Bad</v>
      </c>
    </row>
    <row r="6594" spans="2:34" x14ac:dyDescent="0.2">
      <c r="B6594" s="2">
        <f ca="1"/>
        <v>0.57005773039331098</v>
      </c>
      <c r="O6594" s="2">
        <f ca="1"/>
        <v>1.0283006065889284</v>
      </c>
      <c r="X6594" s="2">
        <f ca="1"/>
        <v>74.736476371831543</v>
      </c>
      <c r="AG6594" s="2">
        <f ca="1"/>
        <v>0.45176614375711299</v>
      </c>
      <c r="AH6594" s="2" t="str">
        <f ca="1"/>
        <v>Bad</v>
      </c>
    </row>
    <row r="6595" spans="2:34" x14ac:dyDescent="0.2">
      <c r="B6595" s="2">
        <f ca="1"/>
        <v>0.39342335333757772</v>
      </c>
      <c r="O6595" s="2">
        <f ca="1"/>
        <v>-1.2150039362034619</v>
      </c>
      <c r="X6595" s="2">
        <f ca="1"/>
        <v>38.090481358210269</v>
      </c>
      <c r="AG6595" s="2">
        <f ca="1"/>
        <v>0.26244067059144971</v>
      </c>
      <c r="AH6595" s="2" t="str">
        <f ca="1"/>
        <v>OK</v>
      </c>
    </row>
    <row r="6596" spans="2:34" x14ac:dyDescent="0.2">
      <c r="B6596" s="2">
        <f ca="1"/>
        <v>0.85635346254745714</v>
      </c>
      <c r="O6596" s="2">
        <f ca="1"/>
        <v>-0.29097837555359113</v>
      </c>
      <c r="X6596" s="2">
        <f ca="1"/>
        <v>28.382421420875982</v>
      </c>
      <c r="AG6596" s="2">
        <f ca="1"/>
        <v>0.39899163815482774</v>
      </c>
      <c r="AH6596" s="2" t="str">
        <f ca="1"/>
        <v>OK</v>
      </c>
    </row>
    <row r="6597" spans="2:34" x14ac:dyDescent="0.2">
      <c r="B6597" s="2">
        <f ca="1"/>
        <v>0.8687196698994939</v>
      </c>
      <c r="O6597" s="2">
        <f ca="1"/>
        <v>0.2273734591896947</v>
      </c>
      <c r="X6597" s="2">
        <f ca="1"/>
        <v>42.406732023233637</v>
      </c>
      <c r="AG6597" s="2">
        <f ca="1"/>
        <v>0.89802771860723718</v>
      </c>
      <c r="AH6597" s="2" t="str">
        <f ca="1"/>
        <v>Bad</v>
      </c>
    </row>
    <row r="6598" spans="2:34" x14ac:dyDescent="0.2">
      <c r="B6598" s="2">
        <f ca="1"/>
        <v>0.13348733478029717</v>
      </c>
      <c r="O6598" s="2">
        <f ca="1"/>
        <v>0.47832772583986183</v>
      </c>
      <c r="X6598" s="2">
        <f ca="1"/>
        <v>32.684321390143339</v>
      </c>
      <c r="AG6598" s="2">
        <f ca="1"/>
        <v>0.88829623496858656</v>
      </c>
      <c r="AH6598" s="2" t="str">
        <f ca="1"/>
        <v>Bad</v>
      </c>
    </row>
    <row r="6599" spans="2:34" x14ac:dyDescent="0.2">
      <c r="B6599" s="2">
        <f ca="1"/>
        <v>0.56977068326763081</v>
      </c>
      <c r="O6599" s="2">
        <f ca="1"/>
        <v>-1.3167955041028565</v>
      </c>
      <c r="X6599" s="2">
        <f ca="1"/>
        <v>32.141724617846293</v>
      </c>
      <c r="AG6599" s="2">
        <f ca="1"/>
        <v>0.55615133645164661</v>
      </c>
      <c r="AH6599" s="2" t="str">
        <f ca="1"/>
        <v>Bad</v>
      </c>
    </row>
    <row r="6600" spans="2:34" x14ac:dyDescent="0.2">
      <c r="B6600" s="2">
        <f ca="1"/>
        <v>0.43078943210494325</v>
      </c>
      <c r="O6600" s="2">
        <f ca="1"/>
        <v>0.43513619023308814</v>
      </c>
      <c r="X6600" s="2">
        <f ca="1"/>
        <v>40.714629903823649</v>
      </c>
      <c r="AG6600" s="2">
        <f ca="1"/>
        <v>0.35592953615659217</v>
      </c>
      <c r="AH6600" s="2" t="str">
        <f ca="1"/>
        <v>OK</v>
      </c>
    </row>
    <row r="6601" spans="2:34" x14ac:dyDescent="0.2">
      <c r="B6601" s="2">
        <f ca="1"/>
        <v>0.18069866549441338</v>
      </c>
      <c r="O6601" s="2">
        <f ca="1"/>
        <v>-0.32873246909384213</v>
      </c>
      <c r="X6601" s="2">
        <f ca="1"/>
        <v>32.716565422412707</v>
      </c>
      <c r="AG6601" s="2">
        <f ca="1"/>
        <v>0.85053531142663052</v>
      </c>
      <c r="AH6601" s="2" t="str">
        <f ca="1"/>
        <v>Bad</v>
      </c>
    </row>
    <row r="6602" spans="2:34" x14ac:dyDescent="0.2">
      <c r="B6602" s="2">
        <f ca="1"/>
        <v>0.1205114435757626</v>
      </c>
      <c r="O6602" s="2">
        <f ca="1"/>
        <v>0.13421394112482662</v>
      </c>
      <c r="X6602" s="2">
        <f ca="1"/>
        <v>62.053168962795915</v>
      </c>
      <c r="AG6602" s="2">
        <f ca="1"/>
        <v>0.12481231555776984</v>
      </c>
      <c r="AH6602" s="2" t="str">
        <f ca="1"/>
        <v>OK</v>
      </c>
    </row>
    <row r="6603" spans="2:34" x14ac:dyDescent="0.2">
      <c r="B6603" s="2">
        <f ca="1"/>
        <v>0.13178610837763682</v>
      </c>
      <c r="O6603" s="2">
        <f ca="1"/>
        <v>-0.14618132413492566</v>
      </c>
      <c r="X6603" s="2">
        <f ca="1"/>
        <v>52.653004923227904</v>
      </c>
      <c r="AG6603" s="2">
        <f ca="1"/>
        <v>0.86101790233254705</v>
      </c>
      <c r="AH6603" s="2" t="str">
        <f ca="1"/>
        <v>Bad</v>
      </c>
    </row>
    <row r="6604" spans="2:34" x14ac:dyDescent="0.2">
      <c r="B6604" s="2">
        <f ca="1"/>
        <v>0.84798051865823609</v>
      </c>
      <c r="O6604" s="2">
        <f ca="1"/>
        <v>-0.1130682439485228</v>
      </c>
      <c r="X6604" s="2">
        <f ca="1"/>
        <v>21.022307822155007</v>
      </c>
      <c r="AG6604" s="2">
        <f ca="1"/>
        <v>3.4775250464836649E-2</v>
      </c>
      <c r="AH6604" s="2" t="str">
        <f ca="1"/>
        <v>Good</v>
      </c>
    </row>
    <row r="6605" spans="2:34" x14ac:dyDescent="0.2">
      <c r="B6605" s="2">
        <f ca="1"/>
        <v>0.242717992331414</v>
      </c>
      <c r="O6605" s="2">
        <f ca="1"/>
        <v>-0.85692235561749763</v>
      </c>
      <c r="X6605" s="2">
        <f ca="1"/>
        <v>54.536082001499125</v>
      </c>
      <c r="AG6605" s="2">
        <f ca="1"/>
        <v>0.57815511784048046</v>
      </c>
      <c r="AH6605" s="2" t="str">
        <f ca="1"/>
        <v>Bad</v>
      </c>
    </row>
    <row r="6606" spans="2:34" x14ac:dyDescent="0.2">
      <c r="B6606" s="2">
        <f ca="1"/>
        <v>0.7278844763216985</v>
      </c>
      <c r="O6606" s="2">
        <f ca="1"/>
        <v>-0.86606827330257719</v>
      </c>
      <c r="X6606" s="2">
        <f ca="1"/>
        <v>69.307327242504911</v>
      </c>
      <c r="AG6606" s="2">
        <f ca="1"/>
        <v>9.017516191373387E-2</v>
      </c>
      <c r="AH6606" s="2" t="str">
        <f ca="1"/>
        <v>OK</v>
      </c>
    </row>
    <row r="6607" spans="2:34" x14ac:dyDescent="0.2">
      <c r="B6607" s="2">
        <f ca="1"/>
        <v>0.13746890536786194</v>
      </c>
      <c r="O6607" s="2">
        <f ca="1"/>
        <v>-0.74707910664782173</v>
      </c>
      <c r="X6607" s="2">
        <f ca="1"/>
        <v>69.757535599594988</v>
      </c>
      <c r="AG6607" s="2">
        <f ca="1"/>
        <v>0.55149283114270742</v>
      </c>
      <c r="AH6607" s="2" t="str">
        <f ca="1"/>
        <v>Bad</v>
      </c>
    </row>
    <row r="6608" spans="2:34" x14ac:dyDescent="0.2">
      <c r="B6608" s="2">
        <f ca="1"/>
        <v>0.88069161899443205</v>
      </c>
      <c r="O6608" s="2">
        <f ca="1"/>
        <v>-0.8419319360722809</v>
      </c>
      <c r="X6608" s="2">
        <f ca="1"/>
        <v>47.449992652563353</v>
      </c>
      <c r="AG6608" s="2">
        <f ca="1"/>
        <v>0.19804572327049641</v>
      </c>
      <c r="AH6608" s="2" t="str">
        <f ca="1"/>
        <v>OK</v>
      </c>
    </row>
    <row r="6609" spans="2:34" x14ac:dyDescent="0.2">
      <c r="B6609" s="2">
        <f ca="1"/>
        <v>0.72500340875929803</v>
      </c>
      <c r="O6609" s="2">
        <f ca="1"/>
        <v>1.4115066968208925</v>
      </c>
      <c r="X6609" s="2">
        <f ca="1"/>
        <v>46.206942563009449</v>
      </c>
      <c r="AG6609" s="2">
        <f ca="1"/>
        <v>8.048475289776702E-3</v>
      </c>
      <c r="AH6609" s="2" t="str">
        <f ca="1"/>
        <v>Good</v>
      </c>
    </row>
    <row r="6610" spans="2:34" x14ac:dyDescent="0.2">
      <c r="B6610" s="2">
        <f ca="1"/>
        <v>0.70838921615919559</v>
      </c>
      <c r="O6610" s="2">
        <f ca="1"/>
        <v>-0.68072314106098208</v>
      </c>
      <c r="X6610" s="2">
        <f ca="1"/>
        <v>55.023543198639835</v>
      </c>
      <c r="AG6610" s="2">
        <f ca="1"/>
        <v>0.30373917858817689</v>
      </c>
      <c r="AH6610" s="2" t="str">
        <f ca="1"/>
        <v>OK</v>
      </c>
    </row>
    <row r="6611" spans="2:34" x14ac:dyDescent="0.2">
      <c r="B6611" s="2">
        <f ca="1"/>
        <v>0.8873599021530707</v>
      </c>
      <c r="O6611" s="2">
        <f ca="1"/>
        <v>-0.5674397195479538</v>
      </c>
      <c r="X6611" s="2">
        <f ca="1"/>
        <v>65.045923585802754</v>
      </c>
      <c r="AG6611" s="2">
        <f ca="1"/>
        <v>0.31396447287935225</v>
      </c>
      <c r="AH6611" s="2" t="str">
        <f ca="1"/>
        <v>OK</v>
      </c>
    </row>
    <row r="6612" spans="2:34" x14ac:dyDescent="0.2">
      <c r="B6612" s="2">
        <f ca="1"/>
        <v>0.48127684530208703</v>
      </c>
      <c r="O6612" s="2">
        <f ca="1"/>
        <v>-1.1613578744929942</v>
      </c>
      <c r="X6612" s="2">
        <f ca="1"/>
        <v>79.357706635269707</v>
      </c>
      <c r="AG6612" s="2">
        <f ca="1"/>
        <v>2.4257846953635642E-2</v>
      </c>
      <c r="AH6612" s="2" t="str">
        <f ca="1"/>
        <v>Good</v>
      </c>
    </row>
    <row r="6613" spans="2:34" x14ac:dyDescent="0.2">
      <c r="B6613" s="2">
        <f ca="1"/>
        <v>0.51638272929983353</v>
      </c>
      <c r="O6613" s="2">
        <f ca="1"/>
        <v>1.483520555991406</v>
      </c>
      <c r="X6613" s="2">
        <f ca="1"/>
        <v>49.841801206812299</v>
      </c>
      <c r="AG6613" s="2">
        <f ca="1"/>
        <v>0.88993281823336101</v>
      </c>
      <c r="AH6613" s="2" t="str">
        <f ca="1"/>
        <v>Bad</v>
      </c>
    </row>
    <row r="6614" spans="2:34" x14ac:dyDescent="0.2">
      <c r="B6614" s="2">
        <f ca="1"/>
        <v>0.43685663810499853</v>
      </c>
      <c r="O6614" s="2">
        <f ca="1"/>
        <v>-2.7281608550286172</v>
      </c>
      <c r="X6614" s="2">
        <f ca="1"/>
        <v>76.721528399012612</v>
      </c>
      <c r="AG6614" s="2">
        <f ca="1"/>
        <v>0.75695057933064169</v>
      </c>
      <c r="AH6614" s="2" t="str">
        <f ca="1"/>
        <v>Bad</v>
      </c>
    </row>
    <row r="6615" spans="2:34" x14ac:dyDescent="0.2">
      <c r="B6615" s="2">
        <f ca="1"/>
        <v>0.44580997829257329</v>
      </c>
      <c r="O6615" s="2">
        <f ca="1"/>
        <v>1.1515424240842265</v>
      </c>
      <c r="X6615" s="2">
        <f ca="1"/>
        <v>59.708771646464882</v>
      </c>
      <c r="AG6615" s="2">
        <f ca="1"/>
        <v>0.50398889763451593</v>
      </c>
      <c r="AH6615" s="2" t="str">
        <f ca="1"/>
        <v>Bad</v>
      </c>
    </row>
    <row r="6616" spans="2:34" x14ac:dyDescent="0.2">
      <c r="B6616" s="2">
        <f ca="1"/>
        <v>0.36220769441841472</v>
      </c>
      <c r="O6616" s="2">
        <f ca="1"/>
        <v>-0.6715793687014916</v>
      </c>
      <c r="X6616" s="2">
        <f ca="1"/>
        <v>34.889400775284443</v>
      </c>
      <c r="AG6616" s="2">
        <f ca="1"/>
        <v>0.4064886835780066</v>
      </c>
      <c r="AH6616" s="2" t="str">
        <f ca="1"/>
        <v>Bad</v>
      </c>
    </row>
    <row r="6617" spans="2:34" x14ac:dyDescent="0.2">
      <c r="B6617" s="2">
        <f ca="1"/>
        <v>0.70884273644976314</v>
      </c>
      <c r="O6617" s="2">
        <f ca="1"/>
        <v>-1.1206610758649374</v>
      </c>
      <c r="X6617" s="2">
        <f ca="1"/>
        <v>53.404593215061738</v>
      </c>
      <c r="AG6617" s="2">
        <f ca="1"/>
        <v>0.3934431087763226</v>
      </c>
      <c r="AH6617" s="2" t="str">
        <f ca="1"/>
        <v>OK</v>
      </c>
    </row>
    <row r="6618" spans="2:34" x14ac:dyDescent="0.2">
      <c r="B6618" s="2">
        <f ca="1"/>
        <v>0.51471369129680955</v>
      </c>
      <c r="O6618" s="2">
        <f ca="1"/>
        <v>1.2266223789924873</v>
      </c>
      <c r="X6618" s="2">
        <f ca="1"/>
        <v>67.453737422284405</v>
      </c>
      <c r="AG6618" s="2">
        <f ca="1"/>
        <v>0.59982161382925558</v>
      </c>
      <c r="AH6618" s="2" t="str">
        <f ca="1"/>
        <v>Bad</v>
      </c>
    </row>
    <row r="6619" spans="2:34" x14ac:dyDescent="0.2">
      <c r="B6619" s="2">
        <f ca="1"/>
        <v>0.21124026701677145</v>
      </c>
      <c r="O6619" s="2">
        <f ca="1"/>
        <v>0.37139158047484877</v>
      </c>
      <c r="X6619" s="2">
        <f ca="1"/>
        <v>42.289566651928055</v>
      </c>
      <c r="AG6619" s="2">
        <f ca="1"/>
        <v>0.92573655220067708</v>
      </c>
      <c r="AH6619" s="2" t="str">
        <f ca="1"/>
        <v>Bad</v>
      </c>
    </row>
    <row r="6620" spans="2:34" x14ac:dyDescent="0.2">
      <c r="B6620" s="2">
        <f ca="1"/>
        <v>0.6974735385345523</v>
      </c>
      <c r="O6620" s="2">
        <f ca="1"/>
        <v>-0.6211680694305286</v>
      </c>
      <c r="X6620" s="2">
        <f ca="1"/>
        <v>43.560719683340984</v>
      </c>
      <c r="AG6620" s="2">
        <f ca="1"/>
        <v>5.7263982439978989E-3</v>
      </c>
      <c r="AH6620" s="2" t="str">
        <f ca="1"/>
        <v>Good</v>
      </c>
    </row>
    <row r="6621" spans="2:34" x14ac:dyDescent="0.2">
      <c r="B6621" s="2">
        <f ca="1"/>
        <v>0.64343162387611952</v>
      </c>
      <c r="O6621" s="2">
        <f ca="1"/>
        <v>0.86114475213685349</v>
      </c>
      <c r="X6621" s="2">
        <f ca="1"/>
        <v>57.590913748366589</v>
      </c>
      <c r="AG6621" s="2">
        <f ca="1"/>
        <v>0.38890100127605187</v>
      </c>
      <c r="AH6621" s="2" t="str">
        <f ca="1"/>
        <v>OK</v>
      </c>
    </row>
    <row r="6622" spans="2:34" x14ac:dyDescent="0.2">
      <c r="B6622" s="2">
        <f ca="1"/>
        <v>0.87841527533488573</v>
      </c>
      <c r="O6622" s="2">
        <f ca="1"/>
        <v>0.6057019975580773</v>
      </c>
      <c r="X6622" s="2">
        <f ca="1"/>
        <v>43.930184523171398</v>
      </c>
      <c r="AG6622" s="2">
        <f ca="1"/>
        <v>0.82615066738105525</v>
      </c>
      <c r="AH6622" s="2" t="str">
        <f ca="1"/>
        <v>Bad</v>
      </c>
    </row>
    <row r="6623" spans="2:34" x14ac:dyDescent="0.2">
      <c r="B6623" s="2">
        <f ca="1"/>
        <v>0.44315827843622513</v>
      </c>
      <c r="O6623" s="2">
        <f ca="1"/>
        <v>1.4841025809647252</v>
      </c>
      <c r="X6623" s="2">
        <f ca="1"/>
        <v>38.078857838228366</v>
      </c>
      <c r="AG6623" s="2">
        <f ca="1"/>
        <v>0.33132640083664677</v>
      </c>
      <c r="AH6623" s="2" t="str">
        <f ca="1"/>
        <v>OK</v>
      </c>
    </row>
    <row r="6624" spans="2:34" x14ac:dyDescent="0.2">
      <c r="B6624" s="2">
        <f ca="1"/>
        <v>0.45331861103773918</v>
      </c>
      <c r="O6624" s="2">
        <f ca="1"/>
        <v>-0.70596503437376878</v>
      </c>
      <c r="X6624" s="2">
        <f ca="1"/>
        <v>45.884635307070916</v>
      </c>
      <c r="AG6624" s="2">
        <f ca="1"/>
        <v>0.634359286136843</v>
      </c>
      <c r="AH6624" s="2" t="str">
        <f ca="1"/>
        <v>Bad</v>
      </c>
    </row>
    <row r="6625" spans="2:34" x14ac:dyDescent="0.2">
      <c r="B6625" s="2">
        <f ca="1"/>
        <v>0.54299024512619654</v>
      </c>
      <c r="O6625" s="2">
        <f ca="1"/>
        <v>-2.4908610956846262</v>
      </c>
      <c r="X6625" s="2">
        <f ca="1"/>
        <v>41.51256576928445</v>
      </c>
      <c r="AG6625" s="2">
        <f ca="1"/>
        <v>0.31120169706992762</v>
      </c>
      <c r="AH6625" s="2" t="str">
        <f ca="1"/>
        <v>OK</v>
      </c>
    </row>
    <row r="6626" spans="2:34" x14ac:dyDescent="0.2">
      <c r="B6626" s="2">
        <f ca="1"/>
        <v>0.18181593487502368</v>
      </c>
      <c r="O6626" s="2">
        <f ca="1"/>
        <v>1.4791619338187567</v>
      </c>
      <c r="X6626" s="2">
        <f ca="1"/>
        <v>35.691758170473292</v>
      </c>
      <c r="AG6626" s="2">
        <f ca="1"/>
        <v>0.55831407469788874</v>
      </c>
      <c r="AH6626" s="2" t="str">
        <f ca="1"/>
        <v>Bad</v>
      </c>
    </row>
    <row r="6627" spans="2:34" x14ac:dyDescent="0.2">
      <c r="B6627" s="2">
        <f ca="1"/>
        <v>0.98271966798442656</v>
      </c>
      <c r="O6627" s="2">
        <f ca="1"/>
        <v>-0.19690949427251267</v>
      </c>
      <c r="X6627" s="2">
        <f ca="1"/>
        <v>39.75975219678179</v>
      </c>
      <c r="AG6627" s="2">
        <f ca="1"/>
        <v>0.64967173902253661</v>
      </c>
      <c r="AH6627" s="2" t="str">
        <f ca="1"/>
        <v>Bad</v>
      </c>
    </row>
    <row r="6628" spans="2:34" x14ac:dyDescent="0.2">
      <c r="B6628" s="2">
        <f ca="1"/>
        <v>0.8409208932853216</v>
      </c>
      <c r="O6628" s="2">
        <f ca="1"/>
        <v>0.13408234747905604</v>
      </c>
      <c r="X6628" s="2">
        <f ca="1"/>
        <v>68.52995174031237</v>
      </c>
      <c r="AG6628" s="2">
        <f ca="1"/>
        <v>0.82849815866393439</v>
      </c>
      <c r="AH6628" s="2" t="str">
        <f ca="1"/>
        <v>Bad</v>
      </c>
    </row>
    <row r="6629" spans="2:34" x14ac:dyDescent="0.2">
      <c r="B6629" s="2">
        <f ca="1"/>
        <v>0.36170592231715593</v>
      </c>
      <c r="O6629" s="2">
        <f ca="1"/>
        <v>0.62346518487685654</v>
      </c>
      <c r="X6629" s="2">
        <f ca="1"/>
        <v>39.545243066640701</v>
      </c>
      <c r="AG6629" s="2">
        <f ca="1"/>
        <v>0.51638950622929292</v>
      </c>
      <c r="AH6629" s="2" t="str">
        <f ca="1"/>
        <v>Bad</v>
      </c>
    </row>
    <row r="6630" spans="2:34" x14ac:dyDescent="0.2">
      <c r="B6630" s="2">
        <f ca="1"/>
        <v>0.89456264136892161</v>
      </c>
      <c r="O6630" s="2">
        <f ca="1"/>
        <v>1.0267164367051964</v>
      </c>
      <c r="X6630" s="2">
        <f ca="1"/>
        <v>62.663622478353119</v>
      </c>
      <c r="AG6630" s="2">
        <f ca="1"/>
        <v>0.4236477416935327</v>
      </c>
      <c r="AH6630" s="2" t="str">
        <f ca="1"/>
        <v>Bad</v>
      </c>
    </row>
    <row r="6631" spans="2:34" x14ac:dyDescent="0.2">
      <c r="B6631" s="2">
        <f ca="1"/>
        <v>0.84200491011619194</v>
      </c>
      <c r="O6631" s="2">
        <f ca="1"/>
        <v>-0.68920255121538065</v>
      </c>
      <c r="X6631" s="2">
        <f ca="1"/>
        <v>40.207606312519736</v>
      </c>
      <c r="AG6631" s="2">
        <f ca="1"/>
        <v>0.56532283554329776</v>
      </c>
      <c r="AH6631" s="2" t="str">
        <f ca="1"/>
        <v>Bad</v>
      </c>
    </row>
    <row r="6632" spans="2:34" x14ac:dyDescent="0.2">
      <c r="B6632" s="2">
        <f ca="1"/>
        <v>6.5316273507640465E-2</v>
      </c>
      <c r="O6632" s="2">
        <f ca="1"/>
        <v>1.1303036288058712</v>
      </c>
      <c r="X6632" s="2">
        <f ca="1"/>
        <v>48.282768325793086</v>
      </c>
      <c r="AG6632" s="2">
        <f ca="1"/>
        <v>0.22497976793130925</v>
      </c>
      <c r="AH6632" s="2" t="str">
        <f ca="1"/>
        <v>OK</v>
      </c>
    </row>
    <row r="6633" spans="2:34" x14ac:dyDescent="0.2">
      <c r="B6633" s="2">
        <f ca="1"/>
        <v>0.70558316383055519</v>
      </c>
      <c r="O6633" s="2">
        <f ca="1"/>
        <v>-0.60975603634422193</v>
      </c>
      <c r="X6633" s="2">
        <f ca="1"/>
        <v>41.677311449523216</v>
      </c>
      <c r="AG6633" s="2">
        <f ca="1"/>
        <v>6.9264894117712528E-2</v>
      </c>
      <c r="AH6633" s="2" t="str">
        <f ca="1"/>
        <v>OK</v>
      </c>
    </row>
    <row r="6634" spans="2:34" x14ac:dyDescent="0.2">
      <c r="B6634" s="2">
        <f ca="1"/>
        <v>0.24864042227982641</v>
      </c>
      <c r="O6634" s="2">
        <f ca="1"/>
        <v>0.81418720574553893</v>
      </c>
      <c r="X6634" s="2">
        <f ca="1"/>
        <v>45.555960642713565</v>
      </c>
      <c r="AG6634" s="2">
        <f ca="1"/>
        <v>0.35211919211039944</v>
      </c>
      <c r="AH6634" s="2" t="str">
        <f ca="1"/>
        <v>OK</v>
      </c>
    </row>
    <row r="6635" spans="2:34" x14ac:dyDescent="0.2">
      <c r="B6635" s="2">
        <f ca="1"/>
        <v>0.13000620721477318</v>
      </c>
      <c r="O6635" s="2">
        <f ca="1"/>
        <v>0.53049928977708871</v>
      </c>
      <c r="X6635" s="2">
        <f ca="1"/>
        <v>25.548127614926365</v>
      </c>
      <c r="AG6635" s="2">
        <f ca="1"/>
        <v>0.40776446747034623</v>
      </c>
      <c r="AH6635" s="2" t="str">
        <f ca="1"/>
        <v>Bad</v>
      </c>
    </row>
    <row r="6636" spans="2:34" x14ac:dyDescent="0.2">
      <c r="B6636" s="2">
        <f ca="1"/>
        <v>0.27634042947079318</v>
      </c>
      <c r="O6636" s="2">
        <f ca="1"/>
        <v>-0.61793697895370547</v>
      </c>
      <c r="X6636" s="2">
        <f ca="1"/>
        <v>48.486892479801107</v>
      </c>
      <c r="AG6636" s="2">
        <f ca="1"/>
        <v>0.91118128607322424</v>
      </c>
      <c r="AH6636" s="2" t="str">
        <f ca="1"/>
        <v>Bad</v>
      </c>
    </row>
    <row r="6637" spans="2:34" x14ac:dyDescent="0.2">
      <c r="B6637" s="2">
        <f ca="1"/>
        <v>0.93951448332004261</v>
      </c>
      <c r="O6637" s="2">
        <f ca="1"/>
        <v>0.38656708539586215</v>
      </c>
      <c r="X6637" s="2">
        <f ca="1"/>
        <v>31.075609755163946</v>
      </c>
      <c r="AG6637" s="2">
        <f ca="1"/>
        <v>0.54554329785329148</v>
      </c>
      <c r="AH6637" s="2" t="str">
        <f ca="1"/>
        <v>Bad</v>
      </c>
    </row>
    <row r="6638" spans="2:34" x14ac:dyDescent="0.2">
      <c r="B6638" s="2">
        <f ca="1"/>
        <v>0.2767978955648065</v>
      </c>
      <c r="O6638" s="2">
        <f ca="1"/>
        <v>-3.4376401800991864E-2</v>
      </c>
      <c r="X6638" s="2">
        <f ca="1"/>
        <v>45.188238188046832</v>
      </c>
      <c r="AG6638" s="2">
        <f ca="1"/>
        <v>0.29461081119436727</v>
      </c>
      <c r="AH6638" s="2" t="str">
        <f ca="1"/>
        <v>OK</v>
      </c>
    </row>
    <row r="6639" spans="2:34" x14ac:dyDescent="0.2">
      <c r="B6639" s="2">
        <f ca="1"/>
        <v>0.92570259452044024</v>
      </c>
      <c r="O6639" s="2">
        <f ca="1"/>
        <v>1.7431588994257449E-2</v>
      </c>
      <c r="X6639" s="2">
        <f ca="1"/>
        <v>74.412250883400461</v>
      </c>
      <c r="AG6639" s="2">
        <f ca="1"/>
        <v>0.69101658072949168</v>
      </c>
      <c r="AH6639" s="2" t="str">
        <f ca="1"/>
        <v>Bad</v>
      </c>
    </row>
    <row r="6640" spans="2:34" x14ac:dyDescent="0.2">
      <c r="B6640" s="2">
        <f ca="1"/>
        <v>0.54207626533677211</v>
      </c>
      <c r="O6640" s="2">
        <f ca="1"/>
        <v>0.17135185676567172</v>
      </c>
      <c r="X6640" s="2">
        <f ca="1"/>
        <v>62.266313066784249</v>
      </c>
      <c r="AG6640" s="2">
        <f ca="1"/>
        <v>0.62517071651816614</v>
      </c>
      <c r="AH6640" s="2" t="str">
        <f ca="1"/>
        <v>Bad</v>
      </c>
    </row>
    <row r="6641" spans="2:34" x14ac:dyDescent="0.2">
      <c r="B6641" s="2">
        <f ca="1"/>
        <v>0.79771567639281371</v>
      </c>
      <c r="O6641" s="2">
        <f ca="1"/>
        <v>-0.61992668095783554</v>
      </c>
      <c r="X6641" s="2">
        <f ca="1"/>
        <v>78.684997471318226</v>
      </c>
      <c r="AG6641" s="2">
        <f ca="1"/>
        <v>0.77189729226213144</v>
      </c>
      <c r="AH6641" s="2" t="str">
        <f ca="1"/>
        <v>Bad</v>
      </c>
    </row>
    <row r="6642" spans="2:34" x14ac:dyDescent="0.2">
      <c r="B6642" s="2">
        <f ca="1"/>
        <v>0.39834441541250687</v>
      </c>
      <c r="O6642" s="2">
        <f ca="1"/>
        <v>1.0782029682549685</v>
      </c>
      <c r="X6642" s="2">
        <f ca="1"/>
        <v>50.411945616455441</v>
      </c>
      <c r="AG6642" s="2">
        <f ca="1"/>
        <v>0.88942109369181255</v>
      </c>
      <c r="AH6642" s="2" t="str">
        <f ca="1"/>
        <v>Bad</v>
      </c>
    </row>
    <row r="6643" spans="2:34" x14ac:dyDescent="0.2">
      <c r="B6643" s="2">
        <f ca="1"/>
        <v>0.86818006988369989</v>
      </c>
      <c r="O6643" s="2">
        <f ca="1"/>
        <v>-1.0544854131446049</v>
      </c>
      <c r="X6643" s="2">
        <f ca="1"/>
        <v>56.018386681899834</v>
      </c>
      <c r="AG6643" s="2">
        <f ca="1"/>
        <v>0.65949333390298981</v>
      </c>
      <c r="AH6643" s="2" t="str">
        <f ca="1"/>
        <v>Bad</v>
      </c>
    </row>
    <row r="6644" spans="2:34" x14ac:dyDescent="0.2">
      <c r="B6644" s="2">
        <f ca="1"/>
        <v>0.80345301131530622</v>
      </c>
      <c r="O6644" s="2">
        <f ca="1"/>
        <v>0.90512431824893391</v>
      </c>
      <c r="X6644" s="2">
        <f ca="1"/>
        <v>83.073798290107916</v>
      </c>
      <c r="AG6644" s="2">
        <f ca="1"/>
        <v>0.7750894060543978</v>
      </c>
      <c r="AH6644" s="2" t="str">
        <f ca="1"/>
        <v>Bad</v>
      </c>
    </row>
    <row r="6645" spans="2:34" x14ac:dyDescent="0.2">
      <c r="B6645" s="2">
        <f ca="1"/>
        <v>0.15647628978109185</v>
      </c>
      <c r="O6645" s="2">
        <f ca="1"/>
        <v>-0.8944633543151046</v>
      </c>
      <c r="X6645" s="2">
        <f ca="1"/>
        <v>63.814006222814044</v>
      </c>
      <c r="AG6645" s="2">
        <f ca="1"/>
        <v>0.38715354960525361</v>
      </c>
      <c r="AH6645" s="2" t="str">
        <f ca="1"/>
        <v>OK</v>
      </c>
    </row>
    <row r="6646" spans="2:34" x14ac:dyDescent="0.2">
      <c r="B6646" s="2">
        <f ca="1"/>
        <v>0.90498527987344057</v>
      </c>
      <c r="O6646" s="2">
        <f ca="1"/>
        <v>3.5047284666509436E-2</v>
      </c>
      <c r="X6646" s="2">
        <f ca="1"/>
        <v>65.183400160120655</v>
      </c>
      <c r="AG6646" s="2">
        <f ca="1"/>
        <v>0.69071465175942426</v>
      </c>
      <c r="AH6646" s="2" t="str">
        <f ca="1"/>
        <v>Bad</v>
      </c>
    </row>
    <row r="6647" spans="2:34" x14ac:dyDescent="0.2">
      <c r="B6647" s="2">
        <f ca="1"/>
        <v>0.86359929743295694</v>
      </c>
      <c r="O6647" s="2">
        <f ca="1"/>
        <v>-0.76497065853020041</v>
      </c>
      <c r="X6647" s="2">
        <f ca="1"/>
        <v>66.234671317014389</v>
      </c>
      <c r="AG6647" s="2">
        <f ca="1"/>
        <v>0.73246166986980898</v>
      </c>
      <c r="AH6647" s="2" t="str">
        <f ca="1"/>
        <v>Bad</v>
      </c>
    </row>
    <row r="6648" spans="2:34" x14ac:dyDescent="0.2">
      <c r="B6648" s="2">
        <f ca="1"/>
        <v>0.46300636400367212</v>
      </c>
      <c r="O6648" s="2">
        <f ca="1"/>
        <v>0.67960822912708241</v>
      </c>
      <c r="X6648" s="2">
        <f ca="1"/>
        <v>62.111652307203578</v>
      </c>
      <c r="AG6648" s="2">
        <f ca="1"/>
        <v>7.0101329197190143E-2</v>
      </c>
      <c r="AH6648" s="2" t="str">
        <f ca="1"/>
        <v>OK</v>
      </c>
    </row>
    <row r="6649" spans="2:34" x14ac:dyDescent="0.2">
      <c r="B6649" s="2">
        <f ca="1"/>
        <v>0.3117156768965923</v>
      </c>
      <c r="O6649" s="2">
        <f ca="1"/>
        <v>-0.72101594532578617</v>
      </c>
      <c r="X6649" s="2">
        <f ca="1"/>
        <v>41.161643829474059</v>
      </c>
      <c r="AG6649" s="2">
        <f ca="1"/>
        <v>0.6358628730347633</v>
      </c>
      <c r="AH6649" s="2" t="str">
        <f ca="1"/>
        <v>Bad</v>
      </c>
    </row>
    <row r="6650" spans="2:34" x14ac:dyDescent="0.2">
      <c r="B6650" s="2">
        <f ca="1"/>
        <v>0.1322832374396361</v>
      </c>
      <c r="O6650" s="2">
        <f ca="1"/>
        <v>2.5322860327700569</v>
      </c>
      <c r="X6650" s="2">
        <f ca="1"/>
        <v>29.10271600925067</v>
      </c>
      <c r="AG6650" s="2">
        <f ca="1"/>
        <v>0.68991076476741009</v>
      </c>
      <c r="AH6650" s="2" t="str">
        <f ca="1"/>
        <v>Bad</v>
      </c>
    </row>
    <row r="6651" spans="2:34" x14ac:dyDescent="0.2">
      <c r="B6651" s="2">
        <f ca="1"/>
        <v>0.79999509748997943</v>
      </c>
      <c r="O6651" s="2">
        <f ca="1"/>
        <v>0.27222795871221295</v>
      </c>
      <c r="X6651" s="2">
        <f ca="1"/>
        <v>29.814742814303443</v>
      </c>
      <c r="AG6651" s="2">
        <f ca="1"/>
        <v>0.74455314705252396</v>
      </c>
      <c r="AH6651" s="2" t="str">
        <f ca="1"/>
        <v>Bad</v>
      </c>
    </row>
    <row r="6652" spans="2:34" x14ac:dyDescent="0.2">
      <c r="B6652" s="2">
        <f ca="1"/>
        <v>0.93827402668326543</v>
      </c>
      <c r="O6652" s="2">
        <f ca="1"/>
        <v>-0.47338180810095537</v>
      </c>
      <c r="X6652" s="2">
        <f ca="1"/>
        <v>29.988232528307176</v>
      </c>
      <c r="AG6652" s="2">
        <f ca="1"/>
        <v>0.88061186692958948</v>
      </c>
      <c r="AH6652" s="2" t="str">
        <f ca="1"/>
        <v>Bad</v>
      </c>
    </row>
    <row r="6653" spans="2:34" x14ac:dyDescent="0.2">
      <c r="B6653" s="2">
        <f ca="1"/>
        <v>0.61793389868600035</v>
      </c>
      <c r="O6653" s="2">
        <f ca="1"/>
        <v>1.193902092002789</v>
      </c>
      <c r="X6653" s="2">
        <f ca="1"/>
        <v>27.930290386350567</v>
      </c>
      <c r="AG6653" s="2">
        <f ca="1"/>
        <v>0.22372829513308923</v>
      </c>
      <c r="AH6653" s="2" t="str">
        <f ca="1"/>
        <v>OK</v>
      </c>
    </row>
    <row r="6654" spans="2:34" x14ac:dyDescent="0.2">
      <c r="B6654" s="2">
        <f ca="1"/>
        <v>0.17672682763820013</v>
      </c>
      <c r="O6654" s="2">
        <f ca="1"/>
        <v>0.6361505222096735</v>
      </c>
      <c r="X6654" s="2">
        <f ca="1"/>
        <v>43.115951112574145</v>
      </c>
      <c r="AG6654" s="2">
        <f ca="1"/>
        <v>0.70708178472692929</v>
      </c>
      <c r="AH6654" s="2" t="str">
        <f ca="1"/>
        <v>Bad</v>
      </c>
    </row>
    <row r="6655" spans="2:34" x14ac:dyDescent="0.2">
      <c r="B6655" s="2">
        <f ca="1"/>
        <v>0.86058972057047689</v>
      </c>
      <c r="O6655" s="2">
        <f ca="1"/>
        <v>-0.63328074305089255</v>
      </c>
      <c r="X6655" s="2">
        <f ca="1"/>
        <v>59.302122954586018</v>
      </c>
      <c r="AG6655" s="2">
        <f ca="1"/>
        <v>0.97384604828417176</v>
      </c>
      <c r="AH6655" s="2" t="str">
        <f ca="1"/>
        <v>Bad</v>
      </c>
    </row>
    <row r="6656" spans="2:34" x14ac:dyDescent="0.2">
      <c r="B6656" s="2">
        <f ca="1"/>
        <v>0.98897474102052008</v>
      </c>
      <c r="O6656" s="2">
        <f ca="1"/>
        <v>-0.49653180459275575</v>
      </c>
      <c r="X6656" s="2">
        <f ca="1"/>
        <v>30.905609549191958</v>
      </c>
      <c r="AG6656" s="2">
        <f ca="1"/>
        <v>0.36017126224101181</v>
      </c>
      <c r="AH6656" s="2" t="str">
        <f ca="1"/>
        <v>OK</v>
      </c>
    </row>
    <row r="6657" spans="2:34" x14ac:dyDescent="0.2">
      <c r="B6657" s="2">
        <f ca="1"/>
        <v>0.32904580154675833</v>
      </c>
      <c r="O6657" s="2">
        <f ca="1"/>
        <v>-1.4137999264559535</v>
      </c>
      <c r="X6657" s="2">
        <f ca="1"/>
        <v>48.380374633827749</v>
      </c>
      <c r="AG6657" s="2">
        <f ca="1"/>
        <v>0.7692394620826617</v>
      </c>
      <c r="AH6657" s="2" t="str">
        <f ca="1"/>
        <v>Bad</v>
      </c>
    </row>
    <row r="6658" spans="2:34" x14ac:dyDescent="0.2">
      <c r="B6658" s="2">
        <f ca="1"/>
        <v>7.7929183675538027E-3</v>
      </c>
      <c r="O6658" s="2">
        <f ca="1"/>
        <v>0.58274606621709413</v>
      </c>
      <c r="X6658" s="2">
        <f ca="1"/>
        <v>56.920020992092894</v>
      </c>
      <c r="AG6658" s="2">
        <f ca="1"/>
        <v>0.10450507890355887</v>
      </c>
      <c r="AH6658" s="2" t="str">
        <f ca="1"/>
        <v>OK</v>
      </c>
    </row>
    <row r="6659" spans="2:34" x14ac:dyDescent="0.2">
      <c r="B6659" s="2">
        <f ca="1"/>
        <v>0.86060351220685116</v>
      </c>
      <c r="O6659" s="2">
        <f ca="1"/>
        <v>-0.68527202358463912</v>
      </c>
      <c r="X6659" s="2">
        <f ca="1"/>
        <v>42.717303767827644</v>
      </c>
      <c r="AG6659" s="2">
        <f ca="1"/>
        <v>2.146270445962184E-2</v>
      </c>
      <c r="AH6659" s="2" t="str">
        <f ca="1"/>
        <v>Good</v>
      </c>
    </row>
    <row r="6660" spans="2:34" x14ac:dyDescent="0.2">
      <c r="B6660" s="2">
        <f ca="1"/>
        <v>0.67956102882674418</v>
      </c>
      <c r="O6660" s="2">
        <f ca="1"/>
        <v>-1.7450449126055527</v>
      </c>
      <c r="X6660" s="2">
        <f ca="1"/>
        <v>40.512315142877647</v>
      </c>
      <c r="AG6660" s="2">
        <f ca="1"/>
        <v>0.89920996352302507</v>
      </c>
      <c r="AH6660" s="2" t="str">
        <f ca="1"/>
        <v>Bad</v>
      </c>
    </row>
    <row r="6661" spans="2:34" x14ac:dyDescent="0.2">
      <c r="B6661" s="2">
        <f ca="1"/>
        <v>0.4444128087566932</v>
      </c>
      <c r="O6661" s="2">
        <f ca="1"/>
        <v>0.72046224895783084</v>
      </c>
      <c r="X6661" s="2">
        <f ca="1"/>
        <v>43.121682474082718</v>
      </c>
      <c r="AG6661" s="2">
        <f ca="1"/>
        <v>0.52288492077567161</v>
      </c>
      <c r="AH6661" s="2" t="str">
        <f ca="1"/>
        <v>Bad</v>
      </c>
    </row>
    <row r="6662" spans="2:34" x14ac:dyDescent="0.2">
      <c r="B6662" s="2">
        <f ca="1"/>
        <v>0.55737858423168807</v>
      </c>
      <c r="O6662" s="2">
        <f ca="1"/>
        <v>1.9306740907667299</v>
      </c>
      <c r="X6662" s="2">
        <f ca="1"/>
        <v>42.485371165747942</v>
      </c>
      <c r="AG6662" s="2">
        <f ca="1"/>
        <v>0.3514874237546679</v>
      </c>
      <c r="AH6662" s="2" t="str">
        <f ca="1"/>
        <v>OK</v>
      </c>
    </row>
    <row r="6663" spans="2:34" x14ac:dyDescent="0.2">
      <c r="B6663" s="2">
        <f ca="1"/>
        <v>0.38191504737038895</v>
      </c>
      <c r="O6663" s="2">
        <f ca="1"/>
        <v>0.52944034905863702</v>
      </c>
      <c r="X6663" s="2">
        <f ca="1"/>
        <v>47.482783053561462</v>
      </c>
      <c r="AG6663" s="2">
        <f ca="1"/>
        <v>0.77534986137835649</v>
      </c>
      <c r="AH6663" s="2" t="str">
        <f ca="1"/>
        <v>Bad</v>
      </c>
    </row>
    <row r="6664" spans="2:34" x14ac:dyDescent="0.2">
      <c r="B6664" s="2">
        <f ca="1"/>
        <v>0.36723387114572548</v>
      </c>
      <c r="O6664" s="2">
        <f ca="1"/>
        <v>0.55932168255748727</v>
      </c>
      <c r="X6664" s="2">
        <f ca="1"/>
        <v>69.216783128390432</v>
      </c>
      <c r="AG6664" s="2">
        <f ca="1"/>
        <v>0.87573338099165032</v>
      </c>
      <c r="AH6664" s="2" t="str">
        <f ca="1"/>
        <v>Bad</v>
      </c>
    </row>
    <row r="6665" spans="2:34" x14ac:dyDescent="0.2">
      <c r="B6665" s="2">
        <f ca="1"/>
        <v>0.56511309480614358</v>
      </c>
      <c r="O6665" s="2">
        <f ca="1"/>
        <v>-0.50388920340273158</v>
      </c>
      <c r="X6665" s="2">
        <f ca="1"/>
        <v>61.272679934143014</v>
      </c>
      <c r="AG6665" s="2">
        <f ca="1"/>
        <v>0.22789989375678843</v>
      </c>
      <c r="AH6665" s="2" t="str">
        <f ca="1"/>
        <v>OK</v>
      </c>
    </row>
    <row r="6666" spans="2:34" x14ac:dyDescent="0.2">
      <c r="B6666" s="2">
        <f ca="1"/>
        <v>0.97569205366170286</v>
      </c>
      <c r="O6666" s="2">
        <f ca="1"/>
        <v>0.9413807207972853</v>
      </c>
      <c r="X6666" s="2">
        <f ca="1"/>
        <v>27.044580356362054</v>
      </c>
      <c r="AG6666" s="2">
        <f ca="1"/>
        <v>0.85050175470123746</v>
      </c>
      <c r="AH6666" s="2" t="str">
        <f ca="1"/>
        <v>Bad</v>
      </c>
    </row>
    <row r="6667" spans="2:34" x14ac:dyDescent="0.2">
      <c r="B6667" s="2">
        <f ca="1"/>
        <v>0.92108466165424607</v>
      </c>
      <c r="O6667" s="2">
        <f ca="1"/>
        <v>-0.98860396062667921</v>
      </c>
      <c r="X6667" s="2">
        <f ca="1"/>
        <v>28.038680993463672</v>
      </c>
      <c r="AG6667" s="2">
        <f ca="1"/>
        <v>0.21988502161698231</v>
      </c>
      <c r="AH6667" s="2" t="str">
        <f ca="1"/>
        <v>OK</v>
      </c>
    </row>
    <row r="6668" spans="2:34" x14ac:dyDescent="0.2">
      <c r="B6668" s="2">
        <f ca="1"/>
        <v>0.54504155701224266</v>
      </c>
      <c r="O6668" s="2">
        <f ca="1"/>
        <v>0.42158283083972731</v>
      </c>
      <c r="X6668" s="2">
        <f ca="1"/>
        <v>56.490828613535278</v>
      </c>
      <c r="AG6668" s="2">
        <f ca="1"/>
        <v>0.14093780072763584</v>
      </c>
      <c r="AH6668" s="2" t="str">
        <f ca="1"/>
        <v>OK</v>
      </c>
    </row>
    <row r="6669" spans="2:34" x14ac:dyDescent="0.2">
      <c r="B6669" s="2">
        <f ca="1"/>
        <v>0.81596168749714182</v>
      </c>
      <c r="O6669" s="2">
        <f ca="1"/>
        <v>1.3357700302353872</v>
      </c>
      <c r="X6669" s="2">
        <f ca="1"/>
        <v>40.801343612480743</v>
      </c>
      <c r="AG6669" s="2">
        <f ca="1"/>
        <v>0.85832771585146128</v>
      </c>
      <c r="AH6669" s="2" t="str">
        <f ca="1"/>
        <v>Bad</v>
      </c>
    </row>
    <row r="6670" spans="2:34" x14ac:dyDescent="0.2">
      <c r="B6670" s="2">
        <f ca="1"/>
        <v>0.64245251584036822</v>
      </c>
      <c r="O6670" s="2">
        <f ca="1"/>
        <v>-1.5234969224978274</v>
      </c>
      <c r="X6670" s="2">
        <f ca="1"/>
        <v>24.566426287758244</v>
      </c>
      <c r="AG6670" s="2">
        <f ca="1"/>
        <v>0.50377663739407685</v>
      </c>
      <c r="AH6670" s="2" t="str">
        <f ca="1"/>
        <v>Bad</v>
      </c>
    </row>
    <row r="6671" spans="2:34" x14ac:dyDescent="0.2">
      <c r="B6671" s="2">
        <f ca="1"/>
        <v>0.46458841203385681</v>
      </c>
      <c r="O6671" s="2">
        <f ca="1"/>
        <v>0.21906805174737412</v>
      </c>
      <c r="X6671" s="2">
        <f ca="1"/>
        <v>43.680488503265956</v>
      </c>
      <c r="AG6671" s="2">
        <f ca="1"/>
        <v>0.9156902436519454</v>
      </c>
      <c r="AH6671" s="2" t="str">
        <f ca="1"/>
        <v>Bad</v>
      </c>
    </row>
    <row r="6672" spans="2:34" x14ac:dyDescent="0.2">
      <c r="B6672" s="2">
        <f ca="1"/>
        <v>6.1707631032914545E-3</v>
      </c>
      <c r="O6672" s="2">
        <f ca="1"/>
        <v>0.86745115674787354</v>
      </c>
      <c r="X6672" s="2">
        <f ca="1"/>
        <v>27.645591036449705</v>
      </c>
      <c r="AG6672" s="2">
        <f ca="1"/>
        <v>0.58283981878706825</v>
      </c>
      <c r="AH6672" s="2" t="str">
        <f ca="1"/>
        <v>Bad</v>
      </c>
    </row>
    <row r="6673" spans="2:34" x14ac:dyDescent="0.2">
      <c r="B6673" s="2">
        <f ca="1"/>
        <v>0.19197604077469332</v>
      </c>
      <c r="O6673" s="2">
        <f ca="1"/>
        <v>-1.2626244025075293</v>
      </c>
      <c r="X6673" s="2">
        <f ca="1"/>
        <v>37.419822738082914</v>
      </c>
      <c r="AG6673" s="2">
        <f ca="1"/>
        <v>0.70754366256474488</v>
      </c>
      <c r="AH6673" s="2" t="str">
        <f ca="1"/>
        <v>Bad</v>
      </c>
    </row>
    <row r="6674" spans="2:34" x14ac:dyDescent="0.2">
      <c r="B6674" s="2">
        <f ca="1"/>
        <v>0.41924100271966602</v>
      </c>
      <c r="O6674" s="2">
        <f ca="1"/>
        <v>0.6330695843127887</v>
      </c>
      <c r="X6674" s="2">
        <f ca="1"/>
        <v>52.118596260839531</v>
      </c>
      <c r="AG6674" s="2">
        <f ca="1"/>
        <v>0.12558796280310625</v>
      </c>
      <c r="AH6674" s="2" t="str">
        <f ca="1"/>
        <v>OK</v>
      </c>
    </row>
    <row r="6675" spans="2:34" x14ac:dyDescent="0.2">
      <c r="B6675" s="2">
        <f ca="1"/>
        <v>5.1462108056487654E-2</v>
      </c>
      <c r="O6675" s="2">
        <f ca="1"/>
        <v>1.4517263235356779</v>
      </c>
      <c r="X6675" s="2">
        <f ca="1"/>
        <v>62.209939439025057</v>
      </c>
      <c r="AG6675" s="2">
        <f ca="1"/>
        <v>0.54204279251358289</v>
      </c>
      <c r="AH6675" s="2" t="str">
        <f ca="1"/>
        <v>Bad</v>
      </c>
    </row>
    <row r="6676" spans="2:34" x14ac:dyDescent="0.2">
      <c r="B6676" s="2">
        <f ca="1"/>
        <v>0.11602261110625856</v>
      </c>
      <c r="O6676" s="2">
        <f ca="1"/>
        <v>-0.68741086331369294</v>
      </c>
      <c r="X6676" s="2">
        <f ca="1"/>
        <v>57.724145071939638</v>
      </c>
      <c r="AG6676" s="2">
        <f ca="1"/>
        <v>0.5151162340631712</v>
      </c>
      <c r="AH6676" s="2" t="str">
        <f ca="1"/>
        <v>Bad</v>
      </c>
    </row>
    <row r="6677" spans="2:34" x14ac:dyDescent="0.2">
      <c r="B6677" s="2">
        <f ca="1"/>
        <v>0.2977807289320642</v>
      </c>
      <c r="O6677" s="2">
        <f ca="1"/>
        <v>-1.0538501521097443</v>
      </c>
      <c r="X6677" s="2">
        <f ca="1"/>
        <v>47.27531762690581</v>
      </c>
      <c r="AG6677" s="2">
        <f ca="1"/>
        <v>0.48932358966720768</v>
      </c>
      <c r="AH6677" s="2" t="str">
        <f ca="1"/>
        <v>Bad</v>
      </c>
    </row>
    <row r="6678" spans="2:34" x14ac:dyDescent="0.2">
      <c r="B6678" s="2">
        <f ca="1"/>
        <v>0.9101491836923723</v>
      </c>
      <c r="O6678" s="2">
        <f ca="1"/>
        <v>0.31560115745848555</v>
      </c>
      <c r="X6678" s="2">
        <f ca="1"/>
        <v>31.491407936726933</v>
      </c>
      <c r="AG6678" s="2">
        <f ca="1"/>
        <v>0.39952998470183942</v>
      </c>
      <c r="AH6678" s="2" t="str">
        <f ca="1"/>
        <v>OK</v>
      </c>
    </row>
    <row r="6679" spans="2:34" x14ac:dyDescent="0.2">
      <c r="B6679" s="2">
        <f ca="1"/>
        <v>0.12953815081782194</v>
      </c>
      <c r="O6679" s="2">
        <f ca="1"/>
        <v>6.4507863266940704E-2</v>
      </c>
      <c r="X6679" s="2">
        <f ca="1"/>
        <v>33.790595823792913</v>
      </c>
      <c r="AG6679" s="2">
        <f ca="1"/>
        <v>0.83575586448319372</v>
      </c>
      <c r="AH6679" s="2" t="str">
        <f ca="1"/>
        <v>Bad</v>
      </c>
    </row>
    <row r="6680" spans="2:34" x14ac:dyDescent="0.2">
      <c r="B6680" s="2">
        <f ca="1"/>
        <v>0.86793250812532996</v>
      </c>
      <c r="O6680" s="2">
        <f ca="1"/>
        <v>1.7336088444394077E-2</v>
      </c>
      <c r="X6680" s="2">
        <f ca="1"/>
        <v>63.928523816726639</v>
      </c>
      <c r="AG6680" s="2">
        <f ca="1"/>
        <v>0.93728800239070531</v>
      </c>
      <c r="AH6680" s="2" t="str">
        <f ca="1"/>
        <v>Bad</v>
      </c>
    </row>
    <row r="6681" spans="2:34" x14ac:dyDescent="0.2">
      <c r="B6681" s="2">
        <f ca="1"/>
        <v>2.3440473752934565E-2</v>
      </c>
      <c r="O6681" s="2">
        <f ca="1"/>
        <v>-4.3045910528356067E-2</v>
      </c>
      <c r="X6681" s="2">
        <f ca="1"/>
        <v>64.569366336959376</v>
      </c>
      <c r="AG6681" s="2">
        <f ca="1"/>
        <v>0.1855795577519781</v>
      </c>
      <c r="AH6681" s="2" t="str">
        <f ca="1"/>
        <v>OK</v>
      </c>
    </row>
    <row r="6682" spans="2:34" x14ac:dyDescent="0.2">
      <c r="B6682" s="2">
        <f ca="1"/>
        <v>0.88404581995018572</v>
      </c>
      <c r="O6682" s="2">
        <f ca="1"/>
        <v>-0.61509305071174214</v>
      </c>
      <c r="X6682" s="2">
        <f ca="1"/>
        <v>87.438693976306354</v>
      </c>
      <c r="AG6682" s="2">
        <f ca="1"/>
        <v>0.15580961865596277</v>
      </c>
      <c r="AH6682" s="2" t="str">
        <f ca="1"/>
        <v>OK</v>
      </c>
    </row>
    <row r="6683" spans="2:34" x14ac:dyDescent="0.2">
      <c r="B6683" s="2">
        <f ca="1"/>
        <v>0.36288945883939761</v>
      </c>
      <c r="O6683" s="2">
        <f ca="1"/>
        <v>0.45253035802819136</v>
      </c>
      <c r="X6683" s="2">
        <f ca="1"/>
        <v>35.605764028146481</v>
      </c>
      <c r="AG6683" s="2">
        <f ca="1"/>
        <v>0.43386433267691649</v>
      </c>
      <c r="AH6683" s="2" t="str">
        <f ca="1"/>
        <v>Bad</v>
      </c>
    </row>
    <row r="6684" spans="2:34" x14ac:dyDescent="0.2">
      <c r="B6684" s="2">
        <f ca="1"/>
        <v>0.96451311849850496</v>
      </c>
      <c r="O6684" s="2">
        <f ca="1"/>
        <v>-0.365665600751586</v>
      </c>
      <c r="X6684" s="2">
        <f ca="1"/>
        <v>59.455848344009269</v>
      </c>
      <c r="AG6684" s="2">
        <f ca="1"/>
        <v>0.29860573346649599</v>
      </c>
      <c r="AH6684" s="2" t="str">
        <f ca="1"/>
        <v>OK</v>
      </c>
    </row>
    <row r="6685" spans="2:34" x14ac:dyDescent="0.2">
      <c r="B6685" s="2">
        <f ca="1"/>
        <v>7.1238605707126368E-2</v>
      </c>
      <c r="O6685" s="2">
        <f ca="1"/>
        <v>2.7440716418237319</v>
      </c>
      <c r="X6685" s="2">
        <f ca="1"/>
        <v>42.46802460599217</v>
      </c>
      <c r="AG6685" s="2">
        <f ca="1"/>
        <v>4.7632940778182364E-2</v>
      </c>
      <c r="AH6685" s="2" t="str">
        <f ca="1"/>
        <v>Good</v>
      </c>
    </row>
    <row r="6686" spans="2:34" x14ac:dyDescent="0.2">
      <c r="B6686" s="2">
        <f ca="1"/>
        <v>0.74623775802768999</v>
      </c>
      <c r="O6686" s="2">
        <f ca="1"/>
        <v>0.16274219902826614</v>
      </c>
      <c r="X6686" s="2">
        <f ca="1"/>
        <v>60.984008579500014</v>
      </c>
      <c r="AG6686" s="2">
        <f ca="1"/>
        <v>0.53103132288677624</v>
      </c>
      <c r="AH6686" s="2" t="str">
        <f ca="1"/>
        <v>Bad</v>
      </c>
    </row>
    <row r="6687" spans="2:34" x14ac:dyDescent="0.2">
      <c r="B6687" s="2">
        <f ca="1"/>
        <v>0.23834166395805223</v>
      </c>
      <c r="O6687" s="2">
        <f ca="1"/>
        <v>-3.6680113188859251</v>
      </c>
      <c r="X6687" s="2">
        <f ca="1"/>
        <v>69.802150400755039</v>
      </c>
      <c r="AG6687" s="2">
        <f ca="1"/>
        <v>0.25659974662673912</v>
      </c>
      <c r="AH6687" s="2" t="str">
        <f ca="1"/>
        <v>OK</v>
      </c>
    </row>
    <row r="6688" spans="2:34" x14ac:dyDescent="0.2">
      <c r="B6688" s="2">
        <f ca="1"/>
        <v>0.58173654537021569</v>
      </c>
      <c r="O6688" s="2">
        <f ca="1"/>
        <v>-0.19255116905286782</v>
      </c>
      <c r="X6688" s="2">
        <f ca="1"/>
        <v>48.213143642495446</v>
      </c>
      <c r="AG6688" s="2">
        <f ca="1"/>
        <v>0.95729035162685694</v>
      </c>
      <c r="AH6688" s="2" t="str">
        <f ca="1"/>
        <v>Bad</v>
      </c>
    </row>
    <row r="6689" spans="2:34" x14ac:dyDescent="0.2">
      <c r="B6689" s="2">
        <f ca="1"/>
        <v>0.80772495570353819</v>
      </c>
      <c r="O6689" s="2">
        <f ca="1"/>
        <v>0.5082723321586432</v>
      </c>
      <c r="X6689" s="2">
        <f ca="1"/>
        <v>60.064158191942255</v>
      </c>
      <c r="AG6689" s="2">
        <f ca="1"/>
        <v>0.1430556203462483</v>
      </c>
      <c r="AH6689" s="2" t="str">
        <f ca="1"/>
        <v>OK</v>
      </c>
    </row>
    <row r="6690" spans="2:34" x14ac:dyDescent="0.2">
      <c r="B6690" s="2">
        <f ca="1"/>
        <v>0.55632745205625889</v>
      </c>
      <c r="O6690" s="2">
        <f ca="1"/>
        <v>4.5568780575130419E-2</v>
      </c>
      <c r="X6690" s="2">
        <f ca="1"/>
        <v>59.980210405122421</v>
      </c>
      <c r="AG6690" s="2">
        <f ca="1"/>
        <v>0.73386042385768802</v>
      </c>
      <c r="AH6690" s="2" t="str">
        <f ca="1"/>
        <v>Bad</v>
      </c>
    </row>
    <row r="6691" spans="2:34" x14ac:dyDescent="0.2">
      <c r="B6691" s="2">
        <f ca="1"/>
        <v>3.384653141142735E-2</v>
      </c>
      <c r="O6691" s="2">
        <f ca="1"/>
        <v>0.14108223482756299</v>
      </c>
      <c r="X6691" s="2">
        <f ca="1"/>
        <v>48.824737133539031</v>
      </c>
      <c r="AG6691" s="2">
        <f ca="1"/>
        <v>0.70211607400500253</v>
      </c>
      <c r="AH6691" s="2" t="str">
        <f ca="1"/>
        <v>Bad</v>
      </c>
    </row>
    <row r="6692" spans="2:34" x14ac:dyDescent="0.2">
      <c r="B6692" s="2">
        <f ca="1"/>
        <v>4.9978720579563207E-2</v>
      </c>
      <c r="O6692" s="2">
        <f ca="1"/>
        <v>-0.18451901747486588</v>
      </c>
      <c r="X6692" s="2">
        <f ca="1"/>
        <v>41.261479660003531</v>
      </c>
      <c r="AG6692" s="2">
        <f ca="1"/>
        <v>0.32499069867447772</v>
      </c>
      <c r="AH6692" s="2" t="str">
        <f ca="1"/>
        <v>OK</v>
      </c>
    </row>
    <row r="6693" spans="2:34" x14ac:dyDescent="0.2">
      <c r="B6693" s="2">
        <f ca="1"/>
        <v>0.68269208816497562</v>
      </c>
      <c r="O6693" s="2">
        <f ca="1"/>
        <v>1.7333819531604813</v>
      </c>
      <c r="X6693" s="2">
        <f ca="1"/>
        <v>47.53220580431087</v>
      </c>
      <c r="AG6693" s="2">
        <f ca="1"/>
        <v>0.9403700972758029</v>
      </c>
      <c r="AH6693" s="2" t="str">
        <f ca="1"/>
        <v>Bad</v>
      </c>
    </row>
    <row r="6694" spans="2:34" x14ac:dyDescent="0.2">
      <c r="B6694" s="2">
        <f ca="1"/>
        <v>0.25274125718079277</v>
      </c>
      <c r="O6694" s="2">
        <f ca="1"/>
        <v>-0.36173401806327338</v>
      </c>
      <c r="X6694" s="2">
        <f ca="1"/>
        <v>27.307955277573615</v>
      </c>
      <c r="AG6694" s="2">
        <f ca="1"/>
        <v>0.94997506793563513</v>
      </c>
      <c r="AH6694" s="2" t="str">
        <f ca="1"/>
        <v>Bad</v>
      </c>
    </row>
    <row r="6695" spans="2:34" x14ac:dyDescent="0.2">
      <c r="B6695" s="2">
        <f ca="1"/>
        <v>0.6204534212696764</v>
      </c>
      <c r="O6695" s="2">
        <f ca="1"/>
        <v>0.75402779017480359</v>
      </c>
      <c r="X6695" s="2">
        <f ca="1"/>
        <v>62.927765149190726</v>
      </c>
      <c r="AG6695" s="2">
        <f ca="1"/>
        <v>0.55481287620798359</v>
      </c>
      <c r="AH6695" s="2" t="str">
        <f ca="1"/>
        <v>Bad</v>
      </c>
    </row>
    <row r="6696" spans="2:34" x14ac:dyDescent="0.2">
      <c r="B6696" s="2">
        <f ca="1"/>
        <v>0.44131465550784044</v>
      </c>
      <c r="O6696" s="2">
        <f ca="1"/>
        <v>2.5850449439465275</v>
      </c>
      <c r="X6696" s="2">
        <f ca="1"/>
        <v>53.88411543909298</v>
      </c>
      <c r="AG6696" s="2">
        <f ca="1"/>
        <v>0.28935888468146098</v>
      </c>
      <c r="AH6696" s="2" t="str">
        <f ca="1"/>
        <v>OK</v>
      </c>
    </row>
    <row r="6697" spans="2:34" x14ac:dyDescent="0.2">
      <c r="B6697" s="2">
        <f ca="1"/>
        <v>0.91152589437245402</v>
      </c>
      <c r="O6697" s="2">
        <f ca="1"/>
        <v>-0.14720926940500784</v>
      </c>
      <c r="X6697" s="2">
        <f ca="1"/>
        <v>73.734843945244563</v>
      </c>
      <c r="AG6697" s="2">
        <f ca="1"/>
        <v>0.86859016074517692</v>
      </c>
      <c r="AH6697" s="2" t="str">
        <f ca="1"/>
        <v>Bad</v>
      </c>
    </row>
    <row r="6698" spans="2:34" x14ac:dyDescent="0.2">
      <c r="B6698" s="2">
        <f ca="1"/>
        <v>0.347652287811127</v>
      </c>
      <c r="O6698" s="2">
        <f ca="1"/>
        <v>3.4517771602325338E-2</v>
      </c>
      <c r="X6698" s="2">
        <f ca="1"/>
        <v>64.441572878937649</v>
      </c>
      <c r="AG6698" s="2">
        <f ca="1"/>
        <v>0.78035033369381068</v>
      </c>
      <c r="AH6698" s="2" t="str">
        <f ca="1"/>
        <v>Bad</v>
      </c>
    </row>
    <row r="6699" spans="2:34" x14ac:dyDescent="0.2">
      <c r="B6699" s="2">
        <f ca="1"/>
        <v>0.16822014273083852</v>
      </c>
      <c r="O6699" s="2">
        <f ca="1"/>
        <v>0.37145576222720639</v>
      </c>
      <c r="X6699" s="2">
        <f ca="1"/>
        <v>36.799850666170613</v>
      </c>
      <c r="AG6699" s="2">
        <f ca="1"/>
        <v>0.14275671217246577</v>
      </c>
      <c r="AH6699" s="2" t="str">
        <f ca="1"/>
        <v>OK</v>
      </c>
    </row>
    <row r="6700" spans="2:34" x14ac:dyDescent="0.2">
      <c r="B6700" s="2">
        <f ca="1"/>
        <v>0.68916337779683823</v>
      </c>
      <c r="O6700" s="2">
        <f ca="1"/>
        <v>0.79655991148304961</v>
      </c>
      <c r="X6700" s="2">
        <f ca="1"/>
        <v>67.131559818632056</v>
      </c>
      <c r="AG6700" s="2">
        <f ca="1"/>
        <v>0.84346282038547393</v>
      </c>
      <c r="AH6700" s="2" t="str">
        <f ca="1"/>
        <v>Bad</v>
      </c>
    </row>
    <row r="6701" spans="2:34" x14ac:dyDescent="0.2">
      <c r="B6701" s="2">
        <f ca="1"/>
        <v>0.23687036604521183</v>
      </c>
      <c r="O6701" s="2">
        <f ca="1"/>
        <v>1.0037143102365391</v>
      </c>
      <c r="X6701" s="2">
        <f ca="1"/>
        <v>46.851544671954358</v>
      </c>
      <c r="AG6701" s="2">
        <f ca="1"/>
        <v>0.12535925974934714</v>
      </c>
      <c r="AH6701" s="2" t="str">
        <f ca="1"/>
        <v>OK</v>
      </c>
    </row>
    <row r="6702" spans="2:34" x14ac:dyDescent="0.2">
      <c r="B6702" s="2">
        <f ca="1"/>
        <v>0.57837940061556736</v>
      </c>
      <c r="O6702" s="2">
        <f ca="1"/>
        <v>-1.4611959990904675</v>
      </c>
      <c r="X6702" s="2">
        <f ca="1"/>
        <v>62.942968459892683</v>
      </c>
      <c r="AG6702" s="2">
        <f ca="1"/>
        <v>0.82738433581779258</v>
      </c>
      <c r="AH6702" s="2" t="str">
        <f ca="1"/>
        <v>Bad</v>
      </c>
    </row>
    <row r="6703" spans="2:34" x14ac:dyDescent="0.2">
      <c r="B6703" s="2">
        <f ca="1"/>
        <v>0.70130317277259557</v>
      </c>
      <c r="O6703" s="2">
        <f ca="1"/>
        <v>0.71435202154174271</v>
      </c>
      <c r="X6703" s="2">
        <f ca="1"/>
        <v>64.4265436563919</v>
      </c>
      <c r="AG6703" s="2">
        <f ca="1"/>
        <v>0.4937802214889826</v>
      </c>
      <c r="AH6703" s="2" t="str">
        <f ca="1"/>
        <v>Bad</v>
      </c>
    </row>
    <row r="6704" spans="2:34" x14ac:dyDescent="0.2">
      <c r="B6704" s="2">
        <f ca="1"/>
        <v>0.84533947562132816</v>
      </c>
      <c r="O6704" s="2">
        <f ca="1"/>
        <v>0.63902113748355316</v>
      </c>
      <c r="X6704" s="2">
        <f ca="1"/>
        <v>45.372727282422396</v>
      </c>
      <c r="AG6704" s="2">
        <f ca="1"/>
        <v>0.32730582776866446</v>
      </c>
      <c r="AH6704" s="2" t="str">
        <f ca="1"/>
        <v>OK</v>
      </c>
    </row>
    <row r="6705" spans="2:34" x14ac:dyDescent="0.2">
      <c r="B6705" s="2">
        <f ca="1"/>
        <v>0.35367540132544839</v>
      </c>
      <c r="O6705" s="2">
        <f ca="1"/>
        <v>-1.7628040419636224</v>
      </c>
      <c r="X6705" s="2">
        <f ca="1"/>
        <v>57.541079811015081</v>
      </c>
      <c r="AG6705" s="2">
        <f ca="1"/>
        <v>0.59000006813643235</v>
      </c>
      <c r="AH6705" s="2" t="str">
        <f ca="1"/>
        <v>Bad</v>
      </c>
    </row>
    <row r="6706" spans="2:34" x14ac:dyDescent="0.2">
      <c r="B6706" s="2">
        <f ca="1"/>
        <v>0.84715212392344141</v>
      </c>
      <c r="O6706" s="2">
        <f ca="1"/>
        <v>2.2179797125692504</v>
      </c>
      <c r="X6706" s="2">
        <f ca="1"/>
        <v>54.735234237432131</v>
      </c>
      <c r="AG6706" s="2">
        <f ca="1"/>
        <v>4.0649644457995793E-2</v>
      </c>
      <c r="AH6706" s="2" t="str">
        <f ca="1"/>
        <v>Good</v>
      </c>
    </row>
    <row r="6707" spans="2:34" x14ac:dyDescent="0.2">
      <c r="B6707" s="2">
        <f ca="1"/>
        <v>0.59372607800059529</v>
      </c>
      <c r="O6707" s="2">
        <f ca="1"/>
        <v>0.53061531436221465</v>
      </c>
      <c r="X6707" s="2">
        <f ca="1"/>
        <v>64.958557544691843</v>
      </c>
      <c r="AG6707" s="2">
        <f ca="1"/>
        <v>0.93471508017591831</v>
      </c>
      <c r="AH6707" s="2" t="str">
        <f ca="1"/>
        <v>Bad</v>
      </c>
    </row>
    <row r="6708" spans="2:34" x14ac:dyDescent="0.2">
      <c r="B6708" s="2">
        <f ca="1"/>
        <v>0.65405409971819162</v>
      </c>
      <c r="O6708" s="2">
        <f ca="1"/>
        <v>-0.69472105877675516</v>
      </c>
      <c r="X6708" s="2">
        <f ca="1"/>
        <v>30.110301825546181</v>
      </c>
      <c r="AG6708" s="2">
        <f ca="1"/>
        <v>0.2870327232432961</v>
      </c>
      <c r="AH6708" s="2" t="str">
        <f ca="1"/>
        <v>OK</v>
      </c>
    </row>
    <row r="6709" spans="2:34" x14ac:dyDescent="0.2">
      <c r="B6709" s="2">
        <f ca="1"/>
        <v>0.8567813739586434</v>
      </c>
      <c r="O6709" s="2">
        <f ca="1"/>
        <v>-0.13731673640261224</v>
      </c>
      <c r="X6709" s="2">
        <f ca="1"/>
        <v>24.78657420255044</v>
      </c>
      <c r="AG6709" s="2">
        <f ca="1"/>
        <v>0.44164832357927475</v>
      </c>
      <c r="AH6709" s="2" t="str">
        <f ca="1"/>
        <v>Bad</v>
      </c>
    </row>
    <row r="6710" spans="2:34" x14ac:dyDescent="0.2">
      <c r="B6710" s="2">
        <f ca="1"/>
        <v>0.78145027538505207</v>
      </c>
      <c r="O6710" s="2">
        <f ca="1"/>
        <v>0.254285539685424</v>
      </c>
      <c r="X6710" s="2">
        <f ca="1"/>
        <v>51.592538041660688</v>
      </c>
      <c r="AG6710" s="2">
        <f ca="1"/>
        <v>0.37348967433929126</v>
      </c>
      <c r="AH6710" s="2" t="str">
        <f ca="1"/>
        <v>OK</v>
      </c>
    </row>
    <row r="6711" spans="2:34" x14ac:dyDescent="0.2">
      <c r="B6711" s="2">
        <f ca="1"/>
        <v>2.4954573233964217E-2</v>
      </c>
      <c r="O6711" s="2">
        <f ca="1"/>
        <v>0.32290964312256931</v>
      </c>
      <c r="X6711" s="2">
        <f ca="1"/>
        <v>62.157169738426077</v>
      </c>
      <c r="AG6711" s="2">
        <f ca="1"/>
        <v>0.26584208462597991</v>
      </c>
      <c r="AH6711" s="2" t="str">
        <f ca="1"/>
        <v>OK</v>
      </c>
    </row>
    <row r="6712" spans="2:34" x14ac:dyDescent="0.2">
      <c r="B6712" s="2">
        <f ca="1"/>
        <v>0.68720076973511612</v>
      </c>
      <c r="O6712" s="2">
        <f ca="1"/>
        <v>0.30835066044539944</v>
      </c>
      <c r="X6712" s="2">
        <f ca="1"/>
        <v>43.849791289558347</v>
      </c>
      <c r="AG6712" s="2">
        <f ca="1"/>
        <v>0.74907063758435433</v>
      </c>
      <c r="AH6712" s="2" t="str">
        <f ca="1"/>
        <v>Bad</v>
      </c>
    </row>
    <row r="6713" spans="2:34" x14ac:dyDescent="0.2">
      <c r="B6713" s="2">
        <f ca="1"/>
        <v>0.29968904636066274</v>
      </c>
      <c r="O6713" s="2">
        <f ca="1"/>
        <v>0.35690998239050564</v>
      </c>
      <c r="X6713" s="2">
        <f ca="1"/>
        <v>35.761140776606069</v>
      </c>
      <c r="AG6713" s="2">
        <f ca="1"/>
        <v>0.18251282487954978</v>
      </c>
      <c r="AH6713" s="2" t="str">
        <f ca="1"/>
        <v>OK</v>
      </c>
    </row>
    <row r="6714" spans="2:34" x14ac:dyDescent="0.2">
      <c r="B6714" s="2">
        <f ca="1"/>
        <v>2.746503000805145E-2</v>
      </c>
      <c r="O6714" s="2">
        <f ca="1"/>
        <v>0.4830378623733263</v>
      </c>
      <c r="X6714" s="2">
        <f ca="1"/>
        <v>60.822966591575408</v>
      </c>
      <c r="AG6714" s="2">
        <f ca="1"/>
        <v>0.13165190837919094</v>
      </c>
      <c r="AH6714" s="2" t="str">
        <f ca="1"/>
        <v>OK</v>
      </c>
    </row>
    <row r="6715" spans="2:34" x14ac:dyDescent="0.2">
      <c r="B6715" s="2">
        <f ca="1"/>
        <v>0.56128154312468226</v>
      </c>
      <c r="O6715" s="2">
        <f ca="1"/>
        <v>0.46546616669806951</v>
      </c>
      <c r="X6715" s="2">
        <f ca="1"/>
        <v>24.095197573711783</v>
      </c>
      <c r="AG6715" s="2">
        <f ca="1"/>
        <v>0.88775881954327196</v>
      </c>
      <c r="AH6715" s="2" t="str">
        <f ca="1"/>
        <v>Bad</v>
      </c>
    </row>
    <row r="6716" spans="2:34" x14ac:dyDescent="0.2">
      <c r="B6716" s="2">
        <f ca="1"/>
        <v>0.80638923369434168</v>
      </c>
      <c r="O6716" s="2">
        <f ca="1"/>
        <v>1.0061342211111481</v>
      </c>
      <c r="X6716" s="2">
        <f ca="1"/>
        <v>39.478090853245391</v>
      </c>
      <c r="AG6716" s="2">
        <f ca="1"/>
        <v>0.55780896238380784</v>
      </c>
      <c r="AH6716" s="2" t="str">
        <f ca="1"/>
        <v>Bad</v>
      </c>
    </row>
    <row r="6717" spans="2:34" x14ac:dyDescent="0.2">
      <c r="B6717" s="2">
        <f ca="1"/>
        <v>0.10557011313606779</v>
      </c>
      <c r="O6717" s="2">
        <f ca="1"/>
        <v>1.1943679012642766E-2</v>
      </c>
      <c r="X6717" s="2">
        <f ca="1"/>
        <v>49.642179955995488</v>
      </c>
      <c r="AG6717" s="2">
        <f ca="1"/>
        <v>0.32759017873844631</v>
      </c>
      <c r="AH6717" s="2" t="str">
        <f ca="1"/>
        <v>OK</v>
      </c>
    </row>
    <row r="6718" spans="2:34" x14ac:dyDescent="0.2">
      <c r="B6718" s="2">
        <f ca="1"/>
        <v>0.14633172725595922</v>
      </c>
      <c r="O6718" s="2">
        <f ca="1"/>
        <v>-0.95596292994893828</v>
      </c>
      <c r="X6718" s="2">
        <f ca="1"/>
        <v>46.107962708635071</v>
      </c>
      <c r="AG6718" s="2">
        <f ca="1"/>
        <v>0.77807089373835825</v>
      </c>
      <c r="AH6718" s="2" t="str">
        <f ca="1"/>
        <v>Bad</v>
      </c>
    </row>
    <row r="6719" spans="2:34" x14ac:dyDescent="0.2">
      <c r="B6719" s="2">
        <f ca="1"/>
        <v>0.12190379325394685</v>
      </c>
      <c r="O6719" s="2">
        <f ca="1"/>
        <v>1.0804151690022523</v>
      </c>
      <c r="X6719" s="2">
        <f ca="1"/>
        <v>54.723431261405587</v>
      </c>
      <c r="AG6719" s="2">
        <f ca="1"/>
        <v>0.10627405220035246</v>
      </c>
      <c r="AH6719" s="2" t="str">
        <f ca="1"/>
        <v>OK</v>
      </c>
    </row>
    <row r="6720" spans="2:34" x14ac:dyDescent="0.2">
      <c r="B6720" s="2">
        <f ca="1"/>
        <v>0.63835118608345209</v>
      </c>
      <c r="O6720" s="2">
        <f ca="1"/>
        <v>0.26638111460728747</v>
      </c>
      <c r="X6720" s="2">
        <f ca="1"/>
        <v>72.46241609283085</v>
      </c>
      <c r="AG6720" s="2">
        <f ca="1"/>
        <v>0.41287642165590932</v>
      </c>
      <c r="AH6720" s="2" t="str">
        <f ca="1"/>
        <v>Bad</v>
      </c>
    </row>
    <row r="6721" spans="2:34" x14ac:dyDescent="0.2">
      <c r="B6721" s="2">
        <f ca="1"/>
        <v>0.91760105736682429</v>
      </c>
      <c r="O6721" s="2">
        <f ca="1"/>
        <v>0.99196097969249852</v>
      </c>
      <c r="X6721" s="2">
        <f ca="1"/>
        <v>25.191478792184228</v>
      </c>
      <c r="AG6721" s="2">
        <f ca="1"/>
        <v>0.17709356410873611</v>
      </c>
      <c r="AH6721" s="2" t="str">
        <f ca="1"/>
        <v>OK</v>
      </c>
    </row>
    <row r="6722" spans="2:34" x14ac:dyDescent="0.2">
      <c r="B6722" s="2">
        <f ca="1"/>
        <v>0.9317672898585625</v>
      </c>
      <c r="O6722" s="2">
        <f ca="1"/>
        <v>-0.20447800405052927</v>
      </c>
      <c r="X6722" s="2">
        <f ca="1"/>
        <v>43.566717138228299</v>
      </c>
      <c r="AG6722" s="2">
        <f ca="1"/>
        <v>0.71094471182674646</v>
      </c>
      <c r="AH6722" s="2" t="str">
        <f ca="1"/>
        <v>Bad</v>
      </c>
    </row>
    <row r="6723" spans="2:34" x14ac:dyDescent="0.2">
      <c r="B6723" s="2">
        <f ca="1"/>
        <v>0.63024073414870307</v>
      </c>
      <c r="O6723" s="2">
        <f ca="1"/>
        <v>1.0684604023228372</v>
      </c>
      <c r="X6723" s="2">
        <f ca="1"/>
        <v>53.753572239324171</v>
      </c>
      <c r="AG6723" s="2">
        <f ca="1"/>
        <v>0.1054005984457953</v>
      </c>
      <c r="AH6723" s="2" t="str">
        <f ca="1"/>
        <v>OK</v>
      </c>
    </row>
    <row r="6724" spans="2:34" x14ac:dyDescent="0.2">
      <c r="B6724" s="2">
        <f ca="1"/>
        <v>0.36814607668894439</v>
      </c>
      <c r="O6724" s="2">
        <f ca="1"/>
        <v>0.82932292539720931</v>
      </c>
      <c r="X6724" s="2">
        <f ca="1"/>
        <v>53.052929988661603</v>
      </c>
      <c r="AG6724" s="2">
        <f ca="1"/>
        <v>0.99322876169591301</v>
      </c>
      <c r="AH6724" s="2" t="str">
        <f ca="1"/>
        <v>Bad</v>
      </c>
    </row>
    <row r="6725" spans="2:34" x14ac:dyDescent="0.2">
      <c r="B6725" s="2">
        <f ca="1"/>
        <v>0.9682504387978299</v>
      </c>
      <c r="O6725" s="2">
        <f ca="1"/>
        <v>1.3042561220474846</v>
      </c>
      <c r="X6725" s="2">
        <f ca="1"/>
        <v>44.380794700709096</v>
      </c>
      <c r="AG6725" s="2">
        <f ca="1"/>
        <v>0.45742994519309876</v>
      </c>
      <c r="AH6725" s="2" t="str">
        <f ca="1"/>
        <v>Bad</v>
      </c>
    </row>
    <row r="6726" spans="2:34" x14ac:dyDescent="0.2">
      <c r="B6726" s="2">
        <f ca="1"/>
        <v>0.7115946228455563</v>
      </c>
      <c r="O6726" s="2">
        <f ca="1"/>
        <v>7.4604278607854929E-2</v>
      </c>
      <c r="X6726" s="2">
        <f ca="1"/>
        <v>67.879175171105885</v>
      </c>
      <c r="AG6726" s="2">
        <f ca="1"/>
        <v>0.6510622181323571</v>
      </c>
      <c r="AH6726" s="2" t="str">
        <f ca="1"/>
        <v>Bad</v>
      </c>
    </row>
    <row r="6727" spans="2:34" x14ac:dyDescent="0.2">
      <c r="B6727" s="2">
        <f ca="1"/>
        <v>0.30481402655925183</v>
      </c>
      <c r="O6727" s="2">
        <f ca="1"/>
        <v>0.93923887111444715</v>
      </c>
      <c r="X6727" s="2">
        <f ca="1"/>
        <v>40.403120100358947</v>
      </c>
      <c r="AG6727" s="2">
        <f ca="1"/>
        <v>0.72931402463036421</v>
      </c>
      <c r="AH6727" s="2" t="str">
        <f ca="1"/>
        <v>Bad</v>
      </c>
    </row>
    <row r="6728" spans="2:34" x14ac:dyDescent="0.2">
      <c r="B6728" s="2">
        <f ca="1"/>
        <v>0.57210755499032961</v>
      </c>
      <c r="O6728" s="2">
        <f ca="1"/>
        <v>-0.73669136045902883</v>
      </c>
      <c r="X6728" s="2">
        <f ca="1"/>
        <v>55.10934055241475</v>
      </c>
      <c r="AG6728" s="2">
        <f ca="1"/>
        <v>0.70792822584938797</v>
      </c>
      <c r="AH6728" s="2" t="str">
        <f ca="1"/>
        <v>Bad</v>
      </c>
    </row>
    <row r="6729" spans="2:34" x14ac:dyDescent="0.2">
      <c r="B6729" s="2">
        <f ca="1"/>
        <v>0.76816933345120231</v>
      </c>
      <c r="O6729" s="2">
        <f ca="1"/>
        <v>-1.0986427579044944</v>
      </c>
      <c r="X6729" s="2">
        <f ca="1"/>
        <v>54.647249537413714</v>
      </c>
      <c r="AG6729" s="2">
        <f ca="1"/>
        <v>0.48032049379341024</v>
      </c>
      <c r="AH6729" s="2" t="str">
        <f ca="1"/>
        <v>Bad</v>
      </c>
    </row>
    <row r="6730" spans="2:34" x14ac:dyDescent="0.2">
      <c r="B6730" s="2">
        <f ca="1"/>
        <v>0.9264959980381331</v>
      </c>
      <c r="O6730" s="2">
        <f ca="1"/>
        <v>0.64141393415270231</v>
      </c>
      <c r="X6730" s="2">
        <f ca="1"/>
        <v>60.134342312341779</v>
      </c>
      <c r="AG6730" s="2">
        <f ca="1"/>
        <v>0.73689658141780545</v>
      </c>
      <c r="AH6730" s="2" t="str">
        <f ca="1"/>
        <v>Bad</v>
      </c>
    </row>
    <row r="6731" spans="2:34" x14ac:dyDescent="0.2">
      <c r="B6731" s="2">
        <f ca="1"/>
        <v>0.42790992074269685</v>
      </c>
      <c r="O6731" s="2">
        <f ca="1"/>
        <v>-0.8206612651081423</v>
      </c>
      <c r="X6731" s="2">
        <f ca="1"/>
        <v>30.757807444929526</v>
      </c>
      <c r="AG6731" s="2">
        <f ca="1"/>
        <v>0.11623792903342989</v>
      </c>
      <c r="AH6731" s="2" t="str">
        <f ca="1"/>
        <v>OK</v>
      </c>
    </row>
    <row r="6732" spans="2:34" x14ac:dyDescent="0.2">
      <c r="B6732" s="2">
        <f ca="1"/>
        <v>8.0903951244732486E-2</v>
      </c>
      <c r="O6732" s="2">
        <f ca="1"/>
        <v>0.15518868232684288</v>
      </c>
      <c r="X6732" s="2">
        <f ca="1"/>
        <v>75.569753414886264</v>
      </c>
      <c r="AG6732" s="2">
        <f ca="1"/>
        <v>0.45237546702143705</v>
      </c>
      <c r="AH6732" s="2" t="str">
        <f ca="1"/>
        <v>Bad</v>
      </c>
    </row>
    <row r="6733" spans="2:34" x14ac:dyDescent="0.2">
      <c r="B6733" s="2">
        <f ca="1"/>
        <v>0.66746271797981471</v>
      </c>
      <c r="O6733" s="2">
        <f ca="1"/>
        <v>0.47992437468233295</v>
      </c>
      <c r="X6733" s="2">
        <f ca="1"/>
        <v>42.016918762745689</v>
      </c>
      <c r="AG6733" s="2">
        <f ca="1"/>
        <v>0.40205019712701762</v>
      </c>
      <c r="AH6733" s="2" t="str">
        <f ca="1"/>
        <v>Bad</v>
      </c>
    </row>
    <row r="6734" spans="2:34" x14ac:dyDescent="0.2">
      <c r="B6734" s="2">
        <f ca="1"/>
        <v>0.93788256734362663</v>
      </c>
      <c r="O6734" s="2">
        <f ca="1"/>
        <v>-1.2104621612520921</v>
      </c>
      <c r="X6734" s="2">
        <f ca="1"/>
        <v>34.663786216458362</v>
      </c>
      <c r="AG6734" s="2">
        <f ca="1"/>
        <v>0.55831585036777787</v>
      </c>
      <c r="AH6734" s="2" t="str">
        <f ca="1"/>
        <v>Bad</v>
      </c>
    </row>
    <row r="6735" spans="2:34" x14ac:dyDescent="0.2">
      <c r="B6735" s="2">
        <f ca="1"/>
        <v>0.19202189338752862</v>
      </c>
      <c r="O6735" s="2">
        <f ca="1"/>
        <v>0.24679361425926225</v>
      </c>
      <c r="X6735" s="2">
        <f ca="1"/>
        <v>42.012373471580062</v>
      </c>
      <c r="AG6735" s="2">
        <f ca="1"/>
        <v>3.747949205519796E-2</v>
      </c>
      <c r="AH6735" s="2" t="str">
        <f ca="1"/>
        <v>Good</v>
      </c>
    </row>
    <row r="6736" spans="2:34" x14ac:dyDescent="0.2">
      <c r="B6736" s="2">
        <f ca="1"/>
        <v>0.12844152024654987</v>
      </c>
      <c r="O6736" s="2">
        <f ca="1"/>
        <v>0.87348769053079811</v>
      </c>
      <c r="X6736" s="2">
        <f ca="1"/>
        <v>59.863568925884259</v>
      </c>
      <c r="AG6736" s="2">
        <f ca="1"/>
        <v>0.13388239765767707</v>
      </c>
      <c r="AH6736" s="2" t="str">
        <f ca="1"/>
        <v>OK</v>
      </c>
    </row>
    <row r="6737" spans="2:34" x14ac:dyDescent="0.2">
      <c r="B6737" s="2">
        <f ca="1"/>
        <v>0.7085004870745073</v>
      </c>
      <c r="O6737" s="2">
        <f ca="1"/>
        <v>8.3324369525546449E-2</v>
      </c>
      <c r="X6737" s="2">
        <f ca="1"/>
        <v>62.062231285191658</v>
      </c>
      <c r="AG6737" s="2">
        <f ca="1"/>
        <v>0.1714197709926697</v>
      </c>
      <c r="AH6737" s="2" t="str">
        <f ca="1"/>
        <v>OK</v>
      </c>
    </row>
    <row r="6738" spans="2:34" x14ac:dyDescent="0.2">
      <c r="B6738" s="2">
        <f ca="1"/>
        <v>0.56364551548480746</v>
      </c>
      <c r="O6738" s="2">
        <f ca="1"/>
        <v>-2.7219424823404514</v>
      </c>
      <c r="X6738" s="2">
        <f ca="1"/>
        <v>79.081008301434238</v>
      </c>
      <c r="AG6738" s="2">
        <f ca="1"/>
        <v>0.94852705040224161</v>
      </c>
      <c r="AH6738" s="2" t="str">
        <f ca="1"/>
        <v>Bad</v>
      </c>
    </row>
    <row r="6739" spans="2:34" x14ac:dyDescent="0.2">
      <c r="B6739" s="2">
        <f ca="1"/>
        <v>0.78670932649060998</v>
      </c>
      <c r="O6739" s="2">
        <f ca="1"/>
        <v>0.5948547278604277</v>
      </c>
      <c r="X6739" s="2">
        <f ca="1"/>
        <v>32.561292538030983</v>
      </c>
      <c r="AG6739" s="2">
        <f ca="1"/>
        <v>0.94469197212386447</v>
      </c>
      <c r="AH6739" s="2" t="str">
        <f ca="1"/>
        <v>Bad</v>
      </c>
    </row>
    <row r="6740" spans="2:34" x14ac:dyDescent="0.2">
      <c r="B6740" s="2">
        <f ca="1"/>
        <v>4.3480989935921421E-2</v>
      </c>
      <c r="O6740" s="2">
        <f ca="1"/>
        <v>0.98005736034074686</v>
      </c>
      <c r="X6740" s="2">
        <f ca="1"/>
        <v>32.706752360785266</v>
      </c>
      <c r="AG6740" s="2">
        <f ca="1"/>
        <v>0.35558384948694188</v>
      </c>
      <c r="AH6740" s="2" t="str">
        <f ca="1"/>
        <v>OK</v>
      </c>
    </row>
    <row r="6741" spans="2:34" x14ac:dyDescent="0.2">
      <c r="B6741" s="2">
        <f ca="1"/>
        <v>0.23184814419871125</v>
      </c>
      <c r="O6741" s="2">
        <f ca="1"/>
        <v>-0.76411307934306782</v>
      </c>
      <c r="X6741" s="2">
        <f ca="1"/>
        <v>46.097069197482277</v>
      </c>
      <c r="AG6741" s="2">
        <f ca="1"/>
        <v>0.70195440201616499</v>
      </c>
      <c r="AH6741" s="2" t="str">
        <f ca="1"/>
        <v>Bad</v>
      </c>
    </row>
    <row r="6742" spans="2:34" x14ac:dyDescent="0.2">
      <c r="B6742" s="2">
        <f ca="1"/>
        <v>0.91826061875153253</v>
      </c>
      <c r="O6742" s="2">
        <f ca="1"/>
        <v>0.2089958785279627</v>
      </c>
      <c r="X6742" s="2">
        <f ca="1"/>
        <v>36.763774454108493</v>
      </c>
      <c r="AG6742" s="2">
        <f ca="1"/>
        <v>0.82242949219664241</v>
      </c>
      <c r="AH6742" s="2" t="str">
        <f ca="1"/>
        <v>Bad</v>
      </c>
    </row>
    <row r="6743" spans="2:34" x14ac:dyDescent="0.2">
      <c r="B6743" s="2">
        <f ca="1"/>
        <v>0.31649570886677147</v>
      </c>
      <c r="O6743" s="2">
        <f ca="1"/>
        <v>-8.9387976825695326E-2</v>
      </c>
      <c r="X6743" s="2">
        <f ca="1"/>
        <v>50.968551465759447</v>
      </c>
      <c r="AG6743" s="2">
        <f ca="1"/>
        <v>0.69775446634905625</v>
      </c>
      <c r="AH6743" s="2" t="str">
        <f ca="1"/>
        <v>Bad</v>
      </c>
    </row>
    <row r="6744" spans="2:34" x14ac:dyDescent="0.2">
      <c r="B6744" s="2">
        <f ca="1"/>
        <v>0.62087084847879104</v>
      </c>
      <c r="O6744" s="2">
        <f ca="1"/>
        <v>1.2370536925531519</v>
      </c>
      <c r="X6744" s="2">
        <f ca="1"/>
        <v>51.219582146474224</v>
      </c>
      <c r="AG6744" s="2">
        <f ca="1"/>
        <v>0.57222467233683116</v>
      </c>
      <c r="AH6744" s="2" t="str">
        <f ca="1"/>
        <v>Bad</v>
      </c>
    </row>
    <row r="6745" spans="2:34" x14ac:dyDescent="0.2">
      <c r="B6745" s="2">
        <f ca="1"/>
        <v>6.3578412187798472E-2</v>
      </c>
      <c r="O6745" s="2">
        <f ca="1"/>
        <v>0.11566816540178144</v>
      </c>
      <c r="X6745" s="2">
        <f ca="1"/>
        <v>46.614250551490173</v>
      </c>
      <c r="AG6745" s="2">
        <f ca="1"/>
        <v>0.42180607941187387</v>
      </c>
      <c r="AH6745" s="2" t="str">
        <f ca="1"/>
        <v>Bad</v>
      </c>
    </row>
    <row r="6746" spans="2:34" x14ac:dyDescent="0.2">
      <c r="B6746" s="2">
        <f ca="1"/>
        <v>0.51821551723943649</v>
      </c>
      <c r="O6746" s="2">
        <f ca="1"/>
        <v>2.3287606087655432</v>
      </c>
      <c r="X6746" s="2">
        <f ca="1"/>
        <v>85.167115798753287</v>
      </c>
      <c r="AG6746" s="2">
        <f ca="1"/>
        <v>0.8700190782224011</v>
      </c>
      <c r="AH6746" s="2" t="str">
        <f ca="1"/>
        <v>Bad</v>
      </c>
    </row>
    <row r="6747" spans="2:34" x14ac:dyDescent="0.2">
      <c r="B6747" s="2">
        <f ca="1"/>
        <v>0.6109592729146851</v>
      </c>
      <c r="O6747" s="2">
        <f ca="1"/>
        <v>1.8964248602985851</v>
      </c>
      <c r="X6747" s="2">
        <f ca="1"/>
        <v>52.100451371839455</v>
      </c>
      <c r="AG6747" s="2">
        <f ca="1"/>
        <v>2.2139648633159315E-2</v>
      </c>
      <c r="AH6747" s="2" t="str">
        <f ca="1"/>
        <v>Good</v>
      </c>
    </row>
    <row r="6748" spans="2:34" x14ac:dyDescent="0.2">
      <c r="B6748" s="2">
        <f ca="1"/>
        <v>0.10382444926924972</v>
      </c>
      <c r="O6748" s="2">
        <f ca="1"/>
        <v>-0.62340534667812497</v>
      </c>
      <c r="X6748" s="2">
        <f ca="1"/>
        <v>39.554658471864748</v>
      </c>
      <c r="AG6748" s="2">
        <f ca="1"/>
        <v>0.6808610230977914</v>
      </c>
      <c r="AH6748" s="2" t="str">
        <f ca="1"/>
        <v>Bad</v>
      </c>
    </row>
    <row r="6749" spans="2:34" x14ac:dyDescent="0.2">
      <c r="B6749" s="2">
        <f ca="1"/>
        <v>2.1912998246047533E-2</v>
      </c>
      <c r="O6749" s="2">
        <f ca="1"/>
        <v>1.1596030318022867</v>
      </c>
      <c r="X6749" s="2">
        <f ca="1"/>
        <v>44.453902325752821</v>
      </c>
      <c r="AG6749" s="2">
        <f ca="1"/>
        <v>0.67374630589436713</v>
      </c>
      <c r="AH6749" s="2" t="str">
        <f ca="1"/>
        <v>Bad</v>
      </c>
    </row>
    <row r="6750" spans="2:34" x14ac:dyDescent="0.2">
      <c r="B6750" s="2">
        <f ca="1"/>
        <v>0.6447858690426933</v>
      </c>
      <c r="O6750" s="2">
        <f ca="1"/>
        <v>0.88743457639292667</v>
      </c>
      <c r="X6750" s="2">
        <f ca="1"/>
        <v>34.127207402873047</v>
      </c>
      <c r="AG6750" s="2">
        <f ca="1"/>
        <v>0.75642130188957535</v>
      </c>
      <c r="AH6750" s="2" t="str">
        <f ca="1"/>
        <v>Bad</v>
      </c>
    </row>
    <row r="6751" spans="2:34" x14ac:dyDescent="0.2">
      <c r="B6751" s="2">
        <f ca="1"/>
        <v>0.91762977337646201</v>
      </c>
      <c r="O6751" s="2">
        <f ca="1"/>
        <v>0.65949552532039268</v>
      </c>
      <c r="X6751" s="2">
        <f ca="1"/>
        <v>47.264709301700762</v>
      </c>
      <c r="AG6751" s="2">
        <f ca="1"/>
        <v>0.77043631935186063</v>
      </c>
      <c r="AH6751" s="2" t="str">
        <f ca="1"/>
        <v>Bad</v>
      </c>
    </row>
    <row r="6752" spans="2:34" x14ac:dyDescent="0.2">
      <c r="B6752" s="2">
        <f ca="1"/>
        <v>0.74680092747973581</v>
      </c>
      <c r="O6752" s="2">
        <f ca="1"/>
        <v>2.1192084467417902</v>
      </c>
      <c r="X6752" s="2">
        <f ca="1"/>
        <v>57.215826551954017</v>
      </c>
      <c r="AG6752" s="2">
        <f ca="1"/>
        <v>0.23221434941134533</v>
      </c>
      <c r="AH6752" s="2" t="str">
        <f ca="1"/>
        <v>OK</v>
      </c>
    </row>
    <row r="6753" spans="2:34" x14ac:dyDescent="0.2">
      <c r="B6753" s="2">
        <f ca="1"/>
        <v>0.87263855529713186</v>
      </c>
      <c r="O6753" s="2">
        <f ca="1"/>
        <v>1.2954406804215866</v>
      </c>
      <c r="X6753" s="2">
        <f ca="1"/>
        <v>40.01912588978805</v>
      </c>
      <c r="AG6753" s="2">
        <f ca="1"/>
        <v>0.80647958183858282</v>
      </c>
      <c r="AH6753" s="2" t="str">
        <f ca="1"/>
        <v>Bad</v>
      </c>
    </row>
    <row r="6754" spans="2:34" x14ac:dyDescent="0.2">
      <c r="B6754" s="2">
        <f ca="1"/>
        <v>0.25283539460815563</v>
      </c>
      <c r="O6754" s="2">
        <f ca="1"/>
        <v>-0.6415503268441094</v>
      </c>
      <c r="X6754" s="2">
        <f ca="1"/>
        <v>35.966954397457769</v>
      </c>
      <c r="AG6754" s="2">
        <f ca="1"/>
        <v>0.94074271532929599</v>
      </c>
      <c r="AH6754" s="2" t="str">
        <f ca="1"/>
        <v>Bad</v>
      </c>
    </row>
    <row r="6755" spans="2:34" x14ac:dyDescent="0.2">
      <c r="B6755" s="2">
        <f ca="1"/>
        <v>3.4185568476115646E-2</v>
      </c>
      <c r="O6755" s="2">
        <f ca="1"/>
        <v>-0.16573474811053027</v>
      </c>
      <c r="X6755" s="2">
        <f ca="1"/>
        <v>80.711941305871377</v>
      </c>
      <c r="AG6755" s="2">
        <f ca="1"/>
        <v>0.96920209478719643</v>
      </c>
      <c r="AH6755" s="2" t="str">
        <f ca="1"/>
        <v>Bad</v>
      </c>
    </row>
    <row r="6756" spans="2:34" x14ac:dyDescent="0.2">
      <c r="B6756" s="2">
        <f ca="1"/>
        <v>9.6415248294074107E-2</v>
      </c>
      <c r="O6756" s="2">
        <f ca="1"/>
        <v>-0.92305686366237605</v>
      </c>
      <c r="X6756" s="2">
        <f ca="1"/>
        <v>48.071481067943076</v>
      </c>
      <c r="AG6756" s="2">
        <f ca="1"/>
        <v>0.1254827681173849</v>
      </c>
      <c r="AH6756" s="2" t="str">
        <f ca="1"/>
        <v>OK</v>
      </c>
    </row>
    <row r="6757" spans="2:34" x14ac:dyDescent="0.2">
      <c r="B6757" s="2">
        <f ca="1"/>
        <v>0.26733196070933873</v>
      </c>
      <c r="O6757" s="2">
        <f ca="1"/>
        <v>0.86461983404130371</v>
      </c>
      <c r="X6757" s="2">
        <f ca="1"/>
        <v>32.455484358280991</v>
      </c>
      <c r="AG6757" s="2">
        <f ca="1"/>
        <v>6.4618538818613347E-2</v>
      </c>
      <c r="AH6757" s="2" t="str">
        <f ca="1"/>
        <v>OK</v>
      </c>
    </row>
    <row r="6758" spans="2:34" x14ac:dyDescent="0.2">
      <c r="B6758" s="2">
        <f ca="1"/>
        <v>0.23071674478226356</v>
      </c>
      <c r="O6758" s="2">
        <f ca="1"/>
        <v>-0.53395165396691568</v>
      </c>
      <c r="X6758" s="2">
        <f ca="1"/>
        <v>46.364867905534943</v>
      </c>
      <c r="AG6758" s="2">
        <f ca="1"/>
        <v>0.34087538234136838</v>
      </c>
      <c r="AH6758" s="2" t="str">
        <f ca="1"/>
        <v>OK</v>
      </c>
    </row>
    <row r="6759" spans="2:34" x14ac:dyDescent="0.2">
      <c r="B6759" s="2">
        <f ca="1"/>
        <v>0.30980215321342164</v>
      </c>
      <c r="O6759" s="2">
        <f ca="1"/>
        <v>-2.1888712494297566E-2</v>
      </c>
      <c r="X6759" s="2">
        <f ca="1"/>
        <v>44.572304606286835</v>
      </c>
      <c r="AG6759" s="2">
        <f ca="1"/>
        <v>0.10643375765665786</v>
      </c>
      <c r="AH6759" s="2" t="str">
        <f ca="1"/>
        <v>OK</v>
      </c>
    </row>
    <row r="6760" spans="2:34" x14ac:dyDescent="0.2">
      <c r="B6760" s="2">
        <f ca="1"/>
        <v>0.55971843981490266</v>
      </c>
      <c r="O6760" s="2">
        <f ca="1"/>
        <v>-1.0481629321509596</v>
      </c>
      <c r="X6760" s="2">
        <f ca="1"/>
        <v>43.618349561744687</v>
      </c>
      <c r="AG6760" s="2">
        <f ca="1"/>
        <v>0.33257999590535081</v>
      </c>
      <c r="AH6760" s="2" t="str">
        <f ca="1"/>
        <v>OK</v>
      </c>
    </row>
    <row r="6761" spans="2:34" x14ac:dyDescent="0.2">
      <c r="B6761" s="2">
        <f ca="1"/>
        <v>0.39643835933628857</v>
      </c>
      <c r="O6761" s="2">
        <f ca="1"/>
        <v>9.5576217650776923E-2</v>
      </c>
      <c r="X6761" s="2">
        <f ca="1"/>
        <v>30.156070748783716</v>
      </c>
      <c r="AG6761" s="2">
        <f ca="1"/>
        <v>0.61501207731841867</v>
      </c>
      <c r="AH6761" s="2" t="str">
        <f ca="1"/>
        <v>Bad</v>
      </c>
    </row>
    <row r="6762" spans="2:34" x14ac:dyDescent="0.2">
      <c r="B6762" s="2">
        <f ca="1"/>
        <v>0.47905673288999151</v>
      </c>
      <c r="O6762" s="2">
        <f ca="1"/>
        <v>-0.37501013707677261</v>
      </c>
      <c r="X6762" s="2">
        <f ca="1"/>
        <v>46.656496303996811</v>
      </c>
      <c r="AG6762" s="2">
        <f ca="1"/>
        <v>5.2504872520315216E-2</v>
      </c>
      <c r="AH6762" s="2" t="str">
        <f ca="1"/>
        <v>OK</v>
      </c>
    </row>
    <row r="6763" spans="2:34" x14ac:dyDescent="0.2">
      <c r="B6763" s="2">
        <f ca="1"/>
        <v>0.58769974446505335</v>
      </c>
      <c r="O6763" s="2">
        <f ca="1"/>
        <v>-1.3335603050974716</v>
      </c>
      <c r="X6763" s="2">
        <f ca="1"/>
        <v>50.556378560000809</v>
      </c>
      <c r="AG6763" s="2">
        <f ca="1"/>
        <v>0.31989287159697444</v>
      </c>
      <c r="AH6763" s="2" t="str">
        <f ca="1"/>
        <v>OK</v>
      </c>
    </row>
    <row r="6764" spans="2:34" x14ac:dyDescent="0.2">
      <c r="B6764" s="2">
        <f ca="1"/>
        <v>0.26725906479469397</v>
      </c>
      <c r="O6764" s="2">
        <f ca="1"/>
        <v>-1.0120796854272867</v>
      </c>
      <c r="X6764" s="2">
        <f ca="1"/>
        <v>29.224995644110482</v>
      </c>
      <c r="AG6764" s="2">
        <f ca="1"/>
        <v>0.11808423903982956</v>
      </c>
      <c r="AH6764" s="2" t="str">
        <f ca="1"/>
        <v>OK</v>
      </c>
    </row>
    <row r="6765" spans="2:34" x14ac:dyDescent="0.2">
      <c r="B6765" s="2">
        <f ca="1"/>
        <v>4.6228063430967747E-2</v>
      </c>
      <c r="O6765" s="2">
        <f ca="1"/>
        <v>0.23564086523215588</v>
      </c>
      <c r="X6765" s="2">
        <f ca="1"/>
        <v>72.777074772419496</v>
      </c>
      <c r="AG6765" s="2">
        <f ca="1"/>
        <v>0.24664336801606734</v>
      </c>
      <c r="AH6765" s="2" t="str">
        <f ca="1"/>
        <v>OK</v>
      </c>
    </row>
    <row r="6766" spans="2:34" x14ac:dyDescent="0.2">
      <c r="B6766" s="2">
        <f ca="1"/>
        <v>0.74057406119701175</v>
      </c>
      <c r="O6766" s="2">
        <f ca="1"/>
        <v>-0.55997865358520049</v>
      </c>
      <c r="X6766" s="2">
        <f ca="1"/>
        <v>68.932225938492778</v>
      </c>
      <c r="AG6766" s="2">
        <f ca="1"/>
        <v>0.20311080944650461</v>
      </c>
      <c r="AH6766" s="2" t="str">
        <f ca="1"/>
        <v>OK</v>
      </c>
    </row>
    <row r="6767" spans="2:34" x14ac:dyDescent="0.2">
      <c r="B6767" s="2">
        <f ca="1"/>
        <v>0.79757734910230438</v>
      </c>
      <c r="O6767" s="2">
        <f ca="1"/>
        <v>0.85759584658802557</v>
      </c>
      <c r="X6767" s="2">
        <f ca="1"/>
        <v>39.988930878346032</v>
      </c>
      <c r="AG6767" s="2">
        <f ca="1"/>
        <v>0.50975460403316397</v>
      </c>
      <c r="AH6767" s="2" t="str">
        <f ca="1"/>
        <v>Bad</v>
      </c>
    </row>
    <row r="6768" spans="2:34" x14ac:dyDescent="0.2">
      <c r="B6768" s="2">
        <f ca="1"/>
        <v>0.59371063800268908</v>
      </c>
      <c r="O6768" s="2">
        <f ca="1"/>
        <v>-0.43071005060234879</v>
      </c>
      <c r="X6768" s="2">
        <f ca="1"/>
        <v>48.479220117515851</v>
      </c>
      <c r="AG6768" s="2">
        <f ca="1"/>
        <v>0.74195401695282448</v>
      </c>
      <c r="AH6768" s="2" t="str">
        <f ca="1"/>
        <v>Bad</v>
      </c>
    </row>
    <row r="6769" spans="2:34" x14ac:dyDescent="0.2">
      <c r="B6769" s="2">
        <f ca="1"/>
        <v>0.20539667337664347</v>
      </c>
      <c r="O6769" s="2">
        <f ca="1"/>
        <v>1.2921301982666724</v>
      </c>
      <c r="X6769" s="2">
        <f ca="1"/>
        <v>37.027319837134726</v>
      </c>
      <c r="AG6769" s="2">
        <f ca="1"/>
        <v>0.14173503557717093</v>
      </c>
      <c r="AH6769" s="2" t="str">
        <f ca="1"/>
        <v>OK</v>
      </c>
    </row>
    <row r="6770" spans="2:34" x14ac:dyDescent="0.2">
      <c r="B6770" s="2">
        <f ca="1"/>
        <v>0.2537226062081388</v>
      </c>
      <c r="O6770" s="2">
        <f ca="1"/>
        <v>0.57238638771556716</v>
      </c>
      <c r="X6770" s="2">
        <f ca="1"/>
        <v>72.023069460139595</v>
      </c>
      <c r="AG6770" s="2">
        <f ca="1"/>
        <v>0.88063851607419585</v>
      </c>
      <c r="AH6770" s="2" t="str">
        <f ca="1"/>
        <v>Bad</v>
      </c>
    </row>
    <row r="6771" spans="2:34" x14ac:dyDescent="0.2">
      <c r="B6771" s="2">
        <f ca="1"/>
        <v>0.39135142798802547</v>
      </c>
      <c r="O6771" s="2">
        <f ca="1"/>
        <v>1.2191139351321638</v>
      </c>
      <c r="X6771" s="2">
        <f ca="1"/>
        <v>79.558904906133819</v>
      </c>
      <c r="AG6771" s="2">
        <f ca="1"/>
        <v>0.83667558033114608</v>
      </c>
      <c r="AH6771" s="2" t="str">
        <f ca="1"/>
        <v>Bad</v>
      </c>
    </row>
    <row r="6772" spans="2:34" x14ac:dyDescent="0.2">
      <c r="B6772" s="2">
        <f ca="1"/>
        <v>0.55430220384084783</v>
      </c>
      <c r="O6772" s="2">
        <f ca="1"/>
        <v>-5.4612311968143493E-2</v>
      </c>
      <c r="X6772" s="2">
        <f ca="1"/>
        <v>60.11582340113803</v>
      </c>
      <c r="AG6772" s="2">
        <f ca="1"/>
        <v>0.32819605507729355</v>
      </c>
      <c r="AH6772" s="2" t="str">
        <f ca="1"/>
        <v>OK</v>
      </c>
    </row>
    <row r="6773" spans="2:34" x14ac:dyDescent="0.2">
      <c r="B6773" s="2">
        <f ca="1"/>
        <v>0.11263341727538356</v>
      </c>
      <c r="O6773" s="2">
        <f ca="1"/>
        <v>6.8202836872475567E-2</v>
      </c>
      <c r="X6773" s="2">
        <f ca="1"/>
        <v>44.267392829188424</v>
      </c>
      <c r="AG6773" s="2">
        <f ca="1"/>
        <v>0.79405741281996578</v>
      </c>
      <c r="AH6773" s="2" t="str">
        <f ca="1"/>
        <v>Bad</v>
      </c>
    </row>
    <row r="6774" spans="2:34" x14ac:dyDescent="0.2">
      <c r="B6774" s="2">
        <f ca="1"/>
        <v>0.36974309348128243</v>
      </c>
      <c r="O6774" s="2">
        <f ca="1"/>
        <v>-1.1559686694311304</v>
      </c>
      <c r="X6774" s="2">
        <f ca="1"/>
        <v>63.359841562914369</v>
      </c>
      <c r="AG6774" s="2">
        <f ca="1"/>
        <v>0.11502889693235741</v>
      </c>
      <c r="AH6774" s="2" t="str">
        <f ca="1"/>
        <v>OK</v>
      </c>
    </row>
    <row r="6775" spans="2:34" x14ac:dyDescent="0.2">
      <c r="B6775" s="2">
        <f ca="1"/>
        <v>0.76690817472514383</v>
      </c>
      <c r="O6775" s="2">
        <f ca="1"/>
        <v>-0.42646910945927569</v>
      </c>
      <c r="X6775" s="2">
        <f ca="1"/>
        <v>74.197612536528496</v>
      </c>
      <c r="AG6775" s="2">
        <f ca="1"/>
        <v>0.17832064070528175</v>
      </c>
      <c r="AH6775" s="2" t="str">
        <f ca="1"/>
        <v>OK</v>
      </c>
    </row>
    <row r="6776" spans="2:34" x14ac:dyDescent="0.2">
      <c r="B6776" s="2">
        <f ca="1"/>
        <v>0.32520403506065421</v>
      </c>
      <c r="O6776" s="2">
        <f ca="1"/>
        <v>3.1312250069904026</v>
      </c>
      <c r="X6776" s="2">
        <f ca="1"/>
        <v>60.19238766746745</v>
      </c>
      <c r="AG6776" s="2">
        <f ca="1"/>
        <v>0.80577445214302434</v>
      </c>
      <c r="AH6776" s="2" t="str">
        <f ca="1"/>
        <v>Bad</v>
      </c>
    </row>
    <row r="6777" spans="2:34" x14ac:dyDescent="0.2">
      <c r="B6777" s="2">
        <f ca="1"/>
        <v>0.53203009600379558</v>
      </c>
      <c r="O6777" s="2">
        <f ca="1"/>
        <v>-7.3613727876268853E-2</v>
      </c>
      <c r="X6777" s="2">
        <f ca="1"/>
        <v>37.829411331996802</v>
      </c>
      <c r="AG6777" s="2">
        <f ca="1"/>
        <v>0.39131760008900884</v>
      </c>
      <c r="AH6777" s="2" t="str">
        <f ca="1"/>
        <v>OK</v>
      </c>
    </row>
    <row r="6778" spans="2:34" x14ac:dyDescent="0.2">
      <c r="B6778" s="2">
        <f ca="1"/>
        <v>0.89861415409578771</v>
      </c>
      <c r="O6778" s="2">
        <f ca="1"/>
        <v>1.5192707158780274</v>
      </c>
      <c r="X6778" s="2">
        <f ca="1"/>
        <v>35.224530055928653</v>
      </c>
      <c r="AG6778" s="2">
        <f ca="1"/>
        <v>0.3648251241511371</v>
      </c>
      <c r="AH6778" s="2" t="str">
        <f ca="1"/>
        <v>OK</v>
      </c>
    </row>
    <row r="6779" spans="2:34" x14ac:dyDescent="0.2">
      <c r="B6779" s="2">
        <f ca="1"/>
        <v>0.73053592306113679</v>
      </c>
      <c r="O6779" s="2">
        <f ca="1"/>
        <v>1.8243336958971239</v>
      </c>
      <c r="X6779" s="2">
        <f ca="1"/>
        <v>51.096855320016971</v>
      </c>
      <c r="AG6779" s="2">
        <f ca="1"/>
        <v>0.89046232049601426</v>
      </c>
      <c r="AH6779" s="2" t="str">
        <f ca="1"/>
        <v>Bad</v>
      </c>
    </row>
    <row r="6780" spans="2:34" x14ac:dyDescent="0.2">
      <c r="B6780" s="2">
        <f ca="1"/>
        <v>0.35471004116764027</v>
      </c>
      <c r="O6780" s="2">
        <f ca="1"/>
        <v>-0.58300793124635952</v>
      </c>
      <c r="X6780" s="2">
        <f ca="1"/>
        <v>46.421563600209304</v>
      </c>
      <c r="AG6780" s="2">
        <f ca="1"/>
        <v>0.47692927202702218</v>
      </c>
      <c r="AH6780" s="2" t="str">
        <f ca="1"/>
        <v>Bad</v>
      </c>
    </row>
    <row r="6781" spans="2:34" x14ac:dyDescent="0.2">
      <c r="B6781" s="2">
        <f ca="1"/>
        <v>0.45090480495137819</v>
      </c>
      <c r="O6781" s="2">
        <f ca="1"/>
        <v>0.10041014429233204</v>
      </c>
      <c r="X6781" s="2">
        <f ca="1"/>
        <v>51.202808772779555</v>
      </c>
      <c r="AG6781" s="2">
        <f ca="1"/>
        <v>0.58852330075376136</v>
      </c>
      <c r="AH6781" s="2" t="str">
        <f ca="1"/>
        <v>Bad</v>
      </c>
    </row>
    <row r="6782" spans="2:34" x14ac:dyDescent="0.2">
      <c r="B6782" s="2">
        <f ca="1"/>
        <v>0.421219770733537</v>
      </c>
      <c r="O6782" s="2">
        <f ca="1"/>
        <v>-3.1212935532425314</v>
      </c>
      <c r="X6782" s="2">
        <f ca="1"/>
        <v>35.799711045237117</v>
      </c>
      <c r="AG6782" s="2">
        <f ca="1"/>
        <v>0.76833241007274289</v>
      </c>
      <c r="AH6782" s="2" t="str">
        <f ca="1"/>
        <v>Bad</v>
      </c>
    </row>
    <row r="6783" spans="2:34" x14ac:dyDescent="0.2">
      <c r="B6783" s="2">
        <f ca="1"/>
        <v>0.43146160671543154</v>
      </c>
      <c r="O6783" s="2">
        <f ca="1"/>
        <v>-0.66439844708510454</v>
      </c>
      <c r="X6783" s="2">
        <f ca="1"/>
        <v>85.595428797114309</v>
      </c>
      <c r="AG6783" s="2">
        <f ca="1"/>
        <v>0.50087590370040047</v>
      </c>
      <c r="AH6783" s="2" t="str">
        <f ca="1"/>
        <v>Bad</v>
      </c>
    </row>
    <row r="6784" spans="2:34" x14ac:dyDescent="0.2">
      <c r="B6784" s="2">
        <f ca="1"/>
        <v>0.45436974020014564</v>
      </c>
      <c r="O6784" s="2">
        <f ca="1"/>
        <v>-0.99025826723584254</v>
      </c>
      <c r="X6784" s="2">
        <f ca="1"/>
        <v>70.191960327499018</v>
      </c>
      <c r="AG6784" s="2">
        <f ca="1"/>
        <v>0.56569381157864873</v>
      </c>
      <c r="AH6784" s="2" t="str">
        <f ca="1"/>
        <v>Bad</v>
      </c>
    </row>
    <row r="6785" spans="2:34" x14ac:dyDescent="0.2">
      <c r="B6785" s="2">
        <f ca="1"/>
        <v>0.50487136456456927</v>
      </c>
      <c r="O6785" s="2">
        <f ca="1"/>
        <v>0.56943468348393644</v>
      </c>
      <c r="X6785" s="2">
        <f ca="1"/>
        <v>62.362506594891201</v>
      </c>
      <c r="AG6785" s="2">
        <f ca="1"/>
        <v>0.55101741142018534</v>
      </c>
      <c r="AH6785" s="2" t="str">
        <f ca="1"/>
        <v>Bad</v>
      </c>
    </row>
    <row r="6786" spans="2:34" x14ac:dyDescent="0.2">
      <c r="B6786" s="2">
        <f ca="1"/>
        <v>0.93078863999438632</v>
      </c>
      <c r="O6786" s="2">
        <f ca="1"/>
        <v>0.51062068052149201</v>
      </c>
      <c r="X6786" s="2">
        <f ca="1"/>
        <v>47.291258280026646</v>
      </c>
      <c r="AG6786" s="2">
        <f ca="1"/>
        <v>0.79773611377958442</v>
      </c>
      <c r="AH6786" s="2" t="str">
        <f ca="1"/>
        <v>Bad</v>
      </c>
    </row>
    <row r="6787" spans="2:34" x14ac:dyDescent="0.2">
      <c r="B6787" s="2">
        <f ca="1"/>
        <v>0.75363231107506312</v>
      </c>
      <c r="O6787" s="2">
        <f ca="1"/>
        <v>0.11827014477453138</v>
      </c>
      <c r="X6787" s="2">
        <f ca="1"/>
        <v>72.935071500642181</v>
      </c>
      <c r="AG6787" s="2">
        <f ca="1"/>
        <v>0.76298827358244048</v>
      </c>
      <c r="AH6787" s="2" t="str">
        <f ca="1"/>
        <v>Bad</v>
      </c>
    </row>
    <row r="6788" spans="2:34" x14ac:dyDescent="0.2">
      <c r="B6788" s="2">
        <f ca="1"/>
        <v>0.59153609718152178</v>
      </c>
      <c r="O6788" s="2">
        <f ca="1"/>
        <v>-1.0832374796222777</v>
      </c>
      <c r="X6788" s="2">
        <f ca="1"/>
        <v>41.827713264211603</v>
      </c>
      <c r="AG6788" s="2">
        <f ca="1"/>
        <v>0.45089687600877948</v>
      </c>
      <c r="AH6788" s="2" t="str">
        <f ca="1"/>
        <v>Bad</v>
      </c>
    </row>
    <row r="6789" spans="2:34" x14ac:dyDescent="0.2">
      <c r="B6789" s="2">
        <f ca="1"/>
        <v>0.89603788695178221</v>
      </c>
      <c r="O6789" s="2">
        <f ca="1"/>
        <v>-0.58101264922080065</v>
      </c>
      <c r="X6789" s="2">
        <f ca="1"/>
        <v>41.546176827356483</v>
      </c>
      <c r="AG6789" s="2">
        <f ca="1"/>
        <v>3.6843031366802448E-2</v>
      </c>
      <c r="AH6789" s="2" t="str">
        <f ca="1"/>
        <v>Good</v>
      </c>
    </row>
    <row r="6790" spans="2:34" x14ac:dyDescent="0.2">
      <c r="B6790" s="2">
        <f ca="1"/>
        <v>0.98536857614070272</v>
      </c>
      <c r="O6790" s="2">
        <f ca="1"/>
        <v>-0.3152848819565518</v>
      </c>
      <c r="X6790" s="2">
        <f ca="1"/>
        <v>57.417793093406871</v>
      </c>
      <c r="AG6790" s="2">
        <f ca="1"/>
        <v>0.22135853228703062</v>
      </c>
      <c r="AH6790" s="2" t="str">
        <f ca="1"/>
        <v>OK</v>
      </c>
    </row>
    <row r="6791" spans="2:34" x14ac:dyDescent="0.2">
      <c r="B6791" s="2">
        <f ca="1"/>
        <v>0.25811547995925044</v>
      </c>
      <c r="O6791" s="2">
        <f ca="1"/>
        <v>-0.91751626117806362</v>
      </c>
      <c r="X6791" s="2">
        <f ca="1"/>
        <v>34.216185027205462</v>
      </c>
      <c r="AG6791" s="2">
        <f ca="1"/>
        <v>0.32304292524538747</v>
      </c>
      <c r="AH6791" s="2" t="str">
        <f ca="1"/>
        <v>OK</v>
      </c>
    </row>
    <row r="6792" spans="2:34" x14ac:dyDescent="0.2">
      <c r="B6792" s="2">
        <f ca="1"/>
        <v>0.75871159011199718</v>
      </c>
      <c r="O6792" s="2">
        <f ca="1"/>
        <v>-0.33718819333783845</v>
      </c>
      <c r="X6792" s="2">
        <f ca="1"/>
        <v>59.217300963707572</v>
      </c>
      <c r="AG6792" s="2">
        <f ca="1"/>
        <v>0.66163672967600529</v>
      </c>
      <c r="AH6792" s="2" t="str">
        <f ca="1"/>
        <v>Bad</v>
      </c>
    </row>
    <row r="6793" spans="2:34" x14ac:dyDescent="0.2">
      <c r="B6793" s="2">
        <f ca="1"/>
        <v>0.13196906811165277</v>
      </c>
      <c r="O6793" s="2">
        <f ca="1"/>
        <v>-0.28231794360378887</v>
      </c>
      <c r="X6793" s="2">
        <f ca="1"/>
        <v>49.084341700213358</v>
      </c>
      <c r="AG6793" s="2">
        <f ca="1"/>
        <v>0.276706209513504</v>
      </c>
      <c r="AH6793" s="2" t="str">
        <f ca="1"/>
        <v>OK</v>
      </c>
    </row>
    <row r="6794" spans="2:34" x14ac:dyDescent="0.2">
      <c r="B6794" s="2">
        <f ca="1"/>
        <v>3.0681507579921607E-3</v>
      </c>
      <c r="O6794" s="2">
        <f ca="1"/>
        <v>-1.1526523305514567</v>
      </c>
      <c r="X6794" s="2">
        <f ca="1"/>
        <v>51.6108503510793</v>
      </c>
      <c r="AG6794" s="2">
        <f ca="1"/>
        <v>0.69396857708076265</v>
      </c>
      <c r="AH6794" s="2" t="str">
        <f ca="1"/>
        <v>Bad</v>
      </c>
    </row>
    <row r="6795" spans="2:34" x14ac:dyDescent="0.2">
      <c r="B6795" s="2">
        <f ca="1"/>
        <v>0.58048929265650617</v>
      </c>
      <c r="O6795" s="2">
        <f ca="1"/>
        <v>1.0728829196578851</v>
      </c>
      <c r="X6795" s="2">
        <f ca="1"/>
        <v>43.856852342734712</v>
      </c>
      <c r="AG6795" s="2">
        <f ca="1"/>
        <v>0.68189443978990161</v>
      </c>
      <c r="AH6795" s="2" t="str">
        <f ca="1"/>
        <v>Bad</v>
      </c>
    </row>
    <row r="6796" spans="2:34" x14ac:dyDescent="0.2">
      <c r="B6796" s="2">
        <f ca="1"/>
        <v>2.9154671834878965E-3</v>
      </c>
      <c r="O6796" s="2">
        <f ca="1"/>
        <v>-0.70336226644245514</v>
      </c>
      <c r="X6796" s="2">
        <f ca="1"/>
        <v>57.118520037141266</v>
      </c>
      <c r="AG6796" s="2">
        <f ca="1"/>
        <v>0.13889526551085063</v>
      </c>
      <c r="AH6796" s="2" t="str">
        <f ca="1"/>
        <v>OK</v>
      </c>
    </row>
    <row r="6797" spans="2:34" x14ac:dyDescent="0.2">
      <c r="B6797" s="2">
        <f ca="1"/>
        <v>0.55722801861258109</v>
      </c>
      <c r="O6797" s="2">
        <f ca="1"/>
        <v>0.54960059886813095</v>
      </c>
      <c r="X6797" s="2">
        <f ca="1"/>
        <v>42.537103938598548</v>
      </c>
      <c r="AG6797" s="2">
        <f ca="1"/>
        <v>0.77362799421785633</v>
      </c>
      <c r="AH6797" s="2" t="str">
        <f ca="1"/>
        <v>Bad</v>
      </c>
    </row>
    <row r="6798" spans="2:34" x14ac:dyDescent="0.2">
      <c r="B6798" s="2">
        <f ca="1"/>
        <v>0.58390295431714812</v>
      </c>
      <c r="O6798" s="2">
        <f ca="1"/>
        <v>-0.46910536972628608</v>
      </c>
      <c r="X6798" s="2">
        <f ca="1"/>
        <v>35.201364421056319</v>
      </c>
      <c r="AG6798" s="2">
        <f ca="1"/>
        <v>0.42609158168896522</v>
      </c>
      <c r="AH6798" s="2" t="str">
        <f ca="1"/>
        <v>Bad</v>
      </c>
    </row>
    <row r="6799" spans="2:34" x14ac:dyDescent="0.2">
      <c r="B6799" s="2">
        <f ca="1"/>
        <v>0.90146149909857032</v>
      </c>
      <c r="O6799" s="2">
        <f ca="1"/>
        <v>0.35933299064542185</v>
      </c>
      <c r="X6799" s="2">
        <f ca="1"/>
        <v>23.213918609173056</v>
      </c>
      <c r="AG6799" s="2">
        <f ca="1"/>
        <v>0.96309241967460646</v>
      </c>
      <c r="AH6799" s="2" t="str">
        <f ca="1"/>
        <v>Bad</v>
      </c>
    </row>
    <row r="6800" spans="2:34" x14ac:dyDescent="0.2">
      <c r="B6800" s="2">
        <f ca="1"/>
        <v>0.68546433762206216</v>
      </c>
      <c r="O6800" s="2">
        <f ca="1"/>
        <v>-0.74416366785712251</v>
      </c>
      <c r="X6800" s="2">
        <f ca="1"/>
        <v>66.905193221788949</v>
      </c>
      <c r="AG6800" s="2">
        <f ca="1"/>
        <v>0.31427695235538522</v>
      </c>
      <c r="AH6800" s="2" t="str">
        <f ca="1"/>
        <v>OK</v>
      </c>
    </row>
    <row r="6801" spans="2:34" x14ac:dyDescent="0.2">
      <c r="B6801" s="2">
        <f ca="1"/>
        <v>0.74675220093283246</v>
      </c>
      <c r="O6801" s="2">
        <f ca="1"/>
        <v>-1.3809409886134492</v>
      </c>
      <c r="X6801" s="2">
        <f ca="1"/>
        <v>35.820714508987749</v>
      </c>
      <c r="AG6801" s="2">
        <f ca="1"/>
        <v>0.29665049760623141</v>
      </c>
      <c r="AH6801" s="2" t="str">
        <f ca="1"/>
        <v>OK</v>
      </c>
    </row>
    <row r="6802" spans="2:34" x14ac:dyDescent="0.2">
      <c r="B6802" s="2">
        <f ca="1"/>
        <v>0.53629080813823737</v>
      </c>
      <c r="O6802" s="2">
        <f ca="1"/>
        <v>0.76569189987781228</v>
      </c>
      <c r="X6802" s="2">
        <f ca="1"/>
        <v>51.581551061319352</v>
      </c>
      <c r="AG6802" s="2">
        <f ca="1"/>
        <v>0.64176577183188965</v>
      </c>
      <c r="AH6802" s="2" t="str">
        <f ca="1"/>
        <v>Bad</v>
      </c>
    </row>
    <row r="6803" spans="2:34" x14ac:dyDescent="0.2">
      <c r="B6803" s="2">
        <f ca="1"/>
        <v>0.65774279861453944</v>
      </c>
      <c r="O6803" s="2">
        <f ca="1"/>
        <v>1.1186881692070982</v>
      </c>
      <c r="X6803" s="2">
        <f ca="1"/>
        <v>76.998427689174761</v>
      </c>
      <c r="AG6803" s="2">
        <f ca="1"/>
        <v>0.65607308779186502</v>
      </c>
      <c r="AH6803" s="2" t="str">
        <f ca="1"/>
        <v>Bad</v>
      </c>
    </row>
    <row r="6804" spans="2:34" x14ac:dyDescent="0.2">
      <c r="B6804" s="2">
        <f ca="1"/>
        <v>0.48239273750610145</v>
      </c>
      <c r="O6804" s="2">
        <f ca="1"/>
        <v>0.26136281286820451</v>
      </c>
      <c r="X6804" s="2">
        <f ca="1"/>
        <v>41.822888385866086</v>
      </c>
      <c r="AG6804" s="2">
        <f ca="1"/>
        <v>0.62264222755839138</v>
      </c>
      <c r="AH6804" s="2" t="str">
        <f ca="1"/>
        <v>Bad</v>
      </c>
    </row>
    <row r="6805" spans="2:34" x14ac:dyDescent="0.2">
      <c r="B6805" s="2">
        <f ca="1"/>
        <v>0.84209252530817946</v>
      </c>
      <c r="O6805" s="2">
        <f ca="1"/>
        <v>0.51912205031920489</v>
      </c>
      <c r="X6805" s="2">
        <f ca="1"/>
        <v>42.3913192901218</v>
      </c>
      <c r="AG6805" s="2">
        <f ca="1"/>
        <v>0.54310018736151622</v>
      </c>
      <c r="AH6805" s="2" t="str">
        <f ca="1"/>
        <v>Bad</v>
      </c>
    </row>
    <row r="6806" spans="2:34" x14ac:dyDescent="0.2">
      <c r="B6806" s="2">
        <f ca="1"/>
        <v>0.8997572863906258</v>
      </c>
      <c r="O6806" s="2">
        <f ca="1"/>
        <v>-0.45148689211389159</v>
      </c>
      <c r="X6806" s="2">
        <f ca="1"/>
        <v>42.863690915125773</v>
      </c>
      <c r="AG6806" s="2">
        <f ca="1"/>
        <v>0.91695434173025303</v>
      </c>
      <c r="AH6806" s="2" t="str">
        <f ca="1"/>
        <v>Bad</v>
      </c>
    </row>
    <row r="6807" spans="2:34" x14ac:dyDescent="0.2">
      <c r="B6807" s="2">
        <f ca="1"/>
        <v>0.60280193765599854</v>
      </c>
      <c r="O6807" s="2">
        <f ca="1"/>
        <v>0.25501179240156613</v>
      </c>
      <c r="X6807" s="2">
        <f ca="1"/>
        <v>56.521445395482601</v>
      </c>
      <c r="AG6807" s="2">
        <f ca="1"/>
        <v>0.44975189320271358</v>
      </c>
      <c r="AH6807" s="2" t="str">
        <f ca="1"/>
        <v>Bad</v>
      </c>
    </row>
    <row r="6808" spans="2:34" x14ac:dyDescent="0.2">
      <c r="B6808" s="2">
        <f ca="1"/>
        <v>0.7379043610246927</v>
      </c>
      <c r="O6808" s="2">
        <f ca="1"/>
        <v>1.6971773439872908</v>
      </c>
      <c r="X6808" s="2">
        <f ca="1"/>
        <v>85.046459694008774</v>
      </c>
      <c r="AG6808" s="2">
        <f ca="1"/>
        <v>0.18678012578823222</v>
      </c>
      <c r="AH6808" s="2" t="str">
        <f ca="1"/>
        <v>OK</v>
      </c>
    </row>
    <row r="6809" spans="2:34" x14ac:dyDescent="0.2">
      <c r="B6809" s="2">
        <f ca="1"/>
        <v>0.41497940401527189</v>
      </c>
      <c r="O6809" s="2">
        <f ca="1"/>
        <v>-2.4746464205030962</v>
      </c>
      <c r="X6809" s="2">
        <f ca="1"/>
        <v>56.395629995631936</v>
      </c>
      <c r="AG6809" s="2">
        <f ca="1"/>
        <v>0.93522062885630541</v>
      </c>
      <c r="AH6809" s="2" t="str">
        <f ca="1"/>
        <v>Bad</v>
      </c>
    </row>
    <row r="6810" spans="2:34" x14ac:dyDescent="0.2">
      <c r="B6810" s="2">
        <f ca="1"/>
        <v>0.76862843147892734</v>
      </c>
      <c r="O6810" s="2">
        <f ca="1"/>
        <v>0.83805788997137809</v>
      </c>
      <c r="X6810" s="2">
        <f ca="1"/>
        <v>82.40539374599598</v>
      </c>
      <c r="AG6810" s="2">
        <f ca="1"/>
        <v>0.27022072030983812</v>
      </c>
      <c r="AH6810" s="2" t="str">
        <f ca="1"/>
        <v>OK</v>
      </c>
    </row>
    <row r="6811" spans="2:34" x14ac:dyDescent="0.2">
      <c r="B6811" s="2">
        <f ca="1"/>
        <v>0.82967450185788194</v>
      </c>
      <c r="O6811" s="2">
        <f ca="1"/>
        <v>0.22615003477076023</v>
      </c>
      <c r="X6811" s="2">
        <f ca="1"/>
        <v>33.172086093519709</v>
      </c>
      <c r="AG6811" s="2">
        <f ca="1"/>
        <v>0.69679324474062332</v>
      </c>
      <c r="AH6811" s="2" t="str">
        <f ca="1"/>
        <v>Bad</v>
      </c>
    </row>
    <row r="6812" spans="2:34" x14ac:dyDescent="0.2">
      <c r="B6812" s="2">
        <f ca="1"/>
        <v>0.95060557608725738</v>
      </c>
      <c r="O6812" s="2">
        <f ca="1"/>
        <v>0.18695870954432581</v>
      </c>
      <c r="X6812" s="2">
        <f ca="1"/>
        <v>28.335463934289923</v>
      </c>
      <c r="AG6812" s="2">
        <f ca="1"/>
        <v>0.39470859732124741</v>
      </c>
      <c r="AH6812" s="2" t="str">
        <f ca="1"/>
        <v>OK</v>
      </c>
    </row>
    <row r="6813" spans="2:34" x14ac:dyDescent="0.2">
      <c r="B6813" s="2">
        <f ca="1"/>
        <v>0.63766959427589032</v>
      </c>
      <c r="O6813" s="2">
        <f ca="1"/>
        <v>0.32323943800625332</v>
      </c>
      <c r="X6813" s="2">
        <f ca="1"/>
        <v>57.065864651953284</v>
      </c>
      <c r="AG6813" s="2">
        <f ca="1"/>
        <v>0.89827630692409977</v>
      </c>
      <c r="AH6813" s="2" t="str">
        <f ca="1"/>
        <v>Bad</v>
      </c>
    </row>
    <row r="6814" spans="2:34" x14ac:dyDescent="0.2">
      <c r="B6814" s="2">
        <f ca="1"/>
        <v>0.99032829210381634</v>
      </c>
      <c r="O6814" s="2">
        <f ca="1"/>
        <v>-0.85622179000912013</v>
      </c>
      <c r="X6814" s="2">
        <f ca="1"/>
        <v>66.003413502963625</v>
      </c>
      <c r="AG6814" s="2">
        <f ca="1"/>
        <v>0.121953682479925</v>
      </c>
      <c r="AH6814" s="2" t="str">
        <f ca="1"/>
        <v>OK</v>
      </c>
    </row>
    <row r="6815" spans="2:34" x14ac:dyDescent="0.2">
      <c r="B6815" s="2">
        <f ca="1"/>
        <v>0.20417673525212132</v>
      </c>
      <c r="O6815" s="2">
        <f ca="1"/>
        <v>-1.4174386176860687</v>
      </c>
      <c r="X6815" s="2">
        <f ca="1"/>
        <v>24.274993388559039</v>
      </c>
      <c r="AG6815" s="2">
        <f ca="1"/>
        <v>0.50381582201397945</v>
      </c>
      <c r="AH6815" s="2" t="str">
        <f ca="1"/>
        <v>Bad</v>
      </c>
    </row>
    <row r="6816" spans="2:34" x14ac:dyDescent="0.2">
      <c r="B6816" s="2">
        <f ca="1"/>
        <v>0.31766642078823981</v>
      </c>
      <c r="O6816" s="2">
        <f ca="1"/>
        <v>0.67855950769402662</v>
      </c>
      <c r="X6816" s="2">
        <f ca="1"/>
        <v>45.196820144298343</v>
      </c>
      <c r="AG6816" s="2">
        <f ca="1"/>
        <v>0.32943045390593473</v>
      </c>
      <c r="AH6816" s="2" t="str">
        <f ca="1"/>
        <v>OK</v>
      </c>
    </row>
    <row r="6817" spans="2:34" x14ac:dyDescent="0.2">
      <c r="B6817" s="2">
        <f ca="1"/>
        <v>0.82325433066236164</v>
      </c>
      <c r="O6817" s="2">
        <f ca="1"/>
        <v>0.61762833458519084</v>
      </c>
      <c r="X6817" s="2">
        <f ca="1"/>
        <v>39.591597873114857</v>
      </c>
      <c r="AG6817" s="2">
        <f ca="1"/>
        <v>0.2486312709559475</v>
      </c>
      <c r="AH6817" s="2" t="str">
        <f ca="1"/>
        <v>OK</v>
      </c>
    </row>
    <row r="6818" spans="2:34" x14ac:dyDescent="0.2">
      <c r="B6818" s="2">
        <f ca="1"/>
        <v>0.67560338655757679</v>
      </c>
      <c r="O6818" s="2">
        <f ca="1"/>
        <v>1.9461251860447961</v>
      </c>
      <c r="X6818" s="2">
        <f ca="1"/>
        <v>52.880770304737545</v>
      </c>
      <c r="AG6818" s="2">
        <f ca="1"/>
        <v>0.55701631550220831</v>
      </c>
      <c r="AH6818" s="2" t="str">
        <f ca="1"/>
        <v>Bad</v>
      </c>
    </row>
    <row r="6819" spans="2:34" x14ac:dyDescent="0.2">
      <c r="B6819" s="2">
        <f ca="1"/>
        <v>0.58764928552169282</v>
      </c>
      <c r="O6819" s="2">
        <f ca="1"/>
        <v>0.89560538758445885</v>
      </c>
      <c r="X6819" s="2">
        <f ca="1"/>
        <v>31.862572709536011</v>
      </c>
      <c r="AG6819" s="2">
        <f ca="1"/>
        <v>0.79229698252075575</v>
      </c>
      <c r="AH6819" s="2" t="str">
        <f ca="1"/>
        <v>Bad</v>
      </c>
    </row>
    <row r="6820" spans="2:34" x14ac:dyDescent="0.2">
      <c r="B6820" s="2">
        <f ca="1"/>
        <v>0.59001764380525623</v>
      </c>
      <c r="O6820" s="2">
        <f ca="1"/>
        <v>0.49922402993585219</v>
      </c>
      <c r="X6820" s="2">
        <f ca="1"/>
        <v>47.021975571037814</v>
      </c>
      <c r="AG6820" s="2">
        <f ca="1"/>
        <v>0.83691739433382173</v>
      </c>
      <c r="AH6820" s="2" t="str">
        <f ca="1"/>
        <v>Bad</v>
      </c>
    </row>
    <row r="6821" spans="2:34" x14ac:dyDescent="0.2">
      <c r="B6821" s="2">
        <f ca="1"/>
        <v>0.23529102098665233</v>
      </c>
      <c r="O6821" s="2">
        <f ca="1"/>
        <v>0.81922576973898209</v>
      </c>
      <c r="X6821" s="2">
        <f ca="1"/>
        <v>85.35979608079947</v>
      </c>
      <c r="AG6821" s="2">
        <f ca="1"/>
        <v>0.1547531752519713</v>
      </c>
      <c r="AH6821" s="2" t="str">
        <f ca="1"/>
        <v>OK</v>
      </c>
    </row>
    <row r="6822" spans="2:34" x14ac:dyDescent="0.2">
      <c r="B6822" s="2">
        <f ca="1"/>
        <v>0.32485114033922802</v>
      </c>
      <c r="O6822" s="2">
        <f ca="1"/>
        <v>1.3402439730074294</v>
      </c>
      <c r="X6822" s="2">
        <f ca="1"/>
        <v>81.014798084233789</v>
      </c>
      <c r="AG6822" s="2">
        <f ca="1"/>
        <v>0.46011819250864283</v>
      </c>
      <c r="AH6822" s="2" t="str">
        <f ca="1"/>
        <v>Bad</v>
      </c>
    </row>
    <row r="6823" spans="2:34" x14ac:dyDescent="0.2">
      <c r="B6823" s="2">
        <f ca="1"/>
        <v>0.64620593901241352</v>
      </c>
      <c r="O6823" s="2">
        <f ca="1"/>
        <v>-0.27652760607131943</v>
      </c>
      <c r="X6823" s="2">
        <f ca="1"/>
        <v>91.010967727716604</v>
      </c>
      <c r="AG6823" s="2">
        <f ca="1"/>
        <v>0.73310467028724657</v>
      </c>
      <c r="AH6823" s="2" t="str">
        <f ca="1"/>
        <v>Bad</v>
      </c>
    </row>
    <row r="6824" spans="2:34" x14ac:dyDescent="0.2">
      <c r="B6824" s="2">
        <f ca="1"/>
        <v>0.23874232696555997</v>
      </c>
      <c r="O6824" s="2">
        <f ca="1"/>
        <v>2.8633933971827163</v>
      </c>
      <c r="X6824" s="2">
        <f ca="1"/>
        <v>36.893445752493854</v>
      </c>
      <c r="AG6824" s="2">
        <f ca="1"/>
        <v>8.8172456959000334E-2</v>
      </c>
      <c r="AH6824" s="2" t="str">
        <f ca="1"/>
        <v>OK</v>
      </c>
    </row>
    <row r="6825" spans="2:34" x14ac:dyDescent="0.2">
      <c r="B6825" s="2">
        <f ca="1"/>
        <v>0.6681495990642865</v>
      </c>
      <c r="O6825" s="2">
        <f ca="1"/>
        <v>-1.222440325033455</v>
      </c>
      <c r="X6825" s="2">
        <f ca="1"/>
        <v>38.37917937724513</v>
      </c>
      <c r="AG6825" s="2">
        <f ca="1"/>
        <v>8.4596235610580273E-2</v>
      </c>
      <c r="AH6825" s="2" t="str">
        <f ca="1"/>
        <v>OK</v>
      </c>
    </row>
    <row r="6826" spans="2:34" x14ac:dyDescent="0.2">
      <c r="B6826" s="2">
        <f ca="1"/>
        <v>0.40836621694563058</v>
      </c>
      <c r="O6826" s="2">
        <f ca="1"/>
        <v>-0.85652070888567522</v>
      </c>
      <c r="X6826" s="2">
        <f ca="1"/>
        <v>41.930994047087424</v>
      </c>
      <c r="AG6826" s="2">
        <f ca="1"/>
        <v>0.96574427028805765</v>
      </c>
      <c r="AH6826" s="2" t="str">
        <f ca="1"/>
        <v>Bad</v>
      </c>
    </row>
    <row r="6827" spans="2:34" x14ac:dyDescent="0.2">
      <c r="B6827" s="2">
        <f ca="1"/>
        <v>0.30150736488174235</v>
      </c>
      <c r="O6827" s="2">
        <f ca="1"/>
        <v>0.41478427599322748</v>
      </c>
      <c r="X6827" s="2">
        <f ca="1"/>
        <v>64.553015222487602</v>
      </c>
      <c r="AG6827" s="2">
        <f ca="1"/>
        <v>0.91979400162698344</v>
      </c>
      <c r="AH6827" s="2" t="str">
        <f ca="1"/>
        <v>Bad</v>
      </c>
    </row>
    <row r="6828" spans="2:34" x14ac:dyDescent="0.2">
      <c r="B6828" s="2">
        <f ca="1"/>
        <v>0.69189188191892903</v>
      </c>
      <c r="O6828" s="2">
        <f ca="1"/>
        <v>2.2636056450971753</v>
      </c>
      <c r="X6828" s="2">
        <f ca="1"/>
        <v>44.475457830216641</v>
      </c>
      <c r="AG6828" s="2">
        <f ca="1"/>
        <v>0.95171604548131827</v>
      </c>
      <c r="AH6828" s="2" t="str">
        <f ca="1"/>
        <v>Bad</v>
      </c>
    </row>
    <row r="6829" spans="2:34" x14ac:dyDescent="0.2">
      <c r="B6829" s="2">
        <f ca="1"/>
        <v>0.58844016169504787</v>
      </c>
      <c r="O6829" s="2">
        <f ca="1"/>
        <v>-0.54936120809461064</v>
      </c>
      <c r="X6829" s="2">
        <f ca="1"/>
        <v>26.31881732787577</v>
      </c>
      <c r="AG6829" s="2">
        <f ca="1"/>
        <v>0.76002269917712129</v>
      </c>
      <c r="AH6829" s="2" t="str">
        <f ca="1"/>
        <v>Bad</v>
      </c>
    </row>
    <row r="6830" spans="2:34" x14ac:dyDescent="0.2">
      <c r="B6830" s="2">
        <f ca="1"/>
        <v>0.38086580204659581</v>
      </c>
      <c r="O6830" s="2">
        <f ca="1"/>
        <v>0.42072743476748053</v>
      </c>
      <c r="X6830" s="2">
        <f ca="1"/>
        <v>20.45303497352943</v>
      </c>
      <c r="AG6830" s="2">
        <f ca="1"/>
        <v>0.32609469704578231</v>
      </c>
      <c r="AH6830" s="2" t="str">
        <f ca="1"/>
        <v>OK</v>
      </c>
    </row>
    <row r="6831" spans="2:34" x14ac:dyDescent="0.2">
      <c r="B6831" s="2">
        <f ca="1"/>
        <v>0.43506039420298537</v>
      </c>
      <c r="O6831" s="2">
        <f ca="1"/>
        <v>1.1524038332844677</v>
      </c>
      <c r="X6831" s="2">
        <f ca="1"/>
        <v>67.240362479155408</v>
      </c>
      <c r="AG6831" s="2">
        <f ca="1"/>
        <v>0.46188126162528209</v>
      </c>
      <c r="AH6831" s="2" t="str">
        <f ca="1"/>
        <v>Bad</v>
      </c>
    </row>
    <row r="6832" spans="2:34" x14ac:dyDescent="0.2">
      <c r="B6832" s="2">
        <f ca="1"/>
        <v>0.69465056901665245</v>
      </c>
      <c r="O6832" s="2">
        <f ca="1"/>
        <v>0.40789360845063849</v>
      </c>
      <c r="X6832" s="2">
        <f ca="1"/>
        <v>63.890249819454262</v>
      </c>
      <c r="AG6832" s="2">
        <f ca="1"/>
        <v>0.54236942933842358</v>
      </c>
      <c r="AH6832" s="2" t="str">
        <f ca="1"/>
        <v>Bad</v>
      </c>
    </row>
    <row r="6833" spans="2:34" x14ac:dyDescent="0.2">
      <c r="B6833" s="2">
        <f ca="1"/>
        <v>0.18631816289820824</v>
      </c>
      <c r="O6833" s="2">
        <f ca="1"/>
        <v>-1.2089744224854286</v>
      </c>
      <c r="X6833" s="2">
        <f ca="1"/>
        <v>29.807168473907034</v>
      </c>
      <c r="AG6833" s="2">
        <f ca="1"/>
        <v>0.31370721778055755</v>
      </c>
      <c r="AH6833" s="2" t="str">
        <f ca="1"/>
        <v>OK</v>
      </c>
    </row>
    <row r="6834" spans="2:34" x14ac:dyDescent="0.2">
      <c r="B6834" s="2">
        <f ca="1"/>
        <v>0.54514781829613179</v>
      </c>
      <c r="O6834" s="2">
        <f ca="1"/>
        <v>-0.93159179194245723</v>
      </c>
      <c r="X6834" s="2">
        <f ca="1"/>
        <v>42.153197565027895</v>
      </c>
      <c r="AG6834" s="2">
        <f ca="1"/>
        <v>0.42354501333034555</v>
      </c>
      <c r="AH6834" s="2" t="str">
        <f ca="1"/>
        <v>Bad</v>
      </c>
    </row>
    <row r="6835" spans="2:34" x14ac:dyDescent="0.2">
      <c r="B6835" s="2">
        <f ca="1"/>
        <v>0.98458453607173357</v>
      </c>
      <c r="O6835" s="2">
        <f ca="1"/>
        <v>-1.035594445961654</v>
      </c>
      <c r="X6835" s="2">
        <f ca="1"/>
        <v>73.408713045618427</v>
      </c>
      <c r="AG6835" s="2">
        <f ca="1"/>
        <v>0.48391227767370615</v>
      </c>
      <c r="AH6835" s="2" t="str">
        <f ca="1"/>
        <v>Bad</v>
      </c>
    </row>
    <row r="6836" spans="2:34" x14ac:dyDescent="0.2">
      <c r="B6836" s="2">
        <f ca="1"/>
        <v>4.202006983735207E-2</v>
      </c>
      <c r="O6836" s="2">
        <f ca="1"/>
        <v>-1.1109106876326882</v>
      </c>
      <c r="X6836" s="2">
        <f ca="1"/>
        <v>56.833966354773025</v>
      </c>
      <c r="AG6836" s="2">
        <f ca="1"/>
        <v>0.30233090628430359</v>
      </c>
      <c r="AH6836" s="2" t="str">
        <f ca="1"/>
        <v>OK</v>
      </c>
    </row>
    <row r="6837" spans="2:34" x14ac:dyDescent="0.2">
      <c r="B6837" s="2">
        <f ca="1"/>
        <v>0.52662267212736347</v>
      </c>
      <c r="O6837" s="2">
        <f ca="1"/>
        <v>1.3357121036575315</v>
      </c>
      <c r="X6837" s="2">
        <f ca="1"/>
        <v>44.498334504542797</v>
      </c>
      <c r="AG6837" s="2">
        <f ca="1"/>
        <v>0.57812778216796112</v>
      </c>
      <c r="AH6837" s="2" t="str">
        <f ca="1"/>
        <v>Bad</v>
      </c>
    </row>
    <row r="6838" spans="2:34" x14ac:dyDescent="0.2">
      <c r="B6838" s="2">
        <f ca="1"/>
        <v>0.75640673480956244</v>
      </c>
      <c r="O6838" s="2">
        <f ca="1"/>
        <v>0.63436011717109941</v>
      </c>
      <c r="X6838" s="2">
        <f ca="1"/>
        <v>46.901514796248506</v>
      </c>
      <c r="AG6838" s="2">
        <f ca="1"/>
        <v>0.66096157607849482</v>
      </c>
      <c r="AH6838" s="2" t="str">
        <f ca="1"/>
        <v>Bad</v>
      </c>
    </row>
    <row r="6839" spans="2:34" x14ac:dyDescent="0.2">
      <c r="B6839" s="2">
        <f ca="1"/>
        <v>0.81492937704005031</v>
      </c>
      <c r="O6839" s="2">
        <f ca="1"/>
        <v>-1.2596825711364728</v>
      </c>
      <c r="X6839" s="2">
        <f ca="1"/>
        <v>66.780759230442371</v>
      </c>
      <c r="AG6839" s="2">
        <f ca="1"/>
        <v>0.38005972042945935</v>
      </c>
      <c r="AH6839" s="2" t="str">
        <f ca="1"/>
        <v>OK</v>
      </c>
    </row>
    <row r="6840" spans="2:34" x14ac:dyDescent="0.2">
      <c r="B6840" s="2">
        <f ca="1"/>
        <v>0.78005492899078765</v>
      </c>
      <c r="O6840" s="2">
        <f ca="1"/>
        <v>1.9649448026033458</v>
      </c>
      <c r="X6840" s="2">
        <f ca="1"/>
        <v>21.910852763274356</v>
      </c>
      <c r="AG6840" s="2">
        <f ca="1"/>
        <v>0.25044438998149698</v>
      </c>
      <c r="AH6840" s="2" t="str">
        <f ca="1"/>
        <v>OK</v>
      </c>
    </row>
    <row r="6841" spans="2:34" x14ac:dyDescent="0.2">
      <c r="B6841" s="2">
        <f ca="1"/>
        <v>0.13690499336870521</v>
      </c>
      <c r="O6841" s="2">
        <f ca="1"/>
        <v>0.61953010537474673</v>
      </c>
      <c r="X6841" s="2">
        <f ca="1"/>
        <v>60.41801151428465</v>
      </c>
      <c r="AG6841" s="2">
        <f ca="1"/>
        <v>0.85927012629426036</v>
      </c>
      <c r="AH6841" s="2" t="str">
        <f ca="1"/>
        <v>Bad</v>
      </c>
    </row>
    <row r="6842" spans="2:34" x14ac:dyDescent="0.2">
      <c r="B6842" s="2">
        <f ca="1"/>
        <v>0.47792140442079623</v>
      </c>
      <c r="O6842" s="2">
        <f ca="1"/>
        <v>1.4746188526820305</v>
      </c>
      <c r="X6842" s="2">
        <f ca="1"/>
        <v>64.799232694457046</v>
      </c>
      <c r="AG6842" s="2">
        <f ca="1"/>
        <v>0.39071605228177986</v>
      </c>
      <c r="AH6842" s="2" t="str">
        <f ca="1"/>
        <v>OK</v>
      </c>
    </row>
    <row r="6843" spans="2:34" x14ac:dyDescent="0.2">
      <c r="B6843" s="2">
        <f ca="1"/>
        <v>0.34255938934308672</v>
      </c>
      <c r="O6843" s="2">
        <f ca="1"/>
        <v>-1.525409876252326</v>
      </c>
      <c r="X6843" s="2">
        <f ca="1"/>
        <v>55.272465902239617</v>
      </c>
      <c r="AG6843" s="2">
        <f ca="1"/>
        <v>0.63411402403538242</v>
      </c>
      <c r="AH6843" s="2" t="str">
        <f ca="1"/>
        <v>Bad</v>
      </c>
    </row>
    <row r="6844" spans="2:34" x14ac:dyDescent="0.2">
      <c r="B6844" s="2">
        <f ca="1"/>
        <v>0.26637353522397067</v>
      </c>
      <c r="O6844" s="2">
        <f ca="1"/>
        <v>0.40592862190283302</v>
      </c>
      <c r="X6844" s="2">
        <f ca="1"/>
        <v>49.435869262847511</v>
      </c>
      <c r="AG6844" s="2">
        <f ca="1"/>
        <v>0.9190259471655664</v>
      </c>
      <c r="AH6844" s="2" t="str">
        <f ca="1"/>
        <v>Bad</v>
      </c>
    </row>
    <row r="6845" spans="2:34" x14ac:dyDescent="0.2">
      <c r="B6845" s="2">
        <f ca="1"/>
        <v>0.85707405611766685</v>
      </c>
      <c r="O6845" s="2">
        <f ca="1"/>
        <v>-0.25239044193301907</v>
      </c>
      <c r="X6845" s="2">
        <f ca="1"/>
        <v>52.26586403204341</v>
      </c>
      <c r="AG6845" s="2">
        <f ca="1"/>
        <v>0.60922293754384249</v>
      </c>
      <c r="AH6845" s="2" t="str">
        <f ca="1"/>
        <v>Bad</v>
      </c>
    </row>
    <row r="6846" spans="2:34" x14ac:dyDescent="0.2">
      <c r="B6846" s="2">
        <f ca="1"/>
        <v>0.34766204197781558</v>
      </c>
      <c r="O6846" s="2">
        <f ca="1"/>
        <v>-0.88479628894801765</v>
      </c>
      <c r="X6846" s="2">
        <f ca="1"/>
        <v>51.810033172440448</v>
      </c>
      <c r="AG6846" s="2">
        <f ca="1"/>
        <v>0.72518747503190872</v>
      </c>
      <c r="AH6846" s="2" t="str">
        <f ca="1"/>
        <v>Bad</v>
      </c>
    </row>
    <row r="6847" spans="2:34" x14ac:dyDescent="0.2">
      <c r="B6847" s="2">
        <f ca="1"/>
        <v>0.99018510053484476</v>
      </c>
      <c r="O6847" s="2">
        <f ca="1"/>
        <v>1.6226163486877072</v>
      </c>
      <c r="X6847" s="2">
        <f ca="1"/>
        <v>16.757327584814846</v>
      </c>
      <c r="AG6847" s="2">
        <f ca="1"/>
        <v>0.14009685012417061</v>
      </c>
      <c r="AH6847" s="2" t="str">
        <f ca="1"/>
        <v>OK</v>
      </c>
    </row>
    <row r="6848" spans="2:34" x14ac:dyDescent="0.2">
      <c r="B6848" s="2">
        <f ca="1"/>
        <v>0.10086336812616836</v>
      </c>
      <c r="O6848" s="2">
        <f ca="1"/>
        <v>-0.41634994937963143</v>
      </c>
      <c r="X6848" s="2">
        <f ca="1"/>
        <v>52.817691744841696</v>
      </c>
      <c r="AG6848" s="2">
        <f ca="1"/>
        <v>7.3429761915742242E-2</v>
      </c>
      <c r="AH6848" s="2" t="str">
        <f ca="1"/>
        <v>OK</v>
      </c>
    </row>
    <row r="6849" spans="2:34" x14ac:dyDescent="0.2">
      <c r="B6849" s="2">
        <f ca="1"/>
        <v>0.62714738589940122</v>
      </c>
      <c r="O6849" s="2">
        <f ca="1"/>
        <v>-0.22062414095907537</v>
      </c>
      <c r="X6849" s="2">
        <f ca="1"/>
        <v>71.381100364833642</v>
      </c>
      <c r="AG6849" s="2">
        <f ca="1"/>
        <v>0.79676793515029676</v>
      </c>
      <c r="AH6849" s="2" t="str">
        <f ca="1"/>
        <v>Bad</v>
      </c>
    </row>
    <row r="6850" spans="2:34" x14ac:dyDescent="0.2">
      <c r="B6850" s="2">
        <f ca="1"/>
        <v>0.76782706137380208</v>
      </c>
      <c r="O6850" s="2">
        <f ca="1"/>
        <v>-0.57119069033419867</v>
      </c>
      <c r="X6850" s="2">
        <f ca="1"/>
        <v>29.94012867360798</v>
      </c>
      <c r="AG6850" s="2">
        <f ca="1"/>
        <v>0.85799660222453045</v>
      </c>
      <c r="AH6850" s="2" t="str">
        <f ca="1"/>
        <v>Bad</v>
      </c>
    </row>
    <row r="6851" spans="2:34" x14ac:dyDescent="0.2">
      <c r="B6851" s="2">
        <f ca="1"/>
        <v>0.86350257108442974</v>
      </c>
      <c r="O6851" s="2">
        <f ca="1"/>
        <v>1.0568505938991575</v>
      </c>
      <c r="X6851" s="2">
        <f ca="1"/>
        <v>34.592995845561248</v>
      </c>
      <c r="AG6851" s="2">
        <f ca="1"/>
        <v>0.20245085185866007</v>
      </c>
      <c r="AH6851" s="2" t="str">
        <f ca="1"/>
        <v>OK</v>
      </c>
    </row>
    <row r="6852" spans="2:34" x14ac:dyDescent="0.2">
      <c r="B6852" s="2">
        <f ca="1"/>
        <v>0.61030652969090426</v>
      </c>
      <c r="O6852" s="2">
        <f ca="1"/>
        <v>1.5244677301645211</v>
      </c>
      <c r="X6852" s="2">
        <f ca="1"/>
        <v>32.358641927854926</v>
      </c>
      <c r="AG6852" s="2">
        <f ca="1"/>
        <v>0.34483733674693462</v>
      </c>
      <c r="AH6852" s="2" t="str">
        <f ca="1"/>
        <v>OK</v>
      </c>
    </row>
    <row r="6853" spans="2:34" x14ac:dyDescent="0.2">
      <c r="B6853" s="2">
        <f ca="1"/>
        <v>0.8373951678223388</v>
      </c>
      <c r="O6853" s="2">
        <f ca="1"/>
        <v>-1.6208798051171396</v>
      </c>
      <c r="X6853" s="2">
        <f ca="1"/>
        <v>32.174162352750479</v>
      </c>
      <c r="AG6853" s="2">
        <f ca="1"/>
        <v>0.58400511582642989</v>
      </c>
      <c r="AH6853" s="2" t="str">
        <f ca="1"/>
        <v>Bad</v>
      </c>
    </row>
    <row r="6854" spans="2:34" x14ac:dyDescent="0.2">
      <c r="B6854" s="2">
        <f ca="1"/>
        <v>0.70815830750535169</v>
      </c>
      <c r="O6854" s="2">
        <f ca="1"/>
        <v>0.23760827578633612</v>
      </c>
      <c r="X6854" s="2">
        <f ca="1"/>
        <v>50.245726189662115</v>
      </c>
      <c r="AG6854" s="2">
        <f ca="1"/>
        <v>0.52712830774000108</v>
      </c>
      <c r="AH6854" s="2" t="str">
        <f ca="1"/>
        <v>Bad</v>
      </c>
    </row>
    <row r="6855" spans="2:34" x14ac:dyDescent="0.2">
      <c r="B6855" s="2">
        <f ca="1"/>
        <v>0.98625020552813547</v>
      </c>
      <c r="O6855" s="2">
        <f ca="1"/>
        <v>-2.0798686041940164</v>
      </c>
      <c r="X6855" s="2">
        <f ca="1"/>
        <v>49.498478265366892</v>
      </c>
      <c r="AG6855" s="2">
        <f ca="1"/>
        <v>0.23231292503895351</v>
      </c>
      <c r="AH6855" s="2" t="str">
        <f ca="1"/>
        <v>OK</v>
      </c>
    </row>
    <row r="6856" spans="2:34" x14ac:dyDescent="0.2">
      <c r="B6856" s="2">
        <f ca="1"/>
        <v>0.88144149782400127</v>
      </c>
      <c r="O6856" s="2">
        <f ca="1"/>
        <v>-0.33134548700880417</v>
      </c>
      <c r="X6856" s="2">
        <f ca="1"/>
        <v>78.726629554300757</v>
      </c>
      <c r="AG6856" s="2">
        <f ca="1"/>
        <v>0.44429912126902882</v>
      </c>
      <c r="AH6856" s="2" t="str">
        <f ca="1"/>
        <v>Bad</v>
      </c>
    </row>
    <row r="6857" spans="2:34" x14ac:dyDescent="0.2">
      <c r="B6857" s="2">
        <f ca="1"/>
        <v>8.6930223376561644E-2</v>
      </c>
      <c r="O6857" s="2">
        <f ca="1"/>
        <v>5.6558348716418044E-2</v>
      </c>
      <c r="X6857" s="2">
        <f ca="1"/>
        <v>58.014041375849821</v>
      </c>
      <c r="AG6857" s="2">
        <f ca="1"/>
        <v>0.64234744258286081</v>
      </c>
      <c r="AH6857" s="2" t="str">
        <f ca="1"/>
        <v>Bad</v>
      </c>
    </row>
    <row r="6858" spans="2:34" x14ac:dyDescent="0.2">
      <c r="B6858" s="2">
        <f ca="1"/>
        <v>0.33580942942004777</v>
      </c>
      <c r="O6858" s="2">
        <f ca="1"/>
        <v>-0.90050335142168991</v>
      </c>
      <c r="X6858" s="2">
        <f ca="1"/>
        <v>48.387771402618689</v>
      </c>
      <c r="AG6858" s="2">
        <f ca="1"/>
        <v>0.33688206275299937</v>
      </c>
      <c r="AH6858" s="2" t="str">
        <f ca="1"/>
        <v>OK</v>
      </c>
    </row>
    <row r="6859" spans="2:34" x14ac:dyDescent="0.2">
      <c r="B6859" s="2">
        <f ca="1"/>
        <v>9.882588695583272E-2</v>
      </c>
      <c r="O6859" s="2">
        <f ca="1"/>
        <v>-0.44139723318592927</v>
      </c>
      <c r="X6859" s="2">
        <f ca="1"/>
        <v>31.56221221194518</v>
      </c>
      <c r="AG6859" s="2">
        <f ca="1"/>
        <v>0.81788214289041283</v>
      </c>
      <c r="AH6859" s="2" t="str">
        <f ca="1"/>
        <v>Bad</v>
      </c>
    </row>
    <row r="6860" spans="2:34" x14ac:dyDescent="0.2">
      <c r="B6860" s="2">
        <f ca="1"/>
        <v>0.5876995586946745</v>
      </c>
      <c r="O6860" s="2">
        <f ca="1"/>
        <v>-1.0150048629117774</v>
      </c>
      <c r="X6860" s="2">
        <f ca="1"/>
        <v>70.111970357981932</v>
      </c>
      <c r="AG6860" s="2">
        <f ca="1"/>
        <v>0.74064293689934013</v>
      </c>
      <c r="AH6860" s="2" t="str">
        <f ca="1"/>
        <v>Bad</v>
      </c>
    </row>
    <row r="6861" spans="2:34" x14ac:dyDescent="0.2">
      <c r="B6861" s="2">
        <f ca="1"/>
        <v>0.97385050690237218</v>
      </c>
      <c r="O6861" s="2">
        <f ca="1"/>
        <v>0.12456832885429671</v>
      </c>
      <c r="X6861" s="2">
        <f ca="1"/>
        <v>51.376918737793311</v>
      </c>
      <c r="AG6861" s="2">
        <f ca="1"/>
        <v>0.80326107492677767</v>
      </c>
      <c r="AH6861" s="2" t="str">
        <f ca="1"/>
        <v>Bad</v>
      </c>
    </row>
    <row r="6862" spans="2:34" x14ac:dyDescent="0.2">
      <c r="B6862" s="2">
        <f ca="1"/>
        <v>0.40426015962514605</v>
      </c>
      <c r="O6862" s="2">
        <f ca="1"/>
        <v>0.38811131954629002</v>
      </c>
      <c r="X6862" s="2">
        <f ca="1"/>
        <v>44.082074820350044</v>
      </c>
      <c r="AG6862" s="2">
        <f ca="1"/>
        <v>0.62560355542059787</v>
      </c>
      <c r="AH6862" s="2" t="str">
        <f ca="1"/>
        <v>Bad</v>
      </c>
    </row>
    <row r="6863" spans="2:34" x14ac:dyDescent="0.2">
      <c r="B6863" s="2">
        <f ca="1"/>
        <v>0.27946192322953034</v>
      </c>
      <c r="O6863" s="2">
        <f ca="1"/>
        <v>0.95073075226698223</v>
      </c>
      <c r="X6863" s="2">
        <f ca="1"/>
        <v>60.501265244923808</v>
      </c>
      <c r="AG6863" s="2">
        <f ca="1"/>
        <v>0.10059061155844207</v>
      </c>
      <c r="AH6863" s="2" t="str">
        <f ca="1"/>
        <v>OK</v>
      </c>
    </row>
    <row r="6864" spans="2:34" x14ac:dyDescent="0.2">
      <c r="B6864" s="2">
        <f ca="1"/>
        <v>0.64099667482439626</v>
      </c>
      <c r="O6864" s="2">
        <f ca="1"/>
        <v>0.44447167796789977</v>
      </c>
      <c r="X6864" s="2">
        <f ca="1"/>
        <v>72.707207641021242</v>
      </c>
      <c r="AG6864" s="2">
        <f ca="1"/>
        <v>0.18338819663279615</v>
      </c>
      <c r="AH6864" s="2" t="str">
        <f ca="1"/>
        <v>OK</v>
      </c>
    </row>
    <row r="6865" spans="2:34" x14ac:dyDescent="0.2">
      <c r="B6865" s="2">
        <f ca="1"/>
        <v>2.7541343940532981E-2</v>
      </c>
      <c r="O6865" s="2">
        <f ca="1"/>
        <v>-0.22356517461840714</v>
      </c>
      <c r="X6865" s="2">
        <f ca="1"/>
        <v>33.558022677054183</v>
      </c>
      <c r="AG6865" s="2">
        <f ca="1"/>
        <v>0.91234615516743367</v>
      </c>
      <c r="AH6865" s="2" t="str">
        <f ca="1"/>
        <v>Bad</v>
      </c>
    </row>
    <row r="6866" spans="2:34" x14ac:dyDescent="0.2">
      <c r="B6866" s="2">
        <f ca="1"/>
        <v>5.6857653014828147E-2</v>
      </c>
      <c r="O6866" s="2">
        <f ca="1"/>
        <v>0.85924675861887689</v>
      </c>
      <c r="X6866" s="2">
        <f ca="1"/>
        <v>77.172251032920855</v>
      </c>
      <c r="AG6866" s="2">
        <f ca="1"/>
        <v>0.77697532786945733</v>
      </c>
      <c r="AH6866" s="2" t="str">
        <f ca="1"/>
        <v>Bad</v>
      </c>
    </row>
    <row r="6867" spans="2:34" x14ac:dyDescent="0.2">
      <c r="B6867" s="2">
        <f ca="1"/>
        <v>0.92198332892147006</v>
      </c>
      <c r="O6867" s="2">
        <f ca="1"/>
        <v>-2.2613471100306271</v>
      </c>
      <c r="X6867" s="2">
        <f ca="1"/>
        <v>59.698562119795461</v>
      </c>
      <c r="AG6867" s="2">
        <f ca="1"/>
        <v>0.57086867002820529</v>
      </c>
      <c r="AH6867" s="2" t="str">
        <f ca="1"/>
        <v>Bad</v>
      </c>
    </row>
    <row r="6868" spans="2:34" x14ac:dyDescent="0.2">
      <c r="B6868" s="2">
        <f ca="1"/>
        <v>0.98939200121165927</v>
      </c>
      <c r="O6868" s="2">
        <f ca="1"/>
        <v>0.40543957666055003</v>
      </c>
      <c r="X6868" s="2">
        <f ca="1"/>
        <v>25.343917296245088</v>
      </c>
      <c r="AG6868" s="2">
        <f ca="1"/>
        <v>0.89315053001940736</v>
      </c>
      <c r="AH6868" s="2" t="str">
        <f ca="1"/>
        <v>Bad</v>
      </c>
    </row>
    <row r="6869" spans="2:34" x14ac:dyDescent="0.2">
      <c r="B6869" s="2">
        <f ca="1"/>
        <v>0.6216411641872055</v>
      </c>
      <c r="O6869" s="2">
        <f ca="1"/>
        <v>-1.7995873855563134</v>
      </c>
      <c r="X6869" s="2">
        <f ca="1"/>
        <v>52.73853836944884</v>
      </c>
      <c r="AG6869" s="2">
        <f ca="1"/>
        <v>0.89921454972639459</v>
      </c>
      <c r="AH6869" s="2" t="str">
        <f ca="1"/>
        <v>Bad</v>
      </c>
    </row>
    <row r="6870" spans="2:34" x14ac:dyDescent="0.2">
      <c r="B6870" s="2">
        <f ca="1"/>
        <v>0.96198417851860341</v>
      </c>
      <c r="O6870" s="2">
        <f ca="1"/>
        <v>-0.99922739347236045</v>
      </c>
      <c r="X6870" s="2">
        <f ca="1"/>
        <v>35.808935301188129</v>
      </c>
      <c r="AG6870" s="2">
        <f ca="1"/>
        <v>0.76295903852766611</v>
      </c>
      <c r="AH6870" s="2" t="str">
        <f ca="1"/>
        <v>Bad</v>
      </c>
    </row>
    <row r="6871" spans="2:34" x14ac:dyDescent="0.2">
      <c r="B6871" s="2">
        <f ca="1"/>
        <v>0.63930960922272795</v>
      </c>
      <c r="O6871" s="2">
        <f ca="1"/>
        <v>1.1419430365815455</v>
      </c>
      <c r="X6871" s="2">
        <f ca="1"/>
        <v>48.575340040510497</v>
      </c>
      <c r="AG6871" s="2">
        <f ca="1"/>
        <v>0.84187563914164021</v>
      </c>
      <c r="AH6871" s="2" t="str">
        <f ca="1"/>
        <v>Bad</v>
      </c>
    </row>
    <row r="6872" spans="2:34" x14ac:dyDescent="0.2">
      <c r="B6872" s="2">
        <f ca="1"/>
        <v>4.3047497797961354E-2</v>
      </c>
      <c r="O6872" s="2">
        <f ca="1"/>
        <v>1.2260639012250916</v>
      </c>
      <c r="X6872" s="2">
        <f ca="1"/>
        <v>61.087896179482605</v>
      </c>
      <c r="AG6872" s="2">
        <f ca="1"/>
        <v>0.34453092209774461</v>
      </c>
      <c r="AH6872" s="2" t="str">
        <f ca="1"/>
        <v>OK</v>
      </c>
    </row>
    <row r="6873" spans="2:34" x14ac:dyDescent="0.2">
      <c r="B6873" s="2">
        <f ca="1"/>
        <v>0.30725356789126845</v>
      </c>
      <c r="O6873" s="2">
        <f ca="1"/>
        <v>0.37798781375791363</v>
      </c>
      <c r="X6873" s="2">
        <f ca="1"/>
        <v>74.762551693029721</v>
      </c>
      <c r="AG6873" s="2">
        <f ca="1"/>
        <v>0.4065165486680713</v>
      </c>
      <c r="AH6873" s="2" t="str">
        <f ca="1"/>
        <v>Bad</v>
      </c>
    </row>
    <row r="6874" spans="2:34" x14ac:dyDescent="0.2">
      <c r="B6874" s="2">
        <f ca="1"/>
        <v>0.95113986997487077</v>
      </c>
      <c r="O6874" s="2">
        <f ca="1"/>
        <v>0.28957345367515119</v>
      </c>
      <c r="X6874" s="2">
        <f ca="1"/>
        <v>47.008651872472463</v>
      </c>
      <c r="AG6874" s="2">
        <f ca="1"/>
        <v>0.18436353076788814</v>
      </c>
      <c r="AH6874" s="2" t="str">
        <f ca="1"/>
        <v>OK</v>
      </c>
    </row>
    <row r="6875" spans="2:34" x14ac:dyDescent="0.2">
      <c r="B6875" s="2">
        <f ca="1"/>
        <v>0.55673840834465693</v>
      </c>
      <c r="O6875" s="2">
        <f ca="1"/>
        <v>0.27732643515390526</v>
      </c>
      <c r="X6875" s="2">
        <f ca="1"/>
        <v>33.381687076885093</v>
      </c>
      <c r="AG6875" s="2">
        <f ca="1"/>
        <v>0.72745056648428985</v>
      </c>
      <c r="AH6875" s="2" t="str">
        <f ca="1"/>
        <v>Bad</v>
      </c>
    </row>
    <row r="6876" spans="2:34" x14ac:dyDescent="0.2">
      <c r="B6876" s="2">
        <f ca="1"/>
        <v>0.59500350475106534</v>
      </c>
      <c r="O6876" s="2">
        <f ca="1"/>
        <v>-1.034176581187777</v>
      </c>
      <c r="X6876" s="2">
        <f ca="1"/>
        <v>79.178830010163708</v>
      </c>
      <c r="AG6876" s="2">
        <f ca="1"/>
        <v>0.12503853676597276</v>
      </c>
      <c r="AH6876" s="2" t="str">
        <f ca="1"/>
        <v>OK</v>
      </c>
    </row>
    <row r="6877" spans="2:34" x14ac:dyDescent="0.2">
      <c r="B6877" s="2">
        <f ca="1"/>
        <v>0.67711356328241035</v>
      </c>
      <c r="O6877" s="2">
        <f ca="1"/>
        <v>0.55794606516237566</v>
      </c>
      <c r="X6877" s="2">
        <f ca="1"/>
        <v>49.481223809005506</v>
      </c>
      <c r="AG6877" s="2">
        <f ca="1"/>
        <v>0.46240059456269922</v>
      </c>
      <c r="AH6877" s="2" t="str">
        <f ca="1"/>
        <v>Bad</v>
      </c>
    </row>
    <row r="6878" spans="2:34" x14ac:dyDescent="0.2">
      <c r="B6878" s="2">
        <f ca="1"/>
        <v>8.1370961111253415E-3</v>
      </c>
      <c r="O6878" s="2">
        <f ca="1"/>
        <v>-8.4076131461170642E-2</v>
      </c>
      <c r="X6878" s="2">
        <f ca="1"/>
        <v>41.542617149531857</v>
      </c>
      <c r="AG6878" s="2">
        <f ca="1"/>
        <v>0.73157757441685001</v>
      </c>
      <c r="AH6878" s="2" t="str">
        <f ca="1"/>
        <v>Bad</v>
      </c>
    </row>
    <row r="6879" spans="2:34" x14ac:dyDescent="0.2">
      <c r="B6879" s="2">
        <f ca="1"/>
        <v>0.55660194922159612</v>
      </c>
      <c r="O6879" s="2">
        <f ca="1"/>
        <v>-0.27808002793926379</v>
      </c>
      <c r="X6879" s="2">
        <f ca="1"/>
        <v>34.295666901564509</v>
      </c>
      <c r="AG6879" s="2">
        <f ca="1"/>
        <v>0.16851171130447717</v>
      </c>
      <c r="AH6879" s="2" t="str">
        <f ca="1"/>
        <v>OK</v>
      </c>
    </row>
    <row r="6880" spans="2:34" x14ac:dyDescent="0.2">
      <c r="B6880" s="2">
        <f ca="1"/>
        <v>2.0778887014426761E-2</v>
      </c>
      <c r="O6880" s="2">
        <f ca="1"/>
        <v>6.0636735302305678E-2</v>
      </c>
      <c r="X6880" s="2">
        <f ca="1"/>
        <v>39.666284878697994</v>
      </c>
      <c r="AG6880" s="2">
        <f ca="1"/>
        <v>0.16958224486932205</v>
      </c>
      <c r="AH6880" s="2" t="str">
        <f ca="1"/>
        <v>OK</v>
      </c>
    </row>
    <row r="6881" spans="2:34" x14ac:dyDescent="0.2">
      <c r="B6881" s="2">
        <f ca="1"/>
        <v>0.17699786432475162</v>
      </c>
      <c r="O6881" s="2">
        <f ca="1"/>
        <v>-1.1608942317373525</v>
      </c>
      <c r="X6881" s="2">
        <f ca="1"/>
        <v>39.239805209491422</v>
      </c>
      <c r="AG6881" s="2">
        <f ca="1"/>
        <v>0.77193884452530215</v>
      </c>
      <c r="AH6881" s="2" t="str">
        <f ca="1"/>
        <v>Bad</v>
      </c>
    </row>
    <row r="6882" spans="2:34" x14ac:dyDescent="0.2">
      <c r="B6882" s="2">
        <f ca="1"/>
        <v>0.92925134304435808</v>
      </c>
      <c r="O6882" s="2">
        <f ca="1"/>
        <v>-2.4190705414987717</v>
      </c>
      <c r="X6882" s="2">
        <f ca="1"/>
        <v>34.58514767231307</v>
      </c>
      <c r="AG6882" s="2">
        <f ca="1"/>
        <v>0.32034694827961929</v>
      </c>
      <c r="AH6882" s="2" t="str">
        <f ca="1"/>
        <v>OK</v>
      </c>
    </row>
    <row r="6883" spans="2:34" x14ac:dyDescent="0.2">
      <c r="B6883" s="2">
        <f ca="1"/>
        <v>0.91983931220741022</v>
      </c>
      <c r="O6883" s="2">
        <f ca="1"/>
        <v>-0.3230159304748822</v>
      </c>
      <c r="X6883" s="2">
        <f ca="1"/>
        <v>46.53800832501414</v>
      </c>
      <c r="AG6883" s="2">
        <f ca="1"/>
        <v>0.9168275032196993</v>
      </c>
      <c r="AH6883" s="2" t="str">
        <f ca="1"/>
        <v>Bad</v>
      </c>
    </row>
    <row r="6884" spans="2:34" x14ac:dyDescent="0.2">
      <c r="B6884" s="2">
        <f ca="1"/>
        <v>0.39606769254930763</v>
      </c>
      <c r="O6884" s="2">
        <f ca="1"/>
        <v>-0.74501813158665942</v>
      </c>
      <c r="X6884" s="2">
        <f ca="1"/>
        <v>52.279498932872684</v>
      </c>
      <c r="AG6884" s="2">
        <f ca="1"/>
        <v>0.36527594322199564</v>
      </c>
      <c r="AH6884" s="2" t="str">
        <f ca="1"/>
        <v>OK</v>
      </c>
    </row>
    <row r="6885" spans="2:34" x14ac:dyDescent="0.2">
      <c r="B6885" s="2">
        <f ca="1"/>
        <v>0.50675359499365324</v>
      </c>
      <c r="O6885" s="2">
        <f ca="1"/>
        <v>-1.1688698677875764</v>
      </c>
      <c r="X6885" s="2">
        <f ca="1"/>
        <v>64.667828152582615</v>
      </c>
      <c r="AG6885" s="2">
        <f ca="1"/>
        <v>0.48422808110714932</v>
      </c>
      <c r="AH6885" s="2" t="str">
        <f ca="1"/>
        <v>Bad</v>
      </c>
    </row>
    <row r="6886" spans="2:34" x14ac:dyDescent="0.2">
      <c r="B6886" s="2">
        <f ca="1"/>
        <v>0.84070557863959872</v>
      </c>
      <c r="O6886" s="2">
        <f ca="1"/>
        <v>-1.0823783285201922</v>
      </c>
      <c r="X6886" s="2">
        <f ca="1"/>
        <v>32.2337393487105</v>
      </c>
      <c r="AG6886" s="2">
        <f ca="1"/>
        <v>0.96465801635758686</v>
      </c>
      <c r="AH6886" s="2" t="str">
        <f ca="1"/>
        <v>Bad</v>
      </c>
    </row>
    <row r="6887" spans="2:34" x14ac:dyDescent="0.2">
      <c r="B6887" s="2">
        <f ca="1"/>
        <v>0.77266666242481796</v>
      </c>
      <c r="O6887" s="2">
        <f ca="1"/>
        <v>-0.20774531906376334</v>
      </c>
      <c r="X6887" s="2">
        <f ca="1"/>
        <v>31.296313811952938</v>
      </c>
      <c r="AG6887" s="2">
        <f ca="1"/>
        <v>0.95152716110973534</v>
      </c>
      <c r="AH6887" s="2" t="str">
        <f ca="1"/>
        <v>Bad</v>
      </c>
    </row>
    <row r="6888" spans="2:34" x14ac:dyDescent="0.2">
      <c r="B6888" s="2">
        <f ca="1"/>
        <v>0.95991409976832243</v>
      </c>
      <c r="O6888" s="2">
        <f ca="1"/>
        <v>-0.73566194470989765</v>
      </c>
      <c r="X6888" s="2">
        <f ca="1"/>
        <v>50.964716937325328</v>
      </c>
      <c r="AG6888" s="2">
        <f ca="1"/>
        <v>0.22394558156124833</v>
      </c>
      <c r="AH6888" s="2" t="str">
        <f ca="1"/>
        <v>OK</v>
      </c>
    </row>
    <row r="6889" spans="2:34" x14ac:dyDescent="0.2">
      <c r="B6889" s="2">
        <f ca="1"/>
        <v>0.75533692374940253</v>
      </c>
      <c r="O6889" s="2">
        <f ca="1"/>
        <v>0.32373780342761455</v>
      </c>
      <c r="X6889" s="2">
        <f ca="1"/>
        <v>51.608983564195128</v>
      </c>
      <c r="AG6889" s="2">
        <f ca="1"/>
        <v>0.50996368417381555</v>
      </c>
      <c r="AH6889" s="2" t="str">
        <f ca="1"/>
        <v>Bad</v>
      </c>
    </row>
    <row r="6890" spans="2:34" x14ac:dyDescent="0.2">
      <c r="B6890" s="2">
        <f ca="1"/>
        <v>0.17298694338361331</v>
      </c>
      <c r="O6890" s="2">
        <f ca="1"/>
        <v>-0.20094321238151405</v>
      </c>
      <c r="X6890" s="2">
        <f ca="1"/>
        <v>41.209810690671482</v>
      </c>
      <c r="AG6890" s="2">
        <f ca="1"/>
        <v>0.16324020264213246</v>
      </c>
      <c r="AH6890" s="2" t="str">
        <f ca="1"/>
        <v>OK</v>
      </c>
    </row>
    <row r="6891" spans="2:34" x14ac:dyDescent="0.2">
      <c r="B6891" s="2">
        <f ca="1"/>
        <v>2.0908563116070589E-2</v>
      </c>
      <c r="O6891" s="2">
        <f ca="1"/>
        <v>0.67011333342356594</v>
      </c>
      <c r="X6891" s="2">
        <f ca="1"/>
        <v>28.638549568236332</v>
      </c>
      <c r="AG6891" s="2">
        <f ca="1"/>
        <v>0.68212977730713309</v>
      </c>
      <c r="AH6891" s="2" t="str">
        <f ca="1"/>
        <v>Bad</v>
      </c>
    </row>
    <row r="6892" spans="2:34" x14ac:dyDescent="0.2">
      <c r="B6892" s="2">
        <f ca="1"/>
        <v>0.98807927798168893</v>
      </c>
      <c r="O6892" s="2">
        <f ca="1"/>
        <v>0.26038493155583586</v>
      </c>
      <c r="X6892" s="2">
        <f ca="1"/>
        <v>60.961415457541364</v>
      </c>
      <c r="AG6892" s="2">
        <f ca="1"/>
        <v>0.25473440352602417</v>
      </c>
      <c r="AH6892" s="2" t="str">
        <f ca="1"/>
        <v>OK</v>
      </c>
    </row>
    <row r="6893" spans="2:34" x14ac:dyDescent="0.2">
      <c r="B6893" s="2">
        <f ca="1"/>
        <v>0.24479741324552107</v>
      </c>
      <c r="O6893" s="2">
        <f ca="1"/>
        <v>-0.47578466080276516</v>
      </c>
      <c r="X6893" s="2">
        <f ca="1"/>
        <v>50.825967665179832</v>
      </c>
      <c r="AG6893" s="2">
        <f ca="1"/>
        <v>0.94021544907485444</v>
      </c>
      <c r="AH6893" s="2" t="str">
        <f ca="1"/>
        <v>Bad</v>
      </c>
    </row>
    <row r="6894" spans="2:34" x14ac:dyDescent="0.2">
      <c r="B6894" s="2">
        <f ca="1"/>
        <v>7.9998042956905158E-2</v>
      </c>
      <c r="O6894" s="2">
        <f ca="1"/>
        <v>1.5709100008949348E-2</v>
      </c>
      <c r="X6894" s="2">
        <f ca="1"/>
        <v>59.258552550212151</v>
      </c>
      <c r="AG6894" s="2">
        <f ca="1"/>
        <v>0.65929683926120597</v>
      </c>
      <c r="AH6894" s="2" t="str">
        <f ca="1"/>
        <v>Bad</v>
      </c>
    </row>
    <row r="6895" spans="2:34" x14ac:dyDescent="0.2">
      <c r="B6895" s="2">
        <f ca="1"/>
        <v>0.91727030167439838</v>
      </c>
      <c r="O6895" s="2">
        <f ca="1"/>
        <v>-1.1861683401158323</v>
      </c>
      <c r="X6895" s="2">
        <f ca="1"/>
        <v>53.047562178186666</v>
      </c>
      <c r="AG6895" s="2">
        <f ca="1"/>
        <v>0.79463120079090377</v>
      </c>
      <c r="AH6895" s="2" t="str">
        <f ca="1"/>
        <v>Bad</v>
      </c>
    </row>
    <row r="6896" spans="2:34" x14ac:dyDescent="0.2">
      <c r="B6896" s="2">
        <f ca="1"/>
        <v>0.61273974507022499</v>
      </c>
      <c r="O6896" s="2">
        <f ca="1"/>
        <v>-1.4843666311511283</v>
      </c>
      <c r="X6896" s="2">
        <f ca="1"/>
        <v>41.187231023270307</v>
      </c>
      <c r="AG6896" s="2">
        <f ca="1"/>
        <v>5.474537198347118E-3</v>
      </c>
      <c r="AH6896" s="2" t="str">
        <f ca="1"/>
        <v>Good</v>
      </c>
    </row>
    <row r="6897" spans="2:34" x14ac:dyDescent="0.2">
      <c r="B6897" s="2">
        <f ca="1"/>
        <v>0.40339840649104963</v>
      </c>
      <c r="O6897" s="2">
        <f ca="1"/>
        <v>0.32412443805985597</v>
      </c>
      <c r="X6897" s="2">
        <f ca="1"/>
        <v>42.860299898713031</v>
      </c>
      <c r="AG6897" s="2">
        <f ca="1"/>
        <v>0.75108754160132363</v>
      </c>
      <c r="AH6897" s="2" t="str">
        <f ca="1"/>
        <v>Bad</v>
      </c>
    </row>
    <row r="6898" spans="2:34" x14ac:dyDescent="0.2">
      <c r="B6898" s="2">
        <f ca="1"/>
        <v>0.2139234219766879</v>
      </c>
      <c r="O6898" s="2">
        <f ca="1"/>
        <v>-0.29664458126389764</v>
      </c>
      <c r="X6898" s="2">
        <f ca="1"/>
        <v>21.498559767663004</v>
      </c>
      <c r="AG6898" s="2">
        <f ca="1"/>
        <v>0.85054182824667879</v>
      </c>
      <c r="AH6898" s="2" t="str">
        <f ca="1"/>
        <v>Bad</v>
      </c>
    </row>
    <row r="6899" spans="2:34" x14ac:dyDescent="0.2">
      <c r="B6899" s="2">
        <f ca="1"/>
        <v>0.9873351355971498</v>
      </c>
      <c r="O6899" s="2">
        <f ca="1"/>
        <v>0.22613981822051604</v>
      </c>
      <c r="X6899" s="2">
        <f ca="1"/>
        <v>46.02705568052518</v>
      </c>
      <c r="AG6899" s="2">
        <f ca="1"/>
        <v>0.49175517295693072</v>
      </c>
      <c r="AH6899" s="2" t="str">
        <f ca="1"/>
        <v>Bad</v>
      </c>
    </row>
    <row r="6900" spans="2:34" x14ac:dyDescent="0.2">
      <c r="B6900" s="2">
        <f ca="1"/>
        <v>0.71833067493905212</v>
      </c>
      <c r="O6900" s="2">
        <f ca="1"/>
        <v>1.5700969271134868</v>
      </c>
      <c r="X6900" s="2">
        <f ca="1"/>
        <v>37.185330965432037</v>
      </c>
      <c r="AG6900" s="2">
        <f ca="1"/>
        <v>0.42148008425733918</v>
      </c>
      <c r="AH6900" s="2" t="str">
        <f ca="1"/>
        <v>Bad</v>
      </c>
    </row>
    <row r="6901" spans="2:34" x14ac:dyDescent="0.2">
      <c r="B6901" s="2">
        <f ca="1"/>
        <v>0.98776755176889885</v>
      </c>
      <c r="O6901" s="2">
        <f ca="1"/>
        <v>-1.4931504987592126</v>
      </c>
      <c r="X6901" s="2">
        <f ca="1"/>
        <v>64.903188283629035</v>
      </c>
      <c r="AG6901" s="2">
        <f ca="1"/>
        <v>0.25053998994824234</v>
      </c>
      <c r="AH6901" s="2" t="str">
        <f ca="1"/>
        <v>OK</v>
      </c>
    </row>
    <row r="6902" spans="2:34" x14ac:dyDescent="0.2">
      <c r="B6902" s="2">
        <f ca="1"/>
        <v>0.87148644222813876</v>
      </c>
      <c r="O6902" s="2">
        <f ca="1"/>
        <v>-0.26902581204063042</v>
      </c>
      <c r="X6902" s="2">
        <f ca="1"/>
        <v>35.497433106556485</v>
      </c>
      <c r="AG6902" s="2">
        <f ca="1"/>
        <v>1.9133017103172945E-2</v>
      </c>
      <c r="AH6902" s="2" t="str">
        <f ca="1"/>
        <v>Good</v>
      </c>
    </row>
    <row r="6903" spans="2:34" x14ac:dyDescent="0.2">
      <c r="B6903" s="2">
        <f ca="1"/>
        <v>0.7088081549083991</v>
      </c>
      <c r="O6903" s="2">
        <f ca="1"/>
        <v>0.47650456794358831</v>
      </c>
      <c r="X6903" s="2">
        <f ca="1"/>
        <v>50.79330615653798</v>
      </c>
      <c r="AG6903" s="2">
        <f ca="1"/>
        <v>0.10987116804003882</v>
      </c>
      <c r="AH6903" s="2" t="str">
        <f ca="1"/>
        <v>OK</v>
      </c>
    </row>
    <row r="6904" spans="2:34" x14ac:dyDescent="0.2">
      <c r="B6904" s="2">
        <f ca="1"/>
        <v>0.63035069932371979</v>
      </c>
      <c r="O6904" s="2">
        <f ca="1"/>
        <v>-1.5970070376443386</v>
      </c>
      <c r="X6904" s="2">
        <f ca="1"/>
        <v>57.409154037687969</v>
      </c>
      <c r="AG6904" s="2">
        <f ca="1"/>
        <v>0.46192286492196177</v>
      </c>
      <c r="AH6904" s="2" t="str">
        <f ca="1"/>
        <v>Bad</v>
      </c>
    </row>
    <row r="6905" spans="2:34" x14ac:dyDescent="0.2">
      <c r="B6905" s="2">
        <f ca="1"/>
        <v>5.222809207234369E-2</v>
      </c>
      <c r="O6905" s="2">
        <f ca="1"/>
        <v>0.22069000279395184</v>
      </c>
      <c r="X6905" s="2">
        <f ca="1"/>
        <v>60.705446257943478</v>
      </c>
      <c r="AG6905" s="2">
        <f ca="1"/>
        <v>0.70266016871980996</v>
      </c>
      <c r="AH6905" s="2" t="str">
        <f ca="1"/>
        <v>Bad</v>
      </c>
    </row>
    <row r="6906" spans="2:34" x14ac:dyDescent="0.2">
      <c r="B6906" s="2">
        <f ca="1"/>
        <v>0.26902710719598999</v>
      </c>
      <c r="O6906" s="2">
        <f ca="1"/>
        <v>-1.5851124420118321</v>
      </c>
      <c r="X6906" s="2">
        <f ca="1"/>
        <v>43.278898126157699</v>
      </c>
      <c r="AG6906" s="2">
        <f ca="1"/>
        <v>0.39680742644275302</v>
      </c>
      <c r="AH6906" s="2" t="str">
        <f ca="1"/>
        <v>OK</v>
      </c>
    </row>
    <row r="6907" spans="2:34" x14ac:dyDescent="0.2">
      <c r="B6907" s="2">
        <f ca="1"/>
        <v>0.11703545491948386</v>
      </c>
      <c r="O6907" s="2">
        <f ca="1"/>
        <v>-1.027593875437987</v>
      </c>
      <c r="X6907" s="2">
        <f ca="1"/>
        <v>32.721405990522818</v>
      </c>
      <c r="AG6907" s="2">
        <f ca="1"/>
        <v>0.34337048604750375</v>
      </c>
      <c r="AH6907" s="2" t="str">
        <f ca="1"/>
        <v>OK</v>
      </c>
    </row>
    <row r="6908" spans="2:34" x14ac:dyDescent="0.2">
      <c r="B6908" s="2">
        <f ca="1"/>
        <v>0.41592989453623219</v>
      </c>
      <c r="O6908" s="2">
        <f ca="1"/>
        <v>1.5897330787945245</v>
      </c>
      <c r="X6908" s="2">
        <f ca="1"/>
        <v>57.758379363233239</v>
      </c>
      <c r="AG6908" s="2">
        <f ca="1"/>
        <v>0.55530990027197658</v>
      </c>
      <c r="AH6908" s="2" t="str">
        <f ca="1"/>
        <v>Bad</v>
      </c>
    </row>
    <row r="6909" spans="2:34" x14ac:dyDescent="0.2">
      <c r="B6909" s="2">
        <f ca="1"/>
        <v>0.10263229308061872</v>
      </c>
      <c r="O6909" s="2">
        <f ca="1"/>
        <v>-0.64576241325436357</v>
      </c>
      <c r="X6909" s="2">
        <f ca="1"/>
        <v>63.144126383943878</v>
      </c>
      <c r="AG6909" s="2">
        <f ca="1"/>
        <v>0.31665816485736875</v>
      </c>
      <c r="AH6909" s="2" t="str">
        <f ca="1"/>
        <v>OK</v>
      </c>
    </row>
    <row r="6910" spans="2:34" x14ac:dyDescent="0.2">
      <c r="B6910" s="2">
        <f ca="1"/>
        <v>0.49137054734539198</v>
      </c>
      <c r="O6910" s="2">
        <f ca="1"/>
        <v>1.0593532949820095</v>
      </c>
      <c r="X6910" s="2">
        <f ca="1"/>
        <v>60.369628212926301</v>
      </c>
      <c r="AG6910" s="2">
        <f ca="1"/>
        <v>0.9905898097511403</v>
      </c>
      <c r="AH6910" s="2" t="str">
        <f ca="1"/>
        <v>Bad</v>
      </c>
    </row>
    <row r="6911" spans="2:34" x14ac:dyDescent="0.2">
      <c r="B6911" s="2">
        <f ca="1"/>
        <v>0.12366708383967318</v>
      </c>
      <c r="O6911" s="2">
        <f ca="1"/>
        <v>-0.41712036550251941</v>
      </c>
      <c r="X6911" s="2">
        <f ca="1"/>
        <v>50.23901044316014</v>
      </c>
      <c r="AG6911" s="2">
        <f ca="1"/>
        <v>0.42566720583259432</v>
      </c>
      <c r="AH6911" s="2" t="str">
        <f ca="1"/>
        <v>Bad</v>
      </c>
    </row>
    <row r="6912" spans="2:34" x14ac:dyDescent="0.2">
      <c r="B6912" s="2">
        <f ca="1"/>
        <v>0.24658577446478946</v>
      </c>
      <c r="O6912" s="2">
        <f ca="1"/>
        <v>-1.1898754856681548</v>
      </c>
      <c r="X6912" s="2">
        <f ca="1"/>
        <v>51.24183986951315</v>
      </c>
      <c r="AG6912" s="2">
        <f ca="1"/>
        <v>0.50251872254941143</v>
      </c>
      <c r="AH6912" s="2" t="str">
        <f ca="1"/>
        <v>Bad</v>
      </c>
    </row>
    <row r="6913" spans="2:34" x14ac:dyDescent="0.2">
      <c r="B6913" s="2">
        <f ca="1"/>
        <v>0.78093483893589122</v>
      </c>
      <c r="O6913" s="2">
        <f ca="1"/>
        <v>-2.2006586654667628</v>
      </c>
      <c r="X6913" s="2">
        <f ca="1"/>
        <v>30.461081801048124</v>
      </c>
      <c r="AG6913" s="2">
        <f ca="1"/>
        <v>0.60240849483144232</v>
      </c>
      <c r="AH6913" s="2" t="str">
        <f ca="1"/>
        <v>Bad</v>
      </c>
    </row>
    <row r="6914" spans="2:34" x14ac:dyDescent="0.2">
      <c r="B6914" s="2">
        <f ca="1"/>
        <v>0.38196105719200113</v>
      </c>
      <c r="O6914" s="2">
        <f ca="1"/>
        <v>-0.44242747049373882</v>
      </c>
      <c r="X6914" s="2">
        <f ca="1"/>
        <v>49.879079920588147</v>
      </c>
      <c r="AG6914" s="2">
        <f ca="1"/>
        <v>0.25761178160427112</v>
      </c>
      <c r="AH6914" s="2" t="str">
        <f ca="1"/>
        <v>OK</v>
      </c>
    </row>
    <row r="6915" spans="2:34" x14ac:dyDescent="0.2">
      <c r="B6915" s="2">
        <f ca="1"/>
        <v>8.2091611537069786E-2</v>
      </c>
      <c r="O6915" s="2">
        <f ca="1"/>
        <v>-0.19941690305732096</v>
      </c>
      <c r="X6915" s="2">
        <f ca="1"/>
        <v>34.337505215559126</v>
      </c>
      <c r="AG6915" s="2">
        <f ca="1"/>
        <v>0.64294784091541191</v>
      </c>
      <c r="AH6915" s="2" t="str">
        <f ca="1"/>
        <v>Bad</v>
      </c>
    </row>
    <row r="6916" spans="2:34" x14ac:dyDescent="0.2">
      <c r="B6916" s="2">
        <f ca="1"/>
        <v>2.9970987295548701E-2</v>
      </c>
      <c r="O6916" s="2">
        <f ca="1"/>
        <v>-0.62790872248066809</v>
      </c>
      <c r="X6916" s="2">
        <f ca="1"/>
        <v>28.273465722948629</v>
      </c>
      <c r="AG6916" s="2">
        <f ca="1"/>
        <v>0.82405073607497736</v>
      </c>
      <c r="AH6916" s="2" t="str">
        <f ca="1"/>
        <v>Bad</v>
      </c>
    </row>
    <row r="6917" spans="2:34" x14ac:dyDescent="0.2">
      <c r="B6917" s="2">
        <f ca="1"/>
        <v>0.4094495693581961</v>
      </c>
      <c r="O6917" s="2">
        <f ca="1"/>
        <v>0.48233699112691281</v>
      </c>
      <c r="X6917" s="2">
        <f ca="1"/>
        <v>74.589751933465777</v>
      </c>
      <c r="AG6917" s="2">
        <f ca="1"/>
        <v>0.21566765326189841</v>
      </c>
      <c r="AH6917" s="2" t="str">
        <f ca="1"/>
        <v>OK</v>
      </c>
    </row>
    <row r="6918" spans="2:34" x14ac:dyDescent="0.2">
      <c r="B6918" s="2">
        <f ca="1"/>
        <v>0.55400159489032719</v>
      </c>
      <c r="O6918" s="2">
        <f ca="1"/>
        <v>0.14428668408058984</v>
      </c>
      <c r="X6918" s="2">
        <f ca="1"/>
        <v>58.765038594193427</v>
      </c>
      <c r="AG6918" s="2">
        <f ca="1"/>
        <v>0.30907308173638048</v>
      </c>
      <c r="AH6918" s="2" t="str">
        <f ca="1"/>
        <v>OK</v>
      </c>
    </row>
    <row r="6919" spans="2:34" x14ac:dyDescent="0.2">
      <c r="B6919" s="2">
        <f ca="1"/>
        <v>0.30481387399685711</v>
      </c>
      <c r="O6919" s="2">
        <f ca="1"/>
        <v>0.58623273247861674</v>
      </c>
      <c r="X6919" s="2">
        <f ca="1"/>
        <v>39.278698501818972</v>
      </c>
      <c r="AG6919" s="2">
        <f ca="1"/>
        <v>0.18943444766262707</v>
      </c>
      <c r="AH6919" s="2" t="str">
        <f ca="1"/>
        <v>OK</v>
      </c>
    </row>
    <row r="6920" spans="2:34" x14ac:dyDescent="0.2">
      <c r="B6920" s="2">
        <f ca="1"/>
        <v>0.63924308833923327</v>
      </c>
      <c r="O6920" s="2">
        <f ca="1"/>
        <v>-0.75060046200009523</v>
      </c>
      <c r="X6920" s="2">
        <f ca="1"/>
        <v>69.883041701865352</v>
      </c>
      <c r="AG6920" s="2">
        <f ca="1"/>
        <v>4.6412930744368808E-2</v>
      </c>
      <c r="AH6920" s="2" t="str">
        <f ca="1"/>
        <v>Good</v>
      </c>
    </row>
    <row r="6921" spans="2:34" x14ac:dyDescent="0.2">
      <c r="B6921" s="2">
        <f ca="1"/>
        <v>0.47041507671997684</v>
      </c>
      <c r="O6921" s="2">
        <f ca="1"/>
        <v>0.99418977683120568</v>
      </c>
      <c r="X6921" s="2">
        <f ca="1"/>
        <v>27.968734665895646</v>
      </c>
      <c r="AG6921" s="2">
        <f ca="1"/>
        <v>0.9730031063248108</v>
      </c>
      <c r="AH6921" s="2" t="str">
        <f ca="1"/>
        <v>Bad</v>
      </c>
    </row>
    <row r="6922" spans="2:34" x14ac:dyDescent="0.2">
      <c r="B6922" s="2">
        <f ca="1"/>
        <v>0.5816877235781035</v>
      </c>
      <c r="O6922" s="2">
        <f ca="1"/>
        <v>1.3365409200713576</v>
      </c>
      <c r="X6922" s="2">
        <f ca="1"/>
        <v>56.073405980861338</v>
      </c>
      <c r="AG6922" s="2">
        <f ca="1"/>
        <v>0.11205315660778603</v>
      </c>
      <c r="AH6922" s="2" t="str">
        <f ca="1"/>
        <v>OK</v>
      </c>
    </row>
    <row r="6923" spans="2:34" x14ac:dyDescent="0.2">
      <c r="B6923" s="2">
        <f ca="1"/>
        <v>0.50628743451928093</v>
      </c>
      <c r="O6923" s="2">
        <f ca="1"/>
        <v>1.474693590122512</v>
      </c>
      <c r="X6923" s="2">
        <f ca="1"/>
        <v>46.28881665221941</v>
      </c>
      <c r="AG6923" s="2">
        <f ca="1"/>
        <v>0.86695577380327093</v>
      </c>
      <c r="AH6923" s="2" t="str">
        <f ca="1"/>
        <v>Bad</v>
      </c>
    </row>
    <row r="6924" spans="2:34" x14ac:dyDescent="0.2">
      <c r="B6924" s="2">
        <f ca="1"/>
        <v>0.32051521138828987</v>
      </c>
      <c r="O6924" s="2">
        <f ca="1"/>
        <v>1.2618550861735298</v>
      </c>
      <c r="X6924" s="2">
        <f ca="1"/>
        <v>40.796653503870431</v>
      </c>
      <c r="AG6924" s="2">
        <f ca="1"/>
        <v>0.8966530154863841</v>
      </c>
      <c r="AH6924" s="2" t="str">
        <f ca="1"/>
        <v>Bad</v>
      </c>
    </row>
    <row r="6925" spans="2:34" x14ac:dyDescent="0.2">
      <c r="B6925" s="2">
        <f ca="1"/>
        <v>0.57191605356947073</v>
      </c>
      <c r="O6925" s="2">
        <f ca="1"/>
        <v>-0.49676517031133161</v>
      </c>
      <c r="X6925" s="2">
        <f ca="1"/>
        <v>37.395625560131201</v>
      </c>
      <c r="AG6925" s="2">
        <f ca="1"/>
        <v>0.91975995227015805</v>
      </c>
      <c r="AH6925" s="2" t="str">
        <f ca="1"/>
        <v>Bad</v>
      </c>
    </row>
    <row r="6926" spans="2:34" x14ac:dyDescent="0.2">
      <c r="B6926" s="2">
        <f ca="1"/>
        <v>0.46807837250483497</v>
      </c>
      <c r="O6926" s="2">
        <f ca="1"/>
        <v>1.4339281274362139</v>
      </c>
      <c r="X6926" s="2">
        <f ca="1"/>
        <v>65.755669141421379</v>
      </c>
      <c r="AG6926" s="2">
        <f ca="1"/>
        <v>0.32361700999724907</v>
      </c>
      <c r="AH6926" s="2" t="str">
        <f ca="1"/>
        <v>OK</v>
      </c>
    </row>
    <row r="6927" spans="2:34" x14ac:dyDescent="0.2">
      <c r="B6927" s="2">
        <f ca="1"/>
        <v>0.1002874822440134</v>
      </c>
      <c r="O6927" s="2">
        <f ca="1"/>
        <v>-1.8143066141391264</v>
      </c>
      <c r="X6927" s="2">
        <f ca="1"/>
        <v>59.947401003534836</v>
      </c>
      <c r="AG6927" s="2">
        <f ca="1"/>
        <v>0.55545711740118908</v>
      </c>
      <c r="AH6927" s="2" t="str">
        <f ca="1"/>
        <v>Bad</v>
      </c>
    </row>
    <row r="6928" spans="2:34" x14ac:dyDescent="0.2">
      <c r="B6928" s="2">
        <f ca="1"/>
        <v>0.63906745456705938</v>
      </c>
      <c r="O6928" s="2">
        <f ca="1"/>
        <v>1.1830322393754145</v>
      </c>
      <c r="X6928" s="2">
        <f ca="1"/>
        <v>50.969430952901391</v>
      </c>
      <c r="AG6928" s="2">
        <f ca="1"/>
        <v>0.95152700463952411</v>
      </c>
      <c r="AH6928" s="2" t="str">
        <f ca="1"/>
        <v>Bad</v>
      </c>
    </row>
    <row r="6929" spans="2:34" x14ac:dyDescent="0.2">
      <c r="B6929" s="2">
        <f ca="1"/>
        <v>0.58887531652940095</v>
      </c>
      <c r="O6929" s="2">
        <f ca="1"/>
        <v>1.5281025268359956</v>
      </c>
      <c r="X6929" s="2">
        <f ca="1"/>
        <v>39.626770077274152</v>
      </c>
      <c r="AG6929" s="2">
        <f ca="1"/>
        <v>3.5038990357105115E-2</v>
      </c>
      <c r="AH6929" s="2" t="str">
        <f ca="1"/>
        <v>Good</v>
      </c>
    </row>
    <row r="6930" spans="2:34" x14ac:dyDescent="0.2">
      <c r="B6930" s="2">
        <f ca="1"/>
        <v>0.31799220644847126</v>
      </c>
      <c r="O6930" s="2">
        <f ca="1"/>
        <v>-2.3944544720407981</v>
      </c>
      <c r="X6930" s="2">
        <f ca="1"/>
        <v>54.583560048385714</v>
      </c>
      <c r="AG6930" s="2">
        <f ca="1"/>
        <v>0.30253282222664923</v>
      </c>
      <c r="AH6930" s="2" t="str">
        <f ca="1"/>
        <v>OK</v>
      </c>
    </row>
    <row r="6931" spans="2:34" x14ac:dyDescent="0.2">
      <c r="B6931" s="2">
        <f ca="1"/>
        <v>0.11727647698151267</v>
      </c>
      <c r="O6931" s="2">
        <f ca="1"/>
        <v>-1.0510158239470835</v>
      </c>
      <c r="X6931" s="2">
        <f ca="1"/>
        <v>41.016495993511811</v>
      </c>
      <c r="AG6931" s="2">
        <f ca="1"/>
        <v>0.62527295556948537</v>
      </c>
      <c r="AH6931" s="2" t="str">
        <f ca="1"/>
        <v>Bad</v>
      </c>
    </row>
    <row r="6932" spans="2:34" x14ac:dyDescent="0.2">
      <c r="B6932" s="2">
        <f ca="1"/>
        <v>0.53205854842723843</v>
      </c>
      <c r="O6932" s="2">
        <f ca="1"/>
        <v>0.4535975903726398</v>
      </c>
      <c r="X6932" s="2">
        <f ca="1"/>
        <v>50.677489577103493</v>
      </c>
      <c r="AG6932" s="2">
        <f ca="1"/>
        <v>0.25892021308777569</v>
      </c>
      <c r="AH6932" s="2" t="str">
        <f ca="1"/>
        <v>OK</v>
      </c>
    </row>
    <row r="6933" spans="2:34" x14ac:dyDescent="0.2">
      <c r="B6933" s="2">
        <f ca="1"/>
        <v>0.63902396362509695</v>
      </c>
      <c r="O6933" s="2">
        <f ca="1"/>
        <v>-1.8256777116949958</v>
      </c>
      <c r="X6933" s="2">
        <f ca="1"/>
        <v>21.86898189160603</v>
      </c>
      <c r="AG6933" s="2">
        <f ca="1"/>
        <v>0.64572596902364698</v>
      </c>
      <c r="AH6933" s="2" t="str">
        <f ca="1"/>
        <v>Bad</v>
      </c>
    </row>
    <row r="6934" spans="2:34" x14ac:dyDescent="0.2">
      <c r="B6934" s="2">
        <f ca="1"/>
        <v>0.32571038628215865</v>
      </c>
      <c r="O6934" s="2">
        <f ca="1"/>
        <v>-1.3668233326211088</v>
      </c>
      <c r="X6934" s="2">
        <f ca="1"/>
        <v>65.616236255850168</v>
      </c>
      <c r="AG6934" s="2">
        <f ca="1"/>
        <v>0.32098729380479241</v>
      </c>
      <c r="AH6934" s="2" t="str">
        <f ca="1"/>
        <v>OK</v>
      </c>
    </row>
    <row r="6935" spans="2:34" x14ac:dyDescent="0.2">
      <c r="B6935" s="2">
        <f ca="1"/>
        <v>0.70083133804783859</v>
      </c>
      <c r="O6935" s="2">
        <f ca="1"/>
        <v>0.64240426710158893</v>
      </c>
      <c r="X6935" s="2">
        <f ca="1"/>
        <v>83.824638376836589</v>
      </c>
      <c r="AG6935" s="2">
        <f ca="1"/>
        <v>0.83967293251666697</v>
      </c>
      <c r="AH6935" s="2" t="str">
        <f ca="1"/>
        <v>Bad</v>
      </c>
    </row>
    <row r="6936" spans="2:34" x14ac:dyDescent="0.2">
      <c r="B6936" s="2">
        <f ca="1"/>
        <v>0.37050636388826996</v>
      </c>
      <c r="O6936" s="2">
        <f ca="1"/>
        <v>0.64248707368706159</v>
      </c>
      <c r="X6936" s="2">
        <f ca="1"/>
        <v>59.53535597385936</v>
      </c>
      <c r="AG6936" s="2">
        <f ca="1"/>
        <v>0.81467046680651589</v>
      </c>
      <c r="AH6936" s="2" t="str">
        <f ca="1"/>
        <v>Bad</v>
      </c>
    </row>
    <row r="6937" spans="2:34" x14ac:dyDescent="0.2">
      <c r="B6937" s="2">
        <f ca="1"/>
        <v>0.47259360427501895</v>
      </c>
      <c r="O6937" s="2">
        <f ca="1"/>
        <v>1.1734620878553024</v>
      </c>
      <c r="X6937" s="2">
        <f ca="1"/>
        <v>41.915497407385644</v>
      </c>
      <c r="AG6937" s="2">
        <f ca="1"/>
        <v>0.14289650428395584</v>
      </c>
      <c r="AH6937" s="2" t="str">
        <f ca="1"/>
        <v>OK</v>
      </c>
    </row>
    <row r="6938" spans="2:34" x14ac:dyDescent="0.2">
      <c r="B6938" s="2">
        <f ca="1"/>
        <v>0.6836640565660117</v>
      </c>
      <c r="O6938" s="2">
        <f ca="1"/>
        <v>0.38347662099544477</v>
      </c>
      <c r="X6938" s="2">
        <f ca="1"/>
        <v>42.274564967519936</v>
      </c>
      <c r="AG6938" s="2">
        <f ca="1"/>
        <v>0.98433321824478037</v>
      </c>
      <c r="AH6938" s="2" t="str">
        <f ca="1"/>
        <v>Bad</v>
      </c>
    </row>
    <row r="6939" spans="2:34" x14ac:dyDescent="0.2">
      <c r="B6939" s="2">
        <f ca="1"/>
        <v>3.0630994140129264E-2</v>
      </c>
      <c r="O6939" s="2">
        <f ca="1"/>
        <v>-0.4078916957168976</v>
      </c>
      <c r="X6939" s="2">
        <f ca="1"/>
        <v>54.643100010282978</v>
      </c>
      <c r="AG6939" s="2">
        <f ca="1"/>
        <v>0.61267946085628533</v>
      </c>
      <c r="AH6939" s="2" t="str">
        <f ca="1"/>
        <v>Bad</v>
      </c>
    </row>
    <row r="6940" spans="2:34" x14ac:dyDescent="0.2">
      <c r="B6940" s="2">
        <f ca="1"/>
        <v>0.73814286315768562</v>
      </c>
      <c r="O6940" s="2">
        <f ca="1"/>
        <v>0.49975928022231142</v>
      </c>
      <c r="X6940" s="2">
        <f ca="1"/>
        <v>38.775545152907867</v>
      </c>
      <c r="AG6940" s="2">
        <f ca="1"/>
        <v>0.92082854498066302</v>
      </c>
      <c r="AH6940" s="2" t="str">
        <f ca="1"/>
        <v>Bad</v>
      </c>
    </row>
    <row r="6941" spans="2:34" x14ac:dyDescent="0.2">
      <c r="B6941" s="2">
        <f ca="1"/>
        <v>9.4308555261944704E-2</v>
      </c>
      <c r="O6941" s="2">
        <f ca="1"/>
        <v>-0.46230256424208993</v>
      </c>
      <c r="X6941" s="2">
        <f ca="1"/>
        <v>44.825237410830894</v>
      </c>
      <c r="AG6941" s="2">
        <f ca="1"/>
        <v>0.55291334579417128</v>
      </c>
      <c r="AH6941" s="2" t="str">
        <f ca="1"/>
        <v>Bad</v>
      </c>
    </row>
    <row r="6942" spans="2:34" x14ac:dyDescent="0.2">
      <c r="B6942" s="2">
        <f ca="1"/>
        <v>0.26140294598926039</v>
      </c>
      <c r="O6942" s="2">
        <f ca="1"/>
        <v>0.43411744677477976</v>
      </c>
      <c r="X6942" s="2">
        <f ca="1"/>
        <v>84.570133536453227</v>
      </c>
      <c r="AG6942" s="2">
        <f ca="1"/>
        <v>0.44686695384710662</v>
      </c>
      <c r="AH6942" s="2" t="str">
        <f ca="1"/>
        <v>Bad</v>
      </c>
    </row>
    <row r="6943" spans="2:34" x14ac:dyDescent="0.2">
      <c r="B6943" s="2">
        <f ca="1"/>
        <v>0.21219862351999597</v>
      </c>
      <c r="O6943" s="2">
        <f ca="1"/>
        <v>-0.61984181948240868</v>
      </c>
      <c r="X6943" s="2">
        <f ca="1"/>
        <v>60.148359639291527</v>
      </c>
      <c r="AG6943" s="2">
        <f ca="1"/>
        <v>0.87565282602246053</v>
      </c>
      <c r="AH6943" s="2" t="str">
        <f ca="1"/>
        <v>Bad</v>
      </c>
    </row>
    <row r="6944" spans="2:34" x14ac:dyDescent="0.2">
      <c r="B6944" s="2">
        <f ca="1"/>
        <v>0.80149580149367372</v>
      </c>
      <c r="O6944" s="2">
        <f ca="1"/>
        <v>-3.0543350960747905E-2</v>
      </c>
      <c r="X6944" s="2">
        <f ca="1"/>
        <v>39.856127798570498</v>
      </c>
      <c r="AG6944" s="2">
        <f ca="1"/>
        <v>0.67050238609272261</v>
      </c>
      <c r="AH6944" s="2" t="str">
        <f ca="1"/>
        <v>Bad</v>
      </c>
    </row>
    <row r="6945" spans="2:34" x14ac:dyDescent="0.2">
      <c r="B6945" s="2">
        <f ca="1"/>
        <v>0.32247939783492363</v>
      </c>
      <c r="O6945" s="2">
        <f ca="1"/>
        <v>-0.30269018684578908</v>
      </c>
      <c r="X6945" s="2">
        <f ca="1"/>
        <v>39.940818471194113</v>
      </c>
      <c r="AG6945" s="2">
        <f ca="1"/>
        <v>0.79192966540373866</v>
      </c>
      <c r="AH6945" s="2" t="str">
        <f ca="1"/>
        <v>Bad</v>
      </c>
    </row>
    <row r="6946" spans="2:34" x14ac:dyDescent="0.2">
      <c r="B6946" s="2">
        <f ca="1"/>
        <v>0.66455580903912259</v>
      </c>
      <c r="O6946" s="2">
        <f ca="1"/>
        <v>1.9176222767829596</v>
      </c>
      <c r="X6946" s="2">
        <f ca="1"/>
        <v>40.716295112449323</v>
      </c>
      <c r="AG6946" s="2">
        <f ca="1"/>
        <v>0.69128171034224217</v>
      </c>
      <c r="AH6946" s="2" t="str">
        <f ca="1"/>
        <v>Bad</v>
      </c>
    </row>
    <row r="6947" spans="2:34" x14ac:dyDescent="0.2">
      <c r="B6947" s="2">
        <f ca="1"/>
        <v>0.92244334387138638</v>
      </c>
      <c r="O6947" s="2">
        <f ca="1"/>
        <v>2.3520586350575101</v>
      </c>
      <c r="X6947" s="2">
        <f ca="1"/>
        <v>57.710222349335595</v>
      </c>
      <c r="AG6947" s="2">
        <f ca="1"/>
        <v>0.49755253203218186</v>
      </c>
      <c r="AH6947" s="2" t="str">
        <f ca="1"/>
        <v>Bad</v>
      </c>
    </row>
    <row r="6948" spans="2:34" x14ac:dyDescent="0.2">
      <c r="B6948" s="2">
        <f ca="1"/>
        <v>0.75053375681873424</v>
      </c>
      <c r="O6948" s="2">
        <f ca="1"/>
        <v>-0.45927700050892578</v>
      </c>
      <c r="X6948" s="2">
        <f ca="1"/>
        <v>103.47051457023291</v>
      </c>
      <c r="AG6948" s="2">
        <f ca="1"/>
        <v>0.55264874299524802</v>
      </c>
      <c r="AH6948" s="2" t="str">
        <f ca="1"/>
        <v>Bad</v>
      </c>
    </row>
    <row r="6949" spans="2:34" x14ac:dyDescent="0.2">
      <c r="B6949" s="2">
        <f ca="1"/>
        <v>0.18947240739932436</v>
      </c>
      <c r="O6949" s="2">
        <f ca="1"/>
        <v>-1.7886034515395319</v>
      </c>
      <c r="X6949" s="2">
        <f ca="1"/>
        <v>38.837254125974091</v>
      </c>
      <c r="AG6949" s="2">
        <f ca="1"/>
        <v>0.92143217922651366</v>
      </c>
      <c r="AH6949" s="2" t="str">
        <f ca="1"/>
        <v>Bad</v>
      </c>
    </row>
    <row r="6950" spans="2:34" x14ac:dyDescent="0.2">
      <c r="B6950" s="2">
        <f ca="1"/>
        <v>0.88523419889753696</v>
      </c>
      <c r="O6950" s="2">
        <f ca="1"/>
        <v>-0.97076224970616576</v>
      </c>
      <c r="X6950" s="2">
        <f ca="1"/>
        <v>36.481616646667604</v>
      </c>
      <c r="AG6950" s="2">
        <f ca="1"/>
        <v>0.18480368342567077</v>
      </c>
      <c r="AH6950" s="2" t="str">
        <f ca="1"/>
        <v>OK</v>
      </c>
    </row>
    <row r="6951" spans="2:34" x14ac:dyDescent="0.2">
      <c r="B6951" s="2">
        <f ca="1"/>
        <v>0.11108723702636802</v>
      </c>
      <c r="O6951" s="2">
        <f ca="1"/>
        <v>1.3163317433731911</v>
      </c>
      <c r="X6951" s="2">
        <f ca="1"/>
        <v>48.954072299332807</v>
      </c>
      <c r="AG6951" s="2">
        <f ca="1"/>
        <v>0.84383340948946084</v>
      </c>
      <c r="AH6951" s="2" t="str">
        <f ca="1"/>
        <v>Bad</v>
      </c>
    </row>
    <row r="6952" spans="2:34" x14ac:dyDescent="0.2">
      <c r="B6952" s="2">
        <f ca="1"/>
        <v>0.3929632882753773</v>
      </c>
      <c r="O6952" s="2">
        <f ca="1"/>
        <v>-1.8456097370060596</v>
      </c>
      <c r="X6952" s="2">
        <f ca="1"/>
        <v>33.808872056407054</v>
      </c>
      <c r="AG6952" s="2">
        <f ca="1"/>
        <v>0.3498464357353126</v>
      </c>
      <c r="AH6952" s="2" t="str">
        <f ca="1"/>
        <v>OK</v>
      </c>
    </row>
    <row r="6953" spans="2:34" x14ac:dyDescent="0.2">
      <c r="B6953" s="2">
        <f ca="1"/>
        <v>0.81419265772368532</v>
      </c>
      <c r="O6953" s="2">
        <f ca="1"/>
        <v>-1.555337824833493</v>
      </c>
      <c r="X6953" s="2">
        <f ca="1"/>
        <v>84.94128549536083</v>
      </c>
      <c r="AG6953" s="2">
        <f ca="1"/>
        <v>0.59556203856360601</v>
      </c>
      <c r="AH6953" s="2" t="str">
        <f ca="1"/>
        <v>Bad</v>
      </c>
    </row>
    <row r="6954" spans="2:34" x14ac:dyDescent="0.2">
      <c r="B6954" s="2">
        <f ca="1"/>
        <v>0.76988000028048131</v>
      </c>
      <c r="O6954" s="2">
        <f ca="1"/>
        <v>0.84625490070905984</v>
      </c>
      <c r="X6954" s="2">
        <f ca="1"/>
        <v>43.151830242437825</v>
      </c>
      <c r="AG6954" s="2">
        <f ca="1"/>
        <v>0.23788509850977957</v>
      </c>
      <c r="AH6954" s="2" t="str">
        <f ca="1"/>
        <v>OK</v>
      </c>
    </row>
    <row r="6955" spans="2:34" x14ac:dyDescent="0.2">
      <c r="B6955" s="2">
        <f ca="1"/>
        <v>0.81482825582724838</v>
      </c>
      <c r="O6955" s="2">
        <f ca="1"/>
        <v>-1.7119002614095031</v>
      </c>
      <c r="X6955" s="2">
        <f ca="1"/>
        <v>50.476244049676744</v>
      </c>
      <c r="AG6955" s="2">
        <f ca="1"/>
        <v>0.98103389316373635</v>
      </c>
      <c r="AH6955" s="2" t="str">
        <f ca="1"/>
        <v>Bad</v>
      </c>
    </row>
    <row r="6956" spans="2:34" x14ac:dyDescent="0.2">
      <c r="B6956" s="2">
        <f ca="1"/>
        <v>0.993587032437516</v>
      </c>
      <c r="O6956" s="2">
        <f ca="1"/>
        <v>0.89292074180304004</v>
      </c>
      <c r="X6956" s="2">
        <f ca="1"/>
        <v>46.266713905489183</v>
      </c>
      <c r="AG6956" s="2">
        <f ca="1"/>
        <v>0.35589829969523379</v>
      </c>
      <c r="AH6956" s="2" t="str">
        <f ca="1"/>
        <v>OK</v>
      </c>
    </row>
    <row r="6957" spans="2:34" x14ac:dyDescent="0.2">
      <c r="B6957" s="2">
        <f ca="1"/>
        <v>0.86179346311883043</v>
      </c>
      <c r="O6957" s="2">
        <f ca="1"/>
        <v>-0.96272437491536911</v>
      </c>
      <c r="X6957" s="2">
        <f ca="1"/>
        <v>77.968676047112183</v>
      </c>
      <c r="AG6957" s="2">
        <f ca="1"/>
        <v>0.90619864480071843</v>
      </c>
      <c r="AH6957" s="2" t="str">
        <f ca="1"/>
        <v>Bad</v>
      </c>
    </row>
    <row r="6958" spans="2:34" x14ac:dyDescent="0.2">
      <c r="B6958" s="2">
        <f ca="1"/>
        <v>0.93284525912842065</v>
      </c>
      <c r="O6958" s="2">
        <f ca="1"/>
        <v>-1.3716537068771353</v>
      </c>
      <c r="X6958" s="2">
        <f ca="1"/>
        <v>60.906602184772368</v>
      </c>
      <c r="AG6958" s="2">
        <f ca="1"/>
        <v>0.60014224173804886</v>
      </c>
      <c r="AH6958" s="2" t="str">
        <f ca="1"/>
        <v>Bad</v>
      </c>
    </row>
    <row r="6959" spans="2:34" x14ac:dyDescent="0.2">
      <c r="B6959" s="2">
        <f ca="1"/>
        <v>0.67181931174022402</v>
      </c>
      <c r="O6959" s="2">
        <f ca="1"/>
        <v>-0.37658763993725519</v>
      </c>
      <c r="X6959" s="2">
        <f ca="1"/>
        <v>58.987850058418026</v>
      </c>
      <c r="AG6959" s="2">
        <f ca="1"/>
        <v>0.27496349921277541</v>
      </c>
      <c r="AH6959" s="2" t="str">
        <f ca="1"/>
        <v>OK</v>
      </c>
    </row>
    <row r="6960" spans="2:34" x14ac:dyDescent="0.2">
      <c r="B6960" s="2">
        <f ca="1"/>
        <v>0.79684271049469335</v>
      </c>
      <c r="O6960" s="2">
        <f ca="1"/>
        <v>1.9570217481310419</v>
      </c>
      <c r="X6960" s="2">
        <f ca="1"/>
        <v>48.36080488010321</v>
      </c>
      <c r="AG6960" s="2">
        <f ca="1"/>
        <v>0.81012738625817771</v>
      </c>
      <c r="AH6960" s="2" t="str">
        <f ca="1"/>
        <v>Bad</v>
      </c>
    </row>
    <row r="6961" spans="2:34" x14ac:dyDescent="0.2">
      <c r="B6961" s="2">
        <f ca="1"/>
        <v>0.71132309495487189</v>
      </c>
      <c r="O6961" s="2">
        <f ca="1"/>
        <v>0.58646153388893862</v>
      </c>
      <c r="X6961" s="2">
        <f ca="1"/>
        <v>49.155383168888029</v>
      </c>
      <c r="AG6961" s="2">
        <f ca="1"/>
        <v>0.37643912948310421</v>
      </c>
      <c r="AH6961" s="2" t="str">
        <f ca="1"/>
        <v>OK</v>
      </c>
    </row>
    <row r="6962" spans="2:34" x14ac:dyDescent="0.2">
      <c r="B6962" s="2">
        <f ca="1"/>
        <v>0.93551282185509232</v>
      </c>
      <c r="O6962" s="2">
        <f ca="1"/>
        <v>0.66016600160335115</v>
      </c>
      <c r="X6962" s="2">
        <f ca="1"/>
        <v>57.848106813781364</v>
      </c>
      <c r="AG6962" s="2">
        <f ca="1"/>
        <v>0.70317293822986549</v>
      </c>
      <c r="AH6962" s="2" t="str">
        <f ca="1"/>
        <v>Bad</v>
      </c>
    </row>
    <row r="6963" spans="2:34" x14ac:dyDescent="0.2">
      <c r="B6963" s="2">
        <f ca="1"/>
        <v>0.73020706746401731</v>
      </c>
      <c r="O6963" s="2">
        <f ca="1"/>
        <v>0.75123958037560201</v>
      </c>
      <c r="X6963" s="2">
        <f ca="1"/>
        <v>69.443154848779358</v>
      </c>
      <c r="AG6963" s="2">
        <f ca="1"/>
        <v>0.13591340354802739</v>
      </c>
      <c r="AH6963" s="2" t="str">
        <f ca="1"/>
        <v>OK</v>
      </c>
    </row>
    <row r="6964" spans="2:34" x14ac:dyDescent="0.2">
      <c r="B6964" s="2">
        <f ca="1"/>
        <v>0.70372259753025568</v>
      </c>
      <c r="O6964" s="2">
        <f ca="1"/>
        <v>-0.22425185707325351</v>
      </c>
      <c r="X6964" s="2">
        <f ca="1"/>
        <v>56.355472200948583</v>
      </c>
      <c r="AG6964" s="2">
        <f ca="1"/>
        <v>0.7757470786110281</v>
      </c>
      <c r="AH6964" s="2" t="str">
        <f ca="1"/>
        <v>Bad</v>
      </c>
    </row>
    <row r="6965" spans="2:34" x14ac:dyDescent="0.2">
      <c r="B6965" s="2">
        <f ca="1"/>
        <v>0.10921272845642016</v>
      </c>
      <c r="O6965" s="2">
        <f ca="1"/>
        <v>0.19092652327301576</v>
      </c>
      <c r="X6965" s="2">
        <f ca="1"/>
        <v>68.03843917040021</v>
      </c>
      <c r="AG6965" s="2">
        <f ca="1"/>
        <v>0.2110766226226819</v>
      </c>
      <c r="AH6965" s="2" t="str">
        <f ca="1"/>
        <v>OK</v>
      </c>
    </row>
    <row r="6966" spans="2:34" x14ac:dyDescent="0.2">
      <c r="B6966" s="2">
        <f ca="1"/>
        <v>0.33803566390298734</v>
      </c>
      <c r="O6966" s="2">
        <f ca="1"/>
        <v>0.22370805331399132</v>
      </c>
      <c r="X6966" s="2">
        <f ca="1"/>
        <v>56.912444698839408</v>
      </c>
      <c r="AG6966" s="2">
        <f ca="1"/>
        <v>0.25725208296377811</v>
      </c>
      <c r="AH6966" s="2" t="str">
        <f ca="1"/>
        <v>OK</v>
      </c>
    </row>
    <row r="6967" spans="2:34" x14ac:dyDescent="0.2">
      <c r="B6967" s="2">
        <f ca="1"/>
        <v>0.76513035622272496</v>
      </c>
      <c r="O6967" s="2">
        <f ca="1"/>
        <v>0.93896058829677909</v>
      </c>
      <c r="X6967" s="2">
        <f ca="1"/>
        <v>53.00443090857064</v>
      </c>
      <c r="AG6967" s="2">
        <f ca="1"/>
        <v>0.42649729928648372</v>
      </c>
      <c r="AH6967" s="2" t="str">
        <f ca="1"/>
        <v>Bad</v>
      </c>
    </row>
    <row r="6968" spans="2:34" x14ac:dyDescent="0.2">
      <c r="B6968" s="2">
        <f ca="1"/>
        <v>0.6317318112631205</v>
      </c>
      <c r="O6968" s="2">
        <f ca="1"/>
        <v>-1.5227710726555861</v>
      </c>
      <c r="X6968" s="2">
        <f ca="1"/>
        <v>80.696855548831905</v>
      </c>
      <c r="AG6968" s="2">
        <f ca="1"/>
        <v>0.59195235062037543</v>
      </c>
      <c r="AH6968" s="2" t="str">
        <f ca="1"/>
        <v>Bad</v>
      </c>
    </row>
    <row r="6969" spans="2:34" x14ac:dyDescent="0.2">
      <c r="B6969" s="2">
        <f ca="1"/>
        <v>0.15033869053829996</v>
      </c>
      <c r="O6969" s="2">
        <f ca="1"/>
        <v>-0.7599423171159343</v>
      </c>
      <c r="X6969" s="2">
        <f ca="1"/>
        <v>85.229338348539756</v>
      </c>
      <c r="AG6969" s="2">
        <f ca="1"/>
        <v>0.42303610669836611</v>
      </c>
      <c r="AH6969" s="2" t="str">
        <f ca="1"/>
        <v>Bad</v>
      </c>
    </row>
    <row r="6970" spans="2:34" x14ac:dyDescent="0.2">
      <c r="B6970" s="2">
        <f ca="1"/>
        <v>0.24602019931167307</v>
      </c>
      <c r="O6970" s="2">
        <f ca="1"/>
        <v>-1.9386093959685284</v>
      </c>
      <c r="X6970" s="2">
        <f ca="1"/>
        <v>51.839011911221455</v>
      </c>
      <c r="AG6970" s="2">
        <f ca="1"/>
        <v>0.65819534851310846</v>
      </c>
      <c r="AH6970" s="2" t="str">
        <f ca="1"/>
        <v>Bad</v>
      </c>
    </row>
    <row r="6971" spans="2:34" x14ac:dyDescent="0.2">
      <c r="B6971" s="2">
        <f ca="1"/>
        <v>0.27646360812265458</v>
      </c>
      <c r="O6971" s="2">
        <f ca="1"/>
        <v>1.0937232024345365</v>
      </c>
      <c r="X6971" s="2">
        <f ca="1"/>
        <v>58.072494298869685</v>
      </c>
      <c r="AG6971" s="2">
        <f ca="1"/>
        <v>0.40062542206961571</v>
      </c>
      <c r="AH6971" s="2" t="str">
        <f ca="1"/>
        <v>Bad</v>
      </c>
    </row>
    <row r="6972" spans="2:34" x14ac:dyDescent="0.2">
      <c r="B6972" s="2">
        <f ca="1"/>
        <v>9.6976233457902072E-2</v>
      </c>
      <c r="O6972" s="2">
        <f ca="1"/>
        <v>-0.29679600258428601</v>
      </c>
      <c r="X6972" s="2">
        <f ca="1"/>
        <v>59.412665761618875</v>
      </c>
      <c r="AG6972" s="2">
        <f ca="1"/>
        <v>0.58300167637193856</v>
      </c>
      <c r="AH6972" s="2" t="str">
        <f ca="1"/>
        <v>Bad</v>
      </c>
    </row>
    <row r="6973" spans="2:34" x14ac:dyDescent="0.2">
      <c r="B6973" s="2">
        <f ca="1"/>
        <v>0.27617855310048789</v>
      </c>
      <c r="O6973" s="2">
        <f ca="1"/>
        <v>-6.0968306072514279E-2</v>
      </c>
      <c r="X6973" s="2">
        <f ca="1"/>
        <v>53.509426623007656</v>
      </c>
      <c r="AG6973" s="2">
        <f ca="1"/>
        <v>0.99572116957472123</v>
      </c>
      <c r="AH6973" s="2" t="str">
        <f ca="1"/>
        <v>Bad</v>
      </c>
    </row>
    <row r="6974" spans="2:34" x14ac:dyDescent="0.2">
      <c r="B6974" s="2">
        <f ca="1"/>
        <v>0.27196757494812385</v>
      </c>
      <c r="O6974" s="2">
        <f ca="1"/>
        <v>-0.21568003140111511</v>
      </c>
      <c r="X6974" s="2">
        <f ca="1"/>
        <v>56.217828871114222</v>
      </c>
      <c r="AG6974" s="2">
        <f ca="1"/>
        <v>0.97923271419096158</v>
      </c>
      <c r="AH6974" s="2" t="str">
        <f ca="1"/>
        <v>Bad</v>
      </c>
    </row>
    <row r="6975" spans="2:34" x14ac:dyDescent="0.2">
      <c r="B6975" s="2">
        <f ca="1"/>
        <v>0.4560194667252635</v>
      </c>
      <c r="O6975" s="2">
        <f ca="1"/>
        <v>-4.878354953888419E-2</v>
      </c>
      <c r="X6975" s="2">
        <f ca="1"/>
        <v>42.32649043876318</v>
      </c>
      <c r="AG6975" s="2">
        <f ca="1"/>
        <v>0.46205186502138185</v>
      </c>
      <c r="AH6975" s="2" t="str">
        <f ca="1"/>
        <v>Bad</v>
      </c>
    </row>
    <row r="6976" spans="2:34" x14ac:dyDescent="0.2">
      <c r="B6976" s="2">
        <f ca="1"/>
        <v>0.48525257475540884</v>
      </c>
      <c r="O6976" s="2">
        <f ca="1"/>
        <v>0.7750403436769443</v>
      </c>
      <c r="X6976" s="2">
        <f ca="1"/>
        <v>50.551834329799981</v>
      </c>
      <c r="AG6976" s="2">
        <f ca="1"/>
        <v>6.4515031486863439E-2</v>
      </c>
      <c r="AH6976" s="2" t="str">
        <f ca="1"/>
        <v>OK</v>
      </c>
    </row>
    <row r="6977" spans="2:34" x14ac:dyDescent="0.2">
      <c r="B6977" s="2">
        <f ca="1"/>
        <v>0.82913375447977167</v>
      </c>
      <c r="O6977" s="2">
        <f ca="1"/>
        <v>0.93261938337439787</v>
      </c>
      <c r="X6977" s="2">
        <f ca="1"/>
        <v>40.156299035245823</v>
      </c>
      <c r="AG6977" s="2">
        <f ca="1"/>
        <v>0.68949526277258499</v>
      </c>
      <c r="AH6977" s="2" t="str">
        <f ca="1"/>
        <v>Bad</v>
      </c>
    </row>
    <row r="6978" spans="2:34" x14ac:dyDescent="0.2">
      <c r="B6978" s="2">
        <f ca="1"/>
        <v>0.86460284633409867</v>
      </c>
      <c r="O6978" s="2">
        <f ca="1"/>
        <v>-0.70493506412046958</v>
      </c>
      <c r="X6978" s="2">
        <f ca="1"/>
        <v>53.325625484634301</v>
      </c>
      <c r="AG6978" s="2">
        <f ca="1"/>
        <v>0.48443718867022723</v>
      </c>
      <c r="AH6978" s="2" t="str">
        <f ca="1"/>
        <v>Bad</v>
      </c>
    </row>
    <row r="6979" spans="2:34" x14ac:dyDescent="0.2">
      <c r="B6979" s="2">
        <f ca="1"/>
        <v>0.44540894084800686</v>
      </c>
      <c r="O6979" s="2">
        <f ca="1"/>
        <v>-1.5850874301544871</v>
      </c>
      <c r="X6979" s="2">
        <f ca="1"/>
        <v>48.568511929637033</v>
      </c>
      <c r="AG6979" s="2">
        <f ca="1"/>
        <v>0.73962665705541109</v>
      </c>
      <c r="AH6979" s="2" t="str">
        <f ca="1"/>
        <v>Bad</v>
      </c>
    </row>
    <row r="6980" spans="2:34" x14ac:dyDescent="0.2">
      <c r="B6980" s="2">
        <f ca="1"/>
        <v>0.47989215481133463</v>
      </c>
      <c r="O6980" s="2">
        <f ca="1"/>
        <v>-0.78846155115815431</v>
      </c>
      <c r="X6980" s="2">
        <f ca="1"/>
        <v>78.982596465687351</v>
      </c>
      <c r="AG6980" s="2">
        <f ca="1"/>
        <v>0.6796326554884069</v>
      </c>
      <c r="AH6980" s="2" t="str">
        <f ca="1"/>
        <v>Bad</v>
      </c>
    </row>
    <row r="6981" spans="2:34" x14ac:dyDescent="0.2">
      <c r="B6981" s="2">
        <f ca="1"/>
        <v>0.24856412027346186</v>
      </c>
      <c r="O6981" s="2">
        <f ca="1"/>
        <v>0.28351480391474743</v>
      </c>
      <c r="X6981" s="2">
        <f ca="1"/>
        <v>80.148193650303767</v>
      </c>
      <c r="AG6981" s="2">
        <f ca="1"/>
        <v>0.79997804497278113</v>
      </c>
      <c r="AH6981" s="2" t="str">
        <f ca="1"/>
        <v>Bad</v>
      </c>
    </row>
    <row r="6982" spans="2:34" x14ac:dyDescent="0.2">
      <c r="B6982" s="2">
        <f ca="1"/>
        <v>0.47230011633102809</v>
      </c>
      <c r="O6982" s="2">
        <f ca="1"/>
        <v>-0.30037542583470411</v>
      </c>
      <c r="X6982" s="2">
        <f ca="1"/>
        <v>55.010284915755761</v>
      </c>
      <c r="AG6982" s="2">
        <f ca="1"/>
        <v>0.32439613486297691</v>
      </c>
      <c r="AH6982" s="2" t="str">
        <f ca="1"/>
        <v>OK</v>
      </c>
    </row>
    <row r="6983" spans="2:34" x14ac:dyDescent="0.2">
      <c r="B6983" s="2">
        <f ca="1"/>
        <v>0.10372475264301273</v>
      </c>
      <c r="O6983" s="2">
        <f ca="1"/>
        <v>-0.26118998625873491</v>
      </c>
      <c r="X6983" s="2">
        <f ca="1"/>
        <v>49.712426697123391</v>
      </c>
      <c r="AG6983" s="2">
        <f ca="1"/>
        <v>0.78575027828246369</v>
      </c>
      <c r="AH6983" s="2" t="str">
        <f ca="1"/>
        <v>Bad</v>
      </c>
    </row>
    <row r="6984" spans="2:34" x14ac:dyDescent="0.2">
      <c r="B6984" s="2">
        <f ca="1"/>
        <v>0.80585586496583295</v>
      </c>
      <c r="O6984" s="2">
        <f ca="1"/>
        <v>-1.1472580461910116</v>
      </c>
      <c r="X6984" s="2">
        <f ca="1"/>
        <v>31.195245967771406</v>
      </c>
      <c r="AG6984" s="2">
        <f ca="1"/>
        <v>0.31467176095777227</v>
      </c>
      <c r="AH6984" s="2" t="str">
        <f ca="1"/>
        <v>OK</v>
      </c>
    </row>
    <row r="6985" spans="2:34" x14ac:dyDescent="0.2">
      <c r="B6985" s="2">
        <f ca="1"/>
        <v>0.93652268898544544</v>
      </c>
      <c r="O6985" s="2">
        <f ca="1"/>
        <v>1.0710075984707981</v>
      </c>
      <c r="X6985" s="2">
        <f ca="1"/>
        <v>55.765528194561263</v>
      </c>
      <c r="AG6985" s="2">
        <f ca="1"/>
        <v>0.85398376566966183</v>
      </c>
      <c r="AH6985" s="2" t="str">
        <f ca="1"/>
        <v>Bad</v>
      </c>
    </row>
    <row r="6986" spans="2:34" x14ac:dyDescent="0.2">
      <c r="B6986" s="2">
        <f ca="1"/>
        <v>0.79473868176199702</v>
      </c>
      <c r="O6986" s="2">
        <f ca="1"/>
        <v>-0.13174477650058233</v>
      </c>
      <c r="X6986" s="2">
        <f ca="1"/>
        <v>45.308534054787799</v>
      </c>
      <c r="AG6986" s="2">
        <f ca="1"/>
        <v>0.29499068423051189</v>
      </c>
      <c r="AH6986" s="2" t="str">
        <f ca="1"/>
        <v>OK</v>
      </c>
    </row>
    <row r="6987" spans="2:34" x14ac:dyDescent="0.2">
      <c r="B6987" s="2">
        <f ca="1"/>
        <v>0.5800406724512075</v>
      </c>
      <c r="O6987" s="2">
        <f ca="1"/>
        <v>-1.497599524248036</v>
      </c>
      <c r="X6987" s="2">
        <f ca="1"/>
        <v>82.943364429979539</v>
      </c>
      <c r="AG6987" s="2">
        <f ca="1"/>
        <v>0.3347905191095002</v>
      </c>
      <c r="AH6987" s="2" t="str">
        <f ca="1"/>
        <v>OK</v>
      </c>
    </row>
    <row r="6988" spans="2:34" x14ac:dyDescent="0.2">
      <c r="B6988" s="2">
        <f ca="1"/>
        <v>0.1534222832232397</v>
      </c>
      <c r="O6988" s="2">
        <f ca="1"/>
        <v>0.71460714851315188</v>
      </c>
      <c r="X6988" s="2">
        <f ca="1"/>
        <v>78.275313002044342</v>
      </c>
      <c r="AG6988" s="2">
        <f ca="1"/>
        <v>0.2029705806911446</v>
      </c>
      <c r="AH6988" s="2" t="str">
        <f ca="1"/>
        <v>OK</v>
      </c>
    </row>
    <row r="6989" spans="2:34" x14ac:dyDescent="0.2">
      <c r="B6989" s="2">
        <f ca="1"/>
        <v>0.30042551637987369</v>
      </c>
      <c r="O6989" s="2">
        <f ca="1"/>
        <v>-1.2170629161284654</v>
      </c>
      <c r="X6989" s="2">
        <f ca="1"/>
        <v>72.356112911282622</v>
      </c>
      <c r="AG6989" s="2">
        <f ca="1"/>
        <v>0.18545745656222246</v>
      </c>
      <c r="AH6989" s="2" t="str">
        <f ca="1"/>
        <v>OK</v>
      </c>
    </row>
    <row r="6990" spans="2:34" x14ac:dyDescent="0.2">
      <c r="B6990" s="2">
        <f ca="1"/>
        <v>0.29351627129380398</v>
      </c>
      <c r="O6990" s="2">
        <f ca="1"/>
        <v>6.3732500475669335E-2</v>
      </c>
      <c r="X6990" s="2">
        <f ca="1"/>
        <v>38.019802376824913</v>
      </c>
      <c r="AG6990" s="2">
        <f ca="1"/>
        <v>9.0848623858706068E-2</v>
      </c>
      <c r="AH6990" s="2" t="str">
        <f ca="1"/>
        <v>OK</v>
      </c>
    </row>
    <row r="6991" spans="2:34" x14ac:dyDescent="0.2">
      <c r="B6991" s="2">
        <f ca="1"/>
        <v>2.2532029236972395E-3</v>
      </c>
      <c r="O6991" s="2">
        <f ca="1"/>
        <v>-0.77829403267082342</v>
      </c>
      <c r="X6991" s="2">
        <f ca="1"/>
        <v>60.561511719454217</v>
      </c>
      <c r="AG6991" s="2">
        <f ca="1"/>
        <v>0.27613159979152124</v>
      </c>
      <c r="AH6991" s="2" t="str">
        <f ca="1"/>
        <v>OK</v>
      </c>
    </row>
    <row r="6992" spans="2:34" x14ac:dyDescent="0.2">
      <c r="B6992" s="2">
        <f ca="1"/>
        <v>0.22667298380032719</v>
      </c>
      <c r="O6992" s="2">
        <f ca="1"/>
        <v>2.1625827291257003</v>
      </c>
      <c r="X6992" s="2">
        <f ca="1"/>
        <v>40.81134435791845</v>
      </c>
      <c r="AG6992" s="2">
        <f ca="1"/>
        <v>0.65077677437500925</v>
      </c>
      <c r="AH6992" s="2" t="str">
        <f ca="1"/>
        <v>Bad</v>
      </c>
    </row>
    <row r="6993" spans="2:34" x14ac:dyDescent="0.2">
      <c r="B6993" s="2">
        <f ca="1"/>
        <v>0.66857782803935484</v>
      </c>
      <c r="O6993" s="2">
        <f ca="1"/>
        <v>0.70021002332148896</v>
      </c>
      <c r="X6993" s="2">
        <f ca="1"/>
        <v>68.995338367476691</v>
      </c>
      <c r="AG6993" s="2">
        <f ca="1"/>
        <v>0.88759907033084118</v>
      </c>
      <c r="AH6993" s="2" t="str">
        <f ca="1"/>
        <v>Bad</v>
      </c>
    </row>
    <row r="6994" spans="2:34" x14ac:dyDescent="0.2">
      <c r="B6994" s="2">
        <f ca="1"/>
        <v>0.33898203694956774</v>
      </c>
      <c r="O6994" s="2">
        <f ca="1"/>
        <v>-1.7561174488398539E-2</v>
      </c>
      <c r="X6994" s="2">
        <f ca="1"/>
        <v>41.225019024494799</v>
      </c>
      <c r="AG6994" s="2">
        <f ca="1"/>
        <v>0.78991639132541613</v>
      </c>
      <c r="AH6994" s="2" t="str">
        <f ca="1"/>
        <v>Bad</v>
      </c>
    </row>
    <row r="6995" spans="2:34" x14ac:dyDescent="0.2">
      <c r="B6995" s="2">
        <f ca="1"/>
        <v>0.57362020859117502</v>
      </c>
      <c r="O6995" s="2">
        <f ca="1"/>
        <v>0.96647727242146841</v>
      </c>
      <c r="X6995" s="2">
        <f ca="1"/>
        <v>74.091264877461597</v>
      </c>
      <c r="AG6995" s="2">
        <f ca="1"/>
        <v>0.72849824357917337</v>
      </c>
      <c r="AH6995" s="2" t="str">
        <f ca="1"/>
        <v>Bad</v>
      </c>
    </row>
    <row r="6996" spans="2:34" x14ac:dyDescent="0.2">
      <c r="B6996" s="2">
        <f ca="1"/>
        <v>0.34184935083532864</v>
      </c>
      <c r="O6996" s="2">
        <f ca="1"/>
        <v>0.69744250010125175</v>
      </c>
      <c r="X6996" s="2">
        <f ca="1"/>
        <v>29.499234647387599</v>
      </c>
      <c r="AG6996" s="2">
        <f ca="1"/>
        <v>0.24951442477118557</v>
      </c>
      <c r="AH6996" s="2" t="str">
        <f ca="1"/>
        <v>OK</v>
      </c>
    </row>
    <row r="6997" spans="2:34" x14ac:dyDescent="0.2">
      <c r="B6997" s="2">
        <f ca="1"/>
        <v>0.59179391558339978</v>
      </c>
      <c r="O6997" s="2">
        <f ca="1"/>
        <v>-0.22289268499727616</v>
      </c>
      <c r="X6997" s="2">
        <f ca="1"/>
        <v>41.668976396375129</v>
      </c>
      <c r="AG6997" s="2">
        <f ca="1"/>
        <v>0.69337227592270789</v>
      </c>
      <c r="AH6997" s="2" t="str">
        <f ca="1"/>
        <v>Bad</v>
      </c>
    </row>
    <row r="6998" spans="2:34" x14ac:dyDescent="0.2">
      <c r="B6998" s="2">
        <f ca="1"/>
        <v>0.60646198317435718</v>
      </c>
      <c r="O6998" s="2">
        <f ca="1"/>
        <v>0.34609438420461708</v>
      </c>
      <c r="X6998" s="2">
        <f ca="1"/>
        <v>39.95875120703456</v>
      </c>
      <c r="AG6998" s="2">
        <f ca="1"/>
        <v>0.33959868298267759</v>
      </c>
      <c r="AH6998" s="2" t="str">
        <f ca="1"/>
        <v>OK</v>
      </c>
    </row>
    <row r="6999" spans="2:34" x14ac:dyDescent="0.2">
      <c r="B6999" s="2">
        <f ca="1"/>
        <v>0.30690061723600404</v>
      </c>
      <c r="O6999" s="2">
        <f ca="1"/>
        <v>0.76067139525635086</v>
      </c>
      <c r="X6999" s="2">
        <f ca="1"/>
        <v>78.148458066012296</v>
      </c>
      <c r="AG6999" s="2">
        <f ca="1"/>
        <v>0.91738301901953134</v>
      </c>
      <c r="AH6999" s="2" t="str">
        <f ca="1"/>
        <v>Bad</v>
      </c>
    </row>
    <row r="7000" spans="2:34" x14ac:dyDescent="0.2">
      <c r="B7000" s="2">
        <f ca="1"/>
        <v>2.5098252060568038E-2</v>
      </c>
      <c r="O7000" s="2">
        <f ca="1"/>
        <v>3.1613086814267E-2</v>
      </c>
      <c r="X7000" s="2">
        <f ca="1"/>
        <v>62.952023051291107</v>
      </c>
      <c r="AG7000" s="2">
        <f ca="1"/>
        <v>0.43927638475223429</v>
      </c>
      <c r="AH7000" s="2" t="str">
        <f ca="1"/>
        <v>Bad</v>
      </c>
    </row>
    <row r="7001" spans="2:34" x14ac:dyDescent="0.2">
      <c r="B7001" s="2">
        <f ca="1"/>
        <v>0.87219004791180677</v>
      </c>
      <c r="O7001" s="2">
        <f ca="1"/>
        <v>-2.0294595612638924E-2</v>
      </c>
      <c r="X7001" s="2">
        <f ca="1"/>
        <v>44.448068113521842</v>
      </c>
      <c r="AG7001" s="2">
        <f ca="1"/>
        <v>0.11323897801636917</v>
      </c>
      <c r="AH7001" s="2" t="str">
        <f ca="1"/>
        <v>OK</v>
      </c>
    </row>
    <row r="7002" spans="2:34" x14ac:dyDescent="0.2">
      <c r="B7002" s="2">
        <f ca="1"/>
        <v>0.65102840969331455</v>
      </c>
      <c r="O7002" s="2">
        <f ca="1"/>
        <v>-0.25412332858336251</v>
      </c>
      <c r="X7002" s="2">
        <f ca="1"/>
        <v>50.810814407688781</v>
      </c>
      <c r="AG7002" s="2">
        <f ca="1"/>
        <v>0.79640471201192042</v>
      </c>
      <c r="AH7002" s="2" t="str">
        <f ca="1"/>
        <v>Bad</v>
      </c>
    </row>
    <row r="7003" spans="2:34" x14ac:dyDescent="0.2">
      <c r="B7003" s="2">
        <f ca="1"/>
        <v>0.15886465918295101</v>
      </c>
      <c r="O7003" s="2">
        <f ca="1"/>
        <v>0.707448841787507</v>
      </c>
      <c r="X7003" s="2">
        <f ca="1"/>
        <v>92.913229595434913</v>
      </c>
      <c r="AG7003" s="2">
        <f ca="1"/>
        <v>3.0294158693641604E-2</v>
      </c>
      <c r="AH7003" s="2" t="str">
        <f ca="1"/>
        <v>Good</v>
      </c>
    </row>
    <row r="7004" spans="2:34" x14ac:dyDescent="0.2">
      <c r="B7004" s="2">
        <f ca="1"/>
        <v>0.66210097196944551</v>
      </c>
      <c r="O7004" s="2">
        <f ca="1"/>
        <v>0.9507243059385001</v>
      </c>
      <c r="X7004" s="2">
        <f ca="1"/>
        <v>36.269622920733354</v>
      </c>
      <c r="AG7004" s="2">
        <f ca="1"/>
        <v>0.88766870193744984</v>
      </c>
      <c r="AH7004" s="2" t="str">
        <f ca="1"/>
        <v>Bad</v>
      </c>
    </row>
    <row r="7005" spans="2:34" x14ac:dyDescent="0.2">
      <c r="B7005" s="2">
        <f ca="1"/>
        <v>0.75571495920091802</v>
      </c>
      <c r="O7005" s="2">
        <f ca="1"/>
        <v>0.2275933738642488</v>
      </c>
      <c r="X7005" s="2">
        <f ca="1"/>
        <v>45.600652653043014</v>
      </c>
      <c r="AG7005" s="2">
        <f ca="1"/>
        <v>0.95732222731499528</v>
      </c>
      <c r="AH7005" s="2" t="str">
        <f ca="1"/>
        <v>Bad</v>
      </c>
    </row>
    <row r="7006" spans="2:34" x14ac:dyDescent="0.2">
      <c r="B7006" s="2">
        <f ca="1"/>
        <v>0.13607510818607871</v>
      </c>
      <c r="O7006" s="2">
        <f ca="1"/>
        <v>0.11809278821062401</v>
      </c>
      <c r="X7006" s="2">
        <f ca="1"/>
        <v>68.49317809200501</v>
      </c>
      <c r="AG7006" s="2">
        <f ca="1"/>
        <v>0.84695596386237582</v>
      </c>
      <c r="AH7006" s="2" t="str">
        <f ca="1"/>
        <v>Bad</v>
      </c>
    </row>
    <row r="7007" spans="2:34" x14ac:dyDescent="0.2">
      <c r="B7007" s="2">
        <f ca="1"/>
        <v>0.67556093133752837</v>
      </c>
      <c r="O7007" s="2">
        <f ca="1"/>
        <v>0.97832013868183321</v>
      </c>
      <c r="X7007" s="2">
        <f ca="1"/>
        <v>26.753564015438378</v>
      </c>
      <c r="AG7007" s="2">
        <f ca="1"/>
        <v>0.77134894739801685</v>
      </c>
      <c r="AH7007" s="2" t="str">
        <f ca="1"/>
        <v>Bad</v>
      </c>
    </row>
    <row r="7008" spans="2:34" x14ac:dyDescent="0.2">
      <c r="B7008" s="2">
        <f ca="1"/>
        <v>0.96039268511829001</v>
      </c>
      <c r="O7008" s="2">
        <f ca="1"/>
        <v>1.5645777577604829</v>
      </c>
      <c r="X7008" s="2">
        <f ca="1"/>
        <v>41.543293508532948</v>
      </c>
      <c r="AG7008" s="2">
        <f ca="1"/>
        <v>0.8051840993490107</v>
      </c>
      <c r="AH7008" s="2" t="str">
        <f ca="1"/>
        <v>Bad</v>
      </c>
    </row>
    <row r="7009" spans="2:34" x14ac:dyDescent="0.2">
      <c r="B7009" s="2">
        <f ca="1"/>
        <v>0.65486004771915818</v>
      </c>
      <c r="O7009" s="2">
        <f ca="1"/>
        <v>-1.8013356944175081</v>
      </c>
      <c r="X7009" s="2">
        <f ca="1"/>
        <v>57.728428590409436</v>
      </c>
      <c r="AG7009" s="2">
        <f ca="1"/>
        <v>0.69331224007949066</v>
      </c>
      <c r="AH7009" s="2" t="str">
        <f ca="1"/>
        <v>Bad</v>
      </c>
    </row>
    <row r="7010" spans="2:34" x14ac:dyDescent="0.2">
      <c r="B7010" s="2">
        <f ca="1"/>
        <v>0.82031237923562417</v>
      </c>
      <c r="O7010" s="2">
        <f ca="1"/>
        <v>-0.24645138905751807</v>
      </c>
      <c r="X7010" s="2">
        <f ca="1"/>
        <v>28.60612806783071</v>
      </c>
      <c r="AG7010" s="2">
        <f ca="1"/>
        <v>0.40942349614846196</v>
      </c>
      <c r="AH7010" s="2" t="str">
        <f ca="1"/>
        <v>Bad</v>
      </c>
    </row>
    <row r="7011" spans="2:34" x14ac:dyDescent="0.2">
      <c r="B7011" s="2">
        <f ca="1"/>
        <v>0.58001074552450738</v>
      </c>
      <c r="O7011" s="2">
        <f ca="1"/>
        <v>-0.47854867654325728</v>
      </c>
      <c r="X7011" s="2">
        <f ca="1"/>
        <v>42.983983729156598</v>
      </c>
      <c r="AG7011" s="2">
        <f ca="1"/>
        <v>8.269113243456605E-2</v>
      </c>
      <c r="AH7011" s="2" t="str">
        <f ca="1"/>
        <v>OK</v>
      </c>
    </row>
    <row r="7012" spans="2:34" x14ac:dyDescent="0.2">
      <c r="B7012" s="2">
        <f ca="1"/>
        <v>0.22358922765774336</v>
      </c>
      <c r="O7012" s="2">
        <f ca="1"/>
        <v>7.8397561700101481E-2</v>
      </c>
      <c r="X7012" s="2">
        <f ca="1"/>
        <v>35.641783445535154</v>
      </c>
      <c r="AG7012" s="2">
        <f ca="1"/>
        <v>0.29204748070974285</v>
      </c>
      <c r="AH7012" s="2" t="str">
        <f ca="1"/>
        <v>OK</v>
      </c>
    </row>
    <row r="7013" spans="2:34" x14ac:dyDescent="0.2">
      <c r="B7013" s="2">
        <f ca="1"/>
        <v>0.5954100153619164</v>
      </c>
      <c r="O7013" s="2">
        <f ca="1"/>
        <v>1.2758947559428055</v>
      </c>
      <c r="X7013" s="2">
        <f ca="1"/>
        <v>53.764670481575159</v>
      </c>
      <c r="AG7013" s="2">
        <f ca="1"/>
        <v>0.75908790366039103</v>
      </c>
      <c r="AH7013" s="2" t="str">
        <f ca="1"/>
        <v>Bad</v>
      </c>
    </row>
    <row r="7014" spans="2:34" x14ac:dyDescent="0.2">
      <c r="B7014" s="2">
        <f ca="1"/>
        <v>0.13651276077414809</v>
      </c>
      <c r="O7014" s="2">
        <f ca="1"/>
        <v>-0.41735565386178047</v>
      </c>
      <c r="X7014" s="2">
        <f ca="1"/>
        <v>45.05471366278595</v>
      </c>
      <c r="AG7014" s="2">
        <f ca="1"/>
        <v>0.15800808214741391</v>
      </c>
      <c r="AH7014" s="2" t="str">
        <f ca="1"/>
        <v>OK</v>
      </c>
    </row>
    <row r="7015" spans="2:34" x14ac:dyDescent="0.2">
      <c r="B7015" s="2">
        <f ca="1"/>
        <v>0.9432259322273977</v>
      </c>
      <c r="O7015" s="2">
        <f ca="1"/>
        <v>-0.96936844312043147</v>
      </c>
      <c r="X7015" s="2">
        <f ca="1"/>
        <v>51.604772886351427</v>
      </c>
      <c r="AG7015" s="2">
        <f ca="1"/>
        <v>0.65575504258338735</v>
      </c>
      <c r="AH7015" s="2" t="str">
        <f ca="1"/>
        <v>Bad</v>
      </c>
    </row>
    <row r="7016" spans="2:34" x14ac:dyDescent="0.2">
      <c r="B7016" s="2">
        <f ca="1"/>
        <v>0.31442992021218252</v>
      </c>
      <c r="O7016" s="2">
        <f ca="1"/>
        <v>-1.7455806446123301</v>
      </c>
      <c r="X7016" s="2">
        <f ca="1"/>
        <v>32.544230030819335</v>
      </c>
      <c r="AG7016" s="2">
        <f ca="1"/>
        <v>0.11191067546422051</v>
      </c>
      <c r="AH7016" s="2" t="str">
        <f ca="1"/>
        <v>OK</v>
      </c>
    </row>
    <row r="7017" spans="2:34" x14ac:dyDescent="0.2">
      <c r="B7017" s="2">
        <f ca="1"/>
        <v>0.29906497588996928</v>
      </c>
      <c r="O7017" s="2">
        <f ca="1"/>
        <v>-0.29452641801208496</v>
      </c>
      <c r="X7017" s="2">
        <f ca="1"/>
        <v>49.948400025920719</v>
      </c>
      <c r="AG7017" s="2">
        <f ca="1"/>
        <v>0.19075036400215595</v>
      </c>
      <c r="AH7017" s="2" t="str">
        <f ca="1"/>
        <v>OK</v>
      </c>
    </row>
    <row r="7018" spans="2:34" x14ac:dyDescent="0.2">
      <c r="B7018" s="2">
        <f ca="1"/>
        <v>0.43992722079290192</v>
      </c>
      <c r="O7018" s="2">
        <f ca="1"/>
        <v>-0.16150938436082091</v>
      </c>
      <c r="X7018" s="2">
        <f ca="1"/>
        <v>45.190821898262136</v>
      </c>
      <c r="AG7018" s="2">
        <f ca="1"/>
        <v>0.27757266405341285</v>
      </c>
      <c r="AH7018" s="2" t="str">
        <f ca="1"/>
        <v>OK</v>
      </c>
    </row>
    <row r="7019" spans="2:34" x14ac:dyDescent="0.2">
      <c r="B7019" s="2">
        <f ca="1"/>
        <v>0.91677516080705379</v>
      </c>
      <c r="O7019" s="2">
        <f ca="1"/>
        <v>0.31370582164785277</v>
      </c>
      <c r="X7019" s="2">
        <f ca="1"/>
        <v>38.77878448883132</v>
      </c>
      <c r="AG7019" s="2">
        <f ca="1"/>
        <v>0.45291436682598341</v>
      </c>
      <c r="AH7019" s="2" t="str">
        <f ca="1"/>
        <v>Bad</v>
      </c>
    </row>
    <row r="7020" spans="2:34" x14ac:dyDescent="0.2">
      <c r="B7020" s="2">
        <f ca="1"/>
        <v>0.47609360442405713</v>
      </c>
      <c r="O7020" s="2">
        <f ca="1"/>
        <v>-2.0326996021322596</v>
      </c>
      <c r="X7020" s="2">
        <f ca="1"/>
        <v>32.443225825621923</v>
      </c>
      <c r="AG7020" s="2">
        <f ca="1"/>
        <v>0.47357133136880969</v>
      </c>
      <c r="AH7020" s="2" t="str">
        <f ca="1"/>
        <v>Bad</v>
      </c>
    </row>
    <row r="7021" spans="2:34" x14ac:dyDescent="0.2">
      <c r="B7021" s="2">
        <f ca="1"/>
        <v>0.11429454381474691</v>
      </c>
      <c r="O7021" s="2">
        <f ca="1"/>
        <v>1.0729660207954752</v>
      </c>
      <c r="X7021" s="2">
        <f ca="1"/>
        <v>52.755034394763413</v>
      </c>
      <c r="AG7021" s="2">
        <f ca="1"/>
        <v>0.84471270942300736</v>
      </c>
      <c r="AH7021" s="2" t="str">
        <f ca="1"/>
        <v>Bad</v>
      </c>
    </row>
    <row r="7022" spans="2:34" x14ac:dyDescent="0.2">
      <c r="B7022" s="2">
        <f ca="1"/>
        <v>0.60567254086771549</v>
      </c>
      <c r="O7022" s="2">
        <f ca="1"/>
        <v>0.24998573704592023</v>
      </c>
      <c r="X7022" s="2">
        <f ca="1"/>
        <v>46.767240844848601</v>
      </c>
      <c r="AG7022" s="2">
        <f ca="1"/>
        <v>0.35714657709295095</v>
      </c>
      <c r="AH7022" s="2" t="str">
        <f ca="1"/>
        <v>OK</v>
      </c>
    </row>
    <row r="7023" spans="2:34" x14ac:dyDescent="0.2">
      <c r="B7023" s="2">
        <f ca="1"/>
        <v>0.47967736158863139</v>
      </c>
      <c r="O7023" s="2">
        <f ca="1"/>
        <v>1.1515607574692084</v>
      </c>
      <c r="X7023" s="2">
        <f ca="1"/>
        <v>70.051445548220215</v>
      </c>
      <c r="AG7023" s="2">
        <f ca="1"/>
        <v>0.49041051640526812</v>
      </c>
      <c r="AH7023" s="2" t="str">
        <f ca="1"/>
        <v>Bad</v>
      </c>
    </row>
    <row r="7024" spans="2:34" x14ac:dyDescent="0.2">
      <c r="B7024" s="2">
        <f ca="1"/>
        <v>0.11296780001215101</v>
      </c>
      <c r="O7024" s="2">
        <f ca="1"/>
        <v>0.9833297391024397</v>
      </c>
      <c r="X7024" s="2">
        <f ca="1"/>
        <v>72.759537885583114</v>
      </c>
      <c r="AG7024" s="2">
        <f ca="1"/>
        <v>0.84530540479330751</v>
      </c>
      <c r="AH7024" s="2" t="str">
        <f ca="1"/>
        <v>Bad</v>
      </c>
    </row>
    <row r="7025" spans="2:34" x14ac:dyDescent="0.2">
      <c r="B7025" s="2">
        <f ca="1"/>
        <v>0.43766545157648262</v>
      </c>
      <c r="O7025" s="2">
        <f ca="1"/>
        <v>-7.0787770365415614E-2</v>
      </c>
      <c r="X7025" s="2">
        <f ca="1"/>
        <v>41.013394690172959</v>
      </c>
      <c r="AG7025" s="2">
        <f ca="1"/>
        <v>0.49475075154557246</v>
      </c>
      <c r="AH7025" s="2" t="str">
        <f ca="1"/>
        <v>Bad</v>
      </c>
    </row>
    <row r="7026" spans="2:34" x14ac:dyDescent="0.2">
      <c r="B7026" s="2">
        <f ca="1"/>
        <v>0.55722434314361902</v>
      </c>
      <c r="O7026" s="2">
        <f ca="1"/>
        <v>0.30527301087511821</v>
      </c>
      <c r="X7026" s="2">
        <f ca="1"/>
        <v>43.262755739053446</v>
      </c>
      <c r="AG7026" s="2">
        <f ca="1"/>
        <v>2.5234494093790971E-2</v>
      </c>
      <c r="AH7026" s="2" t="str">
        <f ca="1"/>
        <v>Good</v>
      </c>
    </row>
    <row r="7027" spans="2:34" x14ac:dyDescent="0.2">
      <c r="B7027" s="2">
        <f ca="1"/>
        <v>0.9276140284695189</v>
      </c>
      <c r="O7027" s="2">
        <f ca="1"/>
        <v>1.4055835577493117</v>
      </c>
      <c r="X7027" s="2">
        <f ca="1"/>
        <v>40.582205978489974</v>
      </c>
      <c r="AG7027" s="2">
        <f ca="1"/>
        <v>0.85402486979802861</v>
      </c>
      <c r="AH7027" s="2" t="str">
        <f ca="1"/>
        <v>Bad</v>
      </c>
    </row>
    <row r="7028" spans="2:34" x14ac:dyDescent="0.2">
      <c r="B7028" s="2">
        <f ca="1"/>
        <v>0.53245253133588655</v>
      </c>
      <c r="O7028" s="2">
        <f ca="1"/>
        <v>0.91554036356682544</v>
      </c>
      <c r="X7028" s="2">
        <f ca="1"/>
        <v>35.450928629951449</v>
      </c>
      <c r="AG7028" s="2">
        <f ca="1"/>
        <v>0.99549403804205916</v>
      </c>
      <c r="AH7028" s="2" t="str">
        <f ca="1"/>
        <v>Bad</v>
      </c>
    </row>
    <row r="7029" spans="2:34" x14ac:dyDescent="0.2">
      <c r="B7029" s="2">
        <f ca="1"/>
        <v>0.58965380664474432</v>
      </c>
      <c r="O7029" s="2">
        <f ca="1"/>
        <v>-0.9793757460601823</v>
      </c>
      <c r="X7029" s="2">
        <f ca="1"/>
        <v>49.106601164696158</v>
      </c>
      <c r="AG7029" s="2">
        <f ca="1"/>
        <v>0.81648311099634374</v>
      </c>
      <c r="AH7029" s="2" t="str">
        <f ca="1"/>
        <v>Bad</v>
      </c>
    </row>
    <row r="7030" spans="2:34" x14ac:dyDescent="0.2">
      <c r="B7030" s="2">
        <f ca="1"/>
        <v>0.60216754378669535</v>
      </c>
      <c r="O7030" s="2">
        <f ca="1"/>
        <v>-1.4725654531690429</v>
      </c>
      <c r="X7030" s="2">
        <f ca="1"/>
        <v>31.280861381986945</v>
      </c>
      <c r="AG7030" s="2">
        <f ca="1"/>
        <v>2.3295103818113505E-2</v>
      </c>
      <c r="AH7030" s="2" t="str">
        <f ca="1"/>
        <v>Good</v>
      </c>
    </row>
    <row r="7031" spans="2:34" x14ac:dyDescent="0.2">
      <c r="B7031" s="2">
        <f ca="1"/>
        <v>0.82528302222634276</v>
      </c>
      <c r="O7031" s="2">
        <f ca="1"/>
        <v>0.21623863895496603</v>
      </c>
      <c r="X7031" s="2">
        <f ca="1"/>
        <v>54.163222311046802</v>
      </c>
      <c r="AG7031" s="2">
        <f ca="1"/>
        <v>1.6474185797948904E-2</v>
      </c>
      <c r="AH7031" s="2" t="str">
        <f ca="1"/>
        <v>Good</v>
      </c>
    </row>
    <row r="7032" spans="2:34" x14ac:dyDescent="0.2">
      <c r="B7032" s="2">
        <f ca="1"/>
        <v>0.85798758780295281</v>
      </c>
      <c r="O7032" s="2">
        <f ca="1"/>
        <v>-0.6324589415605969</v>
      </c>
      <c r="X7032" s="2">
        <f ca="1"/>
        <v>62.748772805875106</v>
      </c>
      <c r="AG7032" s="2">
        <f ca="1"/>
        <v>6.2888099466817504E-2</v>
      </c>
      <c r="AH7032" s="2" t="str">
        <f ca="1"/>
        <v>OK</v>
      </c>
    </row>
    <row r="7033" spans="2:34" x14ac:dyDescent="0.2">
      <c r="B7033" s="2">
        <f ca="1"/>
        <v>0.55277347700772372</v>
      </c>
      <c r="O7033" s="2">
        <f ca="1"/>
        <v>-4.96021609142272E-2</v>
      </c>
      <c r="X7033" s="2">
        <f ca="1"/>
        <v>25.190337298013166</v>
      </c>
      <c r="AG7033" s="2">
        <f ca="1"/>
        <v>0.68247407887051814</v>
      </c>
      <c r="AH7033" s="2" t="str">
        <f ca="1"/>
        <v>Bad</v>
      </c>
    </row>
    <row r="7034" spans="2:34" x14ac:dyDescent="0.2">
      <c r="B7034" s="2">
        <f ca="1"/>
        <v>0.94776680188662255</v>
      </c>
      <c r="O7034" s="2">
        <f ca="1"/>
        <v>-0.60478640250120408</v>
      </c>
      <c r="X7034" s="2">
        <f ca="1"/>
        <v>59.437673088027559</v>
      </c>
      <c r="AG7034" s="2">
        <f ca="1"/>
        <v>0.57023021675769958</v>
      </c>
      <c r="AH7034" s="2" t="str">
        <f ca="1"/>
        <v>Bad</v>
      </c>
    </row>
    <row r="7035" spans="2:34" x14ac:dyDescent="0.2">
      <c r="B7035" s="2">
        <f ca="1"/>
        <v>0.16260586734192706</v>
      </c>
      <c r="O7035" s="2">
        <f ca="1"/>
        <v>-0.20223990826135746</v>
      </c>
      <c r="X7035" s="2">
        <f ca="1"/>
        <v>64.569659867995583</v>
      </c>
      <c r="AG7035" s="2">
        <f ca="1"/>
        <v>0.61384581811472305</v>
      </c>
      <c r="AH7035" s="2" t="str">
        <f ca="1"/>
        <v>Bad</v>
      </c>
    </row>
    <row r="7036" spans="2:34" x14ac:dyDescent="0.2">
      <c r="B7036" s="2">
        <f ca="1"/>
        <v>0.27133574663818005</v>
      </c>
      <c r="O7036" s="2">
        <f ca="1"/>
        <v>0.1413729782352624</v>
      </c>
      <c r="X7036" s="2">
        <f ca="1"/>
        <v>59.887448290324663</v>
      </c>
      <c r="AG7036" s="2">
        <f ca="1"/>
        <v>0.67365225122094619</v>
      </c>
      <c r="AH7036" s="2" t="str">
        <f ca="1"/>
        <v>Bad</v>
      </c>
    </row>
    <row r="7037" spans="2:34" x14ac:dyDescent="0.2">
      <c r="B7037" s="2">
        <f ca="1"/>
        <v>0.17968286652197341</v>
      </c>
      <c r="O7037" s="2">
        <f ca="1"/>
        <v>0.2087719915278512</v>
      </c>
      <c r="X7037" s="2">
        <f ca="1"/>
        <v>37.13324845756371</v>
      </c>
      <c r="AG7037" s="2">
        <f ca="1"/>
        <v>7.6405488035093505E-2</v>
      </c>
      <c r="AH7037" s="2" t="str">
        <f ca="1"/>
        <v>OK</v>
      </c>
    </row>
    <row r="7038" spans="2:34" x14ac:dyDescent="0.2">
      <c r="B7038" s="2">
        <f ca="1"/>
        <v>0.64943399742777452</v>
      </c>
      <c r="O7038" s="2">
        <f ca="1"/>
        <v>-0.16597334200110397</v>
      </c>
      <c r="X7038" s="2">
        <f ca="1"/>
        <v>64.725996381293143</v>
      </c>
      <c r="AG7038" s="2">
        <f ca="1"/>
        <v>0.71206824348060294</v>
      </c>
      <c r="AH7038" s="2" t="str">
        <f ca="1"/>
        <v>Bad</v>
      </c>
    </row>
    <row r="7039" spans="2:34" x14ac:dyDescent="0.2">
      <c r="B7039" s="2">
        <f ca="1"/>
        <v>4.5401304567723511E-2</v>
      </c>
      <c r="O7039" s="2">
        <f ca="1"/>
        <v>-1.3275863785593889</v>
      </c>
      <c r="X7039" s="2">
        <f ca="1"/>
        <v>56.176335599692621</v>
      </c>
      <c r="AG7039" s="2">
        <f ca="1"/>
        <v>0.12709917286858441</v>
      </c>
      <c r="AH7039" s="2" t="str">
        <f ca="1"/>
        <v>OK</v>
      </c>
    </row>
    <row r="7040" spans="2:34" x14ac:dyDescent="0.2">
      <c r="B7040" s="2">
        <f ca="1"/>
        <v>0.50792015676807201</v>
      </c>
      <c r="O7040" s="2">
        <f ca="1"/>
        <v>0.4635580001245484</v>
      </c>
      <c r="X7040" s="2">
        <f ca="1"/>
        <v>30.812343987941926</v>
      </c>
      <c r="AG7040" s="2">
        <f ca="1"/>
        <v>0.67780943777498681</v>
      </c>
      <c r="AH7040" s="2" t="str">
        <f ca="1"/>
        <v>Bad</v>
      </c>
    </row>
    <row r="7041" spans="2:34" x14ac:dyDescent="0.2">
      <c r="B7041" s="2">
        <f ca="1"/>
        <v>0.8562026122201718</v>
      </c>
      <c r="O7041" s="2">
        <f ca="1"/>
        <v>-0.13158243184514318</v>
      </c>
      <c r="X7041" s="2">
        <f ca="1"/>
        <v>66.328717199391022</v>
      </c>
      <c r="AG7041" s="2">
        <f ca="1"/>
        <v>0.52481036483356291</v>
      </c>
      <c r="AH7041" s="2" t="str">
        <f ca="1"/>
        <v>Bad</v>
      </c>
    </row>
    <row r="7042" spans="2:34" x14ac:dyDescent="0.2">
      <c r="B7042" s="2">
        <f ca="1"/>
        <v>0.71510739761388287</v>
      </c>
      <c r="O7042" s="2">
        <f ca="1"/>
        <v>0.58870748017095764</v>
      </c>
      <c r="X7042" s="2">
        <f ca="1"/>
        <v>39.734975794284836</v>
      </c>
      <c r="AG7042" s="2">
        <f ca="1"/>
        <v>0.60647331083629474</v>
      </c>
      <c r="AH7042" s="2" t="str">
        <f ca="1"/>
        <v>Bad</v>
      </c>
    </row>
    <row r="7043" spans="2:34" x14ac:dyDescent="0.2">
      <c r="B7043" s="2">
        <f ca="1"/>
        <v>0.96771915292645327</v>
      </c>
      <c r="O7043" s="2">
        <f ca="1"/>
        <v>-1.8074362884748707</v>
      </c>
      <c r="X7043" s="2">
        <f ca="1"/>
        <v>60.917580666733151</v>
      </c>
      <c r="AG7043" s="2">
        <f ca="1"/>
        <v>0.42881176887610928</v>
      </c>
      <c r="AH7043" s="2" t="str">
        <f ca="1"/>
        <v>Bad</v>
      </c>
    </row>
    <row r="7044" spans="2:34" x14ac:dyDescent="0.2">
      <c r="B7044" s="2">
        <f ca="1"/>
        <v>0.58322910337406153</v>
      </c>
      <c r="O7044" s="2">
        <f ca="1"/>
        <v>-0.7332331711670268</v>
      </c>
      <c r="X7044" s="2">
        <f ca="1"/>
        <v>46.279591585229511</v>
      </c>
      <c r="AG7044" s="2">
        <f ca="1"/>
        <v>0.27179910998958468</v>
      </c>
      <c r="AH7044" s="2" t="str">
        <f ca="1"/>
        <v>OK</v>
      </c>
    </row>
    <row r="7045" spans="2:34" x14ac:dyDescent="0.2">
      <c r="B7045" s="2">
        <f ca="1"/>
        <v>0.17692124090782224</v>
      </c>
      <c r="O7045" s="2">
        <f ca="1"/>
        <v>-1.95341649084753</v>
      </c>
      <c r="X7045" s="2">
        <f ca="1"/>
        <v>26.359666234512133</v>
      </c>
      <c r="AG7045" s="2">
        <f ca="1"/>
        <v>0.33578206266411437</v>
      </c>
      <c r="AH7045" s="2" t="str">
        <f ca="1"/>
        <v>OK</v>
      </c>
    </row>
    <row r="7046" spans="2:34" x14ac:dyDescent="0.2">
      <c r="B7046" s="2">
        <f ca="1"/>
        <v>0.25225552331226186</v>
      </c>
      <c r="O7046" s="2">
        <f ca="1"/>
        <v>-0.27300409380472057</v>
      </c>
      <c r="X7046" s="2">
        <f ca="1"/>
        <v>46.59645468706352</v>
      </c>
      <c r="AG7046" s="2">
        <f ca="1"/>
        <v>0.43190207028102678</v>
      </c>
      <c r="AH7046" s="2" t="str">
        <f ca="1"/>
        <v>Bad</v>
      </c>
    </row>
    <row r="7047" spans="2:34" x14ac:dyDescent="0.2">
      <c r="B7047" s="2">
        <f ca="1"/>
        <v>0.28150730567174986</v>
      </c>
      <c r="O7047" s="2">
        <f ca="1"/>
        <v>0.67657310053144259</v>
      </c>
      <c r="X7047" s="2">
        <f ca="1"/>
        <v>50.298146420733794</v>
      </c>
      <c r="AG7047" s="2">
        <f ca="1"/>
        <v>0.47608959998742995</v>
      </c>
      <c r="AH7047" s="2" t="str">
        <f ca="1"/>
        <v>Bad</v>
      </c>
    </row>
    <row r="7048" spans="2:34" x14ac:dyDescent="0.2">
      <c r="B7048" s="2">
        <f ca="1"/>
        <v>0.97135700044060491</v>
      </c>
      <c r="O7048" s="2">
        <f ca="1"/>
        <v>-2.0686102069416723</v>
      </c>
      <c r="X7048" s="2">
        <f ca="1"/>
        <v>30.619641793536289</v>
      </c>
      <c r="AG7048" s="2">
        <f ca="1"/>
        <v>0.51981884901526731</v>
      </c>
      <c r="AH7048" s="2" t="str">
        <f ca="1"/>
        <v>Bad</v>
      </c>
    </row>
    <row r="7049" spans="2:34" x14ac:dyDescent="0.2">
      <c r="B7049" s="2">
        <f ca="1"/>
        <v>0.24352808283287697</v>
      </c>
      <c r="O7049" s="2">
        <f ca="1"/>
        <v>-0.74319399251798823</v>
      </c>
      <c r="X7049" s="2">
        <f ca="1"/>
        <v>63.268447235226503</v>
      </c>
      <c r="AG7049" s="2">
        <f ca="1"/>
        <v>0.53218322546118157</v>
      </c>
      <c r="AH7049" s="2" t="str">
        <f ca="1"/>
        <v>Bad</v>
      </c>
    </row>
    <row r="7050" spans="2:34" x14ac:dyDescent="0.2">
      <c r="B7050" s="2">
        <f ca="1"/>
        <v>0.63922524787883805</v>
      </c>
      <c r="O7050" s="2">
        <f ca="1"/>
        <v>-1.302332960561319</v>
      </c>
      <c r="X7050" s="2">
        <f ca="1"/>
        <v>43.561020449248311</v>
      </c>
      <c r="AG7050" s="2">
        <f ca="1"/>
        <v>0.96183838955821943</v>
      </c>
      <c r="AH7050" s="2" t="str">
        <f ca="1"/>
        <v>Bad</v>
      </c>
    </row>
    <row r="7051" spans="2:34" x14ac:dyDescent="0.2">
      <c r="B7051" s="2">
        <f ca="1"/>
        <v>0.64013544492196273</v>
      </c>
      <c r="O7051" s="2">
        <f ca="1"/>
        <v>-0.9665735690702949</v>
      </c>
      <c r="X7051" s="2">
        <f ca="1"/>
        <v>44.508216489963601</v>
      </c>
      <c r="AG7051" s="2">
        <f ca="1"/>
        <v>0.3837587103229172</v>
      </c>
      <c r="AH7051" s="2" t="str">
        <f ca="1"/>
        <v>OK</v>
      </c>
    </row>
    <row r="7052" spans="2:34" x14ac:dyDescent="0.2">
      <c r="B7052" s="2">
        <f ca="1"/>
        <v>0.91682117564133336</v>
      </c>
      <c r="O7052" s="2">
        <f ca="1"/>
        <v>1.5208671000201517</v>
      </c>
      <c r="X7052" s="2">
        <f ca="1"/>
        <v>50.958469045568577</v>
      </c>
      <c r="AG7052" s="2">
        <f ca="1"/>
        <v>0.93888789729980027</v>
      </c>
      <c r="AH7052" s="2" t="str">
        <f ca="1"/>
        <v>Bad</v>
      </c>
    </row>
    <row r="7053" spans="2:34" x14ac:dyDescent="0.2">
      <c r="B7053" s="2">
        <f ca="1"/>
        <v>7.0191131111385641E-2</v>
      </c>
      <c r="O7053" s="2">
        <f ca="1"/>
        <v>1.4978412815920683</v>
      </c>
      <c r="X7053" s="2">
        <f ca="1"/>
        <v>59.839507152157381</v>
      </c>
      <c r="AG7053" s="2">
        <f ca="1"/>
        <v>0.73924027936316916</v>
      </c>
      <c r="AH7053" s="2" t="str">
        <f ca="1"/>
        <v>Bad</v>
      </c>
    </row>
    <row r="7054" spans="2:34" x14ac:dyDescent="0.2">
      <c r="B7054" s="2">
        <f ca="1"/>
        <v>0.8822672324951073</v>
      </c>
      <c r="O7054" s="2">
        <f ca="1"/>
        <v>1.4287927879722626</v>
      </c>
      <c r="X7054" s="2">
        <f ca="1"/>
        <v>42.289717604755452</v>
      </c>
      <c r="AG7054" s="2">
        <f ca="1"/>
        <v>0.14535467014201364</v>
      </c>
      <c r="AH7054" s="2" t="str">
        <f ca="1"/>
        <v>OK</v>
      </c>
    </row>
    <row r="7055" spans="2:34" x14ac:dyDescent="0.2">
      <c r="B7055" s="2">
        <f ca="1"/>
        <v>0.85877333054200977</v>
      </c>
      <c r="O7055" s="2">
        <f ca="1"/>
        <v>0.72097663054941352</v>
      </c>
      <c r="X7055" s="2">
        <f ca="1"/>
        <v>43.045161814934289</v>
      </c>
      <c r="AG7055" s="2">
        <f ca="1"/>
        <v>8.2699500880828447E-2</v>
      </c>
      <c r="AH7055" s="2" t="str">
        <f ca="1"/>
        <v>OK</v>
      </c>
    </row>
    <row r="7056" spans="2:34" x14ac:dyDescent="0.2">
      <c r="B7056" s="2">
        <f ca="1"/>
        <v>0.8999701820497179</v>
      </c>
      <c r="O7056" s="2">
        <f ca="1"/>
        <v>1.8491608271666489</v>
      </c>
      <c r="X7056" s="2">
        <f ca="1"/>
        <v>36.668375126195649</v>
      </c>
      <c r="AG7056" s="2">
        <f ca="1"/>
        <v>0.52904624371178977</v>
      </c>
      <c r="AH7056" s="2" t="str">
        <f ca="1"/>
        <v>Bad</v>
      </c>
    </row>
    <row r="7057" spans="2:34" x14ac:dyDescent="0.2">
      <c r="B7057" s="2">
        <f ca="1"/>
        <v>9.1489112019580432E-2</v>
      </c>
      <c r="O7057" s="2">
        <f ca="1"/>
        <v>-0.5407113423433022</v>
      </c>
      <c r="X7057" s="2">
        <f ca="1"/>
        <v>51.504760389788885</v>
      </c>
      <c r="AG7057" s="2">
        <f ca="1"/>
        <v>0.19030847722450472</v>
      </c>
      <c r="AH7057" s="2" t="str">
        <f ca="1"/>
        <v>OK</v>
      </c>
    </row>
    <row r="7058" spans="2:34" x14ac:dyDescent="0.2">
      <c r="B7058" s="2">
        <f ca="1"/>
        <v>0.29092233432596859</v>
      </c>
      <c r="O7058" s="2">
        <f ca="1"/>
        <v>1.0463667399222136</v>
      </c>
      <c r="X7058" s="2">
        <f ca="1"/>
        <v>65.254417569731984</v>
      </c>
      <c r="AG7058" s="2">
        <f ca="1"/>
        <v>0.41457463783500748</v>
      </c>
      <c r="AH7058" s="2" t="str">
        <f ca="1"/>
        <v>Bad</v>
      </c>
    </row>
    <row r="7059" spans="2:34" x14ac:dyDescent="0.2">
      <c r="B7059" s="2">
        <f ca="1"/>
        <v>0.33900927594099062</v>
      </c>
      <c r="O7059" s="2">
        <f ca="1"/>
        <v>-0.66796370080028</v>
      </c>
      <c r="X7059" s="2">
        <f ca="1"/>
        <v>25.090343531760595</v>
      </c>
      <c r="AG7059" s="2">
        <f ca="1"/>
        <v>0.25571817074005132</v>
      </c>
      <c r="AH7059" s="2" t="str">
        <f ca="1"/>
        <v>OK</v>
      </c>
    </row>
    <row r="7060" spans="2:34" x14ac:dyDescent="0.2">
      <c r="B7060" s="2">
        <f ca="1"/>
        <v>0.32958760762425365</v>
      </c>
      <c r="O7060" s="2">
        <f ca="1"/>
        <v>-1.3956921565049012</v>
      </c>
      <c r="X7060" s="2">
        <f ca="1"/>
        <v>76.856034642923078</v>
      </c>
      <c r="AG7060" s="2">
        <f ca="1"/>
        <v>0.26613250457096482</v>
      </c>
      <c r="AH7060" s="2" t="str">
        <f ca="1"/>
        <v>OK</v>
      </c>
    </row>
    <row r="7061" spans="2:34" x14ac:dyDescent="0.2">
      <c r="B7061" s="2">
        <f ca="1"/>
        <v>0.20183023184970206</v>
      </c>
      <c r="O7061" s="2">
        <f ca="1"/>
        <v>-0.41698736730827257</v>
      </c>
      <c r="X7061" s="2">
        <f ca="1"/>
        <v>39.933375741323502</v>
      </c>
      <c r="AG7061" s="2">
        <f ca="1"/>
        <v>3.6519845428954811E-2</v>
      </c>
      <c r="AH7061" s="2" t="str">
        <f ca="1"/>
        <v>Good</v>
      </c>
    </row>
    <row r="7062" spans="2:34" x14ac:dyDescent="0.2">
      <c r="B7062" s="2">
        <f ca="1"/>
        <v>0.86334200601832456</v>
      </c>
      <c r="O7062" s="2">
        <f ca="1"/>
        <v>0.3433178604766805</v>
      </c>
      <c r="X7062" s="2">
        <f ca="1"/>
        <v>35.724263529194957</v>
      </c>
      <c r="AG7062" s="2">
        <f ca="1"/>
        <v>0.17702430463037455</v>
      </c>
      <c r="AH7062" s="2" t="str">
        <f ca="1"/>
        <v>OK</v>
      </c>
    </row>
    <row r="7063" spans="2:34" x14ac:dyDescent="0.2">
      <c r="B7063" s="2">
        <f ca="1"/>
        <v>0.19250695858357969</v>
      </c>
      <c r="O7063" s="2">
        <f ca="1"/>
        <v>-0.95565606192363217</v>
      </c>
      <c r="X7063" s="2">
        <f ca="1"/>
        <v>42.931107168782326</v>
      </c>
      <c r="AG7063" s="2">
        <f ca="1"/>
        <v>0.92538639656193711</v>
      </c>
      <c r="AH7063" s="2" t="str">
        <f ca="1"/>
        <v>Bad</v>
      </c>
    </row>
    <row r="7064" spans="2:34" x14ac:dyDescent="0.2">
      <c r="B7064" s="2">
        <f ca="1"/>
        <v>0.79903691796477028</v>
      </c>
      <c r="O7064" s="2">
        <f ca="1"/>
        <v>-1.0802374538971669</v>
      </c>
      <c r="X7064" s="2">
        <f ca="1"/>
        <v>23.686973459982617</v>
      </c>
      <c r="AG7064" s="2">
        <f ca="1"/>
        <v>0.30173147076017837</v>
      </c>
      <c r="AH7064" s="2" t="str">
        <f ca="1"/>
        <v>OK</v>
      </c>
    </row>
    <row r="7065" spans="2:34" x14ac:dyDescent="0.2">
      <c r="B7065" s="2">
        <f ca="1"/>
        <v>0.84019928287691914</v>
      </c>
      <c r="O7065" s="2">
        <f ca="1"/>
        <v>-0.18585786827715575</v>
      </c>
      <c r="X7065" s="2">
        <f ca="1"/>
        <v>51.59225525462319</v>
      </c>
      <c r="AG7065" s="2">
        <f ca="1"/>
        <v>0.55111921876263725</v>
      </c>
      <c r="AH7065" s="2" t="str">
        <f ca="1"/>
        <v>Bad</v>
      </c>
    </row>
    <row r="7066" spans="2:34" x14ac:dyDescent="0.2">
      <c r="B7066" s="2">
        <f ca="1"/>
        <v>0.90431175607068726</v>
      </c>
      <c r="O7066" s="2">
        <f ca="1"/>
        <v>-1.4720976953865177</v>
      </c>
      <c r="X7066" s="2">
        <f ca="1"/>
        <v>46.017076773804817</v>
      </c>
      <c r="AG7066" s="2">
        <f ca="1"/>
        <v>0.22251715934000083</v>
      </c>
      <c r="AH7066" s="2" t="str">
        <f ca="1"/>
        <v>OK</v>
      </c>
    </row>
    <row r="7067" spans="2:34" x14ac:dyDescent="0.2">
      <c r="B7067" s="2">
        <f ca="1"/>
        <v>5.9056030029898787E-2</v>
      </c>
      <c r="O7067" s="2">
        <f ca="1"/>
        <v>-1.5642687428681419E-2</v>
      </c>
      <c r="X7067" s="2">
        <f ca="1"/>
        <v>47.352303270363549</v>
      </c>
      <c r="AG7067" s="2">
        <f ca="1"/>
        <v>0.54174691521653839</v>
      </c>
      <c r="AH7067" s="2" t="str">
        <f ca="1"/>
        <v>Bad</v>
      </c>
    </row>
    <row r="7068" spans="2:34" x14ac:dyDescent="0.2">
      <c r="B7068" s="2">
        <f ca="1"/>
        <v>0.31054333697073155</v>
      </c>
      <c r="O7068" s="2">
        <f ca="1"/>
        <v>-0.73165147249481099</v>
      </c>
      <c r="X7068" s="2">
        <f ca="1"/>
        <v>51.571661008330416</v>
      </c>
      <c r="AG7068" s="2">
        <f ca="1"/>
        <v>0.40154757545507658</v>
      </c>
      <c r="AH7068" s="2" t="str">
        <f ca="1"/>
        <v>Bad</v>
      </c>
    </row>
    <row r="7069" spans="2:34" x14ac:dyDescent="0.2">
      <c r="B7069" s="2">
        <f ca="1"/>
        <v>2.1794031101887379E-2</v>
      </c>
      <c r="O7069" s="2">
        <f ca="1"/>
        <v>0.48573097297937845</v>
      </c>
      <c r="X7069" s="2">
        <f ca="1"/>
        <v>61.115482453117515</v>
      </c>
      <c r="AG7069" s="2">
        <f ca="1"/>
        <v>7.9726632468155589E-3</v>
      </c>
      <c r="AH7069" s="2" t="str">
        <f ca="1"/>
        <v>Good</v>
      </c>
    </row>
    <row r="7070" spans="2:34" x14ac:dyDescent="0.2">
      <c r="B7070" s="2">
        <f ca="1"/>
        <v>0.4445848150919256</v>
      </c>
      <c r="O7070" s="2">
        <f ca="1"/>
        <v>-0.77018594430556919</v>
      </c>
      <c r="X7070" s="2">
        <f ca="1"/>
        <v>30.715509079552255</v>
      </c>
      <c r="AG7070" s="2">
        <f ca="1"/>
        <v>0.77268185810722723</v>
      </c>
      <c r="AH7070" s="2" t="str">
        <f ca="1"/>
        <v>Bad</v>
      </c>
    </row>
    <row r="7071" spans="2:34" x14ac:dyDescent="0.2">
      <c r="B7071" s="2">
        <f ca="1"/>
        <v>0.17411118599663733</v>
      </c>
      <c r="O7071" s="2">
        <f ca="1"/>
        <v>0.47914564103679064</v>
      </c>
      <c r="X7071" s="2">
        <f ca="1"/>
        <v>80.621165459320778</v>
      </c>
      <c r="AG7071" s="2">
        <f ca="1"/>
        <v>0.5510317140005252</v>
      </c>
      <c r="AH7071" s="2" t="str">
        <f ca="1"/>
        <v>Bad</v>
      </c>
    </row>
    <row r="7072" spans="2:34" x14ac:dyDescent="0.2">
      <c r="B7072" s="2">
        <f ca="1"/>
        <v>0.88462219992582303</v>
      </c>
      <c r="O7072" s="2">
        <f ca="1"/>
        <v>-1.4685997679407201</v>
      </c>
      <c r="X7072" s="2">
        <f ca="1"/>
        <v>47.042403088631261</v>
      </c>
      <c r="AG7072" s="2">
        <f ca="1"/>
        <v>0.40404205535274218</v>
      </c>
      <c r="AH7072" s="2" t="str">
        <f ca="1"/>
        <v>Bad</v>
      </c>
    </row>
    <row r="7073" spans="2:34" x14ac:dyDescent="0.2">
      <c r="B7073" s="2">
        <f ca="1"/>
        <v>0.68427919117008185</v>
      </c>
      <c r="O7073" s="2">
        <f ca="1"/>
        <v>-2.3397982514126134</v>
      </c>
      <c r="X7073" s="2">
        <f ca="1"/>
        <v>33.275975636621872</v>
      </c>
      <c r="AG7073" s="2">
        <f ca="1"/>
        <v>0.71097594984067869</v>
      </c>
      <c r="AH7073" s="2" t="str">
        <f ca="1"/>
        <v>Bad</v>
      </c>
    </row>
    <row r="7074" spans="2:34" x14ac:dyDescent="0.2">
      <c r="B7074" s="2">
        <f ca="1"/>
        <v>0.97244545033610952</v>
      </c>
      <c r="O7074" s="2">
        <f ca="1"/>
        <v>-0.28525794251714165</v>
      </c>
      <c r="X7074" s="2">
        <f ca="1"/>
        <v>62.664902473542881</v>
      </c>
      <c r="AG7074" s="2">
        <f ca="1"/>
        <v>0.44944215075046268</v>
      </c>
      <c r="AH7074" s="2" t="str">
        <f ca="1"/>
        <v>Bad</v>
      </c>
    </row>
    <row r="7075" spans="2:34" x14ac:dyDescent="0.2">
      <c r="B7075" s="2">
        <f ca="1"/>
        <v>0.66753700021716678</v>
      </c>
      <c r="O7075" s="2">
        <f ca="1"/>
        <v>-2.319823905188688</v>
      </c>
      <c r="X7075" s="2">
        <f ca="1"/>
        <v>25.161215430778352</v>
      </c>
      <c r="AG7075" s="2">
        <f ca="1"/>
        <v>0.66092001784224541</v>
      </c>
      <c r="AH7075" s="2" t="str">
        <f ca="1"/>
        <v>Bad</v>
      </c>
    </row>
    <row r="7076" spans="2:34" x14ac:dyDescent="0.2">
      <c r="B7076" s="2">
        <f ca="1"/>
        <v>0.96211603390001721</v>
      </c>
      <c r="O7076" s="2">
        <f ca="1"/>
        <v>-1.1841234067752369</v>
      </c>
      <c r="X7076" s="2">
        <f ca="1"/>
        <v>47.295028778790794</v>
      </c>
      <c r="AG7076" s="2">
        <f ca="1"/>
        <v>0.73746994699181867</v>
      </c>
      <c r="AH7076" s="2" t="str">
        <f ca="1"/>
        <v>Bad</v>
      </c>
    </row>
    <row r="7077" spans="2:34" x14ac:dyDescent="0.2">
      <c r="B7077" s="2">
        <f ca="1"/>
        <v>0.30141330341866568</v>
      </c>
      <c r="O7077" s="2">
        <f ca="1"/>
        <v>0.32698447923954116</v>
      </c>
      <c r="X7077" s="2">
        <f ca="1"/>
        <v>58.072882931646745</v>
      </c>
      <c r="AG7077" s="2">
        <f ca="1"/>
        <v>0.83820660040140682</v>
      </c>
      <c r="AH7077" s="2" t="str">
        <f ca="1"/>
        <v>Bad</v>
      </c>
    </row>
    <row r="7078" spans="2:34" x14ac:dyDescent="0.2">
      <c r="B7078" s="2">
        <f ca="1"/>
        <v>0.63927167813873709</v>
      </c>
      <c r="O7078" s="2">
        <f ca="1"/>
        <v>-0.23006079509454497</v>
      </c>
      <c r="X7078" s="2">
        <f ca="1"/>
        <v>55.994942764401884</v>
      </c>
      <c r="AG7078" s="2">
        <f ca="1"/>
        <v>0.39305504562690596</v>
      </c>
      <c r="AH7078" s="2" t="str">
        <f ca="1"/>
        <v>OK</v>
      </c>
    </row>
    <row r="7079" spans="2:34" x14ac:dyDescent="0.2">
      <c r="B7079" s="2">
        <f ca="1"/>
        <v>0.16445066102111072</v>
      </c>
      <c r="O7079" s="2">
        <f ca="1"/>
        <v>1.2304420621475265</v>
      </c>
      <c r="X7079" s="2">
        <f ca="1"/>
        <v>37.308459203085015</v>
      </c>
      <c r="AG7079" s="2">
        <f ca="1"/>
        <v>0.53365509465865935</v>
      </c>
      <c r="AH7079" s="2" t="str">
        <f ca="1"/>
        <v>Bad</v>
      </c>
    </row>
    <row r="7080" spans="2:34" x14ac:dyDescent="0.2">
      <c r="B7080" s="2">
        <f ca="1"/>
        <v>0.37188389599888905</v>
      </c>
      <c r="O7080" s="2">
        <f ca="1"/>
        <v>0.30119573607929484</v>
      </c>
      <c r="X7080" s="2">
        <f ca="1"/>
        <v>52.358566689085144</v>
      </c>
      <c r="AG7080" s="2">
        <f ca="1"/>
        <v>0.25864096473194609</v>
      </c>
      <c r="AH7080" s="2" t="str">
        <f ca="1"/>
        <v>OK</v>
      </c>
    </row>
    <row r="7081" spans="2:34" x14ac:dyDescent="0.2">
      <c r="B7081" s="2">
        <f ca="1"/>
        <v>0.62874754297862423</v>
      </c>
      <c r="O7081" s="2">
        <f ca="1"/>
        <v>1.0825712264911407</v>
      </c>
      <c r="X7081" s="2">
        <f ca="1"/>
        <v>45.150338528774192</v>
      </c>
      <c r="AG7081" s="2">
        <f ca="1"/>
        <v>0.53475514129610824</v>
      </c>
      <c r="AH7081" s="2" t="str">
        <f ca="1"/>
        <v>Bad</v>
      </c>
    </row>
    <row r="7082" spans="2:34" x14ac:dyDescent="0.2">
      <c r="B7082" s="2">
        <f ca="1"/>
        <v>0.22940327673859384</v>
      </c>
      <c r="O7082" s="2">
        <f ca="1"/>
        <v>0.61072328017322797</v>
      </c>
      <c r="X7082" s="2">
        <f ca="1"/>
        <v>61.041344533111868</v>
      </c>
      <c r="AG7082" s="2">
        <f ca="1"/>
        <v>5.9408413103970936E-2</v>
      </c>
      <c r="AH7082" s="2" t="str">
        <f ca="1"/>
        <v>OK</v>
      </c>
    </row>
    <row r="7083" spans="2:34" x14ac:dyDescent="0.2">
      <c r="B7083" s="2">
        <f ca="1"/>
        <v>0.50447216333615019</v>
      </c>
      <c r="O7083" s="2">
        <f ca="1"/>
        <v>1.1715514155253479</v>
      </c>
      <c r="X7083" s="2">
        <f ca="1"/>
        <v>50.141563395503972</v>
      </c>
      <c r="AG7083" s="2">
        <f ca="1"/>
        <v>3.2409406682452735E-2</v>
      </c>
      <c r="AH7083" s="2" t="str">
        <f ca="1"/>
        <v>Good</v>
      </c>
    </row>
    <row r="7084" spans="2:34" x14ac:dyDescent="0.2">
      <c r="B7084" s="2">
        <f ca="1"/>
        <v>0.54219775185018459</v>
      </c>
      <c r="O7084" s="2">
        <f ca="1"/>
        <v>-0.31199576056168971</v>
      </c>
      <c r="X7084" s="2">
        <f ca="1"/>
        <v>48.104544833011317</v>
      </c>
      <c r="AG7084" s="2">
        <f ca="1"/>
        <v>0.12074013657730176</v>
      </c>
      <c r="AH7084" s="2" t="str">
        <f ca="1"/>
        <v>OK</v>
      </c>
    </row>
    <row r="7085" spans="2:34" x14ac:dyDescent="0.2">
      <c r="B7085" s="2">
        <f ca="1"/>
        <v>0.58260251164473087</v>
      </c>
      <c r="O7085" s="2">
        <f ca="1"/>
        <v>-0.93749584745671177</v>
      </c>
      <c r="X7085" s="2">
        <f ca="1"/>
        <v>28.909791613991938</v>
      </c>
      <c r="AG7085" s="2">
        <f ca="1"/>
        <v>0.42964218794953291</v>
      </c>
      <c r="AH7085" s="2" t="str">
        <f ca="1"/>
        <v>Bad</v>
      </c>
    </row>
    <row r="7086" spans="2:34" x14ac:dyDescent="0.2">
      <c r="B7086" s="2">
        <f ca="1"/>
        <v>0.36314745777880764</v>
      </c>
      <c r="O7086" s="2">
        <f ca="1"/>
        <v>0.28881720176185294</v>
      </c>
      <c r="X7086" s="2">
        <f ca="1"/>
        <v>38.428846809703344</v>
      </c>
      <c r="AG7086" s="2">
        <f ca="1"/>
        <v>0.70060180716484943</v>
      </c>
      <c r="AH7086" s="2" t="str">
        <f ca="1"/>
        <v>Bad</v>
      </c>
    </row>
    <row r="7087" spans="2:34" x14ac:dyDescent="0.2">
      <c r="B7087" s="2">
        <f ca="1"/>
        <v>0.89322536372720696</v>
      </c>
      <c r="O7087" s="2">
        <f ca="1"/>
        <v>0.51326961562052631</v>
      </c>
      <c r="X7087" s="2">
        <f ca="1"/>
        <v>39.05911612711958</v>
      </c>
      <c r="AG7087" s="2">
        <f ca="1"/>
        <v>0.39867453661630514</v>
      </c>
      <c r="AH7087" s="2" t="str">
        <f ca="1"/>
        <v>OK</v>
      </c>
    </row>
    <row r="7088" spans="2:34" x14ac:dyDescent="0.2">
      <c r="B7088" s="2">
        <f ca="1"/>
        <v>0.66186141564964274</v>
      </c>
      <c r="O7088" s="2">
        <f ca="1"/>
        <v>-0.4838256369517811</v>
      </c>
      <c r="X7088" s="2">
        <f ca="1"/>
        <v>45.787984915009645</v>
      </c>
      <c r="AG7088" s="2">
        <f ca="1"/>
        <v>0.31233213535885529</v>
      </c>
      <c r="AH7088" s="2" t="str">
        <f ca="1"/>
        <v>OK</v>
      </c>
    </row>
    <row r="7089" spans="2:34" x14ac:dyDescent="0.2">
      <c r="B7089" s="2">
        <f ca="1"/>
        <v>0.12051494618701142</v>
      </c>
      <c r="O7089" s="2">
        <f ca="1"/>
        <v>2.9381707835526321</v>
      </c>
      <c r="X7089" s="2">
        <f ca="1"/>
        <v>46.142463535821832</v>
      </c>
      <c r="AG7089" s="2">
        <f ca="1"/>
        <v>0.3329702871096103</v>
      </c>
      <c r="AH7089" s="2" t="str">
        <f ca="1"/>
        <v>OK</v>
      </c>
    </row>
    <row r="7090" spans="2:34" x14ac:dyDescent="0.2">
      <c r="B7090" s="2">
        <f ca="1"/>
        <v>0.20567690614495793</v>
      </c>
      <c r="O7090" s="2">
        <f ca="1"/>
        <v>1.3506450478476</v>
      </c>
      <c r="X7090" s="2">
        <f ca="1"/>
        <v>21.182715930506969</v>
      </c>
      <c r="AG7090" s="2">
        <f ca="1"/>
        <v>0.35153196534074627</v>
      </c>
      <c r="AH7090" s="2" t="str">
        <f ca="1"/>
        <v>OK</v>
      </c>
    </row>
    <row r="7091" spans="2:34" x14ac:dyDescent="0.2">
      <c r="B7091" s="2">
        <f ca="1"/>
        <v>8.7958631621676053E-2</v>
      </c>
      <c r="O7091" s="2">
        <f ca="1"/>
        <v>-0.80114602528383205</v>
      </c>
      <c r="X7091" s="2">
        <f ca="1"/>
        <v>42.104600666593797</v>
      </c>
      <c r="AG7091" s="2">
        <f ca="1"/>
        <v>0.13581701051707618</v>
      </c>
      <c r="AH7091" s="2" t="str">
        <f ca="1"/>
        <v>OK</v>
      </c>
    </row>
    <row r="7092" spans="2:34" x14ac:dyDescent="0.2">
      <c r="B7092" s="2">
        <f ca="1"/>
        <v>0.14321408452758266</v>
      </c>
      <c r="O7092" s="2">
        <f ca="1"/>
        <v>-2.2561319765334056E-2</v>
      </c>
      <c r="X7092" s="2">
        <f ca="1"/>
        <v>47.163473733131028</v>
      </c>
      <c r="AG7092" s="2">
        <f ca="1"/>
        <v>0.64255472065888752</v>
      </c>
      <c r="AH7092" s="2" t="str">
        <f ca="1"/>
        <v>Bad</v>
      </c>
    </row>
    <row r="7093" spans="2:34" x14ac:dyDescent="0.2">
      <c r="B7093" s="2">
        <f ca="1"/>
        <v>0.29379132257212692</v>
      </c>
      <c r="O7093" s="2">
        <f ca="1"/>
        <v>-0.49906991338259493</v>
      </c>
      <c r="X7093" s="2">
        <f ca="1"/>
        <v>41.3887237540239</v>
      </c>
      <c r="AG7093" s="2">
        <f ca="1"/>
        <v>0.69537491176898825</v>
      </c>
      <c r="AH7093" s="2" t="str">
        <f ca="1"/>
        <v>Bad</v>
      </c>
    </row>
    <row r="7094" spans="2:34" x14ac:dyDescent="0.2">
      <c r="B7094" s="2">
        <f ca="1"/>
        <v>0.56490414364906738</v>
      </c>
      <c r="O7094" s="2">
        <f ca="1"/>
        <v>0.15455762405379411</v>
      </c>
      <c r="X7094" s="2">
        <f ca="1"/>
        <v>58.700201924470569</v>
      </c>
      <c r="AG7094" s="2">
        <f ca="1"/>
        <v>0.85033560720270929</v>
      </c>
      <c r="AH7094" s="2" t="str">
        <f ca="1"/>
        <v>Bad</v>
      </c>
    </row>
    <row r="7095" spans="2:34" x14ac:dyDescent="0.2">
      <c r="B7095" s="2">
        <f ca="1"/>
        <v>0.38253504937641281</v>
      </c>
      <c r="O7095" s="2">
        <f ca="1"/>
        <v>-0.34831280388234276</v>
      </c>
      <c r="X7095" s="2">
        <f ca="1"/>
        <v>30.064253565581915</v>
      </c>
      <c r="AG7095" s="2">
        <f ca="1"/>
        <v>0.54269579374921362</v>
      </c>
      <c r="AH7095" s="2" t="str">
        <f ca="1"/>
        <v>Bad</v>
      </c>
    </row>
    <row r="7096" spans="2:34" x14ac:dyDescent="0.2">
      <c r="B7096" s="2">
        <f ca="1"/>
        <v>0.14866035695903057</v>
      </c>
      <c r="O7096" s="2">
        <f ca="1"/>
        <v>-1.5066610481082676</v>
      </c>
      <c r="X7096" s="2">
        <f ca="1"/>
        <v>57.799236526969423</v>
      </c>
      <c r="AG7096" s="2">
        <f ca="1"/>
        <v>6.7359732200836353E-2</v>
      </c>
      <c r="AH7096" s="2" t="str">
        <f ca="1"/>
        <v>OK</v>
      </c>
    </row>
    <row r="7097" spans="2:34" x14ac:dyDescent="0.2">
      <c r="B7097" s="2">
        <f ca="1"/>
        <v>0.68882482220535679</v>
      </c>
      <c r="O7097" s="2">
        <f ca="1"/>
        <v>-0.33617539791782086</v>
      </c>
      <c r="X7097" s="2">
        <f ca="1"/>
        <v>56.722972635981534</v>
      </c>
      <c r="AG7097" s="2">
        <f ca="1"/>
        <v>0.66300805927316864</v>
      </c>
      <c r="AH7097" s="2" t="str">
        <f ca="1"/>
        <v>Bad</v>
      </c>
    </row>
    <row r="7098" spans="2:34" x14ac:dyDescent="0.2">
      <c r="B7098" s="2">
        <f ca="1"/>
        <v>0.62116279658833973</v>
      </c>
      <c r="O7098" s="2">
        <f ca="1"/>
        <v>-1.1128459525732504</v>
      </c>
      <c r="X7098" s="2">
        <f ca="1"/>
        <v>32.717080519696623</v>
      </c>
      <c r="AG7098" s="2">
        <f ca="1"/>
        <v>0.12298080669895173</v>
      </c>
      <c r="AH7098" s="2" t="str">
        <f ca="1"/>
        <v>OK</v>
      </c>
    </row>
    <row r="7099" spans="2:34" x14ac:dyDescent="0.2">
      <c r="B7099" s="2">
        <f ca="1"/>
        <v>0.5067298940870848</v>
      </c>
      <c r="O7099" s="2">
        <f ca="1"/>
        <v>0.75929493322613129</v>
      </c>
      <c r="X7099" s="2">
        <f ca="1"/>
        <v>75.491091454926107</v>
      </c>
      <c r="AG7099" s="2">
        <f ca="1"/>
        <v>0.11018886075006185</v>
      </c>
      <c r="AH7099" s="2" t="str">
        <f ca="1"/>
        <v>OK</v>
      </c>
    </row>
    <row r="7100" spans="2:34" x14ac:dyDescent="0.2">
      <c r="B7100" s="2">
        <f ca="1"/>
        <v>0.39544668717302822</v>
      </c>
      <c r="O7100" s="2">
        <f ca="1"/>
        <v>-0.93121322546786001</v>
      </c>
      <c r="X7100" s="2">
        <f ca="1"/>
        <v>50.492126260286049</v>
      </c>
      <c r="AG7100" s="2">
        <f ca="1"/>
        <v>0.80324491766395867</v>
      </c>
      <c r="AH7100" s="2" t="str">
        <f ca="1"/>
        <v>Bad</v>
      </c>
    </row>
    <row r="7101" spans="2:34" x14ac:dyDescent="0.2">
      <c r="B7101" s="2">
        <f ca="1"/>
        <v>0.37483708723152809</v>
      </c>
      <c r="O7101" s="2">
        <f ca="1"/>
        <v>2.5946744610972794E-2</v>
      </c>
      <c r="X7101" s="2">
        <f ca="1"/>
        <v>28.624063219121574</v>
      </c>
      <c r="AG7101" s="2">
        <f ca="1"/>
        <v>0.62302141197726479</v>
      </c>
      <c r="AH7101" s="2" t="str">
        <f ca="1"/>
        <v>Bad</v>
      </c>
    </row>
    <row r="7102" spans="2:34" x14ac:dyDescent="0.2">
      <c r="B7102" s="2">
        <f ca="1"/>
        <v>0.86238285665738257</v>
      </c>
      <c r="O7102" s="2">
        <f ca="1"/>
        <v>0.53461242321663716</v>
      </c>
      <c r="X7102" s="2">
        <f ca="1"/>
        <v>87.221865942788881</v>
      </c>
      <c r="AG7102" s="2">
        <f ca="1"/>
        <v>0.5675869076360045</v>
      </c>
      <c r="AH7102" s="2" t="str">
        <f ca="1"/>
        <v>Bad</v>
      </c>
    </row>
    <row r="7103" spans="2:34" x14ac:dyDescent="0.2">
      <c r="B7103" s="2">
        <f ca="1"/>
        <v>0.74548322219596375</v>
      </c>
      <c r="O7103" s="2">
        <f ca="1"/>
        <v>-1.4684128636116237E-2</v>
      </c>
      <c r="X7103" s="2">
        <f ca="1"/>
        <v>70.781979312939342</v>
      </c>
      <c r="AG7103" s="2">
        <f ca="1"/>
        <v>0.3074431733029539</v>
      </c>
      <c r="AH7103" s="2" t="str">
        <f ca="1"/>
        <v>OK</v>
      </c>
    </row>
    <row r="7104" spans="2:34" x14ac:dyDescent="0.2">
      <c r="B7104" s="2">
        <f ca="1"/>
        <v>0.55580647391342808</v>
      </c>
      <c r="O7104" s="2">
        <f ca="1"/>
        <v>0.21366990586774764</v>
      </c>
      <c r="X7104" s="2">
        <f ca="1"/>
        <v>55.050588573415752</v>
      </c>
      <c r="AG7104" s="2">
        <f ca="1"/>
        <v>0.72560229811157306</v>
      </c>
      <c r="AH7104" s="2" t="str">
        <f ca="1"/>
        <v>Bad</v>
      </c>
    </row>
    <row r="7105" spans="2:34" x14ac:dyDescent="0.2">
      <c r="B7105" s="2">
        <f ca="1"/>
        <v>0.83304979425879999</v>
      </c>
      <c r="O7105" s="2">
        <f ca="1"/>
        <v>-1.0604259551449955</v>
      </c>
      <c r="X7105" s="2">
        <f ca="1"/>
        <v>45.698721411886112</v>
      </c>
      <c r="AG7105" s="2">
        <f ca="1"/>
        <v>0.15614108987858621</v>
      </c>
      <c r="AH7105" s="2" t="str">
        <f ca="1"/>
        <v>OK</v>
      </c>
    </row>
    <row r="7106" spans="2:34" x14ac:dyDescent="0.2">
      <c r="B7106" s="2">
        <f ca="1"/>
        <v>0.69337147049541348</v>
      </c>
      <c r="O7106" s="2">
        <f ca="1"/>
        <v>0.44170913784830312</v>
      </c>
      <c r="X7106" s="2">
        <f ca="1"/>
        <v>90.976834808337941</v>
      </c>
      <c r="AG7106" s="2">
        <f ca="1"/>
        <v>0.86965685667243164</v>
      </c>
      <c r="AH7106" s="2" t="str">
        <f ca="1"/>
        <v>Bad</v>
      </c>
    </row>
    <row r="7107" spans="2:34" x14ac:dyDescent="0.2">
      <c r="B7107" s="2">
        <f ca="1"/>
        <v>0.30596645140657031</v>
      </c>
      <c r="O7107" s="2">
        <f ca="1"/>
        <v>-9.0137224001863858E-3</v>
      </c>
      <c r="X7107" s="2">
        <f ca="1"/>
        <v>50.248805895308244</v>
      </c>
      <c r="AG7107" s="2">
        <f ca="1"/>
        <v>0.13943845961906853</v>
      </c>
      <c r="AH7107" s="2" t="str">
        <f ca="1"/>
        <v>OK</v>
      </c>
    </row>
    <row r="7108" spans="2:34" x14ac:dyDescent="0.2">
      <c r="B7108" s="2">
        <f ca="1"/>
        <v>0.65136928609758571</v>
      </c>
      <c r="O7108" s="2">
        <f ca="1"/>
        <v>1.2768210031075893</v>
      </c>
      <c r="X7108" s="2">
        <f ca="1"/>
        <v>43.225935779347438</v>
      </c>
      <c r="AG7108" s="2">
        <f ca="1"/>
        <v>0.75080889077495283</v>
      </c>
      <c r="AH7108" s="2" t="str">
        <f ca="1"/>
        <v>Bad</v>
      </c>
    </row>
    <row r="7109" spans="2:34" x14ac:dyDescent="0.2">
      <c r="B7109" s="2">
        <f ca="1"/>
        <v>0.15880562113373609</v>
      </c>
      <c r="O7109" s="2">
        <f ca="1"/>
        <v>0.81787656519169971</v>
      </c>
      <c r="X7109" s="2">
        <f ca="1"/>
        <v>31.234167040987909</v>
      </c>
      <c r="AG7109" s="2">
        <f ca="1"/>
        <v>0.57967602038305022</v>
      </c>
      <c r="AH7109" s="2" t="str">
        <f ca="1"/>
        <v>Bad</v>
      </c>
    </row>
    <row r="7110" spans="2:34" x14ac:dyDescent="0.2">
      <c r="B7110" s="2">
        <f ca="1"/>
        <v>0.94851200990704254</v>
      </c>
      <c r="O7110" s="2">
        <f ca="1"/>
        <v>0.48811113014662305</v>
      </c>
      <c r="X7110" s="2">
        <f ca="1"/>
        <v>31.499888881679738</v>
      </c>
      <c r="AG7110" s="2">
        <f ca="1"/>
        <v>0.55997737912604606</v>
      </c>
      <c r="AH7110" s="2" t="str">
        <f ca="1"/>
        <v>Bad</v>
      </c>
    </row>
    <row r="7111" spans="2:34" x14ac:dyDescent="0.2">
      <c r="B7111" s="2">
        <f ca="1"/>
        <v>0.29256038117979322</v>
      </c>
      <c r="O7111" s="2">
        <f ca="1"/>
        <v>-0.45509985253750296</v>
      </c>
      <c r="X7111" s="2">
        <f ca="1"/>
        <v>83.121562046505474</v>
      </c>
      <c r="AG7111" s="2">
        <f ca="1"/>
        <v>0.85566564249227328</v>
      </c>
      <c r="AH7111" s="2" t="str">
        <f ca="1"/>
        <v>Bad</v>
      </c>
    </row>
    <row r="7112" spans="2:34" x14ac:dyDescent="0.2">
      <c r="B7112" s="2">
        <f ca="1"/>
        <v>0.66518634693698075</v>
      </c>
      <c r="O7112" s="2">
        <f ca="1"/>
        <v>-1.5963884360843714</v>
      </c>
      <c r="X7112" s="2">
        <f ca="1"/>
        <v>22.45213023486626</v>
      </c>
      <c r="AG7112" s="2">
        <f ca="1"/>
        <v>0.47434344090129854</v>
      </c>
      <c r="AH7112" s="2" t="str">
        <f ca="1"/>
        <v>Bad</v>
      </c>
    </row>
    <row r="7113" spans="2:34" x14ac:dyDescent="0.2">
      <c r="B7113" s="2">
        <f ca="1"/>
        <v>0.20425805939390962</v>
      </c>
      <c r="O7113" s="2">
        <f ca="1"/>
        <v>-0.86927226390547041</v>
      </c>
      <c r="X7113" s="2">
        <f ca="1"/>
        <v>49.779353938932438</v>
      </c>
      <c r="AG7113" s="2">
        <f ca="1"/>
        <v>0.86959721796942624</v>
      </c>
      <c r="AH7113" s="2" t="str">
        <f ca="1"/>
        <v>Bad</v>
      </c>
    </row>
    <row r="7114" spans="2:34" x14ac:dyDescent="0.2">
      <c r="B7114" s="2">
        <f ca="1"/>
        <v>0.72635911928552588</v>
      </c>
      <c r="O7114" s="2">
        <f ca="1"/>
        <v>0.40955401605334657</v>
      </c>
      <c r="X7114" s="2">
        <f ca="1"/>
        <v>58.008036214043116</v>
      </c>
      <c r="AG7114" s="2">
        <f ca="1"/>
        <v>0.95703048179348449</v>
      </c>
      <c r="AH7114" s="2" t="str">
        <f ca="1"/>
        <v>Bad</v>
      </c>
    </row>
    <row r="7115" spans="2:34" x14ac:dyDescent="0.2">
      <c r="B7115" s="2">
        <f ca="1"/>
        <v>0.73532367473152793</v>
      </c>
      <c r="O7115" s="2">
        <f ca="1"/>
        <v>-0.19327384542434353</v>
      </c>
      <c r="X7115" s="2">
        <f ca="1"/>
        <v>40.010334193950492</v>
      </c>
      <c r="AG7115" s="2">
        <f ca="1"/>
        <v>0.49176381194261576</v>
      </c>
      <c r="AH7115" s="2" t="str">
        <f ca="1"/>
        <v>Bad</v>
      </c>
    </row>
    <row r="7116" spans="2:34" x14ac:dyDescent="0.2">
      <c r="B7116" s="2">
        <f ca="1"/>
        <v>8.4524261199314443E-2</v>
      </c>
      <c r="O7116" s="2">
        <f ca="1"/>
        <v>0.60369508078439438</v>
      </c>
      <c r="X7116" s="2">
        <f ca="1"/>
        <v>42.440929395493072</v>
      </c>
      <c r="AG7116" s="2">
        <f ca="1"/>
        <v>4.0207129397169528E-2</v>
      </c>
      <c r="AH7116" s="2" t="str">
        <f ca="1"/>
        <v>Good</v>
      </c>
    </row>
    <row r="7117" spans="2:34" x14ac:dyDescent="0.2">
      <c r="B7117" s="2">
        <f ca="1"/>
        <v>0.21776804831453989</v>
      </c>
      <c r="O7117" s="2">
        <f ca="1"/>
        <v>0.80661712178332445</v>
      </c>
      <c r="X7117" s="2">
        <f ca="1"/>
        <v>61.483888461525552</v>
      </c>
      <c r="AG7117" s="2">
        <f ca="1"/>
        <v>0.234426856944425</v>
      </c>
      <c r="AH7117" s="2" t="str">
        <f ca="1"/>
        <v>OK</v>
      </c>
    </row>
    <row r="7118" spans="2:34" x14ac:dyDescent="0.2">
      <c r="B7118" s="2">
        <f ca="1"/>
        <v>0.74832926673613565</v>
      </c>
      <c r="O7118" s="2">
        <f ca="1"/>
        <v>1.7727059590237424</v>
      </c>
      <c r="X7118" s="2">
        <f ca="1"/>
        <v>74.631903564871578</v>
      </c>
      <c r="AG7118" s="2">
        <f ca="1"/>
        <v>0.47595617846813831</v>
      </c>
      <c r="AH7118" s="2" t="str">
        <f ca="1"/>
        <v>Bad</v>
      </c>
    </row>
    <row r="7119" spans="2:34" x14ac:dyDescent="0.2">
      <c r="B7119" s="2">
        <f ca="1"/>
        <v>0.45570665204379712</v>
      </c>
      <c r="O7119" s="2">
        <f ca="1"/>
        <v>-0.69825576907107822</v>
      </c>
      <c r="X7119" s="2">
        <f ca="1"/>
        <v>30.038925697867803</v>
      </c>
      <c r="AG7119" s="2">
        <f ca="1"/>
        <v>0.50070983125734991</v>
      </c>
      <c r="AH7119" s="2" t="str">
        <f ca="1"/>
        <v>Bad</v>
      </c>
    </row>
    <row r="7120" spans="2:34" x14ac:dyDescent="0.2">
      <c r="B7120" s="2">
        <f ca="1"/>
        <v>0.29568895325617217</v>
      </c>
      <c r="O7120" s="2">
        <f ca="1"/>
        <v>-1.3236761848112286</v>
      </c>
      <c r="X7120" s="2">
        <f ca="1"/>
        <v>34.582586653316369</v>
      </c>
      <c r="AG7120" s="2">
        <f ca="1"/>
        <v>0.50501186612733417</v>
      </c>
      <c r="AH7120" s="2" t="str">
        <f ca="1"/>
        <v>Bad</v>
      </c>
    </row>
    <row r="7121" spans="2:34" x14ac:dyDescent="0.2">
      <c r="B7121" s="2">
        <f ca="1"/>
        <v>0.54044158648793661</v>
      </c>
      <c r="O7121" s="2">
        <f ca="1"/>
        <v>0.35623230471512518</v>
      </c>
      <c r="X7121" s="2">
        <f ca="1"/>
        <v>46.366292371833985</v>
      </c>
      <c r="AG7121" s="2">
        <f ca="1"/>
        <v>0.34576431553075881</v>
      </c>
      <c r="AH7121" s="2" t="str">
        <f ca="1"/>
        <v>OK</v>
      </c>
    </row>
    <row r="7122" spans="2:34" x14ac:dyDescent="0.2">
      <c r="B7122" s="2">
        <f ca="1"/>
        <v>4.6294375541291233E-2</v>
      </c>
      <c r="O7122" s="2">
        <f ca="1"/>
        <v>0.82070307212363125</v>
      </c>
      <c r="X7122" s="2">
        <f ca="1"/>
        <v>53.589480134020697</v>
      </c>
      <c r="AG7122" s="2">
        <f ca="1"/>
        <v>0.10474071479003921</v>
      </c>
      <c r="AH7122" s="2" t="str">
        <f ca="1"/>
        <v>OK</v>
      </c>
    </row>
    <row r="7123" spans="2:34" x14ac:dyDescent="0.2">
      <c r="B7123" s="2">
        <f ca="1"/>
        <v>0.21035362361093446</v>
      </c>
      <c r="O7123" s="2">
        <f ca="1"/>
        <v>-1.2674076236817624</v>
      </c>
      <c r="X7123" s="2">
        <f ca="1"/>
        <v>81.779421023699541</v>
      </c>
      <c r="AG7123" s="2">
        <f ca="1"/>
        <v>0.50513743634293329</v>
      </c>
      <c r="AH7123" s="2" t="str">
        <f ca="1"/>
        <v>Bad</v>
      </c>
    </row>
    <row r="7124" spans="2:34" x14ac:dyDescent="0.2">
      <c r="B7124" s="2">
        <f ca="1"/>
        <v>0.37647318462696044</v>
      </c>
      <c r="O7124" s="2">
        <f ca="1"/>
        <v>-0.2478493737439027</v>
      </c>
      <c r="X7124" s="2">
        <f ca="1"/>
        <v>55.284843063415785</v>
      </c>
      <c r="AG7124" s="2">
        <f ca="1"/>
        <v>0.12062002846164233</v>
      </c>
      <c r="AH7124" s="2" t="str">
        <f ca="1"/>
        <v>OK</v>
      </c>
    </row>
    <row r="7125" spans="2:34" x14ac:dyDescent="0.2">
      <c r="B7125" s="2">
        <f ca="1"/>
        <v>0.87268485285480701</v>
      </c>
      <c r="O7125" s="2">
        <f ca="1"/>
        <v>-1.0225292717102883</v>
      </c>
      <c r="X7125" s="2">
        <f ca="1"/>
        <v>23.585926130084928</v>
      </c>
      <c r="AG7125" s="2">
        <f ca="1"/>
        <v>0.19114125661225945</v>
      </c>
      <c r="AH7125" s="2" t="str">
        <f ca="1"/>
        <v>OK</v>
      </c>
    </row>
    <row r="7126" spans="2:34" x14ac:dyDescent="0.2">
      <c r="B7126" s="2">
        <f ca="1"/>
        <v>0.44208895365653889</v>
      </c>
      <c r="O7126" s="2">
        <f ca="1"/>
        <v>0.11267208390705699</v>
      </c>
      <c r="X7126" s="2">
        <f ca="1"/>
        <v>42.083925254106802</v>
      </c>
      <c r="AG7126" s="2">
        <f ca="1"/>
        <v>0.65626525351599652</v>
      </c>
      <c r="AH7126" s="2" t="str">
        <f ca="1"/>
        <v>Bad</v>
      </c>
    </row>
    <row r="7127" spans="2:34" x14ac:dyDescent="0.2">
      <c r="B7127" s="2">
        <f ca="1"/>
        <v>0.48305554888503277</v>
      </c>
      <c r="O7127" s="2">
        <f ca="1"/>
        <v>0.64091720669150054</v>
      </c>
      <c r="X7127" s="2">
        <f ca="1"/>
        <v>66.493838441905879</v>
      </c>
      <c r="AG7127" s="2">
        <f ca="1"/>
        <v>0.63640348086778165</v>
      </c>
      <c r="AH7127" s="2" t="str">
        <f ca="1"/>
        <v>Bad</v>
      </c>
    </row>
    <row r="7128" spans="2:34" x14ac:dyDescent="0.2">
      <c r="B7128" s="2">
        <f ca="1"/>
        <v>0.18069128867941187</v>
      </c>
      <c r="O7128" s="2">
        <f ca="1"/>
        <v>-0.86157231737361517</v>
      </c>
      <c r="X7128" s="2">
        <f ca="1"/>
        <v>63.269697380900851</v>
      </c>
      <c r="AG7128" s="2">
        <f ca="1"/>
        <v>0.39178352941438988</v>
      </c>
      <c r="AH7128" s="2" t="str">
        <f ca="1"/>
        <v>OK</v>
      </c>
    </row>
    <row r="7129" spans="2:34" x14ac:dyDescent="0.2">
      <c r="B7129" s="2">
        <f ca="1"/>
        <v>0.55710301164356424</v>
      </c>
      <c r="O7129" s="2">
        <f ca="1"/>
        <v>-0.6235974948135895</v>
      </c>
      <c r="X7129" s="2">
        <f ca="1"/>
        <v>33.903913774876663</v>
      </c>
      <c r="AG7129" s="2">
        <f ca="1"/>
        <v>0.18760239458436923</v>
      </c>
      <c r="AH7129" s="2" t="str">
        <f ca="1"/>
        <v>OK</v>
      </c>
    </row>
    <row r="7130" spans="2:34" x14ac:dyDescent="0.2">
      <c r="B7130" s="2">
        <f ca="1"/>
        <v>0.64249889584708031</v>
      </c>
      <c r="O7130" s="2">
        <f ca="1"/>
        <v>-6.1873348013423653E-2</v>
      </c>
      <c r="X7130" s="2">
        <f ca="1"/>
        <v>70.470591868672315</v>
      </c>
      <c r="AG7130" s="2">
        <f ca="1"/>
        <v>0.3245307796738337</v>
      </c>
      <c r="AH7130" s="2" t="str">
        <f ca="1"/>
        <v>OK</v>
      </c>
    </row>
    <row r="7131" spans="2:34" x14ac:dyDescent="0.2">
      <c r="B7131" s="2">
        <f ca="1"/>
        <v>0.93183495182205811</v>
      </c>
      <c r="O7131" s="2">
        <f ca="1"/>
        <v>-0.29430654407815782</v>
      </c>
      <c r="X7131" s="2">
        <f ca="1"/>
        <v>28.597328940835418</v>
      </c>
      <c r="AG7131" s="2">
        <f ca="1"/>
        <v>0.45000364131722925</v>
      </c>
      <c r="AH7131" s="2" t="str">
        <f ca="1"/>
        <v>Bad</v>
      </c>
    </row>
    <row r="7132" spans="2:34" x14ac:dyDescent="0.2">
      <c r="B7132" s="2">
        <f ca="1"/>
        <v>0.45788745705036149</v>
      </c>
      <c r="O7132" s="2">
        <f ca="1"/>
        <v>0.28865119345348617</v>
      </c>
      <c r="X7132" s="2">
        <f ca="1"/>
        <v>37.755520148130515</v>
      </c>
      <c r="AG7132" s="2">
        <f ca="1"/>
        <v>7.2840085037507052E-2</v>
      </c>
      <c r="AH7132" s="2" t="str">
        <f ca="1"/>
        <v>OK</v>
      </c>
    </row>
    <row r="7133" spans="2:34" x14ac:dyDescent="0.2">
      <c r="B7133" s="2">
        <f ca="1"/>
        <v>0.5132079697065246</v>
      </c>
      <c r="O7133" s="2">
        <f ca="1"/>
        <v>0.58656413967596299</v>
      </c>
      <c r="X7133" s="2">
        <f ca="1"/>
        <v>73.19152447645898</v>
      </c>
      <c r="AG7133" s="2">
        <f ca="1"/>
        <v>0.28088984677345419</v>
      </c>
      <c r="AH7133" s="2" t="str">
        <f ca="1"/>
        <v>OK</v>
      </c>
    </row>
    <row r="7134" spans="2:34" x14ac:dyDescent="0.2">
      <c r="B7134" s="2">
        <f ca="1"/>
        <v>0.69322959349919744</v>
      </c>
      <c r="O7134" s="2">
        <f ca="1"/>
        <v>-1.7225340680016039</v>
      </c>
      <c r="X7134" s="2">
        <f ca="1"/>
        <v>51.976277648942329</v>
      </c>
      <c r="AG7134" s="2">
        <f ca="1"/>
        <v>0.89691251527351801</v>
      </c>
      <c r="AH7134" s="2" t="str">
        <f ca="1"/>
        <v>Bad</v>
      </c>
    </row>
    <row r="7135" spans="2:34" x14ac:dyDescent="0.2">
      <c r="B7135" s="2">
        <f ca="1"/>
        <v>0.44252640522056175</v>
      </c>
      <c r="O7135" s="2">
        <f ca="1"/>
        <v>-0.30922832456121468</v>
      </c>
      <c r="X7135" s="2">
        <f ca="1"/>
        <v>29.74880925216479</v>
      </c>
      <c r="AG7135" s="2">
        <f ca="1"/>
        <v>0.7603580315431695</v>
      </c>
      <c r="AH7135" s="2" t="str">
        <f ca="1"/>
        <v>Bad</v>
      </c>
    </row>
    <row r="7136" spans="2:34" x14ac:dyDescent="0.2">
      <c r="B7136" s="2">
        <f ca="1"/>
        <v>0.67816131677466696</v>
      </c>
      <c r="O7136" s="2">
        <f ca="1"/>
        <v>-0.30986334689330247</v>
      </c>
      <c r="X7136" s="2">
        <f ca="1"/>
        <v>34.865839345674821</v>
      </c>
      <c r="AG7136" s="2">
        <f ca="1"/>
        <v>0.21243107404233919</v>
      </c>
      <c r="AH7136" s="2" t="str">
        <f ca="1"/>
        <v>OK</v>
      </c>
    </row>
    <row r="7137" spans="2:34" x14ac:dyDescent="0.2">
      <c r="B7137" s="2">
        <f ca="1"/>
        <v>0.38000708970535424</v>
      </c>
      <c r="O7137" s="2">
        <f ca="1"/>
        <v>-0.40819931368163137</v>
      </c>
      <c r="X7137" s="2">
        <f ca="1"/>
        <v>36.62192589809753</v>
      </c>
      <c r="AG7137" s="2">
        <f ca="1"/>
        <v>0.7934776141359301</v>
      </c>
      <c r="AH7137" s="2" t="str">
        <f ca="1"/>
        <v>Bad</v>
      </c>
    </row>
    <row r="7138" spans="2:34" x14ac:dyDescent="0.2">
      <c r="B7138" s="2">
        <f ca="1"/>
        <v>0.1326300365585571</v>
      </c>
      <c r="O7138" s="2">
        <f ca="1"/>
        <v>1.3534593609942707</v>
      </c>
      <c r="X7138" s="2">
        <f ca="1"/>
        <v>36.695220385690803</v>
      </c>
      <c r="AG7138" s="2">
        <f ca="1"/>
        <v>0.87144628736474594</v>
      </c>
      <c r="AH7138" s="2" t="str">
        <f ca="1"/>
        <v>Bad</v>
      </c>
    </row>
    <row r="7139" spans="2:34" x14ac:dyDescent="0.2">
      <c r="B7139" s="2">
        <f ca="1"/>
        <v>0.1120792286877228</v>
      </c>
      <c r="O7139" s="2">
        <f ca="1"/>
        <v>-0.10582975671257779</v>
      </c>
      <c r="X7139" s="2">
        <f ca="1"/>
        <v>70.391842451943276</v>
      </c>
      <c r="AG7139" s="2">
        <f ca="1"/>
        <v>0.27654660769143824</v>
      </c>
      <c r="AH7139" s="2" t="str">
        <f ca="1"/>
        <v>OK</v>
      </c>
    </row>
    <row r="7140" spans="2:34" x14ac:dyDescent="0.2">
      <c r="B7140" s="2">
        <f ca="1"/>
        <v>0.29857497679589384</v>
      </c>
      <c r="O7140" s="2">
        <f ca="1"/>
        <v>-2.2281720512133351E-2</v>
      </c>
      <c r="X7140" s="2">
        <f ca="1"/>
        <v>58.261034965766434</v>
      </c>
      <c r="AG7140" s="2">
        <f ca="1"/>
        <v>8.96400906553807E-2</v>
      </c>
      <c r="AH7140" s="2" t="str">
        <f ca="1"/>
        <v>OK</v>
      </c>
    </row>
    <row r="7141" spans="2:34" x14ac:dyDescent="0.2">
      <c r="B7141" s="2">
        <f ca="1"/>
        <v>9.8876525588370789E-2</v>
      </c>
      <c r="O7141" s="2">
        <f ca="1"/>
        <v>0.85623792771824137</v>
      </c>
      <c r="X7141" s="2">
        <f ca="1"/>
        <v>32.498738264798199</v>
      </c>
      <c r="AG7141" s="2">
        <f ca="1"/>
        <v>0.13919175655366356</v>
      </c>
      <c r="AH7141" s="2" t="str">
        <f ca="1"/>
        <v>OK</v>
      </c>
    </row>
    <row r="7142" spans="2:34" x14ac:dyDescent="0.2">
      <c r="B7142" s="2">
        <f ca="1"/>
        <v>0.20792343958038195</v>
      </c>
      <c r="O7142" s="2">
        <f ca="1"/>
        <v>1.0356188771446246</v>
      </c>
      <c r="X7142" s="2">
        <f ca="1"/>
        <v>51.951514578941939</v>
      </c>
      <c r="AG7142" s="2">
        <f ca="1"/>
        <v>7.8063801271114341E-2</v>
      </c>
      <c r="AH7142" s="2" t="str">
        <f ca="1"/>
        <v>OK</v>
      </c>
    </row>
    <row r="7143" spans="2:34" x14ac:dyDescent="0.2">
      <c r="B7143" s="2">
        <f ca="1"/>
        <v>0.67437250890906419</v>
      </c>
      <c r="O7143" s="2">
        <f ca="1"/>
        <v>2.1329179798968796</v>
      </c>
      <c r="X7143" s="2">
        <f ca="1"/>
        <v>102.44018311314746</v>
      </c>
      <c r="AG7143" s="2">
        <f ca="1"/>
        <v>0.38290570177898542</v>
      </c>
      <c r="AH7143" s="2" t="str">
        <f ca="1"/>
        <v>OK</v>
      </c>
    </row>
    <row r="7144" spans="2:34" x14ac:dyDescent="0.2">
      <c r="B7144" s="2">
        <f ca="1"/>
        <v>0.91388572239146448</v>
      </c>
      <c r="O7144" s="2">
        <f ca="1"/>
        <v>-0.19165664399840462</v>
      </c>
      <c r="X7144" s="2">
        <f ca="1"/>
        <v>48.858403961252293</v>
      </c>
      <c r="AG7144" s="2">
        <f ca="1"/>
        <v>0.70412245141847674</v>
      </c>
      <c r="AH7144" s="2" t="str">
        <f ca="1"/>
        <v>Bad</v>
      </c>
    </row>
    <row r="7145" spans="2:34" x14ac:dyDescent="0.2">
      <c r="B7145" s="2">
        <f ca="1"/>
        <v>0.75246704822806598</v>
      </c>
      <c r="O7145" s="2">
        <f ca="1"/>
        <v>1.3642560498612619</v>
      </c>
      <c r="X7145" s="2">
        <f ca="1"/>
        <v>52.056993196977999</v>
      </c>
      <c r="AG7145" s="2">
        <f ca="1"/>
        <v>0.17204180671864844</v>
      </c>
      <c r="AH7145" s="2" t="str">
        <f ca="1"/>
        <v>OK</v>
      </c>
    </row>
    <row r="7146" spans="2:34" x14ac:dyDescent="0.2">
      <c r="B7146" s="2">
        <f ca="1"/>
        <v>0.14221053464648681</v>
      </c>
      <c r="O7146" s="2">
        <f ca="1"/>
        <v>3.0980931392895785E-2</v>
      </c>
      <c r="X7146" s="2">
        <f ca="1"/>
        <v>50.043795687559474</v>
      </c>
      <c r="AG7146" s="2">
        <f ca="1"/>
        <v>0.12812047787869085</v>
      </c>
      <c r="AH7146" s="2" t="str">
        <f ca="1"/>
        <v>OK</v>
      </c>
    </row>
    <row r="7147" spans="2:34" x14ac:dyDescent="0.2">
      <c r="B7147" s="2">
        <f ca="1"/>
        <v>0.67708854509689509</v>
      </c>
      <c r="O7147" s="2">
        <f ca="1"/>
        <v>-0.17030852068531391</v>
      </c>
      <c r="X7147" s="2">
        <f ca="1"/>
        <v>41.760990681784364</v>
      </c>
      <c r="AG7147" s="2">
        <f ca="1"/>
        <v>0.55683535583337407</v>
      </c>
      <c r="AH7147" s="2" t="str">
        <f ca="1"/>
        <v>Bad</v>
      </c>
    </row>
    <row r="7148" spans="2:34" x14ac:dyDescent="0.2">
      <c r="B7148" s="2">
        <f ca="1"/>
        <v>0.40725921129996179</v>
      </c>
      <c r="O7148" s="2">
        <f ca="1"/>
        <v>-0.95877231778427319</v>
      </c>
      <c r="X7148" s="2">
        <f ca="1"/>
        <v>44.160234596270776</v>
      </c>
      <c r="AG7148" s="2">
        <f ca="1"/>
        <v>0.34786834913492282</v>
      </c>
      <c r="AH7148" s="2" t="str">
        <f ca="1"/>
        <v>OK</v>
      </c>
    </row>
    <row r="7149" spans="2:34" x14ac:dyDescent="0.2">
      <c r="B7149" s="2">
        <f ca="1"/>
        <v>0.24828872850326178</v>
      </c>
      <c r="O7149" s="2">
        <f ca="1"/>
        <v>0.70034024477423684</v>
      </c>
      <c r="X7149" s="2">
        <f ca="1"/>
        <v>59.251243627729764</v>
      </c>
      <c r="AG7149" s="2">
        <f ca="1"/>
        <v>8.7853005033984521E-2</v>
      </c>
      <c r="AH7149" s="2" t="str">
        <f ca="1"/>
        <v>OK</v>
      </c>
    </row>
    <row r="7150" spans="2:34" x14ac:dyDescent="0.2">
      <c r="B7150" s="2">
        <f ca="1"/>
        <v>0.33956381404233005</v>
      </c>
      <c r="O7150" s="2">
        <f ca="1"/>
        <v>0.33101412519641943</v>
      </c>
      <c r="X7150" s="2">
        <f ca="1"/>
        <v>66.644308144926455</v>
      </c>
      <c r="AG7150" s="2">
        <f ca="1"/>
        <v>0.99189086258172443</v>
      </c>
      <c r="AH7150" s="2" t="str">
        <f ca="1"/>
        <v>Bad</v>
      </c>
    </row>
    <row r="7151" spans="2:34" x14ac:dyDescent="0.2">
      <c r="B7151" s="2">
        <f ca="1"/>
        <v>0.45976844263218508</v>
      </c>
      <c r="O7151" s="2">
        <f ca="1"/>
        <v>-1.2144885217868575</v>
      </c>
      <c r="X7151" s="2">
        <f ca="1"/>
        <v>57.854395248888231</v>
      </c>
      <c r="AG7151" s="2">
        <f ca="1"/>
        <v>7.6540842932468767E-3</v>
      </c>
      <c r="AH7151" s="2" t="str">
        <f ca="1"/>
        <v>Good</v>
      </c>
    </row>
    <row r="7152" spans="2:34" x14ac:dyDescent="0.2">
      <c r="B7152" s="2">
        <f ca="1"/>
        <v>1.2416075225855083E-2</v>
      </c>
      <c r="O7152" s="2">
        <f ca="1"/>
        <v>-0.13837384287478785</v>
      </c>
      <c r="X7152" s="2">
        <f ca="1"/>
        <v>51.140892598506944</v>
      </c>
      <c r="AG7152" s="2">
        <f ca="1"/>
        <v>0.78244539628345211</v>
      </c>
      <c r="AH7152" s="2" t="str">
        <f ca="1"/>
        <v>Bad</v>
      </c>
    </row>
    <row r="7153" spans="2:34" x14ac:dyDescent="0.2">
      <c r="B7153" s="2">
        <f ca="1"/>
        <v>0.9461014055234882</v>
      </c>
      <c r="O7153" s="2">
        <f ca="1"/>
        <v>-0.74125924264419452</v>
      </c>
      <c r="X7153" s="2">
        <f ca="1"/>
        <v>57.579689048864331</v>
      </c>
      <c r="AG7153" s="2">
        <f ca="1"/>
        <v>0.42698864289772898</v>
      </c>
      <c r="AH7153" s="2" t="str">
        <f ca="1"/>
        <v>Bad</v>
      </c>
    </row>
    <row r="7154" spans="2:34" x14ac:dyDescent="0.2">
      <c r="B7154" s="2">
        <f ca="1"/>
        <v>0.60151505404542593</v>
      </c>
      <c r="O7154" s="2">
        <f ca="1"/>
        <v>-1.1706609286905072</v>
      </c>
      <c r="X7154" s="2">
        <f ca="1"/>
        <v>74.628348903407883</v>
      </c>
      <c r="AG7154" s="2">
        <f ca="1"/>
        <v>0.33593295166050829</v>
      </c>
      <c r="AH7154" s="2" t="str">
        <f ca="1"/>
        <v>OK</v>
      </c>
    </row>
    <row r="7155" spans="2:34" x14ac:dyDescent="0.2">
      <c r="B7155" s="2">
        <f ca="1"/>
        <v>0.93353631649897095</v>
      </c>
      <c r="O7155" s="2">
        <f ca="1"/>
        <v>1.6200058361036482</v>
      </c>
      <c r="X7155" s="2">
        <f ca="1"/>
        <v>33.410449290027692</v>
      </c>
      <c r="AG7155" s="2">
        <f ca="1"/>
        <v>0.8290753835576874</v>
      </c>
      <c r="AH7155" s="2" t="str">
        <f ca="1"/>
        <v>Bad</v>
      </c>
    </row>
    <row r="7156" spans="2:34" x14ac:dyDescent="0.2">
      <c r="B7156" s="2">
        <f ca="1"/>
        <v>0.28864684693419584</v>
      </c>
      <c r="O7156" s="2">
        <f ca="1"/>
        <v>-8.9392713447382685E-2</v>
      </c>
      <c r="X7156" s="2">
        <f ca="1"/>
        <v>72.11224151650066</v>
      </c>
      <c r="AG7156" s="2">
        <f ca="1"/>
        <v>0.85180848770293682</v>
      </c>
      <c r="AH7156" s="2" t="str">
        <f ca="1"/>
        <v>Bad</v>
      </c>
    </row>
    <row r="7157" spans="2:34" x14ac:dyDescent="0.2">
      <c r="B7157" s="2">
        <f ca="1"/>
        <v>0.28144443018521925</v>
      </c>
      <c r="O7157" s="2">
        <f ca="1"/>
        <v>0.99293895818764377</v>
      </c>
      <c r="X7157" s="2">
        <f ca="1"/>
        <v>65.649737001518588</v>
      </c>
      <c r="AG7157" s="2">
        <f ca="1"/>
        <v>0.94192105495707357</v>
      </c>
      <c r="AH7157" s="2" t="str">
        <f ca="1"/>
        <v>Bad</v>
      </c>
    </row>
    <row r="7158" spans="2:34" x14ac:dyDescent="0.2">
      <c r="B7158" s="2">
        <f ca="1"/>
        <v>0.7461336833129113</v>
      </c>
      <c r="O7158" s="2">
        <f ca="1"/>
        <v>-0.426924840970269</v>
      </c>
      <c r="X7158" s="2">
        <f ca="1"/>
        <v>52.275357533290347</v>
      </c>
      <c r="AG7158" s="2">
        <f ca="1"/>
        <v>0.54875956200833498</v>
      </c>
      <c r="AH7158" s="2" t="str">
        <f ca="1"/>
        <v>Bad</v>
      </c>
    </row>
    <row r="7159" spans="2:34" x14ac:dyDescent="0.2">
      <c r="B7159" s="2">
        <f ca="1"/>
        <v>0.57153698159396282</v>
      </c>
      <c r="O7159" s="2">
        <f ca="1"/>
        <v>1.7944238319194898</v>
      </c>
      <c r="X7159" s="2">
        <f ca="1"/>
        <v>65.34364983617489</v>
      </c>
      <c r="AG7159" s="2">
        <f ca="1"/>
        <v>0.9092469777001424</v>
      </c>
      <c r="AH7159" s="2" t="str">
        <f ca="1"/>
        <v>Bad</v>
      </c>
    </row>
    <row r="7160" spans="2:34" x14ac:dyDescent="0.2">
      <c r="B7160" s="2">
        <f ca="1"/>
        <v>0.51196840291610957</v>
      </c>
      <c r="O7160" s="2">
        <f ca="1"/>
        <v>-0.33250954836496532</v>
      </c>
      <c r="X7160" s="2">
        <f ca="1"/>
        <v>62.597064047378566</v>
      </c>
      <c r="AG7160" s="2">
        <f ca="1"/>
        <v>0.62852313237752067</v>
      </c>
      <c r="AH7160" s="2" t="str">
        <f ca="1"/>
        <v>Bad</v>
      </c>
    </row>
    <row r="7161" spans="2:34" x14ac:dyDescent="0.2">
      <c r="B7161" s="2">
        <f ca="1"/>
        <v>0.96796744360274878</v>
      </c>
      <c r="O7161" s="2">
        <f ca="1"/>
        <v>0.90183647883828055</v>
      </c>
      <c r="X7161" s="2">
        <f ca="1"/>
        <v>21.458003625775902</v>
      </c>
      <c r="AG7161" s="2">
        <f ca="1"/>
        <v>0.61788207666507233</v>
      </c>
      <c r="AH7161" s="2" t="str">
        <f ca="1"/>
        <v>Bad</v>
      </c>
    </row>
    <row r="7162" spans="2:34" x14ac:dyDescent="0.2">
      <c r="B7162" s="2">
        <f ca="1"/>
        <v>0.20380312850881421</v>
      </c>
      <c r="O7162" s="2">
        <f ca="1"/>
        <v>0.22795717217233463</v>
      </c>
      <c r="X7162" s="2">
        <f ca="1"/>
        <v>54.968676277524381</v>
      </c>
      <c r="AG7162" s="2">
        <f ca="1"/>
        <v>0.35413603214410982</v>
      </c>
      <c r="AH7162" s="2" t="str">
        <f ca="1"/>
        <v>OK</v>
      </c>
    </row>
    <row r="7163" spans="2:34" x14ac:dyDescent="0.2">
      <c r="B7163" s="2">
        <f ca="1"/>
        <v>0.39109264359301643</v>
      </c>
      <c r="O7163" s="2">
        <f ca="1"/>
        <v>0.28505024948248475</v>
      </c>
      <c r="X7163" s="2">
        <f ca="1"/>
        <v>73.248580775099526</v>
      </c>
      <c r="AG7163" s="2">
        <f ca="1"/>
        <v>0.6431667184384029</v>
      </c>
      <c r="AH7163" s="2" t="str">
        <f ca="1"/>
        <v>Bad</v>
      </c>
    </row>
    <row r="7164" spans="2:34" x14ac:dyDescent="0.2">
      <c r="B7164" s="2">
        <f ca="1"/>
        <v>0.92033155247175524</v>
      </c>
      <c r="O7164" s="2">
        <f ca="1"/>
        <v>7.9461501587635049E-3</v>
      </c>
      <c r="X7164" s="2">
        <f ca="1"/>
        <v>63.156894679839226</v>
      </c>
      <c r="AG7164" s="2">
        <f ca="1"/>
        <v>0.21151249006192185</v>
      </c>
      <c r="AH7164" s="2" t="str">
        <f ca="1"/>
        <v>OK</v>
      </c>
    </row>
    <row r="7165" spans="2:34" x14ac:dyDescent="0.2">
      <c r="B7165" s="2">
        <f ca="1"/>
        <v>0.25943270556557918</v>
      </c>
      <c r="O7165" s="2">
        <f ca="1"/>
        <v>-1.8326653142676399</v>
      </c>
      <c r="X7165" s="2">
        <f ca="1"/>
        <v>60.695029542451671</v>
      </c>
      <c r="AG7165" s="2">
        <f ca="1"/>
        <v>0.39922311453425285</v>
      </c>
      <c r="AH7165" s="2" t="str">
        <f ca="1"/>
        <v>OK</v>
      </c>
    </row>
    <row r="7166" spans="2:34" x14ac:dyDescent="0.2">
      <c r="B7166" s="2">
        <f ca="1"/>
        <v>0.23592767392338909</v>
      </c>
      <c r="O7166" s="2">
        <f ca="1"/>
        <v>-0.94921574162350397</v>
      </c>
      <c r="X7166" s="2">
        <f ca="1"/>
        <v>23.819800733916846</v>
      </c>
      <c r="AG7166" s="2">
        <f ca="1"/>
        <v>0.49832538541297078</v>
      </c>
      <c r="AH7166" s="2" t="str">
        <f ca="1"/>
        <v>Bad</v>
      </c>
    </row>
    <row r="7167" spans="2:34" x14ac:dyDescent="0.2">
      <c r="B7167" s="2">
        <f ca="1"/>
        <v>0.61403835630962744</v>
      </c>
      <c r="O7167" s="2">
        <f ca="1"/>
        <v>1.1873616780530003</v>
      </c>
      <c r="X7167" s="2">
        <f ca="1"/>
        <v>21.060397620802</v>
      </c>
      <c r="AG7167" s="2">
        <f ca="1"/>
        <v>0.35529877710588953</v>
      </c>
      <c r="AH7167" s="2" t="str">
        <f ca="1"/>
        <v>OK</v>
      </c>
    </row>
    <row r="7168" spans="2:34" x14ac:dyDescent="0.2">
      <c r="B7168" s="2">
        <f ca="1"/>
        <v>0.26740356378544727</v>
      </c>
      <c r="O7168" s="2">
        <f ca="1"/>
        <v>0.14630933672330984</v>
      </c>
      <c r="X7168" s="2">
        <f ca="1"/>
        <v>61.54083927647271</v>
      </c>
      <c r="AG7168" s="2">
        <f ca="1"/>
        <v>0.54260238526418858</v>
      </c>
      <c r="AH7168" s="2" t="str">
        <f ca="1"/>
        <v>Bad</v>
      </c>
    </row>
    <row r="7169" spans="2:34" x14ac:dyDescent="0.2">
      <c r="B7169" s="2">
        <f ca="1"/>
        <v>0.78509125534570634</v>
      </c>
      <c r="O7169" s="2">
        <f ca="1"/>
        <v>-0.91147553840954054</v>
      </c>
      <c r="X7169" s="2">
        <f ca="1"/>
        <v>49.768136712607962</v>
      </c>
      <c r="AG7169" s="2">
        <f ca="1"/>
        <v>0.78400906513796831</v>
      </c>
      <c r="AH7169" s="2" t="str">
        <f ca="1"/>
        <v>Bad</v>
      </c>
    </row>
    <row r="7170" spans="2:34" x14ac:dyDescent="0.2">
      <c r="B7170" s="2">
        <f ca="1"/>
        <v>0.37884832122190626</v>
      </c>
      <c r="O7170" s="2">
        <f ca="1"/>
        <v>1.2030957375188103</v>
      </c>
      <c r="X7170" s="2">
        <f ca="1"/>
        <v>55.217749575799303</v>
      </c>
      <c r="AG7170" s="2">
        <f ca="1"/>
        <v>0.7604610842806605</v>
      </c>
      <c r="AH7170" s="2" t="str">
        <f ca="1"/>
        <v>Bad</v>
      </c>
    </row>
    <row r="7171" spans="2:34" x14ac:dyDescent="0.2">
      <c r="B7171" s="2">
        <f ca="1"/>
        <v>0.196212592084543</v>
      </c>
      <c r="O7171" s="2">
        <f ca="1"/>
        <v>0.40914641502364818</v>
      </c>
      <c r="X7171" s="2">
        <f ca="1"/>
        <v>70.895959456063011</v>
      </c>
      <c r="AG7171" s="2">
        <f ca="1"/>
        <v>0.43913316919004486</v>
      </c>
      <c r="AH7171" s="2" t="str">
        <f ca="1"/>
        <v>Bad</v>
      </c>
    </row>
    <row r="7172" spans="2:34" x14ac:dyDescent="0.2">
      <c r="B7172" s="2">
        <f ca="1"/>
        <v>0.31412652021936327</v>
      </c>
      <c r="O7172" s="2">
        <f ca="1"/>
        <v>-0.60953075827155567</v>
      </c>
      <c r="X7172" s="2">
        <f ca="1"/>
        <v>22.520146533762023</v>
      </c>
      <c r="AG7172" s="2">
        <f ca="1"/>
        <v>0.96983867496120046</v>
      </c>
      <c r="AH7172" s="2" t="str">
        <f ca="1"/>
        <v>Bad</v>
      </c>
    </row>
    <row r="7173" spans="2:34" x14ac:dyDescent="0.2">
      <c r="B7173" s="2">
        <f ca="1"/>
        <v>0.51494530418851325</v>
      </c>
      <c r="O7173" s="2">
        <f ca="1"/>
        <v>-0.73317698179221225</v>
      </c>
      <c r="X7173" s="2">
        <f ca="1"/>
        <v>41.105865980570933</v>
      </c>
      <c r="AG7173" s="2">
        <f ca="1"/>
        <v>0.26429825875344326</v>
      </c>
      <c r="AH7173" s="2" t="str">
        <f ca="1"/>
        <v>OK</v>
      </c>
    </row>
    <row r="7174" spans="2:34" x14ac:dyDescent="0.2">
      <c r="B7174" s="2">
        <f ca="1"/>
        <v>0.12556271608183578</v>
      </c>
      <c r="O7174" s="2">
        <f ca="1"/>
        <v>-0.8367595956213616</v>
      </c>
      <c r="X7174" s="2">
        <f ca="1"/>
        <v>71.462165047555544</v>
      </c>
      <c r="AG7174" s="2">
        <f ca="1"/>
        <v>0.43714922518770916</v>
      </c>
      <c r="AH7174" s="2" t="str">
        <f ca="1"/>
        <v>Bad</v>
      </c>
    </row>
    <row r="7175" spans="2:34" x14ac:dyDescent="0.2">
      <c r="B7175" s="2">
        <f ca="1"/>
        <v>0.35274014380164043</v>
      </c>
      <c r="O7175" s="2">
        <f ca="1"/>
        <v>1.8082858501956955E-2</v>
      </c>
      <c r="X7175" s="2">
        <f ca="1"/>
        <v>42.794355454004673</v>
      </c>
      <c r="AG7175" s="2">
        <f ca="1"/>
        <v>0.31246412105028609</v>
      </c>
      <c r="AH7175" s="2" t="str">
        <f ca="1"/>
        <v>OK</v>
      </c>
    </row>
    <row r="7176" spans="2:34" x14ac:dyDescent="0.2">
      <c r="B7176" s="2">
        <f ca="1"/>
        <v>0.41090331659917489</v>
      </c>
      <c r="O7176" s="2">
        <f ca="1"/>
        <v>-0.60829872321377654</v>
      </c>
      <c r="X7176" s="2">
        <f ca="1"/>
        <v>72.701110283028754</v>
      </c>
      <c r="AG7176" s="2">
        <f ca="1"/>
        <v>0.45069559560346195</v>
      </c>
      <c r="AH7176" s="2" t="str">
        <f ca="1"/>
        <v>Bad</v>
      </c>
    </row>
    <row r="7177" spans="2:34" x14ac:dyDescent="0.2">
      <c r="B7177" s="2">
        <f ca="1"/>
        <v>0.61339391189021186</v>
      </c>
      <c r="O7177" s="2">
        <f ca="1"/>
        <v>0.43382836505242639</v>
      </c>
      <c r="X7177" s="2">
        <f ca="1"/>
        <v>55.124335103532339</v>
      </c>
      <c r="AG7177" s="2">
        <f ca="1"/>
        <v>0.91109305804755625</v>
      </c>
      <c r="AH7177" s="2" t="str">
        <f ca="1"/>
        <v>Bad</v>
      </c>
    </row>
    <row r="7178" spans="2:34" x14ac:dyDescent="0.2">
      <c r="B7178" s="2">
        <f ca="1"/>
        <v>0.35358710104458835</v>
      </c>
      <c r="O7178" s="2">
        <f ca="1"/>
        <v>0.67830694039149442</v>
      </c>
      <c r="X7178" s="2">
        <f ca="1"/>
        <v>61.660160000061921</v>
      </c>
      <c r="AG7178" s="2">
        <f ca="1"/>
        <v>0.95611941083346208</v>
      </c>
      <c r="AH7178" s="2" t="str">
        <f ca="1"/>
        <v>Bad</v>
      </c>
    </row>
    <row r="7179" spans="2:34" x14ac:dyDescent="0.2">
      <c r="B7179" s="2">
        <f ca="1"/>
        <v>0.60975083966338772</v>
      </c>
      <c r="O7179" s="2">
        <f ca="1"/>
        <v>0.58814907885515177</v>
      </c>
      <c r="X7179" s="2">
        <f ca="1"/>
        <v>36.083850327075616</v>
      </c>
      <c r="AG7179" s="2">
        <f ca="1"/>
        <v>0.13003688245146994</v>
      </c>
      <c r="AH7179" s="2" t="str">
        <f ca="1"/>
        <v>OK</v>
      </c>
    </row>
    <row r="7180" spans="2:34" x14ac:dyDescent="0.2">
      <c r="B7180" s="2">
        <f ca="1"/>
        <v>0.28461530201974417</v>
      </c>
      <c r="O7180" s="2">
        <f ca="1"/>
        <v>0.39750230694144539</v>
      </c>
      <c r="X7180" s="2">
        <f ca="1"/>
        <v>30.344399373918321</v>
      </c>
      <c r="AG7180" s="2">
        <f ca="1"/>
        <v>6.0278884938723909E-2</v>
      </c>
      <c r="AH7180" s="2" t="str">
        <f ca="1"/>
        <v>OK</v>
      </c>
    </row>
    <row r="7181" spans="2:34" x14ac:dyDescent="0.2">
      <c r="B7181" s="2">
        <f ca="1"/>
        <v>0.79252433002023426</v>
      </c>
      <c r="O7181" s="2">
        <f ca="1"/>
        <v>1.5198948765095963</v>
      </c>
      <c r="X7181" s="2">
        <f ca="1"/>
        <v>58.395151324565461</v>
      </c>
      <c r="AG7181" s="2">
        <f ca="1"/>
        <v>0.54642722492446039</v>
      </c>
      <c r="AH7181" s="2" t="str">
        <f ca="1"/>
        <v>Bad</v>
      </c>
    </row>
    <row r="7182" spans="2:34" x14ac:dyDescent="0.2">
      <c r="B7182" s="2">
        <f ca="1"/>
        <v>0.14150075179361044</v>
      </c>
      <c r="O7182" s="2">
        <f ca="1"/>
        <v>0.30647317465167795</v>
      </c>
      <c r="X7182" s="2">
        <f ca="1"/>
        <v>82.792764342569285</v>
      </c>
      <c r="AG7182" s="2">
        <f ca="1"/>
        <v>0.38853710343992054</v>
      </c>
      <c r="AH7182" s="2" t="str">
        <f ca="1"/>
        <v>OK</v>
      </c>
    </row>
    <row r="7183" spans="2:34" x14ac:dyDescent="0.2">
      <c r="B7183" s="2">
        <f ca="1"/>
        <v>0.54193992169227401</v>
      </c>
      <c r="O7183" s="2">
        <f ca="1"/>
        <v>0.1269227747426786</v>
      </c>
      <c r="X7183" s="2">
        <f ca="1"/>
        <v>36.996042476735781</v>
      </c>
      <c r="AG7183" s="2">
        <f ca="1"/>
        <v>2.9918585876604009E-2</v>
      </c>
      <c r="AH7183" s="2" t="str">
        <f ca="1"/>
        <v>Good</v>
      </c>
    </row>
    <row r="7184" spans="2:34" x14ac:dyDescent="0.2">
      <c r="B7184" s="2">
        <f ca="1"/>
        <v>0.19688911795972652</v>
      </c>
      <c r="O7184" s="2">
        <f ca="1"/>
        <v>-0.95233234033066216</v>
      </c>
      <c r="X7184" s="2">
        <f ca="1"/>
        <v>50.963181985704857</v>
      </c>
      <c r="AG7184" s="2">
        <f ca="1"/>
        <v>0.60055229376370312</v>
      </c>
      <c r="AH7184" s="2" t="str">
        <f ca="1"/>
        <v>Bad</v>
      </c>
    </row>
    <row r="7185" spans="2:34" x14ac:dyDescent="0.2">
      <c r="B7185" s="2">
        <f ca="1"/>
        <v>0.57423746270622833</v>
      </c>
      <c r="O7185" s="2">
        <f ca="1"/>
        <v>0.30135030174285643</v>
      </c>
      <c r="X7185" s="2">
        <f ca="1"/>
        <v>61.239407930020555</v>
      </c>
      <c r="AG7185" s="2">
        <f ca="1"/>
        <v>0.4431161546243636</v>
      </c>
      <c r="AH7185" s="2" t="str">
        <f ca="1"/>
        <v>Bad</v>
      </c>
    </row>
    <row r="7186" spans="2:34" x14ac:dyDescent="0.2">
      <c r="B7186" s="2">
        <f ca="1"/>
        <v>0.18929428054403585</v>
      </c>
      <c r="O7186" s="2">
        <f ca="1"/>
        <v>1.138564903147651</v>
      </c>
      <c r="X7186" s="2">
        <f ca="1"/>
        <v>49.659801846793819</v>
      </c>
      <c r="AG7186" s="2">
        <f ca="1"/>
        <v>0.51087656192779618</v>
      </c>
      <c r="AH7186" s="2" t="str">
        <f ca="1"/>
        <v>Bad</v>
      </c>
    </row>
    <row r="7187" spans="2:34" x14ac:dyDescent="0.2">
      <c r="B7187" s="2">
        <f ca="1"/>
        <v>0.9721830259258335</v>
      </c>
      <c r="O7187" s="2">
        <f ca="1"/>
        <v>1.9154968538117376</v>
      </c>
      <c r="X7187" s="2">
        <f ca="1"/>
        <v>35.888599558006518</v>
      </c>
      <c r="AG7187" s="2">
        <f ca="1"/>
        <v>0.59343583540431344</v>
      </c>
      <c r="AH7187" s="2" t="str">
        <f ca="1"/>
        <v>Bad</v>
      </c>
    </row>
    <row r="7188" spans="2:34" x14ac:dyDescent="0.2">
      <c r="B7188" s="2">
        <f ca="1"/>
        <v>0.66670441834746175</v>
      </c>
      <c r="O7188" s="2">
        <f ca="1"/>
        <v>0.60120384706158125</v>
      </c>
      <c r="X7188" s="2">
        <f ca="1"/>
        <v>34.322646170922013</v>
      </c>
      <c r="AG7188" s="2">
        <f ca="1"/>
        <v>0.96768051304366964</v>
      </c>
      <c r="AH7188" s="2" t="str">
        <f ca="1"/>
        <v>Bad</v>
      </c>
    </row>
    <row r="7189" spans="2:34" x14ac:dyDescent="0.2">
      <c r="B7189" s="2">
        <f ca="1"/>
        <v>0.76253666383509033</v>
      </c>
      <c r="O7189" s="2">
        <f ca="1"/>
        <v>0.39019606084348091</v>
      </c>
      <c r="X7189" s="2">
        <f ca="1"/>
        <v>37.122029106288707</v>
      </c>
      <c r="AG7189" s="2">
        <f ca="1"/>
        <v>0.66114634916804538</v>
      </c>
      <c r="AH7189" s="2" t="str">
        <f ca="1"/>
        <v>Bad</v>
      </c>
    </row>
    <row r="7190" spans="2:34" x14ac:dyDescent="0.2">
      <c r="B7190" s="2">
        <f ca="1"/>
        <v>0.85117465434352146</v>
      </c>
      <c r="O7190" s="2">
        <f ca="1"/>
        <v>0.67753725137368759</v>
      </c>
      <c r="X7190" s="2">
        <f ca="1"/>
        <v>58.266225686946299</v>
      </c>
      <c r="AG7190" s="2">
        <f ca="1"/>
        <v>0.44729649995625564</v>
      </c>
      <c r="AH7190" s="2" t="str">
        <f ca="1"/>
        <v>Bad</v>
      </c>
    </row>
    <row r="7191" spans="2:34" x14ac:dyDescent="0.2">
      <c r="B7191" s="2">
        <f ca="1"/>
        <v>3.389593983897532E-2</v>
      </c>
      <c r="O7191" s="2">
        <f ca="1"/>
        <v>-1.4926815183331308</v>
      </c>
      <c r="X7191" s="2">
        <f ca="1"/>
        <v>57.116848840127695</v>
      </c>
      <c r="AG7191" s="2">
        <f ca="1"/>
        <v>0.42880321439615265</v>
      </c>
      <c r="AH7191" s="2" t="str">
        <f ca="1"/>
        <v>Bad</v>
      </c>
    </row>
    <row r="7192" spans="2:34" x14ac:dyDescent="0.2">
      <c r="B7192" s="2">
        <f ca="1"/>
        <v>0.83029267810292828</v>
      </c>
      <c r="O7192" s="2">
        <f ca="1"/>
        <v>0.55654439872008377</v>
      </c>
      <c r="X7192" s="2">
        <f ca="1"/>
        <v>61.332118652700494</v>
      </c>
      <c r="AG7192" s="2">
        <f ca="1"/>
        <v>9.4179436761331115E-2</v>
      </c>
      <c r="AH7192" s="2" t="str">
        <f ca="1"/>
        <v>OK</v>
      </c>
    </row>
    <row r="7193" spans="2:34" x14ac:dyDescent="0.2">
      <c r="B7193" s="2">
        <f ca="1"/>
        <v>0.82771644455013127</v>
      </c>
      <c r="O7193" s="2">
        <f ca="1"/>
        <v>-0.69938678471490789</v>
      </c>
      <c r="X7193" s="2">
        <f ca="1"/>
        <v>60.003339136191649</v>
      </c>
      <c r="AG7193" s="2">
        <f ca="1"/>
        <v>7.2756155857685245E-2</v>
      </c>
      <c r="AH7193" s="2" t="str">
        <f ca="1"/>
        <v>OK</v>
      </c>
    </row>
    <row r="7194" spans="2:34" x14ac:dyDescent="0.2">
      <c r="B7194" s="2">
        <f ca="1"/>
        <v>0.86824125459310864</v>
      </c>
      <c r="O7194" s="2">
        <f ca="1"/>
        <v>0.80894650596692808</v>
      </c>
      <c r="X7194" s="2">
        <f ca="1"/>
        <v>44.418310859596119</v>
      </c>
      <c r="AG7194" s="2">
        <f ca="1"/>
        <v>0.58372515144976411</v>
      </c>
      <c r="AH7194" s="2" t="str">
        <f ca="1"/>
        <v>Bad</v>
      </c>
    </row>
    <row r="7195" spans="2:34" x14ac:dyDescent="0.2">
      <c r="B7195" s="2">
        <f ca="1"/>
        <v>0.15649695530386354</v>
      </c>
      <c r="O7195" s="2">
        <f ca="1"/>
        <v>-0.33608545078374397</v>
      </c>
      <c r="X7195" s="2">
        <f ca="1"/>
        <v>31.817209464581037</v>
      </c>
      <c r="AG7195" s="2">
        <f ca="1"/>
        <v>0.70183521181749509</v>
      </c>
      <c r="AH7195" s="2" t="str">
        <f ca="1"/>
        <v>Bad</v>
      </c>
    </row>
    <row r="7196" spans="2:34" x14ac:dyDescent="0.2">
      <c r="B7196" s="2">
        <f ca="1"/>
        <v>0.59181287828069529</v>
      </c>
      <c r="O7196" s="2">
        <f ca="1"/>
        <v>-0.82531782860425329</v>
      </c>
      <c r="X7196" s="2">
        <f ca="1"/>
        <v>56.930429696829854</v>
      </c>
      <c r="AG7196" s="2">
        <f ca="1"/>
        <v>0.30117166285936103</v>
      </c>
      <c r="AH7196" s="2" t="str">
        <f ca="1"/>
        <v>OK</v>
      </c>
    </row>
    <row r="7197" spans="2:34" x14ac:dyDescent="0.2">
      <c r="B7197" s="2">
        <f ca="1"/>
        <v>0.55553594838503173</v>
      </c>
      <c r="O7197" s="2">
        <f ca="1"/>
        <v>1.2883451528517933</v>
      </c>
      <c r="X7197" s="2">
        <f ca="1"/>
        <v>38.777415938589428</v>
      </c>
      <c r="AG7197" s="2">
        <f ca="1"/>
        <v>0.74986650080432127</v>
      </c>
      <c r="AH7197" s="2" t="str">
        <f ca="1"/>
        <v>Bad</v>
      </c>
    </row>
    <row r="7198" spans="2:34" x14ac:dyDescent="0.2">
      <c r="B7198" s="2">
        <f ca="1"/>
        <v>0.4847455756133805</v>
      </c>
      <c r="O7198" s="2">
        <f ca="1"/>
        <v>0.78484873144722511</v>
      </c>
      <c r="X7198" s="2">
        <f ca="1"/>
        <v>56.746527206396145</v>
      </c>
      <c r="AG7198" s="2">
        <f ca="1"/>
        <v>0.54729796317974433</v>
      </c>
      <c r="AH7198" s="2" t="str">
        <f ca="1"/>
        <v>Bad</v>
      </c>
    </row>
    <row r="7199" spans="2:34" x14ac:dyDescent="0.2">
      <c r="B7199" s="2">
        <f ca="1"/>
        <v>0.66005376210456612</v>
      </c>
      <c r="O7199" s="2">
        <f ca="1"/>
        <v>8.2921719405862973E-2</v>
      </c>
      <c r="X7199" s="2">
        <f ca="1"/>
        <v>58.213055608665513</v>
      </c>
      <c r="AG7199" s="2">
        <f ca="1"/>
        <v>0.2011177086131144</v>
      </c>
      <c r="AH7199" s="2" t="str">
        <f ca="1"/>
        <v>OK</v>
      </c>
    </row>
    <row r="7200" spans="2:34" x14ac:dyDescent="0.2">
      <c r="B7200" s="2">
        <f ca="1"/>
        <v>0.80609426445844989</v>
      </c>
      <c r="O7200" s="2">
        <f ca="1"/>
        <v>-1.3767462025230551E-3</v>
      </c>
      <c r="X7200" s="2">
        <f ca="1"/>
        <v>39.298895130546882</v>
      </c>
      <c r="AG7200" s="2">
        <f ca="1"/>
        <v>0.3148121170942435</v>
      </c>
      <c r="AH7200" s="2" t="str">
        <f ca="1"/>
        <v>OK</v>
      </c>
    </row>
    <row r="7201" spans="2:34" x14ac:dyDescent="0.2">
      <c r="B7201" s="2">
        <f ca="1"/>
        <v>0.95983643639381833</v>
      </c>
      <c r="O7201" s="2">
        <f ca="1"/>
        <v>-0.45866168172219307</v>
      </c>
      <c r="X7201" s="2">
        <f ca="1"/>
        <v>32.846708017980113</v>
      </c>
      <c r="AG7201" s="2">
        <f ca="1"/>
        <v>0.16816626121782852</v>
      </c>
      <c r="AH7201" s="2" t="str">
        <f ca="1"/>
        <v>OK</v>
      </c>
    </row>
    <row r="7202" spans="2:34" x14ac:dyDescent="0.2">
      <c r="B7202" s="2">
        <f ca="1"/>
        <v>0.89231040095655123</v>
      </c>
      <c r="O7202" s="2">
        <f ca="1"/>
        <v>-1.1354919577594883E-2</v>
      </c>
      <c r="X7202" s="2">
        <f ca="1"/>
        <v>74.820083577328134</v>
      </c>
      <c r="AG7202" s="2">
        <f ca="1"/>
        <v>6.3250948499941506E-2</v>
      </c>
      <c r="AH7202" s="2" t="str">
        <f ca="1"/>
        <v>OK</v>
      </c>
    </row>
    <row r="7203" spans="2:34" x14ac:dyDescent="0.2">
      <c r="B7203" s="2">
        <f ca="1"/>
        <v>0.43303452894949657</v>
      </c>
      <c r="O7203" s="2">
        <f ca="1"/>
        <v>0.36918189879626839</v>
      </c>
      <c r="X7203" s="2">
        <f ca="1"/>
        <v>56.472036741494982</v>
      </c>
      <c r="AG7203" s="2">
        <f ca="1"/>
        <v>0.36072553623763803</v>
      </c>
      <c r="AH7203" s="2" t="str">
        <f ca="1"/>
        <v>OK</v>
      </c>
    </row>
    <row r="7204" spans="2:34" x14ac:dyDescent="0.2">
      <c r="B7204" s="2">
        <f ca="1"/>
        <v>0.63523704472862308</v>
      </c>
      <c r="O7204" s="2">
        <f ca="1"/>
        <v>-0.55059078908123404</v>
      </c>
      <c r="X7204" s="2">
        <f ca="1"/>
        <v>46.898047476585916</v>
      </c>
      <c r="AG7204" s="2">
        <f ca="1"/>
        <v>0.5520175831080818</v>
      </c>
      <c r="AH7204" s="2" t="str">
        <f ca="1"/>
        <v>Bad</v>
      </c>
    </row>
    <row r="7205" spans="2:34" x14ac:dyDescent="0.2">
      <c r="B7205" s="2">
        <f ca="1"/>
        <v>0.31409423601340269</v>
      </c>
      <c r="O7205" s="2">
        <f ca="1"/>
        <v>-0.98316632260718306</v>
      </c>
      <c r="X7205" s="2">
        <f ca="1"/>
        <v>67.702432747853621</v>
      </c>
      <c r="AG7205" s="2">
        <f ca="1"/>
        <v>0.86165366727526083</v>
      </c>
      <c r="AH7205" s="2" t="str">
        <f ca="1"/>
        <v>Bad</v>
      </c>
    </row>
    <row r="7206" spans="2:34" x14ac:dyDescent="0.2">
      <c r="B7206" s="2">
        <f ca="1"/>
        <v>0.88485416712071596</v>
      </c>
      <c r="O7206" s="2">
        <f ca="1"/>
        <v>-1.0209817271715376</v>
      </c>
      <c r="X7206" s="2">
        <f ca="1"/>
        <v>29.189985550987259</v>
      </c>
      <c r="AG7206" s="2">
        <f ca="1"/>
        <v>9.278802548888021E-2</v>
      </c>
      <c r="AH7206" s="2" t="str">
        <f ca="1"/>
        <v>OK</v>
      </c>
    </row>
    <row r="7207" spans="2:34" x14ac:dyDescent="0.2">
      <c r="B7207" s="2">
        <f ca="1"/>
        <v>0.16346341869523218</v>
      </c>
      <c r="O7207" s="2">
        <f ca="1"/>
        <v>-0.95116574123739472</v>
      </c>
      <c r="X7207" s="2">
        <f ca="1"/>
        <v>21.723736960910728</v>
      </c>
      <c r="AG7207" s="2">
        <f ca="1"/>
        <v>0.7463756080388948</v>
      </c>
      <c r="AH7207" s="2" t="str">
        <f ca="1"/>
        <v>Bad</v>
      </c>
    </row>
    <row r="7208" spans="2:34" x14ac:dyDescent="0.2">
      <c r="B7208" s="2">
        <f ca="1"/>
        <v>0.18392685494374983</v>
      </c>
      <c r="O7208" s="2">
        <f ca="1"/>
        <v>0.67848598012239281</v>
      </c>
      <c r="X7208" s="2">
        <f ca="1"/>
        <v>46.943578156658781</v>
      </c>
      <c r="AG7208" s="2">
        <f ca="1"/>
        <v>6.8509249551842011E-2</v>
      </c>
      <c r="AH7208" s="2" t="str">
        <f ca="1"/>
        <v>OK</v>
      </c>
    </row>
    <row r="7209" spans="2:34" x14ac:dyDescent="0.2">
      <c r="B7209" s="2">
        <f ca="1"/>
        <v>0.69828302974495382</v>
      </c>
      <c r="O7209" s="2">
        <f ca="1"/>
        <v>-9.3984560361910385E-2</v>
      </c>
      <c r="X7209" s="2">
        <f ca="1"/>
        <v>41.794332764549786</v>
      </c>
      <c r="AG7209" s="2">
        <f ca="1"/>
        <v>0.66932742540298218</v>
      </c>
      <c r="AH7209" s="2" t="str">
        <f ca="1"/>
        <v>Bad</v>
      </c>
    </row>
    <row r="7210" spans="2:34" x14ac:dyDescent="0.2">
      <c r="B7210" s="2">
        <f ca="1"/>
        <v>0.57715008992573757</v>
      </c>
      <c r="O7210" s="2">
        <f ca="1"/>
        <v>0.29588051423703132</v>
      </c>
      <c r="X7210" s="2">
        <f ca="1"/>
        <v>45.124416048849909</v>
      </c>
      <c r="AG7210" s="2">
        <f ca="1"/>
        <v>0.2110864179944969</v>
      </c>
      <c r="AH7210" s="2" t="str">
        <f ca="1"/>
        <v>OK</v>
      </c>
    </row>
    <row r="7211" spans="2:34" x14ac:dyDescent="0.2">
      <c r="B7211" s="2">
        <f ca="1"/>
        <v>0.71875207620701098</v>
      </c>
      <c r="O7211" s="2">
        <f ca="1"/>
        <v>1.3588466089942479</v>
      </c>
      <c r="X7211" s="2">
        <f ca="1"/>
        <v>57.815757402365399</v>
      </c>
      <c r="AG7211" s="2">
        <f ca="1"/>
        <v>0.29729731063892917</v>
      </c>
      <c r="AH7211" s="2" t="str">
        <f ca="1"/>
        <v>OK</v>
      </c>
    </row>
    <row r="7212" spans="2:34" x14ac:dyDescent="0.2">
      <c r="B7212" s="2">
        <f ca="1"/>
        <v>0.16607940250768949</v>
      </c>
      <c r="O7212" s="2">
        <f ca="1"/>
        <v>-0.40697987723789381</v>
      </c>
      <c r="X7212" s="2">
        <f ca="1"/>
        <v>25.282130774022317</v>
      </c>
      <c r="AG7212" s="2">
        <f ca="1"/>
        <v>0.20745391684051184</v>
      </c>
      <c r="AH7212" s="2" t="str">
        <f ca="1"/>
        <v>OK</v>
      </c>
    </row>
    <row r="7213" spans="2:34" x14ac:dyDescent="0.2">
      <c r="B7213" s="2">
        <f ca="1"/>
        <v>0.40866682258869158</v>
      </c>
      <c r="O7213" s="2">
        <f ca="1"/>
        <v>-0.32767943040678776</v>
      </c>
      <c r="X7213" s="2">
        <f ca="1"/>
        <v>41.303779280702273</v>
      </c>
      <c r="AG7213" s="2">
        <f ca="1"/>
        <v>0.65066248567034113</v>
      </c>
      <c r="AH7213" s="2" t="str">
        <f ca="1"/>
        <v>Bad</v>
      </c>
    </row>
    <row r="7214" spans="2:34" x14ac:dyDescent="0.2">
      <c r="B7214" s="2">
        <f ca="1"/>
        <v>0.84605846687706743</v>
      </c>
      <c r="O7214" s="2">
        <f ca="1"/>
        <v>-0.39189168231496696</v>
      </c>
      <c r="X7214" s="2">
        <f ca="1"/>
        <v>34.722813671087394</v>
      </c>
      <c r="AG7214" s="2">
        <f ca="1"/>
        <v>0.21322074128055801</v>
      </c>
      <c r="AH7214" s="2" t="str">
        <f ca="1"/>
        <v>OK</v>
      </c>
    </row>
    <row r="7215" spans="2:34" x14ac:dyDescent="0.2">
      <c r="B7215" s="2">
        <f ca="1"/>
        <v>0.6380069977471321</v>
      </c>
      <c r="O7215" s="2">
        <f ca="1"/>
        <v>0.37628763026958562</v>
      </c>
      <c r="X7215" s="2">
        <f ca="1"/>
        <v>54.444784151689191</v>
      </c>
      <c r="AG7215" s="2">
        <f ca="1"/>
        <v>0.76184738973776867</v>
      </c>
      <c r="AH7215" s="2" t="str">
        <f ca="1"/>
        <v>Bad</v>
      </c>
    </row>
    <row r="7216" spans="2:34" x14ac:dyDescent="0.2">
      <c r="B7216" s="2">
        <f ca="1"/>
        <v>0.24992198622252548</v>
      </c>
      <c r="O7216" s="2">
        <f ca="1"/>
        <v>1.4509186468510047</v>
      </c>
      <c r="X7216" s="2">
        <f ca="1"/>
        <v>41.063479130738784</v>
      </c>
      <c r="AG7216" s="2">
        <f ca="1"/>
        <v>0.51141227051034321</v>
      </c>
      <c r="AH7216" s="2" t="str">
        <f ca="1"/>
        <v>Bad</v>
      </c>
    </row>
    <row r="7217" spans="2:34" x14ac:dyDescent="0.2">
      <c r="B7217" s="2">
        <f ca="1"/>
        <v>0.91000699861890721</v>
      </c>
      <c r="O7217" s="2">
        <f ca="1"/>
        <v>-1.1929806583930149</v>
      </c>
      <c r="X7217" s="2">
        <f ca="1"/>
        <v>55.921769267281327</v>
      </c>
      <c r="AG7217" s="2">
        <f ca="1"/>
        <v>0.71294984572140119</v>
      </c>
      <c r="AH7217" s="2" t="str">
        <f ca="1"/>
        <v>Bad</v>
      </c>
    </row>
    <row r="7218" spans="2:34" x14ac:dyDescent="0.2">
      <c r="B7218" s="2">
        <f ca="1"/>
        <v>0.58340328984393341</v>
      </c>
      <c r="O7218" s="2">
        <f ca="1"/>
        <v>0.30885760452345368</v>
      </c>
      <c r="X7218" s="2">
        <f ca="1"/>
        <v>47.659005483041696</v>
      </c>
      <c r="AG7218" s="2">
        <f ca="1"/>
        <v>0.31205774675066578</v>
      </c>
      <c r="AH7218" s="2" t="str">
        <f ca="1"/>
        <v>OK</v>
      </c>
    </row>
    <row r="7219" spans="2:34" x14ac:dyDescent="0.2">
      <c r="B7219" s="2">
        <f ca="1"/>
        <v>1.4842389385520516E-2</v>
      </c>
      <c r="O7219" s="2">
        <f ca="1"/>
        <v>0.51118792262552826</v>
      </c>
      <c r="X7219" s="2">
        <f ca="1"/>
        <v>49.07692766858591</v>
      </c>
      <c r="AG7219" s="2">
        <f ca="1"/>
        <v>2.461520726417521E-2</v>
      </c>
      <c r="AH7219" s="2" t="str">
        <f ca="1"/>
        <v>Good</v>
      </c>
    </row>
    <row r="7220" spans="2:34" x14ac:dyDescent="0.2">
      <c r="B7220" s="2">
        <f ca="1"/>
        <v>0.98077007412630524</v>
      </c>
      <c r="O7220" s="2">
        <f ca="1"/>
        <v>0.48856346223843772</v>
      </c>
      <c r="X7220" s="2">
        <f ca="1"/>
        <v>46.795430846521597</v>
      </c>
      <c r="AG7220" s="2">
        <f ca="1"/>
        <v>0.3860817272481365</v>
      </c>
      <c r="AH7220" s="2" t="str">
        <f ca="1"/>
        <v>OK</v>
      </c>
    </row>
    <row r="7221" spans="2:34" x14ac:dyDescent="0.2">
      <c r="B7221" s="2">
        <f ca="1"/>
        <v>0.41573920240599493</v>
      </c>
      <c r="O7221" s="2">
        <f ca="1"/>
        <v>0.34781855528309208</v>
      </c>
      <c r="X7221" s="2">
        <f ca="1"/>
        <v>65.862795580812389</v>
      </c>
      <c r="AG7221" s="2">
        <f ca="1"/>
        <v>0.17176506531316305</v>
      </c>
      <c r="AH7221" s="2" t="str">
        <f ca="1"/>
        <v>OK</v>
      </c>
    </row>
    <row r="7222" spans="2:34" x14ac:dyDescent="0.2">
      <c r="B7222" s="2">
        <f ca="1"/>
        <v>0.66689916209251532</v>
      </c>
      <c r="O7222" s="2">
        <f ca="1"/>
        <v>5.3237122112489994E-2</v>
      </c>
      <c r="X7222" s="2">
        <f ca="1"/>
        <v>71.090422883094035</v>
      </c>
      <c r="AG7222" s="2">
        <f ca="1"/>
        <v>0.58625143279323022</v>
      </c>
      <c r="AH7222" s="2" t="str">
        <f ca="1"/>
        <v>Bad</v>
      </c>
    </row>
    <row r="7223" spans="2:34" x14ac:dyDescent="0.2">
      <c r="B7223" s="2">
        <f ca="1"/>
        <v>0.80281726358078065</v>
      </c>
      <c r="O7223" s="2">
        <f ca="1"/>
        <v>5.6905292041774608E-2</v>
      </c>
      <c r="X7223" s="2">
        <f ca="1"/>
        <v>38.148398310234761</v>
      </c>
      <c r="AG7223" s="2">
        <f ca="1"/>
        <v>0.54587325973516787</v>
      </c>
      <c r="AH7223" s="2" t="str">
        <f ca="1"/>
        <v>Bad</v>
      </c>
    </row>
    <row r="7224" spans="2:34" x14ac:dyDescent="0.2">
      <c r="B7224" s="2">
        <f ca="1"/>
        <v>0.21999659418661155</v>
      </c>
      <c r="O7224" s="2">
        <f ca="1"/>
        <v>0.15243008973444064</v>
      </c>
      <c r="X7224" s="2">
        <f ca="1"/>
        <v>30.865919055887183</v>
      </c>
      <c r="AG7224" s="2">
        <f ca="1"/>
        <v>0.56033201812807198</v>
      </c>
      <c r="AH7224" s="2" t="str">
        <f ca="1"/>
        <v>Bad</v>
      </c>
    </row>
    <row r="7225" spans="2:34" x14ac:dyDescent="0.2">
      <c r="B7225" s="2">
        <f ca="1"/>
        <v>0.44122534842724215</v>
      </c>
      <c r="O7225" s="2">
        <f ca="1"/>
        <v>1.3268356163185961</v>
      </c>
      <c r="X7225" s="2">
        <f ca="1"/>
        <v>55.966955563180456</v>
      </c>
      <c r="AG7225" s="2">
        <f ca="1"/>
        <v>0.44072327808112122</v>
      </c>
      <c r="AH7225" s="2" t="str">
        <f ca="1"/>
        <v>Bad</v>
      </c>
    </row>
    <row r="7226" spans="2:34" x14ac:dyDescent="0.2">
      <c r="B7226" s="2">
        <f ca="1"/>
        <v>0.82116862335201635</v>
      </c>
      <c r="O7226" s="2">
        <f ca="1"/>
        <v>0.46643168809632202</v>
      </c>
      <c r="X7226" s="2">
        <f ca="1"/>
        <v>56.312565006770441</v>
      </c>
      <c r="AG7226" s="2">
        <f ca="1"/>
        <v>0.97056018145289058</v>
      </c>
      <c r="AH7226" s="2" t="str">
        <f ca="1"/>
        <v>Bad</v>
      </c>
    </row>
    <row r="7227" spans="2:34" x14ac:dyDescent="0.2">
      <c r="B7227" s="2">
        <f ca="1"/>
        <v>0.46536080536307134</v>
      </c>
      <c r="O7227" s="2">
        <f ca="1"/>
        <v>-1.4284763597991803</v>
      </c>
      <c r="X7227" s="2">
        <f ca="1"/>
        <v>49.859571251557369</v>
      </c>
      <c r="AG7227" s="2">
        <f ca="1"/>
        <v>0.44009330526043855</v>
      </c>
      <c r="AH7227" s="2" t="str">
        <f ca="1"/>
        <v>Bad</v>
      </c>
    </row>
    <row r="7228" spans="2:34" x14ac:dyDescent="0.2">
      <c r="B7228" s="2">
        <f ca="1"/>
        <v>4.8026104471351472E-2</v>
      </c>
      <c r="O7228" s="2">
        <f ca="1"/>
        <v>0.72661723248503263</v>
      </c>
      <c r="X7228" s="2">
        <f ca="1"/>
        <v>44.880829354432095</v>
      </c>
      <c r="AG7228" s="2">
        <f ca="1"/>
        <v>0.97677296968580407</v>
      </c>
      <c r="AH7228" s="2" t="str">
        <f ca="1"/>
        <v>Bad</v>
      </c>
    </row>
    <row r="7229" spans="2:34" x14ac:dyDescent="0.2">
      <c r="B7229" s="2">
        <f ca="1"/>
        <v>0.76105655901067548</v>
      </c>
      <c r="O7229" s="2">
        <f ca="1"/>
        <v>-0.18185221966921422</v>
      </c>
      <c r="X7229" s="2">
        <f ca="1"/>
        <v>44.595966692076907</v>
      </c>
      <c r="AG7229" s="2">
        <f ca="1"/>
        <v>0.70738925698680788</v>
      </c>
      <c r="AH7229" s="2" t="str">
        <f ca="1"/>
        <v>Bad</v>
      </c>
    </row>
    <row r="7230" spans="2:34" x14ac:dyDescent="0.2">
      <c r="B7230" s="2">
        <f ca="1"/>
        <v>0.57578147630860244</v>
      </c>
      <c r="O7230" s="2">
        <f ca="1"/>
        <v>2.6980774115167581</v>
      </c>
      <c r="X7230" s="2">
        <f ca="1"/>
        <v>29.007308921147924</v>
      </c>
      <c r="AG7230" s="2">
        <f ca="1"/>
        <v>0.85854643631494643</v>
      </c>
      <c r="AH7230" s="2" t="str">
        <f ca="1"/>
        <v>Bad</v>
      </c>
    </row>
    <row r="7231" spans="2:34" x14ac:dyDescent="0.2">
      <c r="B7231" s="2">
        <f ca="1"/>
        <v>0.82649553136727105</v>
      </c>
      <c r="O7231" s="2">
        <f ca="1"/>
        <v>0.29304538890828291</v>
      </c>
      <c r="X7231" s="2">
        <f ca="1"/>
        <v>68.96536545202791</v>
      </c>
      <c r="AG7231" s="2">
        <f ca="1"/>
        <v>0.79488156820139921</v>
      </c>
      <c r="AH7231" s="2" t="str">
        <f ca="1"/>
        <v>Bad</v>
      </c>
    </row>
    <row r="7232" spans="2:34" x14ac:dyDescent="0.2">
      <c r="B7232" s="2">
        <f ca="1"/>
        <v>0.95589851703489881</v>
      </c>
      <c r="O7232" s="2">
        <f ca="1"/>
        <v>8.0743324176920678E-2</v>
      </c>
      <c r="X7232" s="2">
        <f ca="1"/>
        <v>58.952602155455423</v>
      </c>
      <c r="AG7232" s="2">
        <f ca="1"/>
        <v>0.3756597894151863</v>
      </c>
      <c r="AH7232" s="2" t="str">
        <f ca="1"/>
        <v>OK</v>
      </c>
    </row>
    <row r="7233" spans="2:34" x14ac:dyDescent="0.2">
      <c r="B7233" s="2">
        <f ca="1"/>
        <v>0.91325045306976871</v>
      </c>
      <c r="O7233" s="2">
        <f ca="1"/>
        <v>0.18523089311780078</v>
      </c>
      <c r="X7233" s="2">
        <f ca="1"/>
        <v>34.808554969569016</v>
      </c>
      <c r="AG7233" s="2">
        <f ca="1"/>
        <v>0.42230347126012679</v>
      </c>
      <c r="AH7233" s="2" t="str">
        <f ca="1"/>
        <v>Bad</v>
      </c>
    </row>
    <row r="7234" spans="2:34" x14ac:dyDescent="0.2">
      <c r="B7234" s="2">
        <f ca="1"/>
        <v>0.58245613501701854</v>
      </c>
      <c r="O7234" s="2">
        <f ca="1"/>
        <v>-1.014929804069546</v>
      </c>
      <c r="X7234" s="2">
        <f ca="1"/>
        <v>77.602723631130829</v>
      </c>
      <c r="AG7234" s="2">
        <f ca="1"/>
        <v>0.40362172042576461</v>
      </c>
      <c r="AH7234" s="2" t="str">
        <f ca="1"/>
        <v>Bad</v>
      </c>
    </row>
    <row r="7235" spans="2:34" x14ac:dyDescent="0.2">
      <c r="B7235" s="2">
        <f ca="1"/>
        <v>0.12554190624400108</v>
      </c>
      <c r="O7235" s="2">
        <f ca="1"/>
        <v>0.63944683057605245</v>
      </c>
      <c r="X7235" s="2">
        <f ca="1"/>
        <v>48.942038674925882</v>
      </c>
      <c r="AG7235" s="2">
        <f ca="1"/>
        <v>0.49355551887504312</v>
      </c>
      <c r="AH7235" s="2" t="str">
        <f ca="1"/>
        <v>Bad</v>
      </c>
    </row>
    <row r="7236" spans="2:34" x14ac:dyDescent="0.2">
      <c r="B7236" s="2">
        <f ca="1"/>
        <v>5.6934252590933987E-2</v>
      </c>
      <c r="O7236" s="2">
        <f ca="1"/>
        <v>0.62733145722250028</v>
      </c>
      <c r="X7236" s="2">
        <f ca="1"/>
        <v>81.487388172369606</v>
      </c>
      <c r="AG7236" s="2">
        <f ca="1"/>
        <v>0.5897327205759626</v>
      </c>
      <c r="AH7236" s="2" t="str">
        <f ca="1"/>
        <v>Bad</v>
      </c>
    </row>
    <row r="7237" spans="2:34" x14ac:dyDescent="0.2">
      <c r="B7237" s="2">
        <f ca="1"/>
        <v>4.9350375348923947E-2</v>
      </c>
      <c r="O7237" s="2">
        <f ca="1"/>
        <v>-1.2887061437635923</v>
      </c>
      <c r="X7237" s="2">
        <f ca="1"/>
        <v>40.058849751531071</v>
      </c>
      <c r="AG7237" s="2">
        <f ca="1"/>
        <v>0.16897398368862637</v>
      </c>
      <c r="AH7237" s="2" t="str">
        <f ca="1"/>
        <v>OK</v>
      </c>
    </row>
    <row r="7238" spans="2:34" x14ac:dyDescent="0.2">
      <c r="B7238" s="2">
        <f ca="1"/>
        <v>0.84081454570898284</v>
      </c>
      <c r="O7238" s="2">
        <f ca="1"/>
        <v>0.76088372041163843</v>
      </c>
      <c r="X7238" s="2">
        <f ca="1"/>
        <v>71.24767345814638</v>
      </c>
      <c r="AG7238" s="2">
        <f ca="1"/>
        <v>2.2566829270302069E-2</v>
      </c>
      <c r="AH7238" s="2" t="str">
        <f ca="1"/>
        <v>Good</v>
      </c>
    </row>
    <row r="7239" spans="2:34" x14ac:dyDescent="0.2">
      <c r="B7239" s="2">
        <f ca="1"/>
        <v>0.37308761821770009</v>
      </c>
      <c r="O7239" s="2">
        <f ca="1"/>
        <v>-0.22943768359108463</v>
      </c>
      <c r="X7239" s="2">
        <f ca="1"/>
        <v>39.473034418836498</v>
      </c>
      <c r="AG7239" s="2">
        <f ca="1"/>
        <v>0.61892169883940928</v>
      </c>
      <c r="AH7239" s="2" t="str">
        <f ca="1"/>
        <v>Bad</v>
      </c>
    </row>
    <row r="7240" spans="2:34" x14ac:dyDescent="0.2">
      <c r="B7240" s="2">
        <f ca="1"/>
        <v>0.16670162248633802</v>
      </c>
      <c r="O7240" s="2">
        <f ca="1"/>
        <v>0.50328875864922651</v>
      </c>
      <c r="X7240" s="2">
        <f ca="1"/>
        <v>51.323172770373091</v>
      </c>
      <c r="AG7240" s="2">
        <f ca="1"/>
        <v>0.13689315608097274</v>
      </c>
      <c r="AH7240" s="2" t="str">
        <f ca="1"/>
        <v>OK</v>
      </c>
    </row>
    <row r="7241" spans="2:34" x14ac:dyDescent="0.2">
      <c r="B7241" s="2">
        <f ca="1"/>
        <v>0.78478674120900638</v>
      </c>
      <c r="O7241" s="2">
        <f ca="1"/>
        <v>-1.096883357864235</v>
      </c>
      <c r="X7241" s="2">
        <f ca="1"/>
        <v>26.598851662440573</v>
      </c>
      <c r="AG7241" s="2">
        <f ca="1"/>
        <v>0.57907662829419726</v>
      </c>
      <c r="AH7241" s="2" t="str">
        <f ca="1"/>
        <v>Bad</v>
      </c>
    </row>
    <row r="7242" spans="2:34" x14ac:dyDescent="0.2">
      <c r="B7242" s="2">
        <f ca="1"/>
        <v>0.41885030063865836</v>
      </c>
      <c r="O7242" s="2">
        <f ca="1"/>
        <v>0.3198179091727566</v>
      </c>
      <c r="X7242" s="2">
        <f ca="1"/>
        <v>55.226470013590628</v>
      </c>
      <c r="AG7242" s="2">
        <f ca="1"/>
        <v>0.15395983612257824</v>
      </c>
      <c r="AH7242" s="2" t="str">
        <f ca="1"/>
        <v>OK</v>
      </c>
    </row>
    <row r="7243" spans="2:34" x14ac:dyDescent="0.2">
      <c r="B7243" s="2">
        <f ca="1"/>
        <v>0.88216912702261463</v>
      </c>
      <c r="O7243" s="2">
        <f ca="1"/>
        <v>3.4013740430938348E-2</v>
      </c>
      <c r="X7243" s="2">
        <f ca="1"/>
        <v>48.426510901656847</v>
      </c>
      <c r="AG7243" s="2">
        <f ca="1"/>
        <v>0.56618266530481121</v>
      </c>
      <c r="AH7243" s="2" t="str">
        <f ca="1"/>
        <v>Bad</v>
      </c>
    </row>
    <row r="7244" spans="2:34" x14ac:dyDescent="0.2">
      <c r="B7244" s="2">
        <f ca="1"/>
        <v>0.16310540056520906</v>
      </c>
      <c r="O7244" s="2">
        <f ca="1"/>
        <v>-0.58295845074457953</v>
      </c>
      <c r="X7244" s="2">
        <f ca="1"/>
        <v>51.816346004819579</v>
      </c>
      <c r="AG7244" s="2">
        <f ca="1"/>
        <v>0.48130004828904349</v>
      </c>
      <c r="AH7244" s="2" t="str">
        <f ca="1"/>
        <v>Bad</v>
      </c>
    </row>
    <row r="7245" spans="2:34" x14ac:dyDescent="0.2">
      <c r="B7245" s="2">
        <f ca="1"/>
        <v>0.36476914149138073</v>
      </c>
      <c r="O7245" s="2">
        <f ca="1"/>
        <v>0.21916308411182858</v>
      </c>
      <c r="X7245" s="2">
        <f ca="1"/>
        <v>49.937365891255496</v>
      </c>
      <c r="AG7245" s="2">
        <f ca="1"/>
        <v>0.41645577623182239</v>
      </c>
      <c r="AH7245" s="2" t="str">
        <f ca="1"/>
        <v>Bad</v>
      </c>
    </row>
    <row r="7246" spans="2:34" x14ac:dyDescent="0.2">
      <c r="B7246" s="2">
        <f ca="1"/>
        <v>0.82871969312365379</v>
      </c>
      <c r="O7246" s="2">
        <f ca="1"/>
        <v>0.88542899522833218</v>
      </c>
      <c r="X7246" s="2">
        <f ca="1"/>
        <v>49.455030186722617</v>
      </c>
      <c r="AG7246" s="2">
        <f ca="1"/>
        <v>0.20186911187207146</v>
      </c>
      <c r="AH7246" s="2" t="str">
        <f ca="1"/>
        <v>OK</v>
      </c>
    </row>
    <row r="7247" spans="2:34" x14ac:dyDescent="0.2">
      <c r="B7247" s="2">
        <f ca="1"/>
        <v>0.78820944535633508</v>
      </c>
      <c r="O7247" s="2">
        <f ca="1"/>
        <v>-1.0258009587862105</v>
      </c>
      <c r="X7247" s="2">
        <f ca="1"/>
        <v>71.82275240624304</v>
      </c>
      <c r="AG7247" s="2">
        <f ca="1"/>
        <v>0.34017783012260372</v>
      </c>
      <c r="AH7247" s="2" t="str">
        <f ca="1"/>
        <v>OK</v>
      </c>
    </row>
    <row r="7248" spans="2:34" x14ac:dyDescent="0.2">
      <c r="B7248" s="2">
        <f ca="1"/>
        <v>0.32432310669381437</v>
      </c>
      <c r="O7248" s="2">
        <f ca="1"/>
        <v>0.84051418198448857</v>
      </c>
      <c r="X7248" s="2">
        <f ca="1"/>
        <v>32.442526869840329</v>
      </c>
      <c r="AG7248" s="2">
        <f ca="1"/>
        <v>0.97201753120582968</v>
      </c>
      <c r="AH7248" s="2" t="str">
        <f ca="1"/>
        <v>Bad</v>
      </c>
    </row>
    <row r="7249" spans="2:34" x14ac:dyDescent="0.2">
      <c r="B7249" s="2">
        <f ca="1"/>
        <v>0.56329807968934409</v>
      </c>
      <c r="O7249" s="2">
        <f ca="1"/>
        <v>2.4853177562600597</v>
      </c>
      <c r="X7249" s="2">
        <f ca="1"/>
        <v>51.242908402313951</v>
      </c>
      <c r="AG7249" s="2">
        <f ca="1"/>
        <v>0.51353396607769364</v>
      </c>
      <c r="AH7249" s="2" t="str">
        <f ca="1"/>
        <v>Bad</v>
      </c>
    </row>
    <row r="7250" spans="2:34" x14ac:dyDescent="0.2">
      <c r="B7250" s="2">
        <f ca="1"/>
        <v>0.35256172063674551</v>
      </c>
      <c r="O7250" s="2">
        <f ca="1"/>
        <v>-0.30462251650016492</v>
      </c>
      <c r="X7250" s="2">
        <f ca="1"/>
        <v>72.749754717832658</v>
      </c>
      <c r="AG7250" s="2">
        <f ca="1"/>
        <v>0.99860047550972642</v>
      </c>
      <c r="AH7250" s="2" t="str">
        <f ca="1"/>
        <v>Bad</v>
      </c>
    </row>
    <row r="7251" spans="2:34" x14ac:dyDescent="0.2">
      <c r="B7251" s="2">
        <f ca="1"/>
        <v>0.58912009545374455</v>
      </c>
      <c r="O7251" s="2">
        <f ca="1"/>
        <v>9.0559166436233948E-2</v>
      </c>
      <c r="X7251" s="2">
        <f ca="1"/>
        <v>25.622683842397016</v>
      </c>
      <c r="AG7251" s="2">
        <f ca="1"/>
        <v>0.70029794211264162</v>
      </c>
      <c r="AH7251" s="2" t="str">
        <f ca="1"/>
        <v>Bad</v>
      </c>
    </row>
    <row r="7252" spans="2:34" x14ac:dyDescent="0.2">
      <c r="B7252" s="2">
        <f ca="1"/>
        <v>0.5779919564577205</v>
      </c>
      <c r="O7252" s="2">
        <f ca="1"/>
        <v>-1.0218606008798754</v>
      </c>
      <c r="X7252" s="2">
        <f ca="1"/>
        <v>63.806849977738253</v>
      </c>
      <c r="AG7252" s="2">
        <f ca="1"/>
        <v>0.57125621674045979</v>
      </c>
      <c r="AH7252" s="2" t="str">
        <f ca="1"/>
        <v>Bad</v>
      </c>
    </row>
    <row r="7253" spans="2:34" x14ac:dyDescent="0.2">
      <c r="B7253" s="2">
        <f ca="1"/>
        <v>0.39480870644222521</v>
      </c>
      <c r="O7253" s="2">
        <f ca="1"/>
        <v>0.60589378325234355</v>
      </c>
      <c r="X7253" s="2">
        <f ca="1"/>
        <v>50.892042647003706</v>
      </c>
      <c r="AG7253" s="2">
        <f ca="1"/>
        <v>0.83748221736649153</v>
      </c>
      <c r="AH7253" s="2" t="str">
        <f ca="1"/>
        <v>Bad</v>
      </c>
    </row>
    <row r="7254" spans="2:34" x14ac:dyDescent="0.2">
      <c r="B7254" s="2">
        <f ca="1"/>
        <v>1.0476508196166634E-3</v>
      </c>
      <c r="O7254" s="2">
        <f ca="1"/>
        <v>-1.1834839443201386</v>
      </c>
      <c r="X7254" s="2">
        <f ca="1"/>
        <v>62.62243908452831</v>
      </c>
      <c r="AG7254" s="2">
        <f ca="1"/>
        <v>0.97541098868247778</v>
      </c>
      <c r="AH7254" s="2" t="str">
        <f ca="1"/>
        <v>Bad</v>
      </c>
    </row>
    <row r="7255" spans="2:34" x14ac:dyDescent="0.2">
      <c r="B7255" s="2">
        <f ca="1"/>
        <v>0.31760479852679802</v>
      </c>
      <c r="O7255" s="2">
        <f ca="1"/>
        <v>0.14959502406049752</v>
      </c>
      <c r="X7255" s="2">
        <f ca="1"/>
        <v>39.916594982089258</v>
      </c>
      <c r="AG7255" s="2">
        <f ca="1"/>
        <v>0.27721730062214278</v>
      </c>
      <c r="AH7255" s="2" t="str">
        <f ca="1"/>
        <v>OK</v>
      </c>
    </row>
    <row r="7256" spans="2:34" x14ac:dyDescent="0.2">
      <c r="B7256" s="2">
        <f ca="1"/>
        <v>8.4270135962889459E-2</v>
      </c>
      <c r="O7256" s="2">
        <f ca="1"/>
        <v>-0.3687000770997772</v>
      </c>
      <c r="X7256" s="2">
        <f ca="1"/>
        <v>35.426027477681259</v>
      </c>
      <c r="AG7256" s="2">
        <f ca="1"/>
        <v>0.58385151120937473</v>
      </c>
      <c r="AH7256" s="2" t="str">
        <f ca="1"/>
        <v>Bad</v>
      </c>
    </row>
    <row r="7257" spans="2:34" x14ac:dyDescent="0.2">
      <c r="B7257" s="2">
        <f ca="1"/>
        <v>0.71250663113066603</v>
      </c>
      <c r="O7257" s="2">
        <f ca="1"/>
        <v>1.2015564225111097</v>
      </c>
      <c r="X7257" s="2">
        <f ca="1"/>
        <v>57.743360588717927</v>
      </c>
      <c r="AG7257" s="2">
        <f ca="1"/>
        <v>0.9465096244902409</v>
      </c>
      <c r="AH7257" s="2" t="str">
        <f ca="1"/>
        <v>Bad</v>
      </c>
    </row>
    <row r="7258" spans="2:34" x14ac:dyDescent="0.2">
      <c r="B7258" s="2">
        <f ca="1"/>
        <v>0.49204829977003883</v>
      </c>
      <c r="O7258" s="2">
        <f ca="1"/>
        <v>0.22712873654733159</v>
      </c>
      <c r="X7258" s="2">
        <f ca="1"/>
        <v>34.620973739483979</v>
      </c>
      <c r="AG7258" s="2">
        <f ca="1"/>
        <v>0.3275198763454279</v>
      </c>
      <c r="AH7258" s="2" t="str">
        <f ca="1"/>
        <v>OK</v>
      </c>
    </row>
    <row r="7259" spans="2:34" x14ac:dyDescent="0.2">
      <c r="B7259" s="2">
        <f ca="1"/>
        <v>0.31725219813372241</v>
      </c>
      <c r="O7259" s="2">
        <f ca="1"/>
        <v>1.6481562220171161E-2</v>
      </c>
      <c r="X7259" s="2">
        <f ca="1"/>
        <v>39.307119706954516</v>
      </c>
      <c r="AG7259" s="2">
        <f ca="1"/>
        <v>0.44418986397151339</v>
      </c>
      <c r="AH7259" s="2" t="str">
        <f ca="1"/>
        <v>Bad</v>
      </c>
    </row>
    <row r="7260" spans="2:34" x14ac:dyDescent="0.2">
      <c r="B7260" s="2">
        <f ca="1"/>
        <v>0.18571308694574107</v>
      </c>
      <c r="O7260" s="2">
        <f ca="1"/>
        <v>0.82816102037505046</v>
      </c>
      <c r="X7260" s="2">
        <f ca="1"/>
        <v>55.412148202654798</v>
      </c>
      <c r="AG7260" s="2">
        <f ca="1"/>
        <v>0.42595553939511688</v>
      </c>
      <c r="AH7260" s="2" t="str">
        <f ca="1"/>
        <v>Bad</v>
      </c>
    </row>
    <row r="7261" spans="2:34" x14ac:dyDescent="0.2">
      <c r="B7261" s="2">
        <f ca="1"/>
        <v>0.82163073616752746</v>
      </c>
      <c r="O7261" s="2">
        <f ca="1"/>
        <v>-1.2358518820288615</v>
      </c>
      <c r="X7261" s="2">
        <f ca="1"/>
        <v>40.288642631099862</v>
      </c>
      <c r="AG7261" s="2">
        <f ca="1"/>
        <v>0.62317731434215662</v>
      </c>
      <c r="AH7261" s="2" t="str">
        <f ca="1"/>
        <v>Bad</v>
      </c>
    </row>
    <row r="7262" spans="2:34" x14ac:dyDescent="0.2">
      <c r="B7262" s="2">
        <f ca="1"/>
        <v>0.76615580542462225</v>
      </c>
      <c r="O7262" s="2">
        <f ca="1"/>
        <v>-0.29049326295649058</v>
      </c>
      <c r="X7262" s="2">
        <f ca="1"/>
        <v>60.085051921586931</v>
      </c>
      <c r="AG7262" s="2">
        <f ca="1"/>
        <v>0.56645337052234535</v>
      </c>
      <c r="AH7262" s="2" t="str">
        <f ca="1"/>
        <v>Bad</v>
      </c>
    </row>
    <row r="7263" spans="2:34" x14ac:dyDescent="0.2">
      <c r="B7263" s="2">
        <f ca="1"/>
        <v>0.56597388048911856</v>
      </c>
      <c r="O7263" s="2">
        <f ca="1"/>
        <v>-0.55191236737988836</v>
      </c>
      <c r="X7263" s="2">
        <f ca="1"/>
        <v>30.526403797595787</v>
      </c>
      <c r="AG7263" s="2">
        <f ca="1"/>
        <v>0.90056310488434255</v>
      </c>
      <c r="AH7263" s="2" t="str">
        <f ca="1"/>
        <v>Bad</v>
      </c>
    </row>
    <row r="7264" spans="2:34" x14ac:dyDescent="0.2">
      <c r="B7264" s="2">
        <f ca="1"/>
        <v>0.74220210284261268</v>
      </c>
      <c r="O7264" s="2">
        <f ca="1"/>
        <v>-0.29685506208494244</v>
      </c>
      <c r="X7264" s="2">
        <f ca="1"/>
        <v>49.425806906045736</v>
      </c>
      <c r="AG7264" s="2">
        <f ca="1"/>
        <v>0.30769383672270112</v>
      </c>
      <c r="AH7264" s="2" t="str">
        <f ca="1"/>
        <v>OK</v>
      </c>
    </row>
    <row r="7265" spans="2:34" x14ac:dyDescent="0.2">
      <c r="B7265" s="2">
        <f ca="1"/>
        <v>0.78176695312631606</v>
      </c>
      <c r="O7265" s="2">
        <f ca="1"/>
        <v>-0.58321514974877975</v>
      </c>
      <c r="X7265" s="2">
        <f ca="1"/>
        <v>66.0951209288732</v>
      </c>
      <c r="AG7265" s="2">
        <f ca="1"/>
        <v>0.86297978618665172</v>
      </c>
      <c r="AH7265" s="2" t="str">
        <f ca="1"/>
        <v>Bad</v>
      </c>
    </row>
    <row r="7266" spans="2:34" x14ac:dyDescent="0.2">
      <c r="B7266" s="2">
        <f ca="1"/>
        <v>0.73118889667578024</v>
      </c>
      <c r="O7266" s="2">
        <f ca="1"/>
        <v>-5.7334136456255021E-2</v>
      </c>
      <c r="X7266" s="2">
        <f ca="1"/>
        <v>30.496823955708695</v>
      </c>
      <c r="AG7266" s="2">
        <f ca="1"/>
        <v>0.14619214264940394</v>
      </c>
      <c r="AH7266" s="2" t="str">
        <f ca="1"/>
        <v>OK</v>
      </c>
    </row>
    <row r="7267" spans="2:34" x14ac:dyDescent="0.2">
      <c r="B7267" s="2">
        <f ca="1"/>
        <v>7.8510656564291237E-2</v>
      </c>
      <c r="O7267" s="2">
        <f ca="1"/>
        <v>-1.0740454683205196</v>
      </c>
      <c r="X7267" s="2">
        <f ca="1"/>
        <v>52.474771942541537</v>
      </c>
      <c r="AG7267" s="2">
        <f ca="1"/>
        <v>0.40966959342092535</v>
      </c>
      <c r="AH7267" s="2" t="str">
        <f ca="1"/>
        <v>Bad</v>
      </c>
    </row>
    <row r="7268" spans="2:34" x14ac:dyDescent="0.2">
      <c r="B7268" s="2">
        <f ca="1"/>
        <v>0.82489874186244716</v>
      </c>
      <c r="O7268" s="2">
        <f ca="1"/>
        <v>0.90238363887566653</v>
      </c>
      <c r="X7268" s="2">
        <f ca="1"/>
        <v>65.822210900143119</v>
      </c>
      <c r="AG7268" s="2">
        <f ca="1"/>
        <v>0.65332806167845026</v>
      </c>
      <c r="AH7268" s="2" t="str">
        <f ca="1"/>
        <v>Bad</v>
      </c>
    </row>
    <row r="7269" spans="2:34" x14ac:dyDescent="0.2">
      <c r="B7269" s="2">
        <f ca="1"/>
        <v>0.62220148064854808</v>
      </c>
      <c r="O7269" s="2">
        <f ca="1"/>
        <v>-5.8138459347347078E-2</v>
      </c>
      <c r="X7269" s="2">
        <f ca="1"/>
        <v>38.826954568905549</v>
      </c>
      <c r="AG7269" s="2">
        <f ca="1"/>
        <v>4.5404940971166097E-2</v>
      </c>
      <c r="AH7269" s="2" t="str">
        <f ca="1"/>
        <v>Good</v>
      </c>
    </row>
    <row r="7270" spans="2:34" x14ac:dyDescent="0.2">
      <c r="B7270" s="2">
        <f ca="1"/>
        <v>0.95275524815733625</v>
      </c>
      <c r="O7270" s="2">
        <f ca="1"/>
        <v>1.0052098985861875</v>
      </c>
      <c r="X7270" s="2">
        <f ca="1"/>
        <v>35.838079751100189</v>
      </c>
      <c r="AG7270" s="2">
        <f ca="1"/>
        <v>0.32309154222039904</v>
      </c>
      <c r="AH7270" s="2" t="str">
        <f ca="1"/>
        <v>OK</v>
      </c>
    </row>
    <row r="7271" spans="2:34" x14ac:dyDescent="0.2">
      <c r="B7271" s="2">
        <f ca="1"/>
        <v>0.78361285483464882</v>
      </c>
      <c r="O7271" s="2">
        <f ca="1"/>
        <v>1.6385767310373274</v>
      </c>
      <c r="X7271" s="2">
        <f ca="1"/>
        <v>51.834713291277467</v>
      </c>
      <c r="AG7271" s="2">
        <f ca="1"/>
        <v>0.21418395898899778</v>
      </c>
      <c r="AH7271" s="2" t="str">
        <f ca="1"/>
        <v>OK</v>
      </c>
    </row>
    <row r="7272" spans="2:34" x14ac:dyDescent="0.2">
      <c r="B7272" s="2">
        <f ca="1"/>
        <v>0.48729775936426134</v>
      </c>
      <c r="O7272" s="2">
        <f ca="1"/>
        <v>0.36236646400149786</v>
      </c>
      <c r="X7272" s="2">
        <f ca="1"/>
        <v>64.768817554102128</v>
      </c>
      <c r="AG7272" s="2">
        <f ca="1"/>
        <v>0.38192678920070589</v>
      </c>
      <c r="AH7272" s="2" t="str">
        <f ca="1"/>
        <v>OK</v>
      </c>
    </row>
    <row r="7273" spans="2:34" x14ac:dyDescent="0.2">
      <c r="B7273" s="2">
        <f ca="1"/>
        <v>0.20851132905659564</v>
      </c>
      <c r="O7273" s="2">
        <f ca="1"/>
        <v>-1.5966656666880061</v>
      </c>
      <c r="X7273" s="2">
        <f ca="1"/>
        <v>66.186818954087755</v>
      </c>
      <c r="AG7273" s="2">
        <f ca="1"/>
        <v>0.76447636215360038</v>
      </c>
      <c r="AH7273" s="2" t="str">
        <f ca="1"/>
        <v>Bad</v>
      </c>
    </row>
    <row r="7274" spans="2:34" x14ac:dyDescent="0.2">
      <c r="B7274" s="2">
        <f ca="1"/>
        <v>0.53870981792786377</v>
      </c>
      <c r="O7274" s="2">
        <f ca="1"/>
        <v>0.67713100730476905</v>
      </c>
      <c r="X7274" s="2">
        <f ca="1"/>
        <v>54.271764839108144</v>
      </c>
      <c r="AG7274" s="2">
        <f ca="1"/>
        <v>8.1606662650739015E-2</v>
      </c>
      <c r="AH7274" s="2" t="str">
        <f ca="1"/>
        <v>OK</v>
      </c>
    </row>
    <row r="7275" spans="2:34" x14ac:dyDescent="0.2">
      <c r="B7275" s="2">
        <f ca="1"/>
        <v>0.38551870668160415</v>
      </c>
      <c r="O7275" s="2">
        <f ca="1"/>
        <v>-2.1608091453078169</v>
      </c>
      <c r="X7275" s="2">
        <f ca="1"/>
        <v>43.587377733140869</v>
      </c>
      <c r="AG7275" s="2">
        <f ca="1"/>
        <v>0.92135329136611421</v>
      </c>
      <c r="AH7275" s="2" t="str">
        <f ca="1"/>
        <v>Bad</v>
      </c>
    </row>
    <row r="7276" spans="2:34" x14ac:dyDescent="0.2">
      <c r="B7276" s="2">
        <f ca="1"/>
        <v>0.73227103990374909</v>
      </c>
      <c r="O7276" s="2">
        <f ca="1"/>
        <v>-0.83893845382939503</v>
      </c>
      <c r="X7276" s="2">
        <f ca="1"/>
        <v>43.341412989325043</v>
      </c>
      <c r="AG7276" s="2">
        <f ca="1"/>
        <v>0.77180874551950929</v>
      </c>
      <c r="AH7276" s="2" t="str">
        <f ca="1"/>
        <v>Bad</v>
      </c>
    </row>
    <row r="7277" spans="2:34" x14ac:dyDescent="0.2">
      <c r="B7277" s="2">
        <f ca="1"/>
        <v>0.58202311426967457</v>
      </c>
      <c r="O7277" s="2">
        <f ca="1"/>
        <v>1.1964920438705178</v>
      </c>
      <c r="X7277" s="2">
        <f ca="1"/>
        <v>51.190344233019914</v>
      </c>
      <c r="AG7277" s="2">
        <f ca="1"/>
        <v>0.74841302556368605</v>
      </c>
      <c r="AH7277" s="2" t="str">
        <f ca="1"/>
        <v>Bad</v>
      </c>
    </row>
    <row r="7278" spans="2:34" x14ac:dyDescent="0.2">
      <c r="B7278" s="2">
        <f ca="1"/>
        <v>0.76439884275724546</v>
      </c>
      <c r="O7278" s="2">
        <f ca="1"/>
        <v>3.6428067470917279E-2</v>
      </c>
      <c r="X7278" s="2">
        <f ca="1"/>
        <v>54.587871473851415</v>
      </c>
      <c r="AG7278" s="2">
        <f ca="1"/>
        <v>0.74096236782473035</v>
      </c>
      <c r="AH7278" s="2" t="str">
        <f ca="1"/>
        <v>Bad</v>
      </c>
    </row>
    <row r="7279" spans="2:34" x14ac:dyDescent="0.2">
      <c r="B7279" s="2">
        <f ca="1"/>
        <v>0.4880029415540863</v>
      </c>
      <c r="O7279" s="2">
        <f ca="1"/>
        <v>-1.2806583824448781</v>
      </c>
      <c r="X7279" s="2">
        <f ca="1"/>
        <v>55.351399914870633</v>
      </c>
      <c r="AG7279" s="2">
        <f ca="1"/>
        <v>0.66879155838662108</v>
      </c>
      <c r="AH7279" s="2" t="str">
        <f ca="1"/>
        <v>Bad</v>
      </c>
    </row>
    <row r="7280" spans="2:34" x14ac:dyDescent="0.2">
      <c r="B7280" s="2">
        <f ca="1"/>
        <v>0.41852873246201994</v>
      </c>
      <c r="O7280" s="2">
        <f ca="1"/>
        <v>-4.0337998437032396E-2</v>
      </c>
      <c r="X7280" s="2">
        <f ca="1"/>
        <v>54.38894694656085</v>
      </c>
      <c r="AG7280" s="2">
        <f ca="1"/>
        <v>0.17140309494845107</v>
      </c>
      <c r="AH7280" s="2" t="str">
        <f ca="1"/>
        <v>OK</v>
      </c>
    </row>
    <row r="7281" spans="2:34" x14ac:dyDescent="0.2">
      <c r="B7281" s="2">
        <f ca="1"/>
        <v>0.91303778423094384</v>
      </c>
      <c r="O7281" s="2">
        <f ca="1"/>
        <v>-3.7073454503206496E-2</v>
      </c>
      <c r="X7281" s="2">
        <f ca="1"/>
        <v>72.515985926988563</v>
      </c>
      <c r="AG7281" s="2">
        <f ca="1"/>
        <v>0.22081178022615267</v>
      </c>
      <c r="AH7281" s="2" t="str">
        <f ca="1"/>
        <v>OK</v>
      </c>
    </row>
    <row r="7282" spans="2:34" x14ac:dyDescent="0.2">
      <c r="B7282" s="2">
        <f ca="1"/>
        <v>0.92693708951033527</v>
      </c>
      <c r="O7282" s="2">
        <f ca="1"/>
        <v>0.85539479493173287</v>
      </c>
      <c r="X7282" s="2">
        <f ca="1"/>
        <v>37.183661969729165</v>
      </c>
      <c r="AG7282" s="2">
        <f ca="1"/>
        <v>0.44423632590107487</v>
      </c>
      <c r="AH7282" s="2" t="str">
        <f ca="1"/>
        <v>Bad</v>
      </c>
    </row>
    <row r="7283" spans="2:34" x14ac:dyDescent="0.2">
      <c r="B7283" s="2">
        <f ca="1"/>
        <v>0.5129678907806301</v>
      </c>
      <c r="O7283" s="2">
        <f ca="1"/>
        <v>-1.4274111302551231</v>
      </c>
      <c r="X7283" s="2">
        <f ca="1"/>
        <v>69.953077430722331</v>
      </c>
      <c r="AG7283" s="2">
        <f ca="1"/>
        <v>0.9818525515868417</v>
      </c>
      <c r="AH7283" s="2" t="str">
        <f ca="1"/>
        <v>Bad</v>
      </c>
    </row>
    <row r="7284" spans="2:34" x14ac:dyDescent="0.2">
      <c r="B7284" s="2">
        <f ca="1"/>
        <v>0.3189549205617439</v>
      </c>
      <c r="O7284" s="2">
        <f ca="1"/>
        <v>-2.1223915660785448</v>
      </c>
      <c r="X7284" s="2">
        <f ca="1"/>
        <v>48.168864539281991</v>
      </c>
      <c r="AG7284" s="2">
        <f ca="1"/>
        <v>0.65563270261394013</v>
      </c>
      <c r="AH7284" s="2" t="str">
        <f ca="1"/>
        <v>Bad</v>
      </c>
    </row>
    <row r="7285" spans="2:34" x14ac:dyDescent="0.2">
      <c r="B7285" s="2">
        <f ca="1"/>
        <v>0.3933889855711743</v>
      </c>
      <c r="O7285" s="2">
        <f ca="1"/>
        <v>8.0115811184850741E-2</v>
      </c>
      <c r="X7285" s="2">
        <f ca="1"/>
        <v>40.858958095999817</v>
      </c>
      <c r="AG7285" s="2">
        <f ca="1"/>
        <v>0.22902011175335657</v>
      </c>
      <c r="AH7285" s="2" t="str">
        <f ca="1"/>
        <v>OK</v>
      </c>
    </row>
    <row r="7286" spans="2:34" x14ac:dyDescent="0.2">
      <c r="B7286" s="2">
        <f ca="1"/>
        <v>0.37898444207757476</v>
      </c>
      <c r="O7286" s="2">
        <f ca="1"/>
        <v>1.5489653264417571</v>
      </c>
      <c r="X7286" s="2">
        <f ca="1"/>
        <v>60.518785577044262</v>
      </c>
      <c r="AG7286" s="2">
        <f ca="1"/>
        <v>0.98308668027665869</v>
      </c>
      <c r="AH7286" s="2" t="str">
        <f ca="1"/>
        <v>Bad</v>
      </c>
    </row>
    <row r="7287" spans="2:34" x14ac:dyDescent="0.2">
      <c r="B7287" s="2">
        <f ca="1"/>
        <v>0.27162118283789094</v>
      </c>
      <c r="O7287" s="2">
        <f ca="1"/>
        <v>0.51502429060777288</v>
      </c>
      <c r="X7287" s="2">
        <f ca="1"/>
        <v>34.935709641539454</v>
      </c>
      <c r="AG7287" s="2">
        <f ca="1"/>
        <v>6.3875752137063646E-2</v>
      </c>
      <c r="AH7287" s="2" t="str">
        <f ca="1"/>
        <v>OK</v>
      </c>
    </row>
    <row r="7288" spans="2:34" x14ac:dyDescent="0.2">
      <c r="B7288" s="2">
        <f ca="1"/>
        <v>0.95845867344752622</v>
      </c>
      <c r="O7288" s="2">
        <f ca="1"/>
        <v>-1.0290661614602787</v>
      </c>
      <c r="X7288" s="2">
        <f ca="1"/>
        <v>51.470612314506369</v>
      </c>
      <c r="AG7288" s="2">
        <f ca="1"/>
        <v>0.74631558396174968</v>
      </c>
      <c r="AH7288" s="2" t="str">
        <f ca="1"/>
        <v>Bad</v>
      </c>
    </row>
    <row r="7289" spans="2:34" x14ac:dyDescent="0.2">
      <c r="B7289" s="2">
        <f ca="1"/>
        <v>0.2434801588806994</v>
      </c>
      <c r="O7289" s="2">
        <f ca="1"/>
        <v>-0.14923783900520055</v>
      </c>
      <c r="X7289" s="2">
        <f ca="1"/>
        <v>43.611533452837783</v>
      </c>
      <c r="AG7289" s="2">
        <f ca="1"/>
        <v>0.75698643528831111</v>
      </c>
      <c r="AH7289" s="2" t="str">
        <f ca="1"/>
        <v>Bad</v>
      </c>
    </row>
    <row r="7290" spans="2:34" x14ac:dyDescent="0.2">
      <c r="B7290" s="2">
        <f ca="1"/>
        <v>1.9856119726158861E-2</v>
      </c>
      <c r="O7290" s="2">
        <f ca="1"/>
        <v>-0.23041977034796035</v>
      </c>
      <c r="X7290" s="2">
        <f ca="1"/>
        <v>39.758742852313603</v>
      </c>
      <c r="AG7290" s="2">
        <f ca="1"/>
        <v>0.27626874830235693</v>
      </c>
      <c r="AH7290" s="2" t="str">
        <f ca="1"/>
        <v>OK</v>
      </c>
    </row>
    <row r="7291" spans="2:34" x14ac:dyDescent="0.2">
      <c r="B7291" s="2">
        <f ca="1"/>
        <v>0.17734592398188376</v>
      </c>
      <c r="O7291" s="2">
        <f ca="1"/>
        <v>-0.96324671701596221</v>
      </c>
      <c r="X7291" s="2">
        <f ca="1"/>
        <v>36.127735711256328</v>
      </c>
      <c r="AG7291" s="2">
        <f ca="1"/>
        <v>6.8154024586276618E-2</v>
      </c>
      <c r="AH7291" s="2" t="str">
        <f ca="1"/>
        <v>OK</v>
      </c>
    </row>
    <row r="7292" spans="2:34" x14ac:dyDescent="0.2">
      <c r="B7292" s="2">
        <f ca="1"/>
        <v>3.6607481543221798E-2</v>
      </c>
      <c r="O7292" s="2">
        <f ca="1"/>
        <v>0.20854767594097212</v>
      </c>
      <c r="X7292" s="2">
        <f ca="1"/>
        <v>44.107584439510099</v>
      </c>
      <c r="AG7292" s="2">
        <f ca="1"/>
        <v>0.3066334138814355</v>
      </c>
      <c r="AH7292" s="2" t="str">
        <f ca="1"/>
        <v>OK</v>
      </c>
    </row>
    <row r="7293" spans="2:34" x14ac:dyDescent="0.2">
      <c r="B7293" s="2">
        <f ca="1"/>
        <v>0.97712235885854182</v>
      </c>
      <c r="O7293" s="2">
        <f ca="1"/>
        <v>-0.21677325994859073</v>
      </c>
      <c r="X7293" s="2">
        <f ca="1"/>
        <v>47.791047692271569</v>
      </c>
      <c r="AG7293" s="2">
        <f ca="1"/>
        <v>0.45748940520204129</v>
      </c>
      <c r="AH7293" s="2" t="str">
        <f ca="1"/>
        <v>Bad</v>
      </c>
    </row>
    <row r="7294" spans="2:34" x14ac:dyDescent="0.2">
      <c r="B7294" s="2">
        <f ca="1"/>
        <v>0.28814765886216231</v>
      </c>
      <c r="O7294" s="2">
        <f ca="1"/>
        <v>0.69103157162526652</v>
      </c>
      <c r="X7294" s="2">
        <f ca="1"/>
        <v>39.795360212279626</v>
      </c>
      <c r="AG7294" s="2">
        <f ca="1"/>
        <v>0.64826681405376263</v>
      </c>
      <c r="AH7294" s="2" t="str">
        <f ca="1"/>
        <v>Bad</v>
      </c>
    </row>
    <row r="7295" spans="2:34" x14ac:dyDescent="0.2">
      <c r="B7295" s="2">
        <f ca="1"/>
        <v>0.26508836407842962</v>
      </c>
      <c r="O7295" s="2">
        <f ca="1"/>
        <v>-0.93591199591347041</v>
      </c>
      <c r="X7295" s="2">
        <f ca="1"/>
        <v>46.549002946716165</v>
      </c>
      <c r="AG7295" s="2">
        <f ca="1"/>
        <v>0.45083693367314437</v>
      </c>
      <c r="AH7295" s="2" t="str">
        <f ca="1"/>
        <v>Bad</v>
      </c>
    </row>
    <row r="7296" spans="2:34" x14ac:dyDescent="0.2">
      <c r="B7296" s="2">
        <f ca="1"/>
        <v>0.66735571665530413</v>
      </c>
      <c r="O7296" s="2">
        <f ca="1"/>
        <v>-1.8558853779772531</v>
      </c>
      <c r="X7296" s="2">
        <f ca="1"/>
        <v>52.928107508584702</v>
      </c>
      <c r="AG7296" s="2">
        <f ca="1"/>
        <v>0.10042891763008299</v>
      </c>
      <c r="AH7296" s="2" t="str">
        <f ca="1"/>
        <v>OK</v>
      </c>
    </row>
    <row r="7297" spans="2:34" x14ac:dyDescent="0.2">
      <c r="B7297" s="2">
        <f ca="1"/>
        <v>0.98136227587282376</v>
      </c>
      <c r="O7297" s="2">
        <f ca="1"/>
        <v>1.242422704479462</v>
      </c>
      <c r="X7297" s="2">
        <f ca="1"/>
        <v>66.887386034104907</v>
      </c>
      <c r="AG7297" s="2">
        <f ca="1"/>
        <v>0.33848415155400247</v>
      </c>
      <c r="AH7297" s="2" t="str">
        <f ca="1"/>
        <v>OK</v>
      </c>
    </row>
    <row r="7298" spans="2:34" x14ac:dyDescent="0.2">
      <c r="B7298" s="2">
        <f ca="1"/>
        <v>0.76354740190055326</v>
      </c>
      <c r="O7298" s="2">
        <f ca="1"/>
        <v>-0.13385733575488673</v>
      </c>
      <c r="X7298" s="2">
        <f ca="1"/>
        <v>43.685723079175887</v>
      </c>
      <c r="AG7298" s="2">
        <f ca="1"/>
        <v>1.0695272490129915E-2</v>
      </c>
      <c r="AH7298" s="2" t="str">
        <f ca="1"/>
        <v>Good</v>
      </c>
    </row>
    <row r="7299" spans="2:34" x14ac:dyDescent="0.2">
      <c r="B7299" s="2">
        <f ca="1"/>
        <v>0.43820153581492782</v>
      </c>
      <c r="O7299" s="2">
        <f ca="1"/>
        <v>-0.41149111697139495</v>
      </c>
      <c r="X7299" s="2">
        <f ca="1"/>
        <v>44.312902276269227</v>
      </c>
      <c r="AG7299" s="2">
        <f ca="1"/>
        <v>0.60919613850894261</v>
      </c>
      <c r="AH7299" s="2" t="str">
        <f ca="1"/>
        <v>Bad</v>
      </c>
    </row>
    <row r="7300" spans="2:34" x14ac:dyDescent="0.2">
      <c r="B7300" s="2">
        <f ca="1"/>
        <v>0.92109980930339797</v>
      </c>
      <c r="O7300" s="2">
        <f ca="1"/>
        <v>1.6070681954713411</v>
      </c>
      <c r="X7300" s="2">
        <f ca="1"/>
        <v>75.757954799853337</v>
      </c>
      <c r="AG7300" s="2">
        <f ca="1"/>
        <v>0.44669521759079767</v>
      </c>
      <c r="AH7300" s="2" t="str">
        <f ca="1"/>
        <v>Bad</v>
      </c>
    </row>
    <row r="7301" spans="2:34" x14ac:dyDescent="0.2">
      <c r="B7301" s="2">
        <f ca="1"/>
        <v>0.25086800286719679</v>
      </c>
      <c r="O7301" s="2">
        <f ca="1"/>
        <v>1.503993840123039</v>
      </c>
      <c r="X7301" s="2">
        <f ca="1"/>
        <v>24.87590848553458</v>
      </c>
      <c r="AG7301" s="2">
        <f ca="1"/>
        <v>0.12535819809303739</v>
      </c>
      <c r="AH7301" s="2" t="str">
        <f ca="1"/>
        <v>OK</v>
      </c>
    </row>
    <row r="7302" spans="2:34" x14ac:dyDescent="0.2">
      <c r="B7302" s="2">
        <f ca="1"/>
        <v>0.61072201258118142</v>
      </c>
      <c r="O7302" s="2">
        <f ca="1"/>
        <v>0.26016549062387634</v>
      </c>
      <c r="X7302" s="2">
        <f ca="1"/>
        <v>50.160560963170155</v>
      </c>
      <c r="AG7302" s="2">
        <f ca="1"/>
        <v>0.68052462221335164</v>
      </c>
      <c r="AH7302" s="2" t="str">
        <f ca="1"/>
        <v>Bad</v>
      </c>
    </row>
    <row r="7303" spans="2:34" x14ac:dyDescent="0.2">
      <c r="B7303" s="2">
        <f ca="1"/>
        <v>0.94009339804618608</v>
      </c>
      <c r="O7303" s="2">
        <f ca="1"/>
        <v>-1.4908787828764443</v>
      </c>
      <c r="X7303" s="2">
        <f ca="1"/>
        <v>29.960077650744946</v>
      </c>
      <c r="AG7303" s="2">
        <f ca="1"/>
        <v>0.85775928172438598</v>
      </c>
      <c r="AH7303" s="2" t="str">
        <f ca="1"/>
        <v>Bad</v>
      </c>
    </row>
    <row r="7304" spans="2:34" x14ac:dyDescent="0.2">
      <c r="B7304" s="2">
        <f ca="1"/>
        <v>0.52867492253876258</v>
      </c>
      <c r="O7304" s="2">
        <f ca="1"/>
        <v>1.5308438892980181</v>
      </c>
      <c r="X7304" s="2">
        <f ca="1"/>
        <v>47.199327305137402</v>
      </c>
      <c r="AG7304" s="2">
        <f ca="1"/>
        <v>0.84738409875150156</v>
      </c>
      <c r="AH7304" s="2" t="str">
        <f ca="1"/>
        <v>Bad</v>
      </c>
    </row>
    <row r="7305" spans="2:34" x14ac:dyDescent="0.2">
      <c r="B7305" s="2">
        <f ca="1"/>
        <v>0.56286000419812465</v>
      </c>
      <c r="O7305" s="2">
        <f ca="1"/>
        <v>9.9413962641875145E-2</v>
      </c>
      <c r="X7305" s="2">
        <f ca="1"/>
        <v>58.065996765174397</v>
      </c>
      <c r="AG7305" s="2">
        <f ca="1"/>
        <v>0.53409158773833831</v>
      </c>
      <c r="AH7305" s="2" t="str">
        <f ca="1"/>
        <v>Bad</v>
      </c>
    </row>
    <row r="7306" spans="2:34" x14ac:dyDescent="0.2">
      <c r="B7306" s="2">
        <f ca="1"/>
        <v>0.29067796251422773</v>
      </c>
      <c r="O7306" s="2">
        <f ca="1"/>
        <v>0.9029089601222301</v>
      </c>
      <c r="X7306" s="2">
        <f ca="1"/>
        <v>42.055151845751794</v>
      </c>
      <c r="AG7306" s="2">
        <f ca="1"/>
        <v>0.36275650355907385</v>
      </c>
      <c r="AH7306" s="2" t="str">
        <f ca="1"/>
        <v>OK</v>
      </c>
    </row>
    <row r="7307" spans="2:34" x14ac:dyDescent="0.2">
      <c r="B7307" s="2">
        <f ca="1"/>
        <v>0.42550711812678177</v>
      </c>
      <c r="O7307" s="2">
        <f ca="1"/>
        <v>1.9993097932705512</v>
      </c>
      <c r="X7307" s="2">
        <f ca="1"/>
        <v>48.584729456968944</v>
      </c>
      <c r="AG7307" s="2">
        <f ca="1"/>
        <v>0.92237732461192379</v>
      </c>
      <c r="AH7307" s="2" t="str">
        <f ca="1"/>
        <v>Bad</v>
      </c>
    </row>
    <row r="7308" spans="2:34" x14ac:dyDescent="0.2">
      <c r="B7308" s="2">
        <f ca="1"/>
        <v>0.87265112393755029</v>
      </c>
      <c r="O7308" s="2">
        <f ca="1"/>
        <v>-0.23827320989751632</v>
      </c>
      <c r="X7308" s="2">
        <f ca="1"/>
        <v>38.639126696849203</v>
      </c>
      <c r="AG7308" s="2">
        <f ca="1"/>
        <v>0.80854436427441367</v>
      </c>
      <c r="AH7308" s="2" t="str">
        <f ca="1"/>
        <v>Bad</v>
      </c>
    </row>
    <row r="7309" spans="2:34" x14ac:dyDescent="0.2">
      <c r="B7309" s="2">
        <f ca="1"/>
        <v>0.63285047170563979</v>
      </c>
      <c r="O7309" s="2">
        <f ca="1"/>
        <v>-1.2517570219896288</v>
      </c>
      <c r="X7309" s="2">
        <f ca="1"/>
        <v>16.841888306436044</v>
      </c>
      <c r="AG7309" s="2">
        <f ca="1"/>
        <v>0.56696645540815171</v>
      </c>
      <c r="AH7309" s="2" t="str">
        <f ca="1"/>
        <v>Bad</v>
      </c>
    </row>
    <row r="7310" spans="2:34" x14ac:dyDescent="0.2">
      <c r="B7310" s="2">
        <f ca="1"/>
        <v>0.63820183539342579</v>
      </c>
      <c r="O7310" s="2">
        <f ca="1"/>
        <v>-1.8187705739437128</v>
      </c>
      <c r="X7310" s="2">
        <f ca="1"/>
        <v>44.11359297467763</v>
      </c>
      <c r="AG7310" s="2">
        <f ca="1"/>
        <v>0.21562364806987611</v>
      </c>
      <c r="AH7310" s="2" t="str">
        <f ca="1"/>
        <v>OK</v>
      </c>
    </row>
    <row r="7311" spans="2:34" x14ac:dyDescent="0.2">
      <c r="B7311" s="2">
        <f ca="1"/>
        <v>3.8939983078355889E-2</v>
      </c>
      <c r="O7311" s="2">
        <f ca="1"/>
        <v>0.39222944773184532</v>
      </c>
      <c r="X7311" s="2">
        <f ca="1"/>
        <v>46.249713321338639</v>
      </c>
      <c r="AG7311" s="2">
        <f ca="1"/>
        <v>0.51367626879802519</v>
      </c>
      <c r="AH7311" s="2" t="str">
        <f ca="1"/>
        <v>Bad</v>
      </c>
    </row>
    <row r="7312" spans="2:34" x14ac:dyDescent="0.2">
      <c r="B7312" s="2">
        <f ca="1"/>
        <v>0.89551468202928963</v>
      </c>
      <c r="O7312" s="2">
        <f ca="1"/>
        <v>-7.6188005127970262E-2</v>
      </c>
      <c r="X7312" s="2">
        <f ca="1"/>
        <v>80.428515448790364</v>
      </c>
      <c r="AG7312" s="2">
        <f ca="1"/>
        <v>3.6838960549097743E-2</v>
      </c>
      <c r="AH7312" s="2" t="str">
        <f ca="1"/>
        <v>Good</v>
      </c>
    </row>
    <row r="7313" spans="2:34" x14ac:dyDescent="0.2">
      <c r="B7313" s="2">
        <f ca="1"/>
        <v>0.34800525998593002</v>
      </c>
      <c r="O7313" s="2">
        <f ca="1"/>
        <v>0.53493860068090493</v>
      </c>
      <c r="X7313" s="2">
        <f ca="1"/>
        <v>49.049611416319763</v>
      </c>
      <c r="AG7313" s="2">
        <f ca="1"/>
        <v>0.67719085621936692</v>
      </c>
      <c r="AH7313" s="2" t="str">
        <f ca="1"/>
        <v>Bad</v>
      </c>
    </row>
    <row r="7314" spans="2:34" x14ac:dyDescent="0.2">
      <c r="B7314" s="2">
        <f ca="1"/>
        <v>0.61322120867771179</v>
      </c>
      <c r="O7314" s="2">
        <f ca="1"/>
        <v>-1.7742664711303004</v>
      </c>
      <c r="X7314" s="2">
        <f ca="1"/>
        <v>50.294907720779022</v>
      </c>
      <c r="AG7314" s="2">
        <f ca="1"/>
        <v>0.44833697478666257</v>
      </c>
      <c r="AH7314" s="2" t="str">
        <f ca="1"/>
        <v>Bad</v>
      </c>
    </row>
    <row r="7315" spans="2:34" x14ac:dyDescent="0.2">
      <c r="B7315" s="2">
        <f ca="1"/>
        <v>0.27605869869040678</v>
      </c>
      <c r="O7315" s="2">
        <f ca="1"/>
        <v>-0.61416230292703722</v>
      </c>
      <c r="X7315" s="2">
        <f ca="1"/>
        <v>66.963290447690468</v>
      </c>
      <c r="AG7315" s="2">
        <f ca="1"/>
        <v>6.2671828195265178E-2</v>
      </c>
      <c r="AH7315" s="2" t="str">
        <f ca="1"/>
        <v>OK</v>
      </c>
    </row>
    <row r="7316" spans="2:34" x14ac:dyDescent="0.2">
      <c r="B7316" s="2">
        <f ca="1"/>
        <v>0.25641924995822407</v>
      </c>
      <c r="O7316" s="2">
        <f ca="1"/>
        <v>-2.0073040647489582</v>
      </c>
      <c r="X7316" s="2">
        <f ca="1"/>
        <v>49.854080237277159</v>
      </c>
      <c r="AG7316" s="2">
        <f ca="1"/>
        <v>0.72932540041492055</v>
      </c>
      <c r="AH7316" s="2" t="str">
        <f ca="1"/>
        <v>Bad</v>
      </c>
    </row>
    <row r="7317" spans="2:34" x14ac:dyDescent="0.2">
      <c r="B7317" s="2">
        <f ca="1"/>
        <v>2.269782728853742E-2</v>
      </c>
      <c r="O7317" s="2">
        <f ca="1"/>
        <v>-2.1768072483875232</v>
      </c>
      <c r="X7317" s="2">
        <f ca="1"/>
        <v>59.9653759558568</v>
      </c>
      <c r="AG7317" s="2">
        <f ca="1"/>
        <v>0.26012642365855654</v>
      </c>
      <c r="AH7317" s="2" t="str">
        <f ca="1"/>
        <v>OK</v>
      </c>
    </row>
    <row r="7318" spans="2:34" x14ac:dyDescent="0.2">
      <c r="B7318" s="2">
        <f ca="1"/>
        <v>0.11124916968891263</v>
      </c>
      <c r="O7318" s="2">
        <f ca="1"/>
        <v>0.28839205528481221</v>
      </c>
      <c r="X7318" s="2">
        <f ca="1"/>
        <v>53.742085458865311</v>
      </c>
      <c r="AG7318" s="2">
        <f ca="1"/>
        <v>0.53549832359114724</v>
      </c>
      <c r="AH7318" s="2" t="str">
        <f ca="1"/>
        <v>Bad</v>
      </c>
    </row>
    <row r="7319" spans="2:34" x14ac:dyDescent="0.2">
      <c r="B7319" s="2">
        <f ca="1"/>
        <v>0.59665439621738603</v>
      </c>
      <c r="O7319" s="2">
        <f ca="1"/>
        <v>-0.72562556533294909</v>
      </c>
      <c r="X7319" s="2">
        <f ca="1"/>
        <v>41.571774469812752</v>
      </c>
      <c r="AG7319" s="2">
        <f ca="1"/>
        <v>0.9323323257289986</v>
      </c>
      <c r="AH7319" s="2" t="str">
        <f ca="1"/>
        <v>Bad</v>
      </c>
    </row>
    <row r="7320" spans="2:34" x14ac:dyDescent="0.2">
      <c r="B7320" s="2">
        <f ca="1"/>
        <v>0.43001140370412427</v>
      </c>
      <c r="O7320" s="2">
        <f ca="1"/>
        <v>-1.8827536147207078</v>
      </c>
      <c r="X7320" s="2">
        <f ca="1"/>
        <v>57.871043166708532</v>
      </c>
      <c r="AG7320" s="2">
        <f ca="1"/>
        <v>0.82262963459542648</v>
      </c>
      <c r="AH7320" s="2" t="str">
        <f ca="1"/>
        <v>Bad</v>
      </c>
    </row>
    <row r="7321" spans="2:34" x14ac:dyDescent="0.2">
      <c r="B7321" s="2">
        <f ca="1"/>
        <v>0.58579258912377874</v>
      </c>
      <c r="O7321" s="2">
        <f ca="1"/>
        <v>0.52921445202705031</v>
      </c>
      <c r="X7321" s="2">
        <f ca="1"/>
        <v>43.449985250759028</v>
      </c>
      <c r="AG7321" s="2">
        <f ca="1"/>
        <v>0.86507409319030493</v>
      </c>
      <c r="AH7321" s="2" t="str">
        <f ca="1"/>
        <v>Bad</v>
      </c>
    </row>
    <row r="7322" spans="2:34" x14ac:dyDescent="0.2">
      <c r="B7322" s="2">
        <f ca="1"/>
        <v>0.95230251788349185</v>
      </c>
      <c r="O7322" s="2">
        <f ca="1"/>
        <v>-0.26363440626824691</v>
      </c>
      <c r="X7322" s="2">
        <f ca="1"/>
        <v>57.662640469122771</v>
      </c>
      <c r="AG7322" s="2">
        <f ca="1"/>
        <v>0.18172530670929432</v>
      </c>
      <c r="AH7322" s="2" t="str">
        <f ca="1"/>
        <v>OK</v>
      </c>
    </row>
    <row r="7323" spans="2:34" x14ac:dyDescent="0.2">
      <c r="B7323" s="2">
        <f ca="1"/>
        <v>0.96375661082992026</v>
      </c>
      <c r="O7323" s="2">
        <f ca="1"/>
        <v>-1.3067905176092391</v>
      </c>
      <c r="X7323" s="2">
        <f ca="1"/>
        <v>32.179790437594725</v>
      </c>
      <c r="AG7323" s="2">
        <f ca="1"/>
        <v>0.96612630764587126</v>
      </c>
      <c r="AH7323" s="2" t="str">
        <f ca="1"/>
        <v>Bad</v>
      </c>
    </row>
    <row r="7324" spans="2:34" x14ac:dyDescent="0.2">
      <c r="B7324" s="2">
        <f ca="1"/>
        <v>0.15161955898137691</v>
      </c>
      <c r="O7324" s="2">
        <f ca="1"/>
        <v>-0.21918997643547833</v>
      </c>
      <c r="X7324" s="2">
        <f ca="1"/>
        <v>68.300510798227549</v>
      </c>
      <c r="AG7324" s="2">
        <f ca="1"/>
        <v>0.52147204980676287</v>
      </c>
      <c r="AH7324" s="2" t="str">
        <f ca="1"/>
        <v>Bad</v>
      </c>
    </row>
    <row r="7325" spans="2:34" x14ac:dyDescent="0.2">
      <c r="B7325" s="2">
        <f ca="1"/>
        <v>1.8946016678540678E-2</v>
      </c>
      <c r="O7325" s="2">
        <f ca="1"/>
        <v>-1.5862098752261327</v>
      </c>
      <c r="X7325" s="2">
        <f ca="1"/>
        <v>47.328594551285128</v>
      </c>
      <c r="AG7325" s="2">
        <f ca="1"/>
        <v>8.0790688831014146E-2</v>
      </c>
      <c r="AH7325" s="2" t="str">
        <f ca="1"/>
        <v>OK</v>
      </c>
    </row>
    <row r="7326" spans="2:34" x14ac:dyDescent="0.2">
      <c r="B7326" s="2">
        <f ca="1"/>
        <v>0.64264203311632206</v>
      </c>
      <c r="O7326" s="2">
        <f ca="1"/>
        <v>-0.53459572913360875</v>
      </c>
      <c r="X7326" s="2">
        <f ca="1"/>
        <v>60.83029024939912</v>
      </c>
      <c r="AG7326" s="2">
        <f ca="1"/>
        <v>0.63623219411525578</v>
      </c>
      <c r="AH7326" s="2" t="str">
        <f ca="1"/>
        <v>Bad</v>
      </c>
    </row>
    <row r="7327" spans="2:34" x14ac:dyDescent="0.2">
      <c r="B7327" s="2">
        <f ca="1"/>
        <v>0.88869080475240136</v>
      </c>
      <c r="O7327" s="2">
        <f ca="1"/>
        <v>-0.72632861474549482</v>
      </c>
      <c r="X7327" s="2">
        <f ca="1"/>
        <v>59.762543432878886</v>
      </c>
      <c r="AG7327" s="2">
        <f ca="1"/>
        <v>0.51921757724693141</v>
      </c>
      <c r="AH7327" s="2" t="str">
        <f ca="1"/>
        <v>Bad</v>
      </c>
    </row>
    <row r="7328" spans="2:34" x14ac:dyDescent="0.2">
      <c r="B7328" s="2">
        <f ca="1"/>
        <v>0.75884798409915422</v>
      </c>
      <c r="O7328" s="2">
        <f ca="1"/>
        <v>1.3265791514559639</v>
      </c>
      <c r="X7328" s="2">
        <f ca="1"/>
        <v>53.458453943060356</v>
      </c>
      <c r="AG7328" s="2">
        <f ca="1"/>
        <v>0.55445576675691388</v>
      </c>
      <c r="AH7328" s="2" t="str">
        <f ca="1"/>
        <v>Bad</v>
      </c>
    </row>
    <row r="7329" spans="2:34" x14ac:dyDescent="0.2">
      <c r="B7329" s="2">
        <f ca="1"/>
        <v>0.74039082641777276</v>
      </c>
      <c r="O7329" s="2">
        <f ca="1"/>
        <v>-3.6880312354712952E-2</v>
      </c>
      <c r="X7329" s="2">
        <f ca="1"/>
        <v>52.601349094004291</v>
      </c>
      <c r="AG7329" s="2">
        <f ca="1"/>
        <v>0.95522051603040148</v>
      </c>
      <c r="AH7329" s="2" t="str">
        <f ca="1"/>
        <v>Bad</v>
      </c>
    </row>
    <row r="7330" spans="2:34" x14ac:dyDescent="0.2">
      <c r="B7330" s="2">
        <f ca="1"/>
        <v>0.45427227506406909</v>
      </c>
      <c r="O7330" s="2">
        <f ca="1"/>
        <v>-2.5837672109447287</v>
      </c>
      <c r="X7330" s="2">
        <f ca="1"/>
        <v>56.176330417776342</v>
      </c>
      <c r="AG7330" s="2">
        <f ca="1"/>
        <v>0.41044345355251144</v>
      </c>
      <c r="AH7330" s="2" t="str">
        <f ca="1"/>
        <v>Bad</v>
      </c>
    </row>
    <row r="7331" spans="2:34" x14ac:dyDescent="0.2">
      <c r="B7331" s="2">
        <f ca="1"/>
        <v>0.72138239003313154</v>
      </c>
      <c r="O7331" s="2">
        <f ca="1"/>
        <v>1.7018429602437488</v>
      </c>
      <c r="X7331" s="2">
        <f ca="1"/>
        <v>29.089759444664274</v>
      </c>
      <c r="AG7331" s="2">
        <f ca="1"/>
        <v>0.74566505941451999</v>
      </c>
      <c r="AH7331" s="2" t="str">
        <f ca="1"/>
        <v>Bad</v>
      </c>
    </row>
    <row r="7332" spans="2:34" x14ac:dyDescent="0.2">
      <c r="B7332" s="2">
        <f ca="1"/>
        <v>2.6216701885138471E-2</v>
      </c>
      <c r="O7332" s="2">
        <f ca="1"/>
        <v>0.55804880573420979</v>
      </c>
      <c r="X7332" s="2">
        <f ca="1"/>
        <v>40.677036324333542</v>
      </c>
      <c r="AG7332" s="2">
        <f ca="1"/>
        <v>0.76236320416615522</v>
      </c>
      <c r="AH7332" s="2" t="str">
        <f ca="1"/>
        <v>Bad</v>
      </c>
    </row>
    <row r="7333" spans="2:34" x14ac:dyDescent="0.2">
      <c r="B7333" s="2">
        <f ca="1"/>
        <v>0.13287761622721361</v>
      </c>
      <c r="O7333" s="2">
        <f ca="1"/>
        <v>-0.32087748531436161</v>
      </c>
      <c r="X7333" s="2">
        <f ca="1"/>
        <v>41.253777364628831</v>
      </c>
      <c r="AG7333" s="2">
        <f ca="1"/>
        <v>0.55747751036547677</v>
      </c>
      <c r="AH7333" s="2" t="str">
        <f ca="1"/>
        <v>Bad</v>
      </c>
    </row>
    <row r="7334" spans="2:34" x14ac:dyDescent="0.2">
      <c r="B7334" s="2">
        <f ca="1"/>
        <v>0.97488839382127757</v>
      </c>
      <c r="O7334" s="2">
        <f ca="1"/>
        <v>-1.3088793371677443</v>
      </c>
      <c r="X7334" s="2">
        <f ca="1"/>
        <v>51.855696908296181</v>
      </c>
      <c r="AG7334" s="2">
        <f ca="1"/>
        <v>0.86311233432441248</v>
      </c>
      <c r="AH7334" s="2" t="str">
        <f ca="1"/>
        <v>Bad</v>
      </c>
    </row>
    <row r="7335" spans="2:34" x14ac:dyDescent="0.2">
      <c r="B7335" s="2">
        <f ca="1"/>
        <v>0.13958885340372551</v>
      </c>
      <c r="O7335" s="2">
        <f ca="1"/>
        <v>-0.82117289030302976</v>
      </c>
      <c r="X7335" s="2">
        <f ca="1"/>
        <v>44.451025858211167</v>
      </c>
      <c r="AG7335" s="2">
        <f ca="1"/>
        <v>0.49481649054933108</v>
      </c>
      <c r="AH7335" s="2" t="str">
        <f ca="1"/>
        <v>Bad</v>
      </c>
    </row>
    <row r="7336" spans="2:34" x14ac:dyDescent="0.2">
      <c r="B7336" s="2">
        <f ca="1"/>
        <v>0.22659060477198945</v>
      </c>
      <c r="O7336" s="2">
        <f ca="1"/>
        <v>-5.0083212319211041E-2</v>
      </c>
      <c r="X7336" s="2">
        <f ca="1"/>
        <v>98.030757434507308</v>
      </c>
      <c r="AG7336" s="2">
        <f ca="1"/>
        <v>0.27633660833910945</v>
      </c>
      <c r="AH7336" s="2" t="str">
        <f ca="1"/>
        <v>OK</v>
      </c>
    </row>
    <row r="7337" spans="2:34" x14ac:dyDescent="0.2">
      <c r="B7337" s="2">
        <f ca="1"/>
        <v>0.9756568075357428</v>
      </c>
      <c r="O7337" s="2">
        <f ca="1"/>
        <v>0.35425743169864177</v>
      </c>
      <c r="X7337" s="2">
        <f ca="1"/>
        <v>52.899530891528109</v>
      </c>
      <c r="AG7337" s="2">
        <f ca="1"/>
        <v>0.3220189013561674</v>
      </c>
      <c r="AH7337" s="2" t="str">
        <f ca="1"/>
        <v>OK</v>
      </c>
    </row>
    <row r="7338" spans="2:34" x14ac:dyDescent="0.2">
      <c r="B7338" s="2">
        <f ca="1"/>
        <v>0.19266669061270236</v>
      </c>
      <c r="O7338" s="2">
        <f ca="1"/>
        <v>-2.4835641754199288E-2</v>
      </c>
      <c r="X7338" s="2">
        <f ca="1"/>
        <v>70.74464155851129</v>
      </c>
      <c r="AG7338" s="2">
        <f ca="1"/>
        <v>0.48036666268325678</v>
      </c>
      <c r="AH7338" s="2" t="str">
        <f ca="1"/>
        <v>Bad</v>
      </c>
    </row>
    <row r="7339" spans="2:34" x14ac:dyDescent="0.2">
      <c r="B7339" s="2">
        <f ca="1"/>
        <v>0.15757273999564303</v>
      </c>
      <c r="O7339" s="2">
        <f ca="1"/>
        <v>0.93894643908418707</v>
      </c>
      <c r="X7339" s="2">
        <f ca="1"/>
        <v>50.153898393394996</v>
      </c>
      <c r="AG7339" s="2">
        <f ca="1"/>
        <v>0.50630277925638745</v>
      </c>
      <c r="AH7339" s="2" t="str">
        <f ca="1"/>
        <v>Bad</v>
      </c>
    </row>
    <row r="7340" spans="2:34" x14ac:dyDescent="0.2">
      <c r="B7340" s="2">
        <f ca="1"/>
        <v>4.1327405156674546E-2</v>
      </c>
      <c r="O7340" s="2">
        <f ca="1"/>
        <v>-2.6566751584087012</v>
      </c>
      <c r="X7340" s="2">
        <f ca="1"/>
        <v>33.338924659830681</v>
      </c>
      <c r="AG7340" s="2">
        <f ca="1"/>
        <v>0.71383880868285865</v>
      </c>
      <c r="AH7340" s="2" t="str">
        <f ca="1"/>
        <v>Bad</v>
      </c>
    </row>
    <row r="7341" spans="2:34" x14ac:dyDescent="0.2">
      <c r="B7341" s="2">
        <f ca="1"/>
        <v>2.4769145120450364E-2</v>
      </c>
      <c r="O7341" s="2">
        <f ca="1"/>
        <v>1.9603906263325455</v>
      </c>
      <c r="X7341" s="2">
        <f ca="1"/>
        <v>22.968451885582432</v>
      </c>
      <c r="AG7341" s="2">
        <f ca="1"/>
        <v>0.78154949524317252</v>
      </c>
      <c r="AH7341" s="2" t="str">
        <f ca="1"/>
        <v>Bad</v>
      </c>
    </row>
    <row r="7342" spans="2:34" x14ac:dyDescent="0.2">
      <c r="B7342" s="2">
        <f ca="1"/>
        <v>0.56440912766314</v>
      </c>
      <c r="O7342" s="2">
        <f ca="1"/>
        <v>-1.1210733693652821</v>
      </c>
      <c r="X7342" s="2">
        <f ca="1"/>
        <v>32.320884575519663</v>
      </c>
      <c r="AG7342" s="2">
        <f ca="1"/>
        <v>0.23696056284014277</v>
      </c>
      <c r="AH7342" s="2" t="str">
        <f ca="1"/>
        <v>OK</v>
      </c>
    </row>
    <row r="7343" spans="2:34" x14ac:dyDescent="0.2">
      <c r="B7343" s="2">
        <f ca="1"/>
        <v>0.71209878455758502</v>
      </c>
      <c r="O7343" s="2">
        <f ca="1"/>
        <v>0.87621050471649975</v>
      </c>
      <c r="X7343" s="2">
        <f ca="1"/>
        <v>48.176337183206293</v>
      </c>
      <c r="AG7343" s="2">
        <f ca="1"/>
        <v>0.84672549048383794</v>
      </c>
      <c r="AH7343" s="2" t="str">
        <f ca="1"/>
        <v>Bad</v>
      </c>
    </row>
    <row r="7344" spans="2:34" x14ac:dyDescent="0.2">
      <c r="B7344" s="2">
        <f ca="1"/>
        <v>6.453865993763741E-2</v>
      </c>
      <c r="O7344" s="2">
        <f ca="1"/>
        <v>0.29576900152363472</v>
      </c>
      <c r="X7344" s="2">
        <f ca="1"/>
        <v>44.987906902458008</v>
      </c>
      <c r="AG7344" s="2">
        <f ca="1"/>
        <v>0.2283405836229242</v>
      </c>
      <c r="AH7344" s="2" t="str">
        <f ca="1"/>
        <v>OK</v>
      </c>
    </row>
    <row r="7345" spans="2:34" x14ac:dyDescent="0.2">
      <c r="B7345" s="2">
        <f ca="1"/>
        <v>0.84822094370955337</v>
      </c>
      <c r="O7345" s="2">
        <f ca="1"/>
        <v>0.34812970668322485</v>
      </c>
      <c r="X7345" s="2">
        <f ca="1"/>
        <v>43.314318272379211</v>
      </c>
      <c r="AG7345" s="2">
        <f ca="1"/>
        <v>0.15871128243188592</v>
      </c>
      <c r="AH7345" s="2" t="str">
        <f ca="1"/>
        <v>OK</v>
      </c>
    </row>
    <row r="7346" spans="2:34" x14ac:dyDescent="0.2">
      <c r="B7346" s="2">
        <f ca="1"/>
        <v>0.73224727511741761</v>
      </c>
      <c r="O7346" s="2">
        <f ca="1"/>
        <v>-0.1414951354386311</v>
      </c>
      <c r="X7346" s="2">
        <f ca="1"/>
        <v>32.505682169705011</v>
      </c>
      <c r="AG7346" s="2">
        <f ca="1"/>
        <v>3.4745614863747054E-3</v>
      </c>
      <c r="AH7346" s="2" t="str">
        <f ca="1"/>
        <v>Good</v>
      </c>
    </row>
    <row r="7347" spans="2:34" x14ac:dyDescent="0.2">
      <c r="B7347" s="2">
        <f ca="1"/>
        <v>0.47904676941181656</v>
      </c>
      <c r="O7347" s="2">
        <f ca="1"/>
        <v>-0.35336850653961521</v>
      </c>
      <c r="X7347" s="2">
        <f ca="1"/>
        <v>39.535428591870897</v>
      </c>
      <c r="AG7347" s="2">
        <f ca="1"/>
        <v>0.90527921323515681</v>
      </c>
      <c r="AH7347" s="2" t="str">
        <f ca="1"/>
        <v>Bad</v>
      </c>
    </row>
    <row r="7348" spans="2:34" x14ac:dyDescent="0.2">
      <c r="B7348" s="2">
        <f ca="1"/>
        <v>0.92886441233392514</v>
      </c>
      <c r="O7348" s="2">
        <f ca="1"/>
        <v>-1.2965970740161139</v>
      </c>
      <c r="X7348" s="2">
        <f ca="1"/>
        <v>84.62619490365779</v>
      </c>
      <c r="AG7348" s="2">
        <f ca="1"/>
        <v>0.79300360573340933</v>
      </c>
      <c r="AH7348" s="2" t="str">
        <f ca="1"/>
        <v>Bad</v>
      </c>
    </row>
    <row r="7349" spans="2:34" x14ac:dyDescent="0.2">
      <c r="B7349" s="2">
        <f ca="1"/>
        <v>0.63625688190444341</v>
      </c>
      <c r="O7349" s="2">
        <f ca="1"/>
        <v>-0.43825917606696252</v>
      </c>
      <c r="X7349" s="2">
        <f ca="1"/>
        <v>67.269444254067693</v>
      </c>
      <c r="AG7349" s="2">
        <f ca="1"/>
        <v>0.53826514195257147</v>
      </c>
      <c r="AH7349" s="2" t="str">
        <f ca="1"/>
        <v>Bad</v>
      </c>
    </row>
    <row r="7350" spans="2:34" x14ac:dyDescent="0.2">
      <c r="B7350" s="2">
        <f ca="1"/>
        <v>0.29119413136189398</v>
      </c>
      <c r="O7350" s="2">
        <f ca="1"/>
        <v>-0.78326764788740955</v>
      </c>
      <c r="X7350" s="2">
        <f ca="1"/>
        <v>50.230639945785704</v>
      </c>
      <c r="AG7350" s="2">
        <f ca="1"/>
        <v>0.91311662342426736</v>
      </c>
      <c r="AH7350" s="2" t="str">
        <f ca="1"/>
        <v>Bad</v>
      </c>
    </row>
    <row r="7351" spans="2:34" x14ac:dyDescent="0.2">
      <c r="B7351" s="2">
        <f ca="1"/>
        <v>0.27586059110903327</v>
      </c>
      <c r="O7351" s="2">
        <f ca="1"/>
        <v>0.36741618031116091</v>
      </c>
      <c r="X7351" s="2">
        <f ca="1"/>
        <v>48.409294030811985</v>
      </c>
      <c r="AG7351" s="2">
        <f ca="1"/>
        <v>0.55071427899303216</v>
      </c>
      <c r="AH7351" s="2" t="str">
        <f ca="1"/>
        <v>Bad</v>
      </c>
    </row>
    <row r="7352" spans="2:34" x14ac:dyDescent="0.2">
      <c r="B7352" s="2">
        <f ca="1"/>
        <v>8.1480569106211265E-2</v>
      </c>
      <c r="O7352" s="2">
        <f ca="1"/>
        <v>-2.0317874904473623</v>
      </c>
      <c r="X7352" s="2">
        <f ca="1"/>
        <v>58.753457390682271</v>
      </c>
      <c r="AG7352" s="2">
        <f ca="1"/>
        <v>0.71967157501975465</v>
      </c>
      <c r="AH7352" s="2" t="str">
        <f ca="1"/>
        <v>Bad</v>
      </c>
    </row>
    <row r="7353" spans="2:34" x14ac:dyDescent="0.2">
      <c r="B7353" s="2">
        <f ca="1"/>
        <v>0.52865532191117359</v>
      </c>
      <c r="O7353" s="2">
        <f ca="1"/>
        <v>0.69165064067949034</v>
      </c>
      <c r="X7353" s="2">
        <f ca="1"/>
        <v>62.680664608988423</v>
      </c>
      <c r="AG7353" s="2">
        <f ca="1"/>
        <v>2.9906207589780465E-2</v>
      </c>
      <c r="AH7353" s="2" t="str">
        <f ca="1"/>
        <v>Good</v>
      </c>
    </row>
    <row r="7354" spans="2:34" x14ac:dyDescent="0.2">
      <c r="B7354" s="2">
        <f ca="1"/>
        <v>0.25827341273457383</v>
      </c>
      <c r="O7354" s="2">
        <f ca="1"/>
        <v>-0.31257859560570933</v>
      </c>
      <c r="X7354" s="2">
        <f ca="1"/>
        <v>37.560254746075714</v>
      </c>
      <c r="AG7354" s="2">
        <f ca="1"/>
        <v>8.0563264926518885E-2</v>
      </c>
      <c r="AH7354" s="2" t="str">
        <f ca="1"/>
        <v>OK</v>
      </c>
    </row>
    <row r="7355" spans="2:34" x14ac:dyDescent="0.2">
      <c r="B7355" s="2">
        <f ca="1"/>
        <v>0.38211421859982941</v>
      </c>
      <c r="O7355" s="2">
        <f ca="1"/>
        <v>1.2413478983159054</v>
      </c>
      <c r="X7355" s="2">
        <f ca="1"/>
        <v>88.626620910157186</v>
      </c>
      <c r="AG7355" s="2">
        <f ca="1"/>
        <v>0.22401506120846171</v>
      </c>
      <c r="AH7355" s="2" t="str">
        <f ca="1"/>
        <v>OK</v>
      </c>
    </row>
    <row r="7356" spans="2:34" x14ac:dyDescent="0.2">
      <c r="B7356" s="2">
        <f ca="1"/>
        <v>0.4879495427344116</v>
      </c>
      <c r="O7356" s="2">
        <f ca="1"/>
        <v>0.719049737169831</v>
      </c>
      <c r="X7356" s="2">
        <f ca="1"/>
        <v>43.73037471737662</v>
      </c>
      <c r="AG7356" s="2">
        <f ca="1"/>
        <v>0.84683851462785675</v>
      </c>
      <c r="AH7356" s="2" t="str">
        <f ca="1"/>
        <v>Bad</v>
      </c>
    </row>
    <row r="7357" spans="2:34" x14ac:dyDescent="0.2">
      <c r="B7357" s="2">
        <f ca="1"/>
        <v>0.624202369463567</v>
      </c>
      <c r="O7357" s="2">
        <f ca="1"/>
        <v>0.61963044932275402</v>
      </c>
      <c r="X7357" s="2">
        <f ca="1"/>
        <v>44.893492336861698</v>
      </c>
      <c r="AG7357" s="2">
        <f ca="1"/>
        <v>0.98007912578748013</v>
      </c>
      <c r="AH7357" s="2" t="str">
        <f ca="1"/>
        <v>Bad</v>
      </c>
    </row>
    <row r="7358" spans="2:34" x14ac:dyDescent="0.2">
      <c r="B7358" s="2">
        <f ca="1"/>
        <v>0.68703888604363272</v>
      </c>
      <c r="O7358" s="2">
        <f ca="1"/>
        <v>-0.85418465497690588</v>
      </c>
      <c r="X7358" s="2">
        <f ca="1"/>
        <v>29.557683572363448</v>
      </c>
      <c r="AG7358" s="2">
        <f ca="1"/>
        <v>5.1604888990679942E-2</v>
      </c>
      <c r="AH7358" s="2" t="str">
        <f ca="1"/>
        <v>OK</v>
      </c>
    </row>
    <row r="7359" spans="2:34" x14ac:dyDescent="0.2">
      <c r="B7359" s="2">
        <f ca="1"/>
        <v>0.53132849487726208</v>
      </c>
      <c r="O7359" s="2">
        <f ca="1"/>
        <v>1.3731969883543578</v>
      </c>
      <c r="X7359" s="2">
        <f ca="1"/>
        <v>41.634497045992774</v>
      </c>
      <c r="AG7359" s="2">
        <f ca="1"/>
        <v>7.6441235648333938E-2</v>
      </c>
      <c r="AH7359" s="2" t="str">
        <f ca="1"/>
        <v>OK</v>
      </c>
    </row>
    <row r="7360" spans="2:34" x14ac:dyDescent="0.2">
      <c r="B7360" s="2">
        <f ca="1"/>
        <v>0.27972923167516961</v>
      </c>
      <c r="O7360" s="2">
        <f ca="1"/>
        <v>-0.54047019017516229</v>
      </c>
      <c r="X7360" s="2">
        <f ca="1"/>
        <v>59.347409910610679</v>
      </c>
      <c r="AG7360" s="2">
        <f ca="1"/>
        <v>0.93473049330939495</v>
      </c>
      <c r="AH7360" s="2" t="str">
        <f ca="1"/>
        <v>Bad</v>
      </c>
    </row>
    <row r="7361" spans="2:34" x14ac:dyDescent="0.2">
      <c r="B7361" s="2">
        <f ca="1"/>
        <v>0.92893421838590329</v>
      </c>
      <c r="O7361" s="2">
        <f ca="1"/>
        <v>-1.1983145830248907</v>
      </c>
      <c r="X7361" s="2">
        <f ca="1"/>
        <v>83.525990848490181</v>
      </c>
      <c r="AG7361" s="2">
        <f ca="1"/>
        <v>0.86014910523284183</v>
      </c>
      <c r="AH7361" s="2" t="str">
        <f ca="1"/>
        <v>Bad</v>
      </c>
    </row>
    <row r="7362" spans="2:34" x14ac:dyDescent="0.2">
      <c r="B7362" s="2">
        <f ca="1"/>
        <v>0.1116689792631782</v>
      </c>
      <c r="O7362" s="2">
        <f ca="1"/>
        <v>-7.5922860156772423E-2</v>
      </c>
      <c r="X7362" s="2">
        <f ca="1"/>
        <v>63.876289569739725</v>
      </c>
      <c r="AG7362" s="2">
        <f ca="1"/>
        <v>0.38598780645995334</v>
      </c>
      <c r="AH7362" s="2" t="str">
        <f ca="1"/>
        <v>OK</v>
      </c>
    </row>
    <row r="7363" spans="2:34" x14ac:dyDescent="0.2">
      <c r="B7363" s="2">
        <f ca="1"/>
        <v>0.46507800262562915</v>
      </c>
      <c r="O7363" s="2">
        <f ca="1"/>
        <v>0.19436836670010027</v>
      </c>
      <c r="X7363" s="2">
        <f ca="1"/>
        <v>48.159526587876364</v>
      </c>
      <c r="AG7363" s="2">
        <f ca="1"/>
        <v>0.47607760599586024</v>
      </c>
      <c r="AH7363" s="2" t="str">
        <f ca="1"/>
        <v>Bad</v>
      </c>
    </row>
    <row r="7364" spans="2:34" x14ac:dyDescent="0.2">
      <c r="B7364" s="2">
        <f ca="1"/>
        <v>0.77806755613143275</v>
      </c>
      <c r="O7364" s="2">
        <f ca="1"/>
        <v>0.42316713306555109</v>
      </c>
      <c r="X7364" s="2">
        <f ca="1"/>
        <v>54.128476124969978</v>
      </c>
      <c r="AG7364" s="2">
        <f ca="1"/>
        <v>4.9393585398097128E-2</v>
      </c>
      <c r="AH7364" s="2" t="str">
        <f ca="1"/>
        <v>Good</v>
      </c>
    </row>
    <row r="7365" spans="2:34" x14ac:dyDescent="0.2">
      <c r="B7365" s="2">
        <f ca="1"/>
        <v>0.98420802491773651</v>
      </c>
      <c r="O7365" s="2">
        <f ca="1"/>
        <v>1.197900014074375</v>
      </c>
      <c r="X7365" s="2">
        <f ca="1"/>
        <v>21.421469891407533</v>
      </c>
      <c r="AG7365" s="2">
        <f ca="1"/>
        <v>0.66485724231385168</v>
      </c>
      <c r="AH7365" s="2" t="str">
        <f ca="1"/>
        <v>Bad</v>
      </c>
    </row>
    <row r="7366" spans="2:34" x14ac:dyDescent="0.2">
      <c r="B7366" s="2">
        <f ca="1"/>
        <v>0.74890949383261374</v>
      </c>
      <c r="O7366" s="2">
        <f ca="1"/>
        <v>-0.11773801489240071</v>
      </c>
      <c r="X7366" s="2">
        <f ca="1"/>
        <v>25.309787222848254</v>
      </c>
      <c r="AG7366" s="2">
        <f ca="1"/>
        <v>0.65880865275225653</v>
      </c>
      <c r="AH7366" s="2" t="str">
        <f ca="1"/>
        <v>Bad</v>
      </c>
    </row>
    <row r="7367" spans="2:34" x14ac:dyDescent="0.2">
      <c r="B7367" s="2">
        <f ca="1"/>
        <v>0.15911346026705497</v>
      </c>
      <c r="O7367" s="2">
        <f ca="1"/>
        <v>-1.0215920196180885</v>
      </c>
      <c r="X7367" s="2">
        <f ca="1"/>
        <v>53.280449630278987</v>
      </c>
      <c r="AG7367" s="2">
        <f ca="1"/>
        <v>0.74718697200641193</v>
      </c>
      <c r="AH7367" s="2" t="str">
        <f ca="1"/>
        <v>Bad</v>
      </c>
    </row>
    <row r="7368" spans="2:34" x14ac:dyDescent="0.2">
      <c r="B7368" s="2">
        <f ca="1"/>
        <v>0.31021470581563948</v>
      </c>
      <c r="O7368" s="2">
        <f ca="1"/>
        <v>0.16614888533645103</v>
      </c>
      <c r="X7368" s="2">
        <f ca="1"/>
        <v>82.857257153536338</v>
      </c>
      <c r="AG7368" s="2">
        <f ca="1"/>
        <v>0.88078970055760886</v>
      </c>
      <c r="AH7368" s="2" t="str">
        <f ca="1"/>
        <v>Bad</v>
      </c>
    </row>
    <row r="7369" spans="2:34" x14ac:dyDescent="0.2">
      <c r="B7369" s="2">
        <f ca="1"/>
        <v>0.98049714867868532</v>
      </c>
      <c r="O7369" s="2">
        <f ca="1"/>
        <v>-0.66245179175778723</v>
      </c>
      <c r="X7369" s="2">
        <f ca="1"/>
        <v>33.772066045589241</v>
      </c>
      <c r="AG7369" s="2">
        <f ca="1"/>
        <v>0.65229990892091405</v>
      </c>
      <c r="AH7369" s="2" t="str">
        <f ca="1"/>
        <v>Bad</v>
      </c>
    </row>
    <row r="7370" spans="2:34" x14ac:dyDescent="0.2">
      <c r="B7370" s="2">
        <f ca="1"/>
        <v>0.68787050183614284</v>
      </c>
      <c r="O7370" s="2">
        <f ca="1"/>
        <v>4.8462565741895655E-2</v>
      </c>
      <c r="X7370" s="2">
        <f ca="1"/>
        <v>56.266942608442804</v>
      </c>
      <c r="AG7370" s="2">
        <f ca="1"/>
        <v>0.97084151267770546</v>
      </c>
      <c r="AH7370" s="2" t="str">
        <f ca="1"/>
        <v>Bad</v>
      </c>
    </row>
    <row r="7371" spans="2:34" x14ac:dyDescent="0.2">
      <c r="B7371" s="2">
        <f ca="1"/>
        <v>0.78911515325003112</v>
      </c>
      <c r="O7371" s="2">
        <f ca="1"/>
        <v>0.29596451434181648</v>
      </c>
      <c r="X7371" s="2">
        <f ca="1"/>
        <v>31.57079059411258</v>
      </c>
      <c r="AG7371" s="2">
        <f ca="1"/>
        <v>4.0019475004137162E-2</v>
      </c>
      <c r="AH7371" s="2" t="str">
        <f ca="1"/>
        <v>Good</v>
      </c>
    </row>
    <row r="7372" spans="2:34" x14ac:dyDescent="0.2">
      <c r="B7372" s="2">
        <f ca="1"/>
        <v>0.56747507660576568</v>
      </c>
      <c r="O7372" s="2">
        <f ca="1"/>
        <v>-1.9407384686712872</v>
      </c>
      <c r="X7372" s="2">
        <f ca="1"/>
        <v>82.593013123144758</v>
      </c>
      <c r="AG7372" s="2">
        <f ca="1"/>
        <v>0.72091270917877637</v>
      </c>
      <c r="AH7372" s="2" t="str">
        <f ca="1"/>
        <v>Bad</v>
      </c>
    </row>
    <row r="7373" spans="2:34" x14ac:dyDescent="0.2">
      <c r="B7373" s="2">
        <f ca="1"/>
        <v>0.32337543574383121</v>
      </c>
      <c r="O7373" s="2">
        <f ca="1"/>
        <v>0.85640460236656935</v>
      </c>
      <c r="X7373" s="2">
        <f ca="1"/>
        <v>41.531334953381005</v>
      </c>
      <c r="AG7373" s="2">
        <f ca="1"/>
        <v>0.71059314631287718</v>
      </c>
      <c r="AH7373" s="2" t="str">
        <f ca="1"/>
        <v>Bad</v>
      </c>
    </row>
    <row r="7374" spans="2:34" x14ac:dyDescent="0.2">
      <c r="B7374" s="2">
        <f ca="1"/>
        <v>0.78362831160502777</v>
      </c>
      <c r="O7374" s="2">
        <f ca="1"/>
        <v>-0.27152432345849242</v>
      </c>
      <c r="X7374" s="2">
        <f ca="1"/>
        <v>99.177047895548156</v>
      </c>
      <c r="AG7374" s="2">
        <f ca="1"/>
        <v>0.90802045296219958</v>
      </c>
      <c r="AH7374" s="2" t="str">
        <f ca="1"/>
        <v>Bad</v>
      </c>
    </row>
    <row r="7375" spans="2:34" x14ac:dyDescent="0.2">
      <c r="B7375" s="2">
        <f ca="1"/>
        <v>0.78587169901559273</v>
      </c>
      <c r="O7375" s="2">
        <f ca="1"/>
        <v>0.10749042386484799</v>
      </c>
      <c r="X7375" s="2">
        <f ca="1"/>
        <v>31.832717828337621</v>
      </c>
      <c r="AG7375" s="2">
        <f ca="1"/>
        <v>0.51077781035248071</v>
      </c>
      <c r="AH7375" s="2" t="str">
        <f ca="1"/>
        <v>Bad</v>
      </c>
    </row>
    <row r="7376" spans="2:34" x14ac:dyDescent="0.2">
      <c r="B7376" s="2">
        <f ca="1"/>
        <v>0.61454767391973242</v>
      </c>
      <c r="O7376" s="2">
        <f ca="1"/>
        <v>0.53175531828674416</v>
      </c>
      <c r="X7376" s="2">
        <f ca="1"/>
        <v>49.205415548267283</v>
      </c>
      <c r="AG7376" s="2">
        <f ca="1"/>
        <v>0.59758757354210856</v>
      </c>
      <c r="AH7376" s="2" t="str">
        <f ca="1"/>
        <v>Bad</v>
      </c>
    </row>
    <row r="7377" spans="2:34" x14ac:dyDescent="0.2">
      <c r="B7377" s="2">
        <f ca="1"/>
        <v>0.30866338585939679</v>
      </c>
      <c r="O7377" s="2">
        <f ca="1"/>
        <v>8.3245151938436041E-2</v>
      </c>
      <c r="X7377" s="2">
        <f ca="1"/>
        <v>58.104913874953823</v>
      </c>
      <c r="AG7377" s="2">
        <f ca="1"/>
        <v>0.15949047198266642</v>
      </c>
      <c r="AH7377" s="2" t="str">
        <f ca="1"/>
        <v>OK</v>
      </c>
    </row>
    <row r="7378" spans="2:34" x14ac:dyDescent="0.2">
      <c r="B7378" s="2">
        <f ca="1"/>
        <v>0.24841069159102913</v>
      </c>
      <c r="O7378" s="2">
        <f ca="1"/>
        <v>-5.8155784115754748E-2</v>
      </c>
      <c r="X7378" s="2">
        <f ca="1"/>
        <v>61.032774666638872</v>
      </c>
      <c r="AG7378" s="2">
        <f ca="1"/>
        <v>0.96336174347295511</v>
      </c>
      <c r="AH7378" s="2" t="str">
        <f ca="1"/>
        <v>Bad</v>
      </c>
    </row>
    <row r="7379" spans="2:34" x14ac:dyDescent="0.2">
      <c r="B7379" s="2">
        <f ca="1"/>
        <v>0.16673086244301327</v>
      </c>
      <c r="O7379" s="2">
        <f ca="1"/>
        <v>1.9686508531916285</v>
      </c>
      <c r="X7379" s="2">
        <f ca="1"/>
        <v>37.88077982861325</v>
      </c>
      <c r="AG7379" s="2">
        <f ca="1"/>
        <v>0.93531686270850178</v>
      </c>
      <c r="AH7379" s="2" t="str">
        <f ca="1"/>
        <v>Bad</v>
      </c>
    </row>
    <row r="7380" spans="2:34" x14ac:dyDescent="0.2">
      <c r="B7380" s="2">
        <f ca="1"/>
        <v>8.8329505557946941E-3</v>
      </c>
      <c r="O7380" s="2">
        <f ca="1"/>
        <v>0.5849091272539777</v>
      </c>
      <c r="X7380" s="2">
        <f ca="1"/>
        <v>66.651351030014695</v>
      </c>
      <c r="AG7380" s="2">
        <f ca="1"/>
        <v>0.22239334349181461</v>
      </c>
      <c r="AH7380" s="2" t="str">
        <f ca="1"/>
        <v>OK</v>
      </c>
    </row>
    <row r="7381" spans="2:34" x14ac:dyDescent="0.2">
      <c r="B7381" s="2">
        <f ca="1"/>
        <v>0.79872087928853053</v>
      </c>
      <c r="O7381" s="2">
        <f ca="1"/>
        <v>0.9171100458339525</v>
      </c>
      <c r="X7381" s="2">
        <f ca="1"/>
        <v>30.73672455868892</v>
      </c>
      <c r="AG7381" s="2">
        <f ca="1"/>
        <v>0.55905821917541454</v>
      </c>
      <c r="AH7381" s="2" t="str">
        <f ca="1"/>
        <v>Bad</v>
      </c>
    </row>
    <row r="7382" spans="2:34" x14ac:dyDescent="0.2">
      <c r="B7382" s="2">
        <f ca="1"/>
        <v>0.87347386481934186</v>
      </c>
      <c r="O7382" s="2">
        <f ca="1"/>
        <v>-0.96474783856907453</v>
      </c>
      <c r="X7382" s="2">
        <f ca="1"/>
        <v>43.122933661008744</v>
      </c>
      <c r="AG7382" s="2">
        <f ca="1"/>
        <v>0.41507847380482565</v>
      </c>
      <c r="AH7382" s="2" t="str">
        <f ca="1"/>
        <v>Bad</v>
      </c>
    </row>
    <row r="7383" spans="2:34" x14ac:dyDescent="0.2">
      <c r="B7383" s="2">
        <f ca="1"/>
        <v>0.58195950968400378</v>
      </c>
      <c r="O7383" s="2">
        <f ca="1"/>
        <v>1.2255822029981736</v>
      </c>
      <c r="X7383" s="2">
        <f ca="1"/>
        <v>81.056443464644332</v>
      </c>
      <c r="AG7383" s="2">
        <f ca="1"/>
        <v>0.52071389507733401</v>
      </c>
      <c r="AH7383" s="2" t="str">
        <f ca="1"/>
        <v>Bad</v>
      </c>
    </row>
    <row r="7384" spans="2:34" x14ac:dyDescent="0.2">
      <c r="B7384" s="2">
        <f ca="1"/>
        <v>0.69398898609953896</v>
      </c>
      <c r="O7384" s="2">
        <f ca="1"/>
        <v>-0.95347643659280079</v>
      </c>
      <c r="X7384" s="2">
        <f ca="1"/>
        <v>34.975007295969021</v>
      </c>
      <c r="AG7384" s="2">
        <f ca="1"/>
        <v>0.58238794962147478</v>
      </c>
      <c r="AH7384" s="2" t="str">
        <f ca="1"/>
        <v>Bad</v>
      </c>
    </row>
    <row r="7385" spans="2:34" x14ac:dyDescent="0.2">
      <c r="B7385" s="2">
        <f ca="1"/>
        <v>8.8167829671392806E-3</v>
      </c>
      <c r="O7385" s="2">
        <f ca="1"/>
        <v>0.4831814185701197</v>
      </c>
      <c r="X7385" s="2">
        <f ca="1"/>
        <v>55.090474792755586</v>
      </c>
      <c r="AG7385" s="2">
        <f ca="1"/>
        <v>0.99671137271871024</v>
      </c>
      <c r="AH7385" s="2" t="str">
        <f ca="1"/>
        <v>Bad</v>
      </c>
    </row>
    <row r="7386" spans="2:34" x14ac:dyDescent="0.2">
      <c r="B7386" s="2">
        <f ca="1"/>
        <v>0.76226510641727607</v>
      </c>
      <c r="O7386" s="2">
        <f ca="1"/>
        <v>8.4237144783285464E-2</v>
      </c>
      <c r="X7386" s="2">
        <f ca="1"/>
        <v>52.406348594078239</v>
      </c>
      <c r="AG7386" s="2">
        <f ca="1"/>
        <v>0.19594923766565775</v>
      </c>
      <c r="AH7386" s="2" t="str">
        <f ca="1"/>
        <v>OK</v>
      </c>
    </row>
    <row r="7387" spans="2:34" x14ac:dyDescent="0.2">
      <c r="B7387" s="2">
        <f ca="1"/>
        <v>0.1777408171748005</v>
      </c>
      <c r="O7387" s="2">
        <f ca="1"/>
        <v>1.9176716037592043</v>
      </c>
      <c r="X7387" s="2">
        <f ca="1"/>
        <v>47.473667812560237</v>
      </c>
      <c r="AG7387" s="2">
        <f ca="1"/>
        <v>0.50670615701207566</v>
      </c>
      <c r="AH7387" s="2" t="str">
        <f ca="1"/>
        <v>Bad</v>
      </c>
    </row>
    <row r="7388" spans="2:34" x14ac:dyDescent="0.2">
      <c r="B7388" s="2">
        <f ca="1"/>
        <v>0.27634686548042309</v>
      </c>
      <c r="O7388" s="2">
        <f ca="1"/>
        <v>-1.1405061037731066</v>
      </c>
      <c r="X7388" s="2">
        <f ca="1"/>
        <v>25.662236473730012</v>
      </c>
      <c r="AG7388" s="2">
        <f ca="1"/>
        <v>0.86936515272163484</v>
      </c>
      <c r="AH7388" s="2" t="str">
        <f ca="1"/>
        <v>Bad</v>
      </c>
    </row>
    <row r="7389" spans="2:34" x14ac:dyDescent="0.2">
      <c r="B7389" s="2">
        <f ca="1"/>
        <v>0.99425172320394606</v>
      </c>
      <c r="O7389" s="2">
        <f ca="1"/>
        <v>0.78283224749745628</v>
      </c>
      <c r="X7389" s="2">
        <f ca="1"/>
        <v>60.71558729399505</v>
      </c>
      <c r="AG7389" s="2">
        <f ca="1"/>
        <v>0.87318191955232982</v>
      </c>
      <c r="AH7389" s="2" t="str">
        <f ca="1"/>
        <v>Bad</v>
      </c>
    </row>
    <row r="7390" spans="2:34" x14ac:dyDescent="0.2">
      <c r="B7390" s="2">
        <f ca="1"/>
        <v>0.47354791220448189</v>
      </c>
      <c r="O7390" s="2">
        <f ca="1"/>
        <v>-1.2539797437525636E-3</v>
      </c>
      <c r="X7390" s="2">
        <f ca="1"/>
        <v>63.185367652711591</v>
      </c>
      <c r="AG7390" s="2">
        <f ca="1"/>
        <v>0.62916907141332268</v>
      </c>
      <c r="AH7390" s="2" t="str">
        <f ca="1"/>
        <v>Bad</v>
      </c>
    </row>
    <row r="7391" spans="2:34" x14ac:dyDescent="0.2">
      <c r="B7391" s="2">
        <f ca="1"/>
        <v>0.59517704637391988</v>
      </c>
      <c r="O7391" s="2">
        <f ca="1"/>
        <v>2.9481608709716271E-2</v>
      </c>
      <c r="X7391" s="2">
        <f ca="1"/>
        <v>80.495950792456796</v>
      </c>
      <c r="AG7391" s="2">
        <f ca="1"/>
        <v>7.9758620121754609E-2</v>
      </c>
      <c r="AH7391" s="2" t="str">
        <f ca="1"/>
        <v>OK</v>
      </c>
    </row>
    <row r="7392" spans="2:34" x14ac:dyDescent="0.2">
      <c r="B7392" s="2">
        <f ca="1"/>
        <v>0.60872020998326803</v>
      </c>
      <c r="O7392" s="2">
        <f ca="1"/>
        <v>-0.21274444742045223</v>
      </c>
      <c r="X7392" s="2">
        <f ca="1"/>
        <v>45.147309245640656</v>
      </c>
      <c r="AG7392" s="2">
        <f ca="1"/>
        <v>0.53802891299369615</v>
      </c>
      <c r="AH7392" s="2" t="str">
        <f ca="1"/>
        <v>Bad</v>
      </c>
    </row>
    <row r="7393" spans="2:34" x14ac:dyDescent="0.2">
      <c r="B7393" s="2">
        <f ca="1"/>
        <v>0.16173885811069</v>
      </c>
      <c r="O7393" s="2">
        <f ca="1"/>
        <v>-1.2007450530506729</v>
      </c>
      <c r="X7393" s="2">
        <f ca="1"/>
        <v>42.115846021269221</v>
      </c>
      <c r="AG7393" s="2">
        <f ca="1"/>
        <v>0.46620773823255157</v>
      </c>
      <c r="AH7393" s="2" t="str">
        <f ca="1"/>
        <v>Bad</v>
      </c>
    </row>
    <row r="7394" spans="2:34" x14ac:dyDescent="0.2">
      <c r="B7394" s="2">
        <f ca="1"/>
        <v>0.12433267829850081</v>
      </c>
      <c r="O7394" s="2">
        <f ca="1"/>
        <v>-1.1149286428771996</v>
      </c>
      <c r="X7394" s="2">
        <f ca="1"/>
        <v>80.661051208925585</v>
      </c>
      <c r="AG7394" s="2">
        <f ca="1"/>
        <v>0.32613174956772339</v>
      </c>
      <c r="AH7394" s="2" t="str">
        <f ca="1"/>
        <v>OK</v>
      </c>
    </row>
    <row r="7395" spans="2:34" x14ac:dyDescent="0.2">
      <c r="B7395" s="2">
        <f ca="1"/>
        <v>0.64719946458029298</v>
      </c>
      <c r="O7395" s="2">
        <f ca="1"/>
        <v>-4.1976587848055712E-2</v>
      </c>
      <c r="X7395" s="2">
        <f ca="1"/>
        <v>58.595518866232609</v>
      </c>
      <c r="AG7395" s="2">
        <f ca="1"/>
        <v>0.62250703021369413</v>
      </c>
      <c r="AH7395" s="2" t="str">
        <f ca="1"/>
        <v>Bad</v>
      </c>
    </row>
    <row r="7396" spans="2:34" x14ac:dyDescent="0.2">
      <c r="B7396" s="2">
        <f ca="1"/>
        <v>0.70858404635072647</v>
      </c>
      <c r="O7396" s="2">
        <f ca="1"/>
        <v>-0.53521785314097015</v>
      </c>
      <c r="X7396" s="2">
        <f ca="1"/>
        <v>58.861401859240672</v>
      </c>
      <c r="AG7396" s="2">
        <f ca="1"/>
        <v>0.91689230045326786</v>
      </c>
      <c r="AH7396" s="2" t="str">
        <f ca="1"/>
        <v>Bad</v>
      </c>
    </row>
    <row r="7397" spans="2:34" x14ac:dyDescent="0.2">
      <c r="B7397" s="2">
        <f ca="1"/>
        <v>0.88855633780466414</v>
      </c>
      <c r="O7397" s="2">
        <f ca="1"/>
        <v>0.19865522496748828</v>
      </c>
      <c r="X7397" s="2">
        <f ca="1"/>
        <v>41.519140739539878</v>
      </c>
      <c r="AG7397" s="2">
        <f ca="1"/>
        <v>0.90041656720260632</v>
      </c>
      <c r="AH7397" s="2" t="str">
        <f ca="1"/>
        <v>Bad</v>
      </c>
    </row>
    <row r="7398" spans="2:34" x14ac:dyDescent="0.2">
      <c r="B7398" s="2">
        <f ca="1"/>
        <v>0.45082601359962959</v>
      </c>
      <c r="O7398" s="2">
        <f ca="1"/>
        <v>9.8771460269659647E-2</v>
      </c>
      <c r="X7398" s="2">
        <f ca="1"/>
        <v>28.604847095177171</v>
      </c>
      <c r="AG7398" s="2">
        <f ca="1"/>
        <v>0.98128582864958536</v>
      </c>
      <c r="AH7398" s="2" t="str">
        <f ca="1"/>
        <v>Bad</v>
      </c>
    </row>
    <row r="7399" spans="2:34" x14ac:dyDescent="0.2">
      <c r="B7399" s="2">
        <f ca="1"/>
        <v>0.92510947613980932</v>
      </c>
      <c r="O7399" s="2">
        <f ca="1"/>
        <v>0.62202326241933725</v>
      </c>
      <c r="X7399" s="2">
        <f ca="1"/>
        <v>61.370268561827992</v>
      </c>
      <c r="AG7399" s="2">
        <f ca="1"/>
        <v>0.96705401394947499</v>
      </c>
      <c r="AH7399" s="2" t="str">
        <f ca="1"/>
        <v>Bad</v>
      </c>
    </row>
    <row r="7400" spans="2:34" x14ac:dyDescent="0.2">
      <c r="B7400" s="2">
        <f ca="1"/>
        <v>0.80569849481204869</v>
      </c>
      <c r="O7400" s="2">
        <f ca="1"/>
        <v>-1.3955115577478625</v>
      </c>
      <c r="X7400" s="2">
        <f ca="1"/>
        <v>73.714436157099726</v>
      </c>
      <c r="AG7400" s="2">
        <f ca="1"/>
        <v>7.6684725702679479E-2</v>
      </c>
      <c r="AH7400" s="2" t="str">
        <f ca="1"/>
        <v>OK</v>
      </c>
    </row>
    <row r="7401" spans="2:34" x14ac:dyDescent="0.2">
      <c r="B7401" s="2">
        <f ca="1"/>
        <v>0.44283567841370686</v>
      </c>
      <c r="O7401" s="2">
        <f ca="1"/>
        <v>1.2991438284178844</v>
      </c>
      <c r="X7401" s="2">
        <f ca="1"/>
        <v>50.147329877925344</v>
      </c>
      <c r="AG7401" s="2">
        <f ca="1"/>
        <v>0.59242968555383446</v>
      </c>
      <c r="AH7401" s="2" t="str">
        <f ca="1"/>
        <v>Bad</v>
      </c>
    </row>
    <row r="7402" spans="2:34" x14ac:dyDescent="0.2">
      <c r="B7402" s="2">
        <f ca="1"/>
        <v>0.8216342190674264</v>
      </c>
      <c r="O7402" s="2">
        <f ca="1"/>
        <v>-0.24064109681702767</v>
      </c>
      <c r="X7402" s="2">
        <f ca="1"/>
        <v>43.909633859968508</v>
      </c>
      <c r="AG7402" s="2">
        <f ca="1"/>
        <v>9.1046528672205529E-2</v>
      </c>
      <c r="AH7402" s="2" t="str">
        <f ca="1"/>
        <v>OK</v>
      </c>
    </row>
    <row r="7403" spans="2:34" x14ac:dyDescent="0.2">
      <c r="B7403" s="2">
        <f ca="1"/>
        <v>0.80196062562734993</v>
      </c>
      <c r="O7403" s="2">
        <f ca="1"/>
        <v>-0.98904670938368633</v>
      </c>
      <c r="X7403" s="2">
        <f ca="1"/>
        <v>62.004388775027039</v>
      </c>
      <c r="AG7403" s="2">
        <f ca="1"/>
        <v>0.40809088802076121</v>
      </c>
      <c r="AH7403" s="2" t="str">
        <f ca="1"/>
        <v>Bad</v>
      </c>
    </row>
    <row r="7404" spans="2:34" x14ac:dyDescent="0.2">
      <c r="B7404" s="2">
        <f ca="1"/>
        <v>1.2043185123036704E-2</v>
      </c>
      <c r="O7404" s="2">
        <f ca="1"/>
        <v>0.40206725209774602</v>
      </c>
      <c r="X7404" s="2">
        <f ca="1"/>
        <v>35.57047220799457</v>
      </c>
      <c r="AG7404" s="2">
        <f ca="1"/>
        <v>9.6407122020744751E-2</v>
      </c>
      <c r="AH7404" s="2" t="str">
        <f ca="1"/>
        <v>OK</v>
      </c>
    </row>
    <row r="7405" spans="2:34" x14ac:dyDescent="0.2">
      <c r="B7405" s="2">
        <f ca="1"/>
        <v>0.97963698323378767</v>
      </c>
      <c r="O7405" s="2">
        <f ca="1"/>
        <v>1.5194563850852976</v>
      </c>
      <c r="X7405" s="2">
        <f ca="1"/>
        <v>57.23107531114853</v>
      </c>
      <c r="AG7405" s="2">
        <f ca="1"/>
        <v>8.0141104071514535E-2</v>
      </c>
      <c r="AH7405" s="2" t="str">
        <f ca="1"/>
        <v>OK</v>
      </c>
    </row>
    <row r="7406" spans="2:34" x14ac:dyDescent="0.2">
      <c r="B7406" s="2">
        <f ca="1"/>
        <v>0.22447034945183497</v>
      </c>
      <c r="O7406" s="2">
        <f ca="1"/>
        <v>0.69310340381729596</v>
      </c>
      <c r="X7406" s="2">
        <f ca="1"/>
        <v>63.553217426663018</v>
      </c>
      <c r="AG7406" s="2">
        <f ca="1"/>
        <v>0.19026335777300951</v>
      </c>
      <c r="AH7406" s="2" t="str">
        <f ca="1"/>
        <v>OK</v>
      </c>
    </row>
    <row r="7407" spans="2:34" x14ac:dyDescent="0.2">
      <c r="B7407" s="2">
        <f ca="1"/>
        <v>7.3134102899460984E-2</v>
      </c>
      <c r="O7407" s="2">
        <f ca="1"/>
        <v>-0.67610379219650207</v>
      </c>
      <c r="X7407" s="2">
        <f ca="1"/>
        <v>42.657849226133635</v>
      </c>
      <c r="AG7407" s="2">
        <f ca="1"/>
        <v>0.92541182391745314</v>
      </c>
      <c r="AH7407" s="2" t="str">
        <f ca="1"/>
        <v>Bad</v>
      </c>
    </row>
    <row r="7408" spans="2:34" x14ac:dyDescent="0.2">
      <c r="B7408" s="2">
        <f ca="1"/>
        <v>2.6160424325699871E-2</v>
      </c>
      <c r="O7408" s="2">
        <f ca="1"/>
        <v>-0.46523646406566915</v>
      </c>
      <c r="X7408" s="2">
        <f ca="1"/>
        <v>35.289054193432044</v>
      </c>
      <c r="AG7408" s="2">
        <f ca="1"/>
        <v>0.22372201219263976</v>
      </c>
      <c r="AH7408" s="2" t="str">
        <f ca="1"/>
        <v>OK</v>
      </c>
    </row>
    <row r="7409" spans="2:34" x14ac:dyDescent="0.2">
      <c r="B7409" s="2">
        <f ca="1"/>
        <v>0.32602681065947814</v>
      </c>
      <c r="O7409" s="2">
        <f ca="1"/>
        <v>-0.44522033450909299</v>
      </c>
      <c r="X7409" s="2">
        <f ca="1"/>
        <v>40.21509510706602</v>
      </c>
      <c r="AG7409" s="2">
        <f ca="1"/>
        <v>0.18741216997531418</v>
      </c>
      <c r="AH7409" s="2" t="str">
        <f ca="1"/>
        <v>OK</v>
      </c>
    </row>
    <row r="7410" spans="2:34" x14ac:dyDescent="0.2">
      <c r="B7410" s="2">
        <f ca="1"/>
        <v>0.35525439901943812</v>
      </c>
      <c r="O7410" s="2">
        <f ca="1"/>
        <v>0.10736312408505752</v>
      </c>
      <c r="X7410" s="2">
        <f ca="1"/>
        <v>32.758211638038354</v>
      </c>
      <c r="AG7410" s="2">
        <f ca="1"/>
        <v>0.90115561038257974</v>
      </c>
      <c r="AH7410" s="2" t="str">
        <f ca="1"/>
        <v>Bad</v>
      </c>
    </row>
    <row r="7411" spans="2:34" x14ac:dyDescent="0.2">
      <c r="B7411" s="2">
        <f ca="1"/>
        <v>0.85270751613864992</v>
      </c>
      <c r="O7411" s="2">
        <f ca="1"/>
        <v>-0.53881018163159766</v>
      </c>
      <c r="X7411" s="2">
        <f ca="1"/>
        <v>67.974805052866984</v>
      </c>
      <c r="AG7411" s="2">
        <f ca="1"/>
        <v>8.2006272953187631E-2</v>
      </c>
      <c r="AH7411" s="2" t="str">
        <f ca="1"/>
        <v>OK</v>
      </c>
    </row>
    <row r="7412" spans="2:34" x14ac:dyDescent="0.2">
      <c r="B7412" s="2">
        <f ca="1"/>
        <v>0.34953832126003337</v>
      </c>
      <c r="O7412" s="2">
        <f ca="1"/>
        <v>-0.3675126032293794</v>
      </c>
      <c r="X7412" s="2">
        <f ca="1"/>
        <v>37.569983019115426</v>
      </c>
      <c r="AG7412" s="2">
        <f ca="1"/>
        <v>0.47637903854667596</v>
      </c>
      <c r="AH7412" s="2" t="str">
        <f ca="1"/>
        <v>Bad</v>
      </c>
    </row>
    <row r="7413" spans="2:34" x14ac:dyDescent="0.2">
      <c r="B7413" s="2">
        <f ca="1"/>
        <v>0.93002753424138129</v>
      </c>
      <c r="O7413" s="2">
        <f ca="1"/>
        <v>0.29984691753442788</v>
      </c>
      <c r="X7413" s="2">
        <f ca="1"/>
        <v>33.00806453683829</v>
      </c>
      <c r="AG7413" s="2">
        <f ca="1"/>
        <v>0.29665204685270985</v>
      </c>
      <c r="AH7413" s="2" t="str">
        <f ca="1"/>
        <v>OK</v>
      </c>
    </row>
    <row r="7414" spans="2:34" x14ac:dyDescent="0.2">
      <c r="B7414" s="2">
        <f ca="1"/>
        <v>0.26670164902184856</v>
      </c>
      <c r="O7414" s="2">
        <f ca="1"/>
        <v>1.0941297878892404</v>
      </c>
      <c r="X7414" s="2">
        <f ca="1"/>
        <v>36.338679277465282</v>
      </c>
      <c r="AG7414" s="2">
        <f ca="1"/>
        <v>0.39935850164874154</v>
      </c>
      <c r="AH7414" s="2" t="str">
        <f ca="1"/>
        <v>OK</v>
      </c>
    </row>
    <row r="7415" spans="2:34" x14ac:dyDescent="0.2">
      <c r="B7415" s="2">
        <f ca="1"/>
        <v>0.70712818811983014</v>
      </c>
      <c r="O7415" s="2">
        <f ca="1"/>
        <v>2.0538145504248586</v>
      </c>
      <c r="X7415" s="2">
        <f ca="1"/>
        <v>38.509816412244412</v>
      </c>
      <c r="AG7415" s="2">
        <f ca="1"/>
        <v>0.15422068674981615</v>
      </c>
      <c r="AH7415" s="2" t="str">
        <f ca="1"/>
        <v>OK</v>
      </c>
    </row>
    <row r="7416" spans="2:34" x14ac:dyDescent="0.2">
      <c r="B7416" s="2">
        <f ca="1"/>
        <v>0.46110543603689313</v>
      </c>
      <c r="O7416" s="2">
        <f ca="1"/>
        <v>-0.69256668591949444</v>
      </c>
      <c r="X7416" s="2">
        <f ca="1"/>
        <v>32.197818095844127</v>
      </c>
      <c r="AG7416" s="2">
        <f ca="1"/>
        <v>0.68566985557190052</v>
      </c>
      <c r="AH7416" s="2" t="str">
        <f ca="1"/>
        <v>Bad</v>
      </c>
    </row>
    <row r="7417" spans="2:34" x14ac:dyDescent="0.2">
      <c r="B7417" s="2">
        <f ca="1"/>
        <v>0.10280223196796912</v>
      </c>
      <c r="O7417" s="2">
        <f ca="1"/>
        <v>-0.96671637808231881</v>
      </c>
      <c r="X7417" s="2">
        <f ca="1"/>
        <v>47.244316499785306</v>
      </c>
      <c r="AG7417" s="2">
        <f ca="1"/>
        <v>0.35800410550676687</v>
      </c>
      <c r="AH7417" s="2" t="str">
        <f ca="1"/>
        <v>OK</v>
      </c>
    </row>
    <row r="7418" spans="2:34" x14ac:dyDescent="0.2">
      <c r="B7418" s="2">
        <f ca="1"/>
        <v>0.45401783547264896</v>
      </c>
      <c r="O7418" s="2">
        <f ca="1"/>
        <v>-0.43349825947797527</v>
      </c>
      <c r="X7418" s="2">
        <f ca="1"/>
        <v>73.788229432197056</v>
      </c>
      <c r="AG7418" s="2">
        <f ca="1"/>
        <v>0.12495013320377457</v>
      </c>
      <c r="AH7418" s="2" t="str">
        <f ca="1"/>
        <v>OK</v>
      </c>
    </row>
    <row r="7419" spans="2:34" x14ac:dyDescent="0.2">
      <c r="B7419" s="2">
        <f ca="1"/>
        <v>0.57911347423980608</v>
      </c>
      <c r="O7419" s="2">
        <f ca="1"/>
        <v>1.3523656855392026</v>
      </c>
      <c r="X7419" s="2">
        <f ca="1"/>
        <v>29.342995612659195</v>
      </c>
      <c r="AG7419" s="2">
        <f ca="1"/>
        <v>0.99783271077427016</v>
      </c>
      <c r="AH7419" s="2" t="str">
        <f ca="1"/>
        <v>Bad</v>
      </c>
    </row>
    <row r="7420" spans="2:34" x14ac:dyDescent="0.2">
      <c r="B7420" s="2">
        <f ca="1"/>
        <v>0.74531146173360541</v>
      </c>
      <c r="O7420" s="2">
        <f ca="1"/>
        <v>0.15936302963094143</v>
      </c>
      <c r="X7420" s="2">
        <f ca="1"/>
        <v>25.064152849113</v>
      </c>
      <c r="AG7420" s="2">
        <f ca="1"/>
        <v>0.57238588309127358</v>
      </c>
      <c r="AH7420" s="2" t="str">
        <f ca="1"/>
        <v>Bad</v>
      </c>
    </row>
    <row r="7421" spans="2:34" x14ac:dyDescent="0.2">
      <c r="B7421" s="2">
        <f ca="1"/>
        <v>0.7715853309510281</v>
      </c>
      <c r="O7421" s="2">
        <f ca="1"/>
        <v>-0.12798456169600755</v>
      </c>
      <c r="X7421" s="2">
        <f ca="1"/>
        <v>45.817533713987622</v>
      </c>
      <c r="AG7421" s="2">
        <f ca="1"/>
        <v>0.19338997933107427</v>
      </c>
      <c r="AH7421" s="2" t="str">
        <f ca="1"/>
        <v>OK</v>
      </c>
    </row>
    <row r="7422" spans="2:34" x14ac:dyDescent="0.2">
      <c r="B7422" s="2">
        <f ca="1"/>
        <v>0.52005836478084633</v>
      </c>
      <c r="O7422" s="2">
        <f ca="1"/>
        <v>0.4377928876453589</v>
      </c>
      <c r="X7422" s="2">
        <f ca="1"/>
        <v>44.332584636589061</v>
      </c>
      <c r="AG7422" s="2">
        <f ca="1"/>
        <v>0.97241810873363987</v>
      </c>
      <c r="AH7422" s="2" t="str">
        <f ca="1"/>
        <v>Bad</v>
      </c>
    </row>
    <row r="7423" spans="2:34" x14ac:dyDescent="0.2">
      <c r="B7423" s="2">
        <f ca="1"/>
        <v>9.7123989564427804E-2</v>
      </c>
      <c r="O7423" s="2">
        <f ca="1"/>
        <v>-0.54082490197114075</v>
      </c>
      <c r="X7423" s="2">
        <f ca="1"/>
        <v>60.028628867464761</v>
      </c>
      <c r="AG7423" s="2">
        <f ca="1"/>
        <v>0.69854410383357002</v>
      </c>
      <c r="AH7423" s="2" t="str">
        <f ca="1"/>
        <v>Bad</v>
      </c>
    </row>
    <row r="7424" spans="2:34" x14ac:dyDescent="0.2">
      <c r="B7424" s="2">
        <f ca="1"/>
        <v>0.14375730011835119</v>
      </c>
      <c r="O7424" s="2">
        <f ca="1"/>
        <v>-0.95678316762929838</v>
      </c>
      <c r="X7424" s="2">
        <f ca="1"/>
        <v>27.707771058490216</v>
      </c>
      <c r="AG7424" s="2">
        <f ca="1"/>
        <v>0.50183561953773226</v>
      </c>
      <c r="AH7424" s="2" t="str">
        <f ca="1"/>
        <v>Bad</v>
      </c>
    </row>
    <row r="7425" spans="2:34" x14ac:dyDescent="0.2">
      <c r="B7425" s="2">
        <f ca="1"/>
        <v>9.4284944808807669E-2</v>
      </c>
      <c r="O7425" s="2">
        <f ca="1"/>
        <v>8.5086241202232724E-2</v>
      </c>
      <c r="X7425" s="2">
        <f ca="1"/>
        <v>44.260852817553307</v>
      </c>
      <c r="AG7425" s="2">
        <f ca="1"/>
        <v>2.8166273975855916E-3</v>
      </c>
      <c r="AH7425" s="2" t="str">
        <f ca="1"/>
        <v>Good</v>
      </c>
    </row>
    <row r="7426" spans="2:34" x14ac:dyDescent="0.2">
      <c r="B7426" s="2">
        <f ca="1"/>
        <v>0.31615897419102379</v>
      </c>
      <c r="O7426" s="2">
        <f ca="1"/>
        <v>-3.66903888424877E-3</v>
      </c>
      <c r="X7426" s="2">
        <f ca="1"/>
        <v>42.432578967342714</v>
      </c>
      <c r="AG7426" s="2">
        <f ca="1"/>
        <v>0.22949231701626593</v>
      </c>
      <c r="AH7426" s="2" t="str">
        <f ca="1"/>
        <v>OK</v>
      </c>
    </row>
    <row r="7427" spans="2:34" x14ac:dyDescent="0.2">
      <c r="B7427" s="2">
        <f ca="1"/>
        <v>6.6499622540955983E-2</v>
      </c>
      <c r="O7427" s="2">
        <f ca="1"/>
        <v>-0.59848249086930816</v>
      </c>
      <c r="X7427" s="2">
        <f ca="1"/>
        <v>58.619164845273311</v>
      </c>
      <c r="AG7427" s="2">
        <f ca="1"/>
        <v>0.29706073055547</v>
      </c>
      <c r="AH7427" s="2" t="str">
        <f ca="1"/>
        <v>OK</v>
      </c>
    </row>
    <row r="7428" spans="2:34" x14ac:dyDescent="0.2">
      <c r="B7428" s="2">
        <f ca="1"/>
        <v>0.90522205045505522</v>
      </c>
      <c r="O7428" s="2">
        <f ca="1"/>
        <v>1.0074025211167923</v>
      </c>
      <c r="X7428" s="2">
        <f ca="1"/>
        <v>37.394646462893661</v>
      </c>
      <c r="AG7428" s="2">
        <f ca="1"/>
        <v>0.33455298014662516</v>
      </c>
      <c r="AH7428" s="2" t="str">
        <f ca="1"/>
        <v>OK</v>
      </c>
    </row>
    <row r="7429" spans="2:34" x14ac:dyDescent="0.2">
      <c r="B7429" s="2">
        <f ca="1"/>
        <v>0.66701861251190753</v>
      </c>
      <c r="O7429" s="2">
        <f ca="1"/>
        <v>0.76067447829231361</v>
      </c>
      <c r="X7429" s="2">
        <f ca="1"/>
        <v>45.971568063361062</v>
      </c>
      <c r="AG7429" s="2">
        <f ca="1"/>
        <v>0.25629962571039733</v>
      </c>
      <c r="AH7429" s="2" t="str">
        <f ca="1"/>
        <v>OK</v>
      </c>
    </row>
    <row r="7430" spans="2:34" x14ac:dyDescent="0.2">
      <c r="B7430" s="2">
        <f ca="1"/>
        <v>0.31332627410492697</v>
      </c>
      <c r="O7430" s="2">
        <f ca="1"/>
        <v>-0.49609021451990337</v>
      </c>
      <c r="X7430" s="2">
        <f ca="1"/>
        <v>48.358999544484071</v>
      </c>
      <c r="AG7430" s="2">
        <f ca="1"/>
        <v>3.6792140562933895E-2</v>
      </c>
      <c r="AH7430" s="2" t="str">
        <f ca="1"/>
        <v>Good</v>
      </c>
    </row>
    <row r="7431" spans="2:34" x14ac:dyDescent="0.2">
      <c r="B7431" s="2">
        <f ca="1"/>
        <v>0.83093198591330442</v>
      </c>
      <c r="O7431" s="2">
        <f ca="1"/>
        <v>0.26307549636036154</v>
      </c>
      <c r="X7431" s="2">
        <f ca="1"/>
        <v>59.577824076862626</v>
      </c>
      <c r="AG7431" s="2">
        <f ca="1"/>
        <v>0.79668088841930262</v>
      </c>
      <c r="AH7431" s="2" t="str">
        <f ca="1"/>
        <v>Bad</v>
      </c>
    </row>
    <row r="7432" spans="2:34" x14ac:dyDescent="0.2">
      <c r="B7432" s="2">
        <f ca="1"/>
        <v>0.32782616915181184</v>
      </c>
      <c r="O7432" s="2">
        <f ca="1"/>
        <v>0.3718254757713525</v>
      </c>
      <c r="X7432" s="2">
        <f ca="1"/>
        <v>62.82767617477981</v>
      </c>
      <c r="AG7432" s="2">
        <f ca="1"/>
        <v>0.55535144056509078</v>
      </c>
      <c r="AH7432" s="2" t="str">
        <f ca="1"/>
        <v>Bad</v>
      </c>
    </row>
    <row r="7433" spans="2:34" x14ac:dyDescent="0.2">
      <c r="B7433" s="2">
        <f ca="1"/>
        <v>0.39636837560441474</v>
      </c>
      <c r="O7433" s="2">
        <f ca="1"/>
        <v>-0.82216865078292467</v>
      </c>
      <c r="X7433" s="2">
        <f ca="1"/>
        <v>42.757191582328637</v>
      </c>
      <c r="AG7433" s="2">
        <f ca="1"/>
        <v>0.81600535948217368</v>
      </c>
      <c r="AH7433" s="2" t="str">
        <f ca="1"/>
        <v>Bad</v>
      </c>
    </row>
    <row r="7434" spans="2:34" x14ac:dyDescent="0.2">
      <c r="B7434" s="2">
        <f ca="1"/>
        <v>0.41140116282891692</v>
      </c>
      <c r="O7434" s="2">
        <f ca="1"/>
        <v>-0.39910665808755441</v>
      </c>
      <c r="X7434" s="2">
        <f ca="1"/>
        <v>51.355021109905451</v>
      </c>
      <c r="AG7434" s="2">
        <f ca="1"/>
        <v>0.13264034830158367</v>
      </c>
      <c r="AH7434" s="2" t="str">
        <f ca="1"/>
        <v>OK</v>
      </c>
    </row>
    <row r="7435" spans="2:34" x14ac:dyDescent="0.2">
      <c r="B7435" s="2">
        <f ca="1"/>
        <v>0.37308267305017551</v>
      </c>
      <c r="O7435" s="2">
        <f ca="1"/>
        <v>-0.14369815657234311</v>
      </c>
      <c r="X7435" s="2">
        <f ca="1"/>
        <v>23.357093059505306</v>
      </c>
      <c r="AG7435" s="2">
        <f ca="1"/>
        <v>7.4095292565395043E-2</v>
      </c>
      <c r="AH7435" s="2" t="str">
        <f ca="1"/>
        <v>OK</v>
      </c>
    </row>
    <row r="7436" spans="2:34" x14ac:dyDescent="0.2">
      <c r="B7436" s="2">
        <f ca="1"/>
        <v>0.4499204678381219</v>
      </c>
      <c r="O7436" s="2">
        <f ca="1"/>
        <v>0.10698986025492552</v>
      </c>
      <c r="X7436" s="2">
        <f ca="1"/>
        <v>53.932144537954031</v>
      </c>
      <c r="AG7436" s="2">
        <f ca="1"/>
        <v>0.24090313566299892</v>
      </c>
      <c r="AH7436" s="2" t="str">
        <f ca="1"/>
        <v>OK</v>
      </c>
    </row>
    <row r="7437" spans="2:34" x14ac:dyDescent="0.2">
      <c r="B7437" s="2">
        <f ca="1"/>
        <v>0.25238721590905078</v>
      </c>
      <c r="O7437" s="2">
        <f ca="1"/>
        <v>-1.9253030370594053</v>
      </c>
      <c r="X7437" s="2">
        <f ca="1"/>
        <v>58.373237587186736</v>
      </c>
      <c r="AG7437" s="2">
        <f ca="1"/>
        <v>4.0060311920564473E-3</v>
      </c>
      <c r="AH7437" s="2" t="str">
        <f ca="1"/>
        <v>Good</v>
      </c>
    </row>
    <row r="7438" spans="2:34" x14ac:dyDescent="0.2">
      <c r="B7438" s="2">
        <f ca="1"/>
        <v>0.38348016545666441</v>
      </c>
      <c r="O7438" s="2">
        <f ca="1"/>
        <v>-1.0548117748908621</v>
      </c>
      <c r="X7438" s="2">
        <f ca="1"/>
        <v>33.737325714455039</v>
      </c>
      <c r="AG7438" s="2">
        <f ca="1"/>
        <v>5.826210076093985E-2</v>
      </c>
      <c r="AH7438" s="2" t="str">
        <f ca="1"/>
        <v>OK</v>
      </c>
    </row>
    <row r="7439" spans="2:34" x14ac:dyDescent="0.2">
      <c r="B7439" s="2">
        <f ca="1"/>
        <v>0.62863708283398134</v>
      </c>
      <c r="O7439" s="2">
        <f ca="1"/>
        <v>-0.15449689719886794</v>
      </c>
      <c r="X7439" s="2">
        <f ca="1"/>
        <v>47.735771020859389</v>
      </c>
      <c r="AG7439" s="2">
        <f ca="1"/>
        <v>0.79537032069496605</v>
      </c>
      <c r="AH7439" s="2" t="str">
        <f ca="1"/>
        <v>Bad</v>
      </c>
    </row>
    <row r="7440" spans="2:34" x14ac:dyDescent="0.2">
      <c r="B7440" s="2">
        <f ca="1"/>
        <v>0.22249265277546781</v>
      </c>
      <c r="O7440" s="2">
        <f ca="1"/>
        <v>0.10210302410936761</v>
      </c>
      <c r="X7440" s="2">
        <f ca="1"/>
        <v>63.783416192462006</v>
      </c>
      <c r="AG7440" s="2">
        <f ca="1"/>
        <v>0.81651575980599822</v>
      </c>
      <c r="AH7440" s="2" t="str">
        <f ca="1"/>
        <v>Bad</v>
      </c>
    </row>
    <row r="7441" spans="2:34" x14ac:dyDescent="0.2">
      <c r="B7441" s="2">
        <f ca="1"/>
        <v>0.40981092997423407</v>
      </c>
      <c r="O7441" s="2">
        <f ca="1"/>
        <v>-0.1190384079816621</v>
      </c>
      <c r="X7441" s="2">
        <f ca="1"/>
        <v>35.610222112500239</v>
      </c>
      <c r="AG7441" s="2">
        <f ca="1"/>
        <v>0.3146946022654955</v>
      </c>
      <c r="AH7441" s="2" t="str">
        <f ca="1"/>
        <v>OK</v>
      </c>
    </row>
    <row r="7442" spans="2:34" x14ac:dyDescent="0.2">
      <c r="B7442" s="2">
        <f ca="1"/>
        <v>0.77071789821500047</v>
      </c>
      <c r="O7442" s="2">
        <f ca="1"/>
        <v>-2.3653993253591361</v>
      </c>
      <c r="X7442" s="2">
        <f ca="1"/>
        <v>53.401600302955316</v>
      </c>
      <c r="AG7442" s="2">
        <f ca="1"/>
        <v>0.53185334545331742</v>
      </c>
      <c r="AH7442" s="2" t="str">
        <f ca="1"/>
        <v>Bad</v>
      </c>
    </row>
    <row r="7443" spans="2:34" x14ac:dyDescent="0.2">
      <c r="B7443" s="2">
        <f ca="1"/>
        <v>0.20891232691200212</v>
      </c>
      <c r="O7443" s="2">
        <f ca="1"/>
        <v>-0.25232716080132356</v>
      </c>
      <c r="X7443" s="2">
        <f ca="1"/>
        <v>27.216800734212505</v>
      </c>
      <c r="AG7443" s="2">
        <f ca="1"/>
        <v>0.37163091015851957</v>
      </c>
      <c r="AH7443" s="2" t="str">
        <f ca="1"/>
        <v>OK</v>
      </c>
    </row>
    <row r="7444" spans="2:34" x14ac:dyDescent="0.2">
      <c r="B7444" s="2">
        <f ca="1"/>
        <v>0.14955882743708049</v>
      </c>
      <c r="O7444" s="2">
        <f ca="1"/>
        <v>0.93488460716440669</v>
      </c>
      <c r="X7444" s="2">
        <f ca="1"/>
        <v>47.798346829770544</v>
      </c>
      <c r="AG7444" s="2">
        <f ca="1"/>
        <v>0.25537504521756182</v>
      </c>
      <c r="AH7444" s="2" t="str">
        <f ca="1"/>
        <v>OK</v>
      </c>
    </row>
    <row r="7445" spans="2:34" x14ac:dyDescent="0.2">
      <c r="B7445" s="2">
        <f ca="1"/>
        <v>0.43312837377894864</v>
      </c>
      <c r="O7445" s="2">
        <f ca="1"/>
        <v>0.32357675266351987</v>
      </c>
      <c r="X7445" s="2">
        <f ca="1"/>
        <v>40.887072663233141</v>
      </c>
      <c r="AG7445" s="2">
        <f ca="1"/>
        <v>0.63059672415863166</v>
      </c>
      <c r="AH7445" s="2" t="str">
        <f ca="1"/>
        <v>Bad</v>
      </c>
    </row>
    <row r="7446" spans="2:34" x14ac:dyDescent="0.2">
      <c r="B7446" s="2">
        <f ca="1"/>
        <v>0.65049180801659556</v>
      </c>
      <c r="O7446" s="2">
        <f ca="1"/>
        <v>-0.34002191278031252</v>
      </c>
      <c r="X7446" s="2">
        <f ca="1"/>
        <v>15.986159091783172</v>
      </c>
      <c r="AG7446" s="2">
        <f ca="1"/>
        <v>0.54586067033493135</v>
      </c>
      <c r="AH7446" s="2" t="str">
        <f ca="1"/>
        <v>Bad</v>
      </c>
    </row>
    <row r="7447" spans="2:34" x14ac:dyDescent="0.2">
      <c r="B7447" s="2">
        <f ca="1"/>
        <v>0.79093787626131462</v>
      </c>
      <c r="O7447" s="2">
        <f ca="1"/>
        <v>-0.18480475518189549</v>
      </c>
      <c r="X7447" s="2">
        <f ca="1"/>
        <v>51.242236440909053</v>
      </c>
      <c r="AG7447" s="2">
        <f ca="1"/>
        <v>0.43001841581761591</v>
      </c>
      <c r="AH7447" s="2" t="str">
        <f ca="1"/>
        <v>Bad</v>
      </c>
    </row>
    <row r="7448" spans="2:34" x14ac:dyDescent="0.2">
      <c r="B7448" s="2">
        <f ca="1"/>
        <v>0.81696714431325712</v>
      </c>
      <c r="O7448" s="2">
        <f ca="1"/>
        <v>0.77732921597837901</v>
      </c>
      <c r="X7448" s="2">
        <f ca="1"/>
        <v>42.309502540807372</v>
      </c>
      <c r="AG7448" s="2">
        <f ca="1"/>
        <v>0.67374207026641986</v>
      </c>
      <c r="AH7448" s="2" t="str">
        <f ca="1"/>
        <v>Bad</v>
      </c>
    </row>
    <row r="7449" spans="2:34" x14ac:dyDescent="0.2">
      <c r="B7449" s="2">
        <f ca="1"/>
        <v>0.93889396764303812</v>
      </c>
      <c r="O7449" s="2">
        <f ca="1"/>
        <v>0.66173426956893822</v>
      </c>
      <c r="X7449" s="2">
        <f ca="1"/>
        <v>34.95161652068311</v>
      </c>
      <c r="AG7449" s="2">
        <f ca="1"/>
        <v>2.0293846105273072E-2</v>
      </c>
      <c r="AH7449" s="2" t="str">
        <f ca="1"/>
        <v>Good</v>
      </c>
    </row>
    <row r="7450" spans="2:34" x14ac:dyDescent="0.2">
      <c r="B7450" s="2">
        <f ca="1"/>
        <v>0.54970119808999796</v>
      </c>
      <c r="O7450" s="2">
        <f ca="1"/>
        <v>1.1039420442443819</v>
      </c>
      <c r="X7450" s="2">
        <f ca="1"/>
        <v>33.256937495366913</v>
      </c>
      <c r="AG7450" s="2">
        <f ca="1"/>
        <v>2.474318106547635E-3</v>
      </c>
      <c r="AH7450" s="2" t="str">
        <f ca="1"/>
        <v>Good</v>
      </c>
    </row>
    <row r="7451" spans="2:34" x14ac:dyDescent="0.2">
      <c r="B7451" s="2">
        <f ca="1"/>
        <v>0.98442099832968677</v>
      </c>
      <c r="O7451" s="2">
        <f ca="1"/>
        <v>-1.8420198835944177</v>
      </c>
      <c r="X7451" s="2">
        <f ca="1"/>
        <v>28.07872145950153</v>
      </c>
      <c r="AG7451" s="2">
        <f ca="1"/>
        <v>0.58696692936384687</v>
      </c>
      <c r="AH7451" s="2" t="str">
        <f ca="1"/>
        <v>Bad</v>
      </c>
    </row>
    <row r="7452" spans="2:34" x14ac:dyDescent="0.2">
      <c r="B7452" s="2">
        <f ca="1"/>
        <v>0.76169329923888696</v>
      </c>
      <c r="O7452" s="2">
        <f ca="1"/>
        <v>1.3294411582641439</v>
      </c>
      <c r="X7452" s="2">
        <f ca="1"/>
        <v>27.725899696731595</v>
      </c>
      <c r="AG7452" s="2">
        <f ca="1"/>
        <v>0.92576487136839192</v>
      </c>
      <c r="AH7452" s="2" t="str">
        <f ca="1"/>
        <v>Bad</v>
      </c>
    </row>
    <row r="7453" spans="2:34" x14ac:dyDescent="0.2">
      <c r="B7453" s="2">
        <f ca="1"/>
        <v>0.17195250996099709</v>
      </c>
      <c r="O7453" s="2">
        <f ca="1"/>
        <v>-1.2342779268158057</v>
      </c>
      <c r="X7453" s="2">
        <f ca="1"/>
        <v>68.297472058171891</v>
      </c>
      <c r="AG7453" s="2">
        <f ca="1"/>
        <v>0.876825643989535</v>
      </c>
      <c r="AH7453" s="2" t="str">
        <f ca="1"/>
        <v>Bad</v>
      </c>
    </row>
    <row r="7454" spans="2:34" x14ac:dyDescent="0.2">
      <c r="B7454" s="2">
        <f ca="1"/>
        <v>0.50297814915859451</v>
      </c>
      <c r="O7454" s="2">
        <f ca="1"/>
        <v>1.3862366409207743</v>
      </c>
      <c r="X7454" s="2">
        <f ca="1"/>
        <v>43.916309162929686</v>
      </c>
      <c r="AG7454" s="2">
        <f ca="1"/>
        <v>0.65331518235854213</v>
      </c>
      <c r="AH7454" s="2" t="str">
        <f ca="1"/>
        <v>Bad</v>
      </c>
    </row>
    <row r="7455" spans="2:34" x14ac:dyDescent="0.2">
      <c r="B7455" s="2">
        <f ca="1"/>
        <v>3.1841869958435742E-2</v>
      </c>
      <c r="O7455" s="2">
        <f ca="1"/>
        <v>2.6617791330722911</v>
      </c>
      <c r="X7455" s="2">
        <f ca="1"/>
        <v>44.181610460204723</v>
      </c>
      <c r="AG7455" s="2">
        <f ca="1"/>
        <v>0.80852729324206707</v>
      </c>
      <c r="AH7455" s="2" t="str">
        <f ca="1"/>
        <v>Bad</v>
      </c>
    </row>
    <row r="7456" spans="2:34" x14ac:dyDescent="0.2">
      <c r="B7456" s="2">
        <f ca="1"/>
        <v>0.83911532425139468</v>
      </c>
      <c r="O7456" s="2">
        <f ca="1"/>
        <v>-1.5915029537983265</v>
      </c>
      <c r="X7456" s="2">
        <f ca="1"/>
        <v>48.142983063681079</v>
      </c>
      <c r="AG7456" s="2">
        <f ca="1"/>
        <v>0.35580840267518754</v>
      </c>
      <c r="AH7456" s="2" t="str">
        <f ca="1"/>
        <v>OK</v>
      </c>
    </row>
    <row r="7457" spans="2:34" x14ac:dyDescent="0.2">
      <c r="B7457" s="2">
        <f ca="1"/>
        <v>0.25899973418470679</v>
      </c>
      <c r="O7457" s="2">
        <f ca="1"/>
        <v>-0.60302625533472876</v>
      </c>
      <c r="X7457" s="2">
        <f ca="1"/>
        <v>87.926825390079131</v>
      </c>
      <c r="AG7457" s="2">
        <f ca="1"/>
        <v>0.83770867455170483</v>
      </c>
      <c r="AH7457" s="2" t="str">
        <f ca="1"/>
        <v>Bad</v>
      </c>
    </row>
    <row r="7458" spans="2:34" x14ac:dyDescent="0.2">
      <c r="B7458" s="2">
        <f ca="1"/>
        <v>0.3576740088858763</v>
      </c>
      <c r="O7458" s="2">
        <f ca="1"/>
        <v>0.4238892215765423</v>
      </c>
      <c r="X7458" s="2">
        <f ca="1"/>
        <v>18.461886381893027</v>
      </c>
      <c r="AG7458" s="2">
        <f ca="1"/>
        <v>0.63733436099698837</v>
      </c>
      <c r="AH7458" s="2" t="str">
        <f ca="1"/>
        <v>Bad</v>
      </c>
    </row>
    <row r="7459" spans="2:34" x14ac:dyDescent="0.2">
      <c r="B7459" s="2">
        <f ca="1"/>
        <v>0.16288198402198528</v>
      </c>
      <c r="O7459" s="2">
        <f ca="1"/>
        <v>-0.62755571631615348</v>
      </c>
      <c r="X7459" s="2">
        <f ca="1"/>
        <v>30.429058770461083</v>
      </c>
      <c r="AG7459" s="2">
        <f ca="1"/>
        <v>0.43101930780907605</v>
      </c>
      <c r="AH7459" s="2" t="str">
        <f ca="1"/>
        <v>Bad</v>
      </c>
    </row>
    <row r="7460" spans="2:34" x14ac:dyDescent="0.2">
      <c r="B7460" s="2">
        <f ca="1"/>
        <v>0.930794859113101</v>
      </c>
      <c r="O7460" s="2">
        <f ca="1"/>
        <v>0.50194183552177041</v>
      </c>
      <c r="X7460" s="2">
        <f ca="1"/>
        <v>89.001505625855586</v>
      </c>
      <c r="AG7460" s="2">
        <f ca="1"/>
        <v>0.94942603807061343</v>
      </c>
      <c r="AH7460" s="2" t="str">
        <f ca="1"/>
        <v>Bad</v>
      </c>
    </row>
    <row r="7461" spans="2:34" x14ac:dyDescent="0.2">
      <c r="B7461" s="2">
        <f ca="1"/>
        <v>0.6628765479704386</v>
      </c>
      <c r="O7461" s="2">
        <f ca="1"/>
        <v>0.63347235099881494</v>
      </c>
      <c r="X7461" s="2">
        <f ca="1"/>
        <v>39.417618414071129</v>
      </c>
      <c r="AG7461" s="2">
        <f ca="1"/>
        <v>0.60776291263487581</v>
      </c>
      <c r="AH7461" s="2" t="str">
        <f ca="1"/>
        <v>Bad</v>
      </c>
    </row>
    <row r="7462" spans="2:34" x14ac:dyDescent="0.2">
      <c r="B7462" s="2">
        <f ca="1"/>
        <v>0.62871378578175241</v>
      </c>
      <c r="O7462" s="2">
        <f ca="1"/>
        <v>-0.26222785746275079</v>
      </c>
      <c r="X7462" s="2">
        <f ca="1"/>
        <v>79.282527836359947</v>
      </c>
      <c r="AG7462" s="2">
        <f ca="1"/>
        <v>7.0136868396373231E-2</v>
      </c>
      <c r="AH7462" s="2" t="str">
        <f ca="1"/>
        <v>OK</v>
      </c>
    </row>
    <row r="7463" spans="2:34" x14ac:dyDescent="0.2">
      <c r="B7463" s="2">
        <f ca="1"/>
        <v>0.64189635468798589</v>
      </c>
      <c r="O7463" s="2">
        <f ca="1"/>
        <v>0.5385532742405047</v>
      </c>
      <c r="X7463" s="2">
        <f ca="1"/>
        <v>46.033774138889015</v>
      </c>
      <c r="AG7463" s="2">
        <f ca="1"/>
        <v>0.76101859617389689</v>
      </c>
      <c r="AH7463" s="2" t="str">
        <f ca="1"/>
        <v>Bad</v>
      </c>
    </row>
    <row r="7464" spans="2:34" x14ac:dyDescent="0.2">
      <c r="B7464" s="2">
        <f ca="1"/>
        <v>1.7108907672752416E-2</v>
      </c>
      <c r="O7464" s="2">
        <f ca="1"/>
        <v>-1.140130471009384</v>
      </c>
      <c r="X7464" s="2">
        <f ca="1"/>
        <v>57.568615997460036</v>
      </c>
      <c r="AG7464" s="2">
        <f ca="1"/>
        <v>0.19793788109665833</v>
      </c>
      <c r="AH7464" s="2" t="str">
        <f ca="1"/>
        <v>OK</v>
      </c>
    </row>
    <row r="7465" spans="2:34" x14ac:dyDescent="0.2">
      <c r="B7465" s="2">
        <f ca="1"/>
        <v>0.36104930062080998</v>
      </c>
      <c r="O7465" s="2">
        <f ca="1"/>
        <v>-0.24314940958781261</v>
      </c>
      <c r="X7465" s="2">
        <f ca="1"/>
        <v>60.605068409761017</v>
      </c>
      <c r="AG7465" s="2">
        <f ca="1"/>
        <v>0.71971329242567084</v>
      </c>
      <c r="AH7465" s="2" t="str">
        <f ca="1"/>
        <v>Bad</v>
      </c>
    </row>
    <row r="7466" spans="2:34" x14ac:dyDescent="0.2">
      <c r="B7466" s="2">
        <f ca="1"/>
        <v>0.24097471312163043</v>
      </c>
      <c r="O7466" s="2">
        <f ca="1"/>
        <v>0.52484796098536424</v>
      </c>
      <c r="X7466" s="2">
        <f ca="1"/>
        <v>42.686351705446022</v>
      </c>
      <c r="AG7466" s="2">
        <f ca="1"/>
        <v>9.4574685742858877E-2</v>
      </c>
      <c r="AH7466" s="2" t="str">
        <f ca="1"/>
        <v>OK</v>
      </c>
    </row>
    <row r="7467" spans="2:34" x14ac:dyDescent="0.2">
      <c r="B7467" s="2">
        <f ca="1"/>
        <v>0.99342447253316801</v>
      </c>
      <c r="O7467" s="2">
        <f ca="1"/>
        <v>1.8011486770591454</v>
      </c>
      <c r="X7467" s="2">
        <f ca="1"/>
        <v>67.536825897209468</v>
      </c>
      <c r="AG7467" s="2">
        <f ca="1"/>
        <v>0.46006901628162145</v>
      </c>
      <c r="AH7467" s="2" t="str">
        <f ca="1"/>
        <v>Bad</v>
      </c>
    </row>
    <row r="7468" spans="2:34" x14ac:dyDescent="0.2">
      <c r="B7468" s="2">
        <f ca="1"/>
        <v>0.36494146087272994</v>
      </c>
      <c r="O7468" s="2">
        <f ca="1"/>
        <v>-1.2318011204814354</v>
      </c>
      <c r="X7468" s="2">
        <f ca="1"/>
        <v>66.999914089310309</v>
      </c>
      <c r="AG7468" s="2">
        <f ca="1"/>
        <v>0.3583093073939605</v>
      </c>
      <c r="AH7468" s="2" t="str">
        <f ca="1"/>
        <v>OK</v>
      </c>
    </row>
    <row r="7469" spans="2:34" x14ac:dyDescent="0.2">
      <c r="B7469" s="2">
        <f ca="1"/>
        <v>0.38980895468044352</v>
      </c>
      <c r="O7469" s="2">
        <f ca="1"/>
        <v>-1.2359747824730005</v>
      </c>
      <c r="X7469" s="2">
        <f ca="1"/>
        <v>42.521483627117512</v>
      </c>
      <c r="AG7469" s="2">
        <f ca="1"/>
        <v>0.64742376333653762</v>
      </c>
      <c r="AH7469" s="2" t="str">
        <f ca="1"/>
        <v>Bad</v>
      </c>
    </row>
    <row r="7470" spans="2:34" x14ac:dyDescent="0.2">
      <c r="B7470" s="2">
        <f ca="1"/>
        <v>0.71208136162461355</v>
      </c>
      <c r="O7470" s="2">
        <f ca="1"/>
        <v>0.46398721261125175</v>
      </c>
      <c r="X7470" s="2">
        <f ca="1"/>
        <v>40.436884544350811</v>
      </c>
      <c r="AG7470" s="2">
        <f ca="1"/>
        <v>0.10528866908844603</v>
      </c>
      <c r="AH7470" s="2" t="str">
        <f ca="1"/>
        <v>OK</v>
      </c>
    </row>
    <row r="7471" spans="2:34" x14ac:dyDescent="0.2">
      <c r="B7471" s="2">
        <f ca="1"/>
        <v>1.5748298027666197E-2</v>
      </c>
      <c r="O7471" s="2">
        <f ca="1"/>
        <v>1.700206040615307</v>
      </c>
      <c r="X7471" s="2">
        <f ca="1"/>
        <v>39.517545819408014</v>
      </c>
      <c r="AG7471" s="2">
        <f ca="1"/>
        <v>0.91512185402479052</v>
      </c>
      <c r="AH7471" s="2" t="str">
        <f ca="1"/>
        <v>Bad</v>
      </c>
    </row>
    <row r="7472" spans="2:34" x14ac:dyDescent="0.2">
      <c r="B7472" s="2">
        <f ca="1"/>
        <v>0.98916427419022401</v>
      </c>
      <c r="O7472" s="2">
        <f ca="1"/>
        <v>0.36300632785647136</v>
      </c>
      <c r="X7472" s="2">
        <f ca="1"/>
        <v>37.224229456790347</v>
      </c>
      <c r="AG7472" s="2">
        <f ca="1"/>
        <v>0.21694947572497525</v>
      </c>
      <c r="AH7472" s="2" t="str">
        <f ca="1"/>
        <v>OK</v>
      </c>
    </row>
    <row r="7473" spans="2:34" x14ac:dyDescent="0.2">
      <c r="B7473" s="2">
        <f ca="1"/>
        <v>0.73609987333943083</v>
      </c>
      <c r="O7473" s="2">
        <f ca="1"/>
        <v>1.0259004668072007</v>
      </c>
      <c r="X7473" s="2">
        <f ca="1"/>
        <v>60.785085906515476</v>
      </c>
      <c r="AG7473" s="2">
        <f ca="1"/>
        <v>0.15757790084552559</v>
      </c>
      <c r="AH7473" s="2" t="str">
        <f ca="1"/>
        <v>OK</v>
      </c>
    </row>
    <row r="7474" spans="2:34" x14ac:dyDescent="0.2">
      <c r="B7474" s="2">
        <f ca="1"/>
        <v>0.28261133663440208</v>
      </c>
      <c r="O7474" s="2">
        <f ca="1"/>
        <v>0.28334733843932197</v>
      </c>
      <c r="X7474" s="2">
        <f ca="1"/>
        <v>50.884270753014633</v>
      </c>
      <c r="AG7474" s="2">
        <f ca="1"/>
        <v>0.29597970890432568</v>
      </c>
      <c r="AH7474" s="2" t="str">
        <f ca="1"/>
        <v>OK</v>
      </c>
    </row>
    <row r="7475" spans="2:34" x14ac:dyDescent="0.2">
      <c r="B7475" s="2">
        <f ca="1"/>
        <v>0.54547336691771919</v>
      </c>
      <c r="O7475" s="2">
        <f ca="1"/>
        <v>0.48306113339174256</v>
      </c>
      <c r="X7475" s="2">
        <f ca="1"/>
        <v>61.831289830552471</v>
      </c>
      <c r="AG7475" s="2">
        <f ca="1"/>
        <v>0.63844618989389357</v>
      </c>
      <c r="AH7475" s="2" t="str">
        <f ca="1"/>
        <v>Bad</v>
      </c>
    </row>
    <row r="7476" spans="2:34" x14ac:dyDescent="0.2">
      <c r="B7476" s="2">
        <f ca="1"/>
        <v>0.93309792785831513</v>
      </c>
      <c r="O7476" s="2">
        <f ca="1"/>
        <v>1.2148385014032972</v>
      </c>
      <c r="X7476" s="2">
        <f ca="1"/>
        <v>37.054144482131214</v>
      </c>
      <c r="AG7476" s="2">
        <f ca="1"/>
        <v>0.4321255434612441</v>
      </c>
      <c r="AH7476" s="2" t="str">
        <f ca="1"/>
        <v>Bad</v>
      </c>
    </row>
    <row r="7477" spans="2:34" x14ac:dyDescent="0.2">
      <c r="B7477" s="2">
        <f ca="1"/>
        <v>0.97852286747143236</v>
      </c>
      <c r="O7477" s="2">
        <f ca="1"/>
        <v>-1.2487583996561906</v>
      </c>
      <c r="X7477" s="2">
        <f ca="1"/>
        <v>41.541750477640555</v>
      </c>
      <c r="AG7477" s="2">
        <f ca="1"/>
        <v>0.83646068635229676</v>
      </c>
      <c r="AH7477" s="2" t="str">
        <f ca="1"/>
        <v>Bad</v>
      </c>
    </row>
    <row r="7478" spans="2:34" x14ac:dyDescent="0.2">
      <c r="B7478" s="2">
        <f ca="1"/>
        <v>0.26383296821211877</v>
      </c>
      <c r="O7478" s="2">
        <f ca="1"/>
        <v>0.98725249556163774</v>
      </c>
      <c r="X7478" s="2">
        <f ca="1"/>
        <v>51.605917221012007</v>
      </c>
      <c r="AG7478" s="2">
        <f ca="1"/>
        <v>0.60274203961148687</v>
      </c>
      <c r="AH7478" s="2" t="str">
        <f ca="1"/>
        <v>Bad</v>
      </c>
    </row>
    <row r="7479" spans="2:34" x14ac:dyDescent="0.2">
      <c r="B7479" s="2">
        <f ca="1"/>
        <v>0.85513372767948903</v>
      </c>
      <c r="O7479" s="2">
        <f ca="1"/>
        <v>-1.966720914337337</v>
      </c>
      <c r="X7479" s="2">
        <f ca="1"/>
        <v>58.33429642871635</v>
      </c>
      <c r="AG7479" s="2">
        <f ca="1"/>
        <v>0.25889120318468439</v>
      </c>
      <c r="AH7479" s="2" t="str">
        <f ca="1"/>
        <v>OK</v>
      </c>
    </row>
    <row r="7480" spans="2:34" x14ac:dyDescent="0.2">
      <c r="B7480" s="2">
        <f ca="1"/>
        <v>5.0942418939246004E-2</v>
      </c>
      <c r="O7480" s="2">
        <f ca="1"/>
        <v>0.48354031120868984</v>
      </c>
      <c r="X7480" s="2">
        <f ca="1"/>
        <v>85.395676439064516</v>
      </c>
      <c r="AG7480" s="2">
        <f ca="1"/>
        <v>0.5419175560040097</v>
      </c>
      <c r="AH7480" s="2" t="str">
        <f ca="1"/>
        <v>Bad</v>
      </c>
    </row>
    <row r="7481" spans="2:34" x14ac:dyDescent="0.2">
      <c r="B7481" s="2">
        <f ca="1"/>
        <v>0.88469279515314336</v>
      </c>
      <c r="O7481" s="2">
        <f ca="1"/>
        <v>0.24649934804303164</v>
      </c>
      <c r="X7481" s="2">
        <f ca="1"/>
        <v>56.754903602513778</v>
      </c>
      <c r="AG7481" s="2">
        <f ca="1"/>
        <v>0.61904511983604027</v>
      </c>
      <c r="AH7481" s="2" t="str">
        <f ca="1"/>
        <v>Bad</v>
      </c>
    </row>
    <row r="7482" spans="2:34" x14ac:dyDescent="0.2">
      <c r="B7482" s="2">
        <f ca="1"/>
        <v>7.557758026377992E-2</v>
      </c>
      <c r="O7482" s="2">
        <f ca="1"/>
        <v>-1.2461635025105578E-2</v>
      </c>
      <c r="X7482" s="2">
        <f ca="1"/>
        <v>34.648590168493747</v>
      </c>
      <c r="AG7482" s="2">
        <f ca="1"/>
        <v>0.58594791587857253</v>
      </c>
      <c r="AH7482" s="2" t="str">
        <f ca="1"/>
        <v>Bad</v>
      </c>
    </row>
    <row r="7483" spans="2:34" x14ac:dyDescent="0.2">
      <c r="B7483" s="2">
        <f ca="1"/>
        <v>0.25299350065779813</v>
      </c>
      <c r="O7483" s="2">
        <f ca="1"/>
        <v>-0.25815617851036654</v>
      </c>
      <c r="X7483" s="2">
        <f ca="1"/>
        <v>30.423060394731024</v>
      </c>
      <c r="AG7483" s="2">
        <f ca="1"/>
        <v>8.492059846674227E-3</v>
      </c>
      <c r="AH7483" s="2" t="str">
        <f ca="1"/>
        <v>Good</v>
      </c>
    </row>
    <row r="7484" spans="2:34" x14ac:dyDescent="0.2">
      <c r="B7484" s="2">
        <f ca="1"/>
        <v>0.66699119961900188</v>
      </c>
      <c r="O7484" s="2">
        <f ca="1"/>
        <v>0.8740355730240944</v>
      </c>
      <c r="X7484" s="2">
        <f ca="1"/>
        <v>60.949632994114097</v>
      </c>
      <c r="AG7484" s="2">
        <f ca="1"/>
        <v>2.0979853126674719E-2</v>
      </c>
      <c r="AH7484" s="2" t="str">
        <f ca="1"/>
        <v>Good</v>
      </c>
    </row>
    <row r="7485" spans="2:34" x14ac:dyDescent="0.2">
      <c r="B7485" s="2">
        <f ca="1"/>
        <v>0.22520364640056689</v>
      </c>
      <c r="O7485" s="2">
        <f ca="1"/>
        <v>-1.0183792586594096</v>
      </c>
      <c r="X7485" s="2">
        <f ca="1"/>
        <v>71.500542657958718</v>
      </c>
      <c r="AG7485" s="2">
        <f ca="1"/>
        <v>0.52320064179453296</v>
      </c>
      <c r="AH7485" s="2" t="str">
        <f ca="1"/>
        <v>Bad</v>
      </c>
    </row>
    <row r="7486" spans="2:34" x14ac:dyDescent="0.2">
      <c r="B7486" s="2">
        <f ca="1"/>
        <v>0.22838804621483733</v>
      </c>
      <c r="O7486" s="2">
        <f ca="1"/>
        <v>0.36354326323914443</v>
      </c>
      <c r="X7486" s="2">
        <f ca="1"/>
        <v>41.955292831876235</v>
      </c>
      <c r="AG7486" s="2">
        <f ca="1"/>
        <v>0.37965660238527366</v>
      </c>
      <c r="AH7486" s="2" t="str">
        <f ca="1"/>
        <v>OK</v>
      </c>
    </row>
    <row r="7487" spans="2:34" x14ac:dyDescent="0.2">
      <c r="B7487" s="2">
        <f ca="1"/>
        <v>6.8705626241050144E-3</v>
      </c>
      <c r="O7487" s="2">
        <f ca="1"/>
        <v>-0.54318731564312028</v>
      </c>
      <c r="X7487" s="2">
        <f ca="1"/>
        <v>44.62118862390394</v>
      </c>
      <c r="AG7487" s="2">
        <f ca="1"/>
        <v>4.7931309881939388E-2</v>
      </c>
      <c r="AH7487" s="2" t="str">
        <f ca="1"/>
        <v>Good</v>
      </c>
    </row>
    <row r="7488" spans="2:34" x14ac:dyDescent="0.2">
      <c r="B7488" s="2">
        <f ca="1"/>
        <v>0.26112007524663028</v>
      </c>
      <c r="O7488" s="2">
        <f ca="1"/>
        <v>-0.79551361539088061</v>
      </c>
      <c r="X7488" s="2">
        <f ca="1"/>
        <v>56.029101906921625</v>
      </c>
      <c r="AG7488" s="2">
        <f ca="1"/>
        <v>0.21682477360587926</v>
      </c>
      <c r="AH7488" s="2" t="str">
        <f ca="1"/>
        <v>OK</v>
      </c>
    </row>
    <row r="7489" spans="2:34" x14ac:dyDescent="0.2">
      <c r="B7489" s="2">
        <f ca="1"/>
        <v>0.42204693681251881</v>
      </c>
      <c r="O7489" s="2">
        <f ca="1"/>
        <v>0.9507263762178676</v>
      </c>
      <c r="X7489" s="2">
        <f ca="1"/>
        <v>33.042770054858465</v>
      </c>
      <c r="AG7489" s="2">
        <f ca="1"/>
        <v>0.85640398555960506</v>
      </c>
      <c r="AH7489" s="2" t="str">
        <f ca="1"/>
        <v>Bad</v>
      </c>
    </row>
    <row r="7490" spans="2:34" x14ac:dyDescent="0.2">
      <c r="B7490" s="2">
        <f ca="1"/>
        <v>0.87830045255103628</v>
      </c>
      <c r="O7490" s="2">
        <f ca="1"/>
        <v>1.7193802400656717</v>
      </c>
      <c r="X7490" s="2">
        <f ca="1"/>
        <v>93.168246201774451</v>
      </c>
      <c r="AG7490" s="2">
        <f ca="1"/>
        <v>0.97804177401618797</v>
      </c>
      <c r="AH7490" s="2" t="str">
        <f ca="1"/>
        <v>Bad</v>
      </c>
    </row>
    <row r="7491" spans="2:34" x14ac:dyDescent="0.2">
      <c r="B7491" s="2">
        <f ca="1"/>
        <v>0.60655844463747433</v>
      </c>
      <c r="O7491" s="2">
        <f ca="1"/>
        <v>0.53480831351367597</v>
      </c>
      <c r="X7491" s="2">
        <f ca="1"/>
        <v>32.454238166330136</v>
      </c>
      <c r="AG7491" s="2">
        <f ca="1"/>
        <v>0.90508017540375074</v>
      </c>
      <c r="AH7491" s="2" t="str">
        <f ca="1"/>
        <v>Bad</v>
      </c>
    </row>
    <row r="7492" spans="2:34" x14ac:dyDescent="0.2">
      <c r="B7492" s="2">
        <f ca="1"/>
        <v>0.2154667343044685</v>
      </c>
      <c r="O7492" s="2">
        <f ca="1"/>
        <v>-1.6544265872840347</v>
      </c>
      <c r="X7492" s="2">
        <f ca="1"/>
        <v>71.075067318933534</v>
      </c>
      <c r="AG7492" s="2">
        <f ca="1"/>
        <v>0.78527516840093181</v>
      </c>
      <c r="AH7492" s="2" t="str">
        <f ca="1"/>
        <v>Bad</v>
      </c>
    </row>
    <row r="7493" spans="2:34" x14ac:dyDescent="0.2">
      <c r="B7493" s="2">
        <f ca="1"/>
        <v>0.82316825424974693</v>
      </c>
      <c r="O7493" s="2">
        <f ca="1"/>
        <v>0.42065055464313861</v>
      </c>
      <c r="X7493" s="2">
        <f ca="1"/>
        <v>53.102342873290567</v>
      </c>
      <c r="AG7493" s="2">
        <f ca="1"/>
        <v>0.19920487311226931</v>
      </c>
      <c r="AH7493" s="2" t="str">
        <f ca="1"/>
        <v>OK</v>
      </c>
    </row>
    <row r="7494" spans="2:34" x14ac:dyDescent="0.2">
      <c r="B7494" s="2">
        <f ca="1"/>
        <v>0.5978798521547537</v>
      </c>
      <c r="O7494" s="2">
        <f ca="1"/>
        <v>-0.24018932457491618</v>
      </c>
      <c r="X7494" s="2">
        <f ca="1"/>
        <v>65.477046065862055</v>
      </c>
      <c r="AG7494" s="2">
        <f ca="1"/>
        <v>0.38989783763373254</v>
      </c>
      <c r="AH7494" s="2" t="str">
        <f ca="1"/>
        <v>OK</v>
      </c>
    </row>
    <row r="7495" spans="2:34" x14ac:dyDescent="0.2">
      <c r="B7495" s="2">
        <f ca="1"/>
        <v>0.10949673321075903</v>
      </c>
      <c r="O7495" s="2">
        <f ca="1"/>
        <v>-1.5133210631993832</v>
      </c>
      <c r="X7495" s="2">
        <f ca="1"/>
        <v>29.321814622832775</v>
      </c>
      <c r="AG7495" s="2">
        <f ca="1"/>
        <v>0.10171794111614152</v>
      </c>
      <c r="AH7495" s="2" t="str">
        <f ca="1"/>
        <v>OK</v>
      </c>
    </row>
    <row r="7496" spans="2:34" x14ac:dyDescent="0.2">
      <c r="B7496" s="2">
        <f ca="1"/>
        <v>0.65471554148155109</v>
      </c>
      <c r="O7496" s="2">
        <f ca="1"/>
        <v>0.45257766584215942</v>
      </c>
      <c r="X7496" s="2">
        <f ca="1"/>
        <v>61.992525451819859</v>
      </c>
      <c r="AG7496" s="2">
        <f ca="1"/>
        <v>0.18003317533342411</v>
      </c>
      <c r="AH7496" s="2" t="str">
        <f ca="1"/>
        <v>OK</v>
      </c>
    </row>
    <row r="7497" spans="2:34" x14ac:dyDescent="0.2">
      <c r="B7497" s="2">
        <f ca="1"/>
        <v>0.14444708963039465</v>
      </c>
      <c r="O7497" s="2">
        <f ca="1"/>
        <v>0.48454392877978364</v>
      </c>
      <c r="X7497" s="2">
        <f ca="1"/>
        <v>82.92440053636787</v>
      </c>
      <c r="AG7497" s="2">
        <f ca="1"/>
        <v>0.58424287962623089</v>
      </c>
      <c r="AH7497" s="2" t="str">
        <f ca="1"/>
        <v>Bad</v>
      </c>
    </row>
    <row r="7498" spans="2:34" x14ac:dyDescent="0.2">
      <c r="B7498" s="2">
        <f ca="1"/>
        <v>0.33096993690494614</v>
      </c>
      <c r="O7498" s="2">
        <f ca="1"/>
        <v>1.0443651963336134</v>
      </c>
      <c r="X7498" s="2">
        <f ca="1"/>
        <v>32.887319021624791</v>
      </c>
      <c r="AG7498" s="2">
        <f ca="1"/>
        <v>0.96500023342965613</v>
      </c>
      <c r="AH7498" s="2" t="str">
        <f ca="1"/>
        <v>Bad</v>
      </c>
    </row>
    <row r="7499" spans="2:34" x14ac:dyDescent="0.2">
      <c r="B7499" s="2">
        <f ca="1"/>
        <v>0.54748879707443532</v>
      </c>
      <c r="O7499" s="2">
        <f ca="1"/>
        <v>0.88813246713940408</v>
      </c>
      <c r="X7499" s="2">
        <f ca="1"/>
        <v>45.488097842865159</v>
      </c>
      <c r="AG7499" s="2">
        <f ca="1"/>
        <v>0.84281028079230436</v>
      </c>
      <c r="AH7499" s="2" t="str">
        <f ca="1"/>
        <v>Bad</v>
      </c>
    </row>
    <row r="7500" spans="2:34" x14ac:dyDescent="0.2">
      <c r="B7500" s="2">
        <f ca="1"/>
        <v>0.39503998126475826</v>
      </c>
      <c r="O7500" s="2">
        <f ca="1"/>
        <v>-0.45217234004701734</v>
      </c>
      <c r="X7500" s="2">
        <f ca="1"/>
        <v>53.2753999759842</v>
      </c>
      <c r="AG7500" s="2">
        <f ca="1"/>
        <v>0.78833644189739038</v>
      </c>
      <c r="AH7500" s="2" t="str">
        <f ca="1"/>
        <v>Bad</v>
      </c>
    </row>
    <row r="7501" spans="2:34" x14ac:dyDescent="0.2">
      <c r="B7501" s="2">
        <f ca="1"/>
        <v>4.746854364854336E-4</v>
      </c>
      <c r="O7501" s="2">
        <f ca="1"/>
        <v>-1.773307487689983</v>
      </c>
      <c r="X7501" s="2">
        <f ca="1"/>
        <v>24.899579892938668</v>
      </c>
      <c r="AG7501" s="2">
        <f ca="1"/>
        <v>0.28602781494776286</v>
      </c>
      <c r="AH7501" s="2" t="str">
        <f ca="1"/>
        <v>OK</v>
      </c>
    </row>
    <row r="7502" spans="2:34" x14ac:dyDescent="0.2">
      <c r="B7502" s="2">
        <f ca="1"/>
        <v>0.78139090030496461</v>
      </c>
      <c r="O7502" s="2">
        <f ca="1"/>
        <v>-1.3333073551121133</v>
      </c>
      <c r="X7502" s="2">
        <f ca="1"/>
        <v>49.964727194676357</v>
      </c>
      <c r="AG7502" s="2">
        <f ca="1"/>
        <v>0.30212954374910006</v>
      </c>
      <c r="AH7502" s="2" t="str">
        <f ca="1"/>
        <v>OK</v>
      </c>
    </row>
    <row r="7503" spans="2:34" x14ac:dyDescent="0.2">
      <c r="B7503" s="2">
        <f ca="1"/>
        <v>0.20093135646183757</v>
      </c>
      <c r="O7503" s="2">
        <f ca="1"/>
        <v>1.4074414593422506</v>
      </c>
      <c r="X7503" s="2">
        <f ca="1"/>
        <v>58.7921897356782</v>
      </c>
      <c r="AG7503" s="2">
        <f ca="1"/>
        <v>0.63719236734740847</v>
      </c>
      <c r="AH7503" s="2" t="str">
        <f ca="1"/>
        <v>Bad</v>
      </c>
    </row>
    <row r="7504" spans="2:34" x14ac:dyDescent="0.2">
      <c r="B7504" s="2">
        <f ca="1"/>
        <v>0.46373583685563458</v>
      </c>
      <c r="O7504" s="2">
        <f ca="1"/>
        <v>-0.10043153498902152</v>
      </c>
      <c r="X7504" s="2">
        <f ca="1"/>
        <v>75.524704085091045</v>
      </c>
      <c r="AG7504" s="2">
        <f ca="1"/>
        <v>0.88092658448915406</v>
      </c>
      <c r="AH7504" s="2" t="str">
        <f ca="1"/>
        <v>Bad</v>
      </c>
    </row>
    <row r="7505" spans="2:34" x14ac:dyDescent="0.2">
      <c r="B7505" s="2">
        <f ca="1"/>
        <v>0.61343412986261026</v>
      </c>
      <c r="O7505" s="2">
        <f ca="1"/>
        <v>1.0767909551108741</v>
      </c>
      <c r="X7505" s="2">
        <f ca="1"/>
        <v>62.278106059078169</v>
      </c>
      <c r="AG7505" s="2">
        <f ca="1"/>
        <v>0.98235079189842645</v>
      </c>
      <c r="AH7505" s="2" t="str">
        <f ca="1"/>
        <v>Bad</v>
      </c>
    </row>
    <row r="7506" spans="2:34" x14ac:dyDescent="0.2">
      <c r="B7506" s="2">
        <f ca="1"/>
        <v>0.53803885357923797</v>
      </c>
      <c r="O7506" s="2">
        <f ca="1"/>
        <v>-2.2246670819962202</v>
      </c>
      <c r="X7506" s="2">
        <f ca="1"/>
        <v>58.792311458046285</v>
      </c>
      <c r="AG7506" s="2">
        <f ca="1"/>
        <v>0.19667675343594659</v>
      </c>
      <c r="AH7506" s="2" t="str">
        <f ca="1"/>
        <v>OK</v>
      </c>
    </row>
    <row r="7507" spans="2:34" x14ac:dyDescent="0.2">
      <c r="B7507" s="2">
        <f ca="1"/>
        <v>0.77977422971061139</v>
      </c>
      <c r="O7507" s="2">
        <f ca="1"/>
        <v>-0.19523969250447179</v>
      </c>
      <c r="X7507" s="2">
        <f ca="1"/>
        <v>51.2140208210091</v>
      </c>
      <c r="AG7507" s="2">
        <f ca="1"/>
        <v>0.17234852339682183</v>
      </c>
      <c r="AH7507" s="2" t="str">
        <f ca="1"/>
        <v>OK</v>
      </c>
    </row>
    <row r="7508" spans="2:34" x14ac:dyDescent="0.2">
      <c r="B7508" s="2">
        <f ca="1"/>
        <v>0.91457668408739812</v>
      </c>
      <c r="O7508" s="2">
        <f ca="1"/>
        <v>-0.82670015611385794</v>
      </c>
      <c r="X7508" s="2">
        <f ca="1"/>
        <v>71.60742471584571</v>
      </c>
      <c r="AG7508" s="2">
        <f ca="1"/>
        <v>0.86521261688397844</v>
      </c>
      <c r="AH7508" s="2" t="str">
        <f ca="1"/>
        <v>Bad</v>
      </c>
    </row>
    <row r="7509" spans="2:34" x14ac:dyDescent="0.2">
      <c r="B7509" s="2">
        <f ca="1"/>
        <v>0.59285877313503588</v>
      </c>
      <c r="O7509" s="2">
        <f ca="1"/>
        <v>0.18967484000294688</v>
      </c>
      <c r="X7509" s="2">
        <f ca="1"/>
        <v>43.290563796820877</v>
      </c>
      <c r="AG7509" s="2">
        <f ca="1"/>
        <v>0.20922593438867731</v>
      </c>
      <c r="AH7509" s="2" t="str">
        <f ca="1"/>
        <v>OK</v>
      </c>
    </row>
    <row r="7510" spans="2:34" x14ac:dyDescent="0.2">
      <c r="B7510" s="2">
        <f ca="1"/>
        <v>0.75113719295762671</v>
      </c>
      <c r="O7510" s="2">
        <f ca="1"/>
        <v>0.84812031928098464</v>
      </c>
      <c r="X7510" s="2">
        <f ca="1"/>
        <v>38.518174211933285</v>
      </c>
      <c r="AG7510" s="2">
        <f ca="1"/>
        <v>0.780151281652117</v>
      </c>
      <c r="AH7510" s="2" t="str">
        <f ca="1"/>
        <v>Bad</v>
      </c>
    </row>
    <row r="7511" spans="2:34" x14ac:dyDescent="0.2">
      <c r="B7511" s="2">
        <f ca="1"/>
        <v>0.98269713217015009</v>
      </c>
      <c r="O7511" s="2">
        <f ca="1"/>
        <v>0.56907276115252847</v>
      </c>
      <c r="X7511" s="2">
        <f ca="1"/>
        <v>45.773952118712259</v>
      </c>
      <c r="AG7511" s="2">
        <f ca="1"/>
        <v>0.64400998545469723</v>
      </c>
      <c r="AH7511" s="2" t="str">
        <f ca="1"/>
        <v>Bad</v>
      </c>
    </row>
    <row r="7512" spans="2:34" x14ac:dyDescent="0.2">
      <c r="B7512" s="2">
        <f ca="1"/>
        <v>0.11873832822555919</v>
      </c>
      <c r="O7512" s="2">
        <f ca="1"/>
        <v>0.11712594754779922</v>
      </c>
      <c r="X7512" s="2">
        <f ca="1"/>
        <v>44.423903734673914</v>
      </c>
      <c r="AG7512" s="2">
        <f ca="1"/>
        <v>0.71509872711969091</v>
      </c>
      <c r="AH7512" s="2" t="str">
        <f ca="1"/>
        <v>Bad</v>
      </c>
    </row>
    <row r="7513" spans="2:34" x14ac:dyDescent="0.2">
      <c r="B7513" s="2">
        <f ca="1"/>
        <v>0.84707760748696348</v>
      </c>
      <c r="O7513" s="2">
        <f ca="1"/>
        <v>0.62086391406891461</v>
      </c>
      <c r="X7513" s="2">
        <f ca="1"/>
        <v>48.186205735811996</v>
      </c>
      <c r="AG7513" s="2">
        <f ca="1"/>
        <v>0.65408715723739008</v>
      </c>
      <c r="AH7513" s="2" t="str">
        <f ca="1"/>
        <v>Bad</v>
      </c>
    </row>
    <row r="7514" spans="2:34" x14ac:dyDescent="0.2">
      <c r="B7514" s="2">
        <f ca="1"/>
        <v>0.5290693857129225</v>
      </c>
      <c r="O7514" s="2">
        <f ca="1"/>
        <v>1.0338584197603111</v>
      </c>
      <c r="X7514" s="2">
        <f ca="1"/>
        <v>44.981533340466228</v>
      </c>
      <c r="AG7514" s="2">
        <f ca="1"/>
        <v>0.76137214162439393</v>
      </c>
      <c r="AH7514" s="2" t="str">
        <f ca="1"/>
        <v>Bad</v>
      </c>
    </row>
    <row r="7515" spans="2:34" x14ac:dyDescent="0.2">
      <c r="B7515" s="2">
        <f ca="1"/>
        <v>0.49794359244861441</v>
      </c>
      <c r="O7515" s="2">
        <f ca="1"/>
        <v>-8.6495943482938157E-3</v>
      </c>
      <c r="X7515" s="2">
        <f ca="1"/>
        <v>69.498426590706003</v>
      </c>
      <c r="AG7515" s="2">
        <f ca="1"/>
        <v>0.87016918610821192</v>
      </c>
      <c r="AH7515" s="2" t="str">
        <f ca="1"/>
        <v>Bad</v>
      </c>
    </row>
    <row r="7516" spans="2:34" x14ac:dyDescent="0.2">
      <c r="B7516" s="2">
        <f ca="1"/>
        <v>0.63375419358360974</v>
      </c>
      <c r="O7516" s="2">
        <f ca="1"/>
        <v>-0.26245206157977563</v>
      </c>
      <c r="X7516" s="2">
        <f ca="1"/>
        <v>23.349513835795296</v>
      </c>
      <c r="AG7516" s="2">
        <f ca="1"/>
        <v>3.5287103362100058E-2</v>
      </c>
      <c r="AH7516" s="2" t="str">
        <f ca="1"/>
        <v>Good</v>
      </c>
    </row>
    <row r="7517" spans="2:34" x14ac:dyDescent="0.2">
      <c r="B7517" s="2">
        <f ca="1"/>
        <v>0.28084840582112003</v>
      </c>
      <c r="O7517" s="2">
        <f ca="1"/>
        <v>0.8680042220856744</v>
      </c>
      <c r="X7517" s="2">
        <f ca="1"/>
        <v>57.278536258883761</v>
      </c>
      <c r="AG7517" s="2">
        <f ca="1"/>
        <v>4.545185270537333E-2</v>
      </c>
      <c r="AH7517" s="2" t="str">
        <f ca="1"/>
        <v>Good</v>
      </c>
    </row>
    <row r="7518" spans="2:34" x14ac:dyDescent="0.2">
      <c r="B7518" s="2">
        <f ca="1"/>
        <v>7.4558052152838394E-2</v>
      </c>
      <c r="O7518" s="2">
        <f ca="1"/>
        <v>0.3827965817360397</v>
      </c>
      <c r="X7518" s="2">
        <f ca="1"/>
        <v>40.908885691193213</v>
      </c>
      <c r="AG7518" s="2">
        <f ca="1"/>
        <v>0.86274468798884851</v>
      </c>
      <c r="AH7518" s="2" t="str">
        <f ca="1"/>
        <v>Bad</v>
      </c>
    </row>
    <row r="7519" spans="2:34" x14ac:dyDescent="0.2">
      <c r="B7519" s="2">
        <f ca="1"/>
        <v>0.10715691491739032</v>
      </c>
      <c r="O7519" s="2">
        <f ca="1"/>
        <v>-0.18329305204477184</v>
      </c>
      <c r="X7519" s="2">
        <f ca="1"/>
        <v>57.530782391675146</v>
      </c>
      <c r="AG7519" s="2">
        <f ca="1"/>
        <v>0.40803742646084173</v>
      </c>
      <c r="AH7519" s="2" t="str">
        <f ca="1"/>
        <v>Bad</v>
      </c>
    </row>
    <row r="7520" spans="2:34" x14ac:dyDescent="0.2">
      <c r="B7520" s="2">
        <f ca="1"/>
        <v>9.4635410780805396E-2</v>
      </c>
      <c r="O7520" s="2">
        <f ca="1"/>
        <v>0.93030726291618226</v>
      </c>
      <c r="X7520" s="2">
        <f ca="1"/>
        <v>93.009189263081552</v>
      </c>
      <c r="AG7520" s="2">
        <f ca="1"/>
        <v>8.4581380672530182E-2</v>
      </c>
      <c r="AH7520" s="2" t="str">
        <f ca="1"/>
        <v>OK</v>
      </c>
    </row>
    <row r="7521" spans="2:34" x14ac:dyDescent="0.2">
      <c r="B7521" s="2">
        <f ca="1"/>
        <v>0.83211383379705794</v>
      </c>
      <c r="O7521" s="2">
        <f ca="1"/>
        <v>0.13038102282041361</v>
      </c>
      <c r="X7521" s="2">
        <f ca="1"/>
        <v>67.849468049969275</v>
      </c>
      <c r="AG7521" s="2">
        <f ca="1"/>
        <v>4.8970750526737605E-2</v>
      </c>
      <c r="AH7521" s="2" t="str">
        <f ca="1"/>
        <v>Good</v>
      </c>
    </row>
    <row r="7522" spans="2:34" x14ac:dyDescent="0.2">
      <c r="B7522" s="2">
        <f ca="1"/>
        <v>0.17511967321205857</v>
      </c>
      <c r="O7522" s="2">
        <f ca="1"/>
        <v>0.95157724540128463</v>
      </c>
      <c r="X7522" s="2">
        <f ca="1"/>
        <v>22.600337385494591</v>
      </c>
      <c r="AG7522" s="2">
        <f ca="1"/>
        <v>0.46232640709950812</v>
      </c>
      <c r="AH7522" s="2" t="str">
        <f ca="1"/>
        <v>Bad</v>
      </c>
    </row>
    <row r="7523" spans="2:34" x14ac:dyDescent="0.2">
      <c r="B7523" s="2">
        <f ca="1"/>
        <v>0.79308593877060507</v>
      </c>
      <c r="O7523" s="2">
        <f ca="1"/>
        <v>-0.86042290599317506</v>
      </c>
      <c r="X7523" s="2">
        <f ca="1"/>
        <v>65.004863063771566</v>
      </c>
      <c r="AG7523" s="2">
        <f ca="1"/>
        <v>0.5226592160635315</v>
      </c>
      <c r="AH7523" s="2" t="str">
        <f ca="1"/>
        <v>Bad</v>
      </c>
    </row>
    <row r="7524" spans="2:34" x14ac:dyDescent="0.2">
      <c r="B7524" s="2">
        <f ca="1"/>
        <v>0.36003099103615699</v>
      </c>
      <c r="O7524" s="2">
        <f ca="1"/>
        <v>1.011405138681275</v>
      </c>
      <c r="X7524" s="2">
        <f ca="1"/>
        <v>31.210831685152023</v>
      </c>
      <c r="AG7524" s="2">
        <f ca="1"/>
        <v>0.17529034159259593</v>
      </c>
      <c r="AH7524" s="2" t="str">
        <f ca="1"/>
        <v>OK</v>
      </c>
    </row>
    <row r="7525" spans="2:34" x14ac:dyDescent="0.2">
      <c r="B7525" s="2">
        <f ca="1"/>
        <v>0.9994299910896125</v>
      </c>
      <c r="O7525" s="2">
        <f ca="1"/>
        <v>-5.729037688684325E-3</v>
      </c>
      <c r="X7525" s="2">
        <f ca="1"/>
        <v>29.546998516189582</v>
      </c>
      <c r="AG7525" s="2">
        <f ca="1"/>
        <v>0.19092446083401038</v>
      </c>
      <c r="AH7525" s="2" t="str">
        <f ca="1"/>
        <v>OK</v>
      </c>
    </row>
    <row r="7526" spans="2:34" x14ac:dyDescent="0.2">
      <c r="B7526" s="2">
        <f ca="1"/>
        <v>0.89975815129076819</v>
      </c>
      <c r="O7526" s="2">
        <f ca="1"/>
        <v>-0.30860339980375406</v>
      </c>
      <c r="X7526" s="2">
        <f ca="1"/>
        <v>64.809257893977986</v>
      </c>
      <c r="AG7526" s="2">
        <f ca="1"/>
        <v>0.71054486861385335</v>
      </c>
      <c r="AH7526" s="2" t="str">
        <f ca="1"/>
        <v>Bad</v>
      </c>
    </row>
    <row r="7527" spans="2:34" x14ac:dyDescent="0.2">
      <c r="B7527" s="2">
        <f ca="1"/>
        <v>0.6537028506215361</v>
      </c>
      <c r="O7527" s="2">
        <f ca="1"/>
        <v>7.4642356643154564E-2</v>
      </c>
      <c r="X7527" s="2">
        <f ca="1"/>
        <v>58.431220161071394</v>
      </c>
      <c r="AG7527" s="2">
        <f ca="1"/>
        <v>0.37837094225252321</v>
      </c>
      <c r="AH7527" s="2" t="str">
        <f ca="1"/>
        <v>OK</v>
      </c>
    </row>
    <row r="7528" spans="2:34" x14ac:dyDescent="0.2">
      <c r="B7528" s="2">
        <f ca="1"/>
        <v>0.63502526863617281</v>
      </c>
      <c r="O7528" s="2">
        <f ca="1"/>
        <v>-0.69864537264726057</v>
      </c>
      <c r="X7528" s="2">
        <f ca="1"/>
        <v>65.113633293045226</v>
      </c>
      <c r="AG7528" s="2">
        <f ca="1"/>
        <v>0.25433710373348095</v>
      </c>
      <c r="AH7528" s="2" t="str">
        <f ca="1"/>
        <v>OK</v>
      </c>
    </row>
    <row r="7529" spans="2:34" x14ac:dyDescent="0.2">
      <c r="B7529" s="2">
        <f ca="1"/>
        <v>0.40175944775020556</v>
      </c>
      <c r="O7529" s="2">
        <f ca="1"/>
        <v>-0.84377810586606727</v>
      </c>
      <c r="X7529" s="2">
        <f ca="1"/>
        <v>64.39818788829092</v>
      </c>
      <c r="AG7529" s="2">
        <f ca="1"/>
        <v>0.39384186302759017</v>
      </c>
      <c r="AH7529" s="2" t="str">
        <f ca="1"/>
        <v>OK</v>
      </c>
    </row>
    <row r="7530" spans="2:34" x14ac:dyDescent="0.2">
      <c r="B7530" s="2">
        <f ca="1"/>
        <v>2.9805762792753931E-3</v>
      </c>
      <c r="O7530" s="2">
        <f ca="1"/>
        <v>-0.41585605362639416</v>
      </c>
      <c r="X7530" s="2">
        <f ca="1"/>
        <v>50.518958687544796</v>
      </c>
      <c r="AG7530" s="2">
        <f ca="1"/>
        <v>0.81211679844271512</v>
      </c>
      <c r="AH7530" s="2" t="str">
        <f ca="1"/>
        <v>Bad</v>
      </c>
    </row>
    <row r="7531" spans="2:34" x14ac:dyDescent="0.2">
      <c r="B7531" s="2">
        <f ca="1"/>
        <v>0.92096735691289222</v>
      </c>
      <c r="O7531" s="2">
        <f ca="1"/>
        <v>-0.5132938130787783</v>
      </c>
      <c r="X7531" s="2">
        <f ca="1"/>
        <v>55.978440350317513</v>
      </c>
      <c r="AG7531" s="2">
        <f ca="1"/>
        <v>0.4470851792406918</v>
      </c>
      <c r="AH7531" s="2" t="str">
        <f ca="1"/>
        <v>Bad</v>
      </c>
    </row>
    <row r="7532" spans="2:34" x14ac:dyDescent="0.2">
      <c r="B7532" s="2">
        <f ca="1"/>
        <v>0.85783584414325675</v>
      </c>
      <c r="O7532" s="2">
        <f ca="1"/>
        <v>0.18875554261487115</v>
      </c>
      <c r="X7532" s="2">
        <f ca="1"/>
        <v>31.06790437377013</v>
      </c>
      <c r="AG7532" s="2">
        <f ca="1"/>
        <v>0.72333933890781976</v>
      </c>
      <c r="AH7532" s="2" t="str">
        <f ca="1"/>
        <v>Bad</v>
      </c>
    </row>
    <row r="7533" spans="2:34" x14ac:dyDescent="0.2">
      <c r="B7533" s="2">
        <f ca="1"/>
        <v>0.10299598764009632</v>
      </c>
      <c r="O7533" s="2">
        <f ca="1"/>
        <v>-0.56808104271784765</v>
      </c>
      <c r="X7533" s="2">
        <f ca="1"/>
        <v>23.826068076971989</v>
      </c>
      <c r="AG7533" s="2">
        <f ca="1"/>
        <v>0.91665886506030314</v>
      </c>
      <c r="AH7533" s="2" t="str">
        <f ca="1"/>
        <v>Bad</v>
      </c>
    </row>
    <row r="7534" spans="2:34" x14ac:dyDescent="0.2">
      <c r="B7534" s="2">
        <f ca="1"/>
        <v>2.3440631466875583E-3</v>
      </c>
      <c r="O7534" s="2">
        <f ca="1"/>
        <v>-4.6686340121038901E-2</v>
      </c>
      <c r="X7534" s="2">
        <f ca="1"/>
        <v>34.046884684968873</v>
      </c>
      <c r="AG7534" s="2">
        <f ca="1"/>
        <v>0.76281518127198455</v>
      </c>
      <c r="AH7534" s="2" t="str">
        <f ca="1"/>
        <v>Bad</v>
      </c>
    </row>
    <row r="7535" spans="2:34" x14ac:dyDescent="0.2">
      <c r="B7535" s="2">
        <f ca="1"/>
        <v>0.6700118050851549</v>
      </c>
      <c r="O7535" s="2">
        <f ca="1"/>
        <v>0.25477378960417923</v>
      </c>
      <c r="X7535" s="2">
        <f ca="1"/>
        <v>29.28008711406552</v>
      </c>
      <c r="AG7535" s="2">
        <f ca="1"/>
        <v>0.34511601571415751</v>
      </c>
      <c r="AH7535" s="2" t="str">
        <f ca="1"/>
        <v>OK</v>
      </c>
    </row>
    <row r="7536" spans="2:34" x14ac:dyDescent="0.2">
      <c r="B7536" s="2">
        <f ca="1"/>
        <v>0.33863477146115661</v>
      </c>
      <c r="O7536" s="2">
        <f ca="1"/>
        <v>-0.62033455959823569</v>
      </c>
      <c r="X7536" s="2">
        <f ca="1"/>
        <v>60.592807620099407</v>
      </c>
      <c r="AG7536" s="2">
        <f ca="1"/>
        <v>0.20810172417203998</v>
      </c>
      <c r="AH7536" s="2" t="str">
        <f ca="1"/>
        <v>OK</v>
      </c>
    </row>
    <row r="7537" spans="2:34" x14ac:dyDescent="0.2">
      <c r="B7537" s="2">
        <f ca="1"/>
        <v>8.9840662213896527E-2</v>
      </c>
      <c r="O7537" s="2">
        <f ca="1"/>
        <v>1.2407404486548235</v>
      </c>
      <c r="X7537" s="2">
        <f ca="1"/>
        <v>49.748358410045519</v>
      </c>
      <c r="AG7537" s="2">
        <f ca="1"/>
        <v>0.99076052663477165</v>
      </c>
      <c r="AH7537" s="2" t="str">
        <f ca="1"/>
        <v>Bad</v>
      </c>
    </row>
    <row r="7538" spans="2:34" x14ac:dyDescent="0.2">
      <c r="B7538" s="2">
        <f ca="1"/>
        <v>0.2144364961980203</v>
      </c>
      <c r="O7538" s="2">
        <f ca="1"/>
        <v>-0.13852207997530985</v>
      </c>
      <c r="X7538" s="2">
        <f ca="1"/>
        <v>30.482325499968056</v>
      </c>
      <c r="AG7538" s="2">
        <f ca="1"/>
        <v>0.98337473782945017</v>
      </c>
      <c r="AH7538" s="2" t="str">
        <f ca="1"/>
        <v>Bad</v>
      </c>
    </row>
    <row r="7539" spans="2:34" x14ac:dyDescent="0.2">
      <c r="B7539" s="2">
        <f ca="1"/>
        <v>9.2003622637615301E-4</v>
      </c>
      <c r="O7539" s="2">
        <f ca="1"/>
        <v>-1.0398985594699066</v>
      </c>
      <c r="X7539" s="2">
        <f ca="1"/>
        <v>54.523346783711602</v>
      </c>
      <c r="AG7539" s="2">
        <f ca="1"/>
        <v>0.54279829782737221</v>
      </c>
      <c r="AH7539" s="2" t="str">
        <f ca="1"/>
        <v>Bad</v>
      </c>
    </row>
    <row r="7540" spans="2:34" x14ac:dyDescent="0.2">
      <c r="B7540" s="2">
        <f ca="1"/>
        <v>3.3155050828125088E-2</v>
      </c>
      <c r="O7540" s="2">
        <f ca="1"/>
        <v>1.2124556717176007</v>
      </c>
      <c r="X7540" s="2">
        <f ca="1"/>
        <v>41.587598946446406</v>
      </c>
      <c r="AG7540" s="2">
        <f ca="1"/>
        <v>0.30576827470282031</v>
      </c>
      <c r="AH7540" s="2" t="str">
        <f ca="1"/>
        <v>OK</v>
      </c>
    </row>
    <row r="7541" spans="2:34" x14ac:dyDescent="0.2">
      <c r="B7541" s="2">
        <f ca="1"/>
        <v>0.48265348805846475</v>
      </c>
      <c r="O7541" s="2">
        <f ca="1"/>
        <v>0.39104086916616093</v>
      </c>
      <c r="X7541" s="2">
        <f ca="1"/>
        <v>41.878368878753648</v>
      </c>
      <c r="AG7541" s="2">
        <f ca="1"/>
        <v>0.39451470719432336</v>
      </c>
      <c r="AH7541" s="2" t="str">
        <f ca="1"/>
        <v>OK</v>
      </c>
    </row>
    <row r="7542" spans="2:34" x14ac:dyDescent="0.2">
      <c r="B7542" s="2">
        <f ca="1"/>
        <v>0.42029922822326271</v>
      </c>
      <c r="O7542" s="2">
        <f ca="1"/>
        <v>0.69734093983981382</v>
      </c>
      <c r="X7542" s="2">
        <f ca="1"/>
        <v>40.397812638441252</v>
      </c>
      <c r="AG7542" s="2">
        <f ca="1"/>
        <v>0.11448820930572601</v>
      </c>
      <c r="AH7542" s="2" t="str">
        <f ca="1"/>
        <v>OK</v>
      </c>
    </row>
    <row r="7543" spans="2:34" x14ac:dyDescent="0.2">
      <c r="B7543" s="2">
        <f ca="1"/>
        <v>9.1240744146297015E-2</v>
      </c>
      <c r="O7543" s="2">
        <f ca="1"/>
        <v>-0.50763869159739539</v>
      </c>
      <c r="X7543" s="2">
        <f ca="1"/>
        <v>54.151186864511452</v>
      </c>
      <c r="AG7543" s="2">
        <f ca="1"/>
        <v>0.73138477722944351</v>
      </c>
      <c r="AH7543" s="2" t="str">
        <f ca="1"/>
        <v>Bad</v>
      </c>
    </row>
    <row r="7544" spans="2:34" x14ac:dyDescent="0.2">
      <c r="B7544" s="2">
        <f ca="1"/>
        <v>6.3216259662758567E-2</v>
      </c>
      <c r="O7544" s="2">
        <f ca="1"/>
        <v>-0.63955684211281472</v>
      </c>
      <c r="X7544" s="2">
        <f ca="1"/>
        <v>60.530271396686643</v>
      </c>
      <c r="AG7544" s="2">
        <f ca="1"/>
        <v>0.8239542640892572</v>
      </c>
      <c r="AH7544" s="2" t="str">
        <f ca="1"/>
        <v>Bad</v>
      </c>
    </row>
    <row r="7545" spans="2:34" x14ac:dyDescent="0.2">
      <c r="B7545" s="2">
        <f ca="1"/>
        <v>0.31620359017355604</v>
      </c>
      <c r="O7545" s="2">
        <f ca="1"/>
        <v>-0.21845711402621673</v>
      </c>
      <c r="X7545" s="2">
        <f ca="1"/>
        <v>28.803345611664088</v>
      </c>
      <c r="AG7545" s="2">
        <f ca="1"/>
        <v>0.77112405542510931</v>
      </c>
      <c r="AH7545" s="2" t="str">
        <f ca="1"/>
        <v>Bad</v>
      </c>
    </row>
    <row r="7546" spans="2:34" x14ac:dyDescent="0.2">
      <c r="B7546" s="2">
        <f ca="1"/>
        <v>0.60365200228801741</v>
      </c>
      <c r="O7546" s="2">
        <f ca="1"/>
        <v>-1.9351434853870866</v>
      </c>
      <c r="X7546" s="2">
        <f ca="1"/>
        <v>68.650337642429392</v>
      </c>
      <c r="AG7546" s="2">
        <f ca="1"/>
        <v>0.88809076885383087</v>
      </c>
      <c r="AH7546" s="2" t="str">
        <f ca="1"/>
        <v>Bad</v>
      </c>
    </row>
    <row r="7547" spans="2:34" x14ac:dyDescent="0.2">
      <c r="B7547" s="2">
        <f ca="1"/>
        <v>0.37681404644278715</v>
      </c>
      <c r="O7547" s="2">
        <f ca="1"/>
        <v>0.69932513555105136</v>
      </c>
      <c r="X7547" s="2">
        <f ca="1"/>
        <v>42.530974875003437</v>
      </c>
      <c r="AG7547" s="2">
        <f ca="1"/>
        <v>0.38250297007723666</v>
      </c>
      <c r="AH7547" s="2" t="str">
        <f ca="1"/>
        <v>OK</v>
      </c>
    </row>
    <row r="7548" spans="2:34" x14ac:dyDescent="0.2">
      <c r="B7548" s="2">
        <f ca="1"/>
        <v>9.8445366150377689E-2</v>
      </c>
      <c r="O7548" s="2">
        <f ca="1"/>
        <v>-0.24715809669992994</v>
      </c>
      <c r="X7548" s="2">
        <f ca="1"/>
        <v>34.946167878373096</v>
      </c>
      <c r="AG7548" s="2">
        <f ca="1"/>
        <v>0.93766692225396819</v>
      </c>
      <c r="AH7548" s="2" t="str">
        <f ca="1"/>
        <v>Bad</v>
      </c>
    </row>
    <row r="7549" spans="2:34" x14ac:dyDescent="0.2">
      <c r="B7549" s="2">
        <f ca="1"/>
        <v>0.35914699455240018</v>
      </c>
      <c r="O7549" s="2">
        <f ca="1"/>
        <v>0.47713522971484751</v>
      </c>
      <c r="X7549" s="2">
        <f ca="1"/>
        <v>52.842721613065052</v>
      </c>
      <c r="AG7549" s="2">
        <f ca="1"/>
        <v>0.5131482702427117</v>
      </c>
      <c r="AH7549" s="2" t="str">
        <f ca="1"/>
        <v>Bad</v>
      </c>
    </row>
    <row r="7550" spans="2:34" x14ac:dyDescent="0.2">
      <c r="B7550" s="2">
        <f ca="1"/>
        <v>0.80234024399824277</v>
      </c>
      <c r="O7550" s="2">
        <f ca="1"/>
        <v>0.31739266409761391</v>
      </c>
      <c r="X7550" s="2">
        <f ca="1"/>
        <v>47.004613560393274</v>
      </c>
      <c r="AG7550" s="2">
        <f ca="1"/>
        <v>0.4281446391286734</v>
      </c>
      <c r="AH7550" s="2" t="str">
        <f ca="1"/>
        <v>Bad</v>
      </c>
    </row>
    <row r="7551" spans="2:34" x14ac:dyDescent="0.2">
      <c r="B7551" s="2">
        <f ca="1"/>
        <v>0.96325305592722676</v>
      </c>
      <c r="O7551" s="2">
        <f ca="1"/>
        <v>-2.3068136523094429</v>
      </c>
      <c r="X7551" s="2">
        <f ca="1"/>
        <v>58.726006664147931</v>
      </c>
      <c r="AG7551" s="2">
        <f ca="1"/>
        <v>0.32564765678412289</v>
      </c>
      <c r="AH7551" s="2" t="str">
        <f ca="1"/>
        <v>OK</v>
      </c>
    </row>
    <row r="7552" spans="2:34" x14ac:dyDescent="0.2">
      <c r="B7552" s="2">
        <f ca="1"/>
        <v>0.94307086969070886</v>
      </c>
      <c r="O7552" s="2">
        <f ca="1"/>
        <v>1.5337424646882873</v>
      </c>
      <c r="X7552" s="2">
        <f ca="1"/>
        <v>49.367494010947667</v>
      </c>
      <c r="AG7552" s="2">
        <f ca="1"/>
        <v>0.14670370085945472</v>
      </c>
      <c r="AH7552" s="2" t="str">
        <f ca="1"/>
        <v>OK</v>
      </c>
    </row>
    <row r="7553" spans="2:34" x14ac:dyDescent="0.2">
      <c r="B7553" s="2">
        <f ca="1"/>
        <v>0.89190210044567753</v>
      </c>
      <c r="O7553" s="2">
        <f ca="1"/>
        <v>1.3046952068187827</v>
      </c>
      <c r="X7553" s="2">
        <f ca="1"/>
        <v>33.453438508214717</v>
      </c>
      <c r="AG7553" s="2">
        <f ca="1"/>
        <v>0.10223480007514962</v>
      </c>
      <c r="AH7553" s="2" t="str">
        <f ca="1"/>
        <v>OK</v>
      </c>
    </row>
    <row r="7554" spans="2:34" x14ac:dyDescent="0.2">
      <c r="B7554" s="2">
        <f ca="1"/>
        <v>0.51677059111483348</v>
      </c>
      <c r="O7554" s="2">
        <f ca="1"/>
        <v>0.58322830669912196</v>
      </c>
      <c r="X7554" s="2">
        <f ca="1"/>
        <v>86.731554951030148</v>
      </c>
      <c r="AG7554" s="2">
        <f ca="1"/>
        <v>0.43735351356304819</v>
      </c>
      <c r="AH7554" s="2" t="str">
        <f ca="1"/>
        <v>Bad</v>
      </c>
    </row>
    <row r="7555" spans="2:34" x14ac:dyDescent="0.2">
      <c r="B7555" s="2">
        <f ca="1"/>
        <v>0.64308524446967508</v>
      </c>
      <c r="O7555" s="2">
        <f ca="1"/>
        <v>-0.4227118481753423</v>
      </c>
      <c r="X7555" s="2">
        <f ca="1"/>
        <v>78.706231706530858</v>
      </c>
      <c r="AG7555" s="2">
        <f ca="1"/>
        <v>0.27260090442212981</v>
      </c>
      <c r="AH7555" s="2" t="str">
        <f ca="1"/>
        <v>OK</v>
      </c>
    </row>
    <row r="7556" spans="2:34" x14ac:dyDescent="0.2">
      <c r="B7556" s="2">
        <f ca="1"/>
        <v>0.78834563711770422</v>
      </c>
      <c r="O7556" s="2">
        <f ca="1"/>
        <v>-0.32140746918461038</v>
      </c>
      <c r="X7556" s="2">
        <f ca="1"/>
        <v>27.012589029606026</v>
      </c>
      <c r="AG7556" s="2">
        <f ca="1"/>
        <v>0.23186334634851513</v>
      </c>
      <c r="AH7556" s="2" t="str">
        <f ca="1"/>
        <v>OK</v>
      </c>
    </row>
    <row r="7557" spans="2:34" x14ac:dyDescent="0.2">
      <c r="B7557" s="2">
        <f ca="1"/>
        <v>0.42603679627825053</v>
      </c>
      <c r="O7557" s="2">
        <f ca="1"/>
        <v>0.55667937063697503</v>
      </c>
      <c r="X7557" s="2">
        <f ca="1"/>
        <v>31.120181978448574</v>
      </c>
      <c r="AG7557" s="2">
        <f ca="1"/>
        <v>0.71746698932908637</v>
      </c>
      <c r="AH7557" s="2" t="str">
        <f ca="1"/>
        <v>Bad</v>
      </c>
    </row>
    <row r="7558" spans="2:34" x14ac:dyDescent="0.2">
      <c r="B7558" s="2">
        <f ca="1"/>
        <v>0.76329833941788894</v>
      </c>
      <c r="O7558" s="2">
        <f ca="1"/>
        <v>-0.38275796828784175</v>
      </c>
      <c r="X7558" s="2">
        <f ca="1"/>
        <v>50.677832531507583</v>
      </c>
      <c r="AG7558" s="2">
        <f ca="1"/>
        <v>0.84624759219773371</v>
      </c>
      <c r="AH7558" s="2" t="str">
        <f ca="1"/>
        <v>Bad</v>
      </c>
    </row>
    <row r="7559" spans="2:34" x14ac:dyDescent="0.2">
      <c r="B7559" s="2">
        <f ca="1"/>
        <v>0.56529039775157508</v>
      </c>
      <c r="O7559" s="2">
        <f ca="1"/>
        <v>-3.0388617824517716</v>
      </c>
      <c r="X7559" s="2">
        <f ca="1"/>
        <v>67.925629140007558</v>
      </c>
      <c r="AG7559" s="2">
        <f ca="1"/>
        <v>0.70824523067771095</v>
      </c>
      <c r="AH7559" s="2" t="str">
        <f ca="1"/>
        <v>Bad</v>
      </c>
    </row>
    <row r="7560" spans="2:34" x14ac:dyDescent="0.2">
      <c r="B7560" s="2">
        <f ca="1"/>
        <v>0.29110112050133763</v>
      </c>
      <c r="O7560" s="2">
        <f ca="1"/>
        <v>-0.26916033758327512</v>
      </c>
      <c r="X7560" s="2">
        <f ca="1"/>
        <v>14.059145167231645</v>
      </c>
      <c r="AG7560" s="2">
        <f ca="1"/>
        <v>4.6272120336853462E-2</v>
      </c>
      <c r="AH7560" s="2" t="str">
        <f ca="1"/>
        <v>Good</v>
      </c>
    </row>
    <row r="7561" spans="2:34" x14ac:dyDescent="0.2">
      <c r="B7561" s="2">
        <f ca="1"/>
        <v>0.59387930147158041</v>
      </c>
      <c r="O7561" s="2">
        <f ca="1"/>
        <v>-1.0944372247592766</v>
      </c>
      <c r="X7561" s="2">
        <f ca="1"/>
        <v>61.942162582262917</v>
      </c>
      <c r="AG7561" s="2">
        <f ca="1"/>
        <v>0.37135235096782626</v>
      </c>
      <c r="AH7561" s="2" t="str">
        <f ca="1"/>
        <v>OK</v>
      </c>
    </row>
    <row r="7562" spans="2:34" x14ac:dyDescent="0.2">
      <c r="B7562" s="2">
        <f ca="1"/>
        <v>0.43648471430248015</v>
      </c>
      <c r="O7562" s="2">
        <f ca="1"/>
        <v>0.31271361517147328</v>
      </c>
      <c r="X7562" s="2">
        <f ca="1"/>
        <v>53.411676266029239</v>
      </c>
      <c r="AG7562" s="2">
        <f ca="1"/>
        <v>0.4893404796902272</v>
      </c>
      <c r="AH7562" s="2" t="str">
        <f ca="1"/>
        <v>Bad</v>
      </c>
    </row>
    <row r="7563" spans="2:34" x14ac:dyDescent="0.2">
      <c r="B7563" s="2">
        <f ca="1"/>
        <v>0.25002431265666303</v>
      </c>
      <c r="O7563" s="2">
        <f ca="1"/>
        <v>-0.68497105589782559</v>
      </c>
      <c r="X7563" s="2">
        <f ca="1"/>
        <v>50.451841502896492</v>
      </c>
      <c r="AG7563" s="2">
        <f ca="1"/>
        <v>0.44962987054032832</v>
      </c>
      <c r="AH7563" s="2" t="str">
        <f ca="1"/>
        <v>Bad</v>
      </c>
    </row>
    <row r="7564" spans="2:34" x14ac:dyDescent="0.2">
      <c r="B7564" s="2">
        <f ca="1"/>
        <v>0.89504896209298446</v>
      </c>
      <c r="O7564" s="2">
        <f ca="1"/>
        <v>0.38773318911702681</v>
      </c>
      <c r="X7564" s="2">
        <f ca="1"/>
        <v>51.200789453905429</v>
      </c>
      <c r="AG7564" s="2">
        <f ca="1"/>
        <v>0.82548650592982953</v>
      </c>
      <c r="AH7564" s="2" t="str">
        <f ca="1"/>
        <v>Bad</v>
      </c>
    </row>
    <row r="7565" spans="2:34" x14ac:dyDescent="0.2">
      <c r="B7565" s="2">
        <f ca="1"/>
        <v>0.18158061023249061</v>
      </c>
      <c r="O7565" s="2">
        <f ca="1"/>
        <v>-3.3196582530820015E-2</v>
      </c>
      <c r="X7565" s="2">
        <f ca="1"/>
        <v>69.512224806685936</v>
      </c>
      <c r="AG7565" s="2">
        <f ca="1"/>
        <v>0.14200810603229885</v>
      </c>
      <c r="AH7565" s="2" t="str">
        <f ca="1"/>
        <v>OK</v>
      </c>
    </row>
    <row r="7566" spans="2:34" x14ac:dyDescent="0.2">
      <c r="B7566" s="2">
        <f ca="1"/>
        <v>0.26977783709404624</v>
      </c>
      <c r="O7566" s="2">
        <f ca="1"/>
        <v>0.77373768586474723</v>
      </c>
      <c r="X7566" s="2">
        <f ca="1"/>
        <v>56.27529996431376</v>
      </c>
      <c r="AG7566" s="2">
        <f ca="1"/>
        <v>0.72559330705993696</v>
      </c>
      <c r="AH7566" s="2" t="str">
        <f ca="1"/>
        <v>Bad</v>
      </c>
    </row>
    <row r="7567" spans="2:34" x14ac:dyDescent="0.2">
      <c r="B7567" s="2">
        <f ca="1"/>
        <v>0.80033892341277424</v>
      </c>
      <c r="O7567" s="2">
        <f ca="1"/>
        <v>1.0612147492457784</v>
      </c>
      <c r="X7567" s="2">
        <f ca="1"/>
        <v>67.673221086056984</v>
      </c>
      <c r="AG7567" s="2">
        <f ca="1"/>
        <v>0.75605078769873235</v>
      </c>
      <c r="AH7567" s="2" t="str">
        <f ca="1"/>
        <v>Bad</v>
      </c>
    </row>
    <row r="7568" spans="2:34" x14ac:dyDescent="0.2">
      <c r="B7568" s="2">
        <f ca="1"/>
        <v>6.1255605541403302E-2</v>
      </c>
      <c r="O7568" s="2">
        <f ca="1"/>
        <v>-0.10046091930635467</v>
      </c>
      <c r="X7568" s="2">
        <f ca="1"/>
        <v>58.171469207539175</v>
      </c>
      <c r="AG7568" s="2">
        <f ca="1"/>
        <v>8.2038795447841872E-2</v>
      </c>
      <c r="AH7568" s="2" t="str">
        <f ca="1"/>
        <v>OK</v>
      </c>
    </row>
    <row r="7569" spans="2:34" x14ac:dyDescent="0.2">
      <c r="B7569" s="2">
        <f ca="1"/>
        <v>0.52841933804071495</v>
      </c>
      <c r="O7569" s="2">
        <f ca="1"/>
        <v>1.2156725874174581</v>
      </c>
      <c r="X7569" s="2">
        <f ca="1"/>
        <v>42.031732997463365</v>
      </c>
      <c r="AG7569" s="2">
        <f ca="1"/>
        <v>0.76655350082993823</v>
      </c>
      <c r="AH7569" s="2" t="str">
        <f ca="1"/>
        <v>Bad</v>
      </c>
    </row>
    <row r="7570" spans="2:34" x14ac:dyDescent="0.2">
      <c r="B7570" s="2">
        <f ca="1"/>
        <v>7.8492141127023851E-2</v>
      </c>
      <c r="O7570" s="2">
        <f ca="1"/>
        <v>-1.4759132547594302</v>
      </c>
      <c r="X7570" s="2">
        <f ca="1"/>
        <v>73.091559532379208</v>
      </c>
      <c r="AG7570" s="2">
        <f ca="1"/>
        <v>0.87354147527332882</v>
      </c>
      <c r="AH7570" s="2" t="str">
        <f ca="1"/>
        <v>Bad</v>
      </c>
    </row>
    <row r="7571" spans="2:34" x14ac:dyDescent="0.2">
      <c r="B7571" s="2">
        <f ca="1"/>
        <v>0.84805384785678739</v>
      </c>
      <c r="O7571" s="2">
        <f ca="1"/>
        <v>-8.4180624925942374E-2</v>
      </c>
      <c r="X7571" s="2">
        <f ca="1"/>
        <v>35.239783660474572</v>
      </c>
      <c r="AG7571" s="2">
        <f ca="1"/>
        <v>0.600808538862319</v>
      </c>
      <c r="AH7571" s="2" t="str">
        <f ca="1"/>
        <v>Bad</v>
      </c>
    </row>
    <row r="7572" spans="2:34" x14ac:dyDescent="0.2">
      <c r="B7572" s="2">
        <f ca="1"/>
        <v>0.10114808144112475</v>
      </c>
      <c r="O7572" s="2">
        <f ca="1"/>
        <v>-0.95534727559536148</v>
      </c>
      <c r="X7572" s="2">
        <f ca="1"/>
        <v>32.306261379965704</v>
      </c>
      <c r="AG7572" s="2">
        <f ca="1"/>
        <v>0.11211992683253547</v>
      </c>
      <c r="AH7572" s="2" t="str">
        <f ca="1"/>
        <v>OK</v>
      </c>
    </row>
    <row r="7573" spans="2:34" x14ac:dyDescent="0.2">
      <c r="B7573" s="2">
        <f ca="1"/>
        <v>0.83694493976613771</v>
      </c>
      <c r="O7573" s="2">
        <f ca="1"/>
        <v>2.0706290874460986</v>
      </c>
      <c r="X7573" s="2">
        <f ca="1"/>
        <v>74.915849114756725</v>
      </c>
      <c r="AG7573" s="2">
        <f ca="1"/>
        <v>0.68509286393026825</v>
      </c>
      <c r="AH7573" s="2" t="str">
        <f ca="1"/>
        <v>Bad</v>
      </c>
    </row>
    <row r="7574" spans="2:34" x14ac:dyDescent="0.2">
      <c r="B7574" s="2">
        <f ca="1"/>
        <v>0.98142660286406502</v>
      </c>
      <c r="O7574" s="2">
        <f ca="1"/>
        <v>-1.0444696954423947</v>
      </c>
      <c r="X7574" s="2">
        <f ca="1"/>
        <v>46.055634988538486</v>
      </c>
      <c r="AG7574" s="2">
        <f ca="1"/>
        <v>0.77593759077234981</v>
      </c>
      <c r="AH7574" s="2" t="str">
        <f ca="1"/>
        <v>Bad</v>
      </c>
    </row>
    <row r="7575" spans="2:34" x14ac:dyDescent="0.2">
      <c r="B7575" s="2">
        <f ca="1"/>
        <v>5.1862464674221398E-2</v>
      </c>
      <c r="O7575" s="2">
        <f ca="1"/>
        <v>0.16541984197807155</v>
      </c>
      <c r="X7575" s="2">
        <f ca="1"/>
        <v>27.732269974042254</v>
      </c>
      <c r="AG7575" s="2">
        <f ca="1"/>
        <v>1.0660624197982527E-2</v>
      </c>
      <c r="AH7575" s="2" t="str">
        <f ca="1"/>
        <v>Good</v>
      </c>
    </row>
    <row r="7576" spans="2:34" x14ac:dyDescent="0.2">
      <c r="B7576" s="2">
        <f ca="1"/>
        <v>0.24477520703444866</v>
      </c>
      <c r="O7576" s="2">
        <f ca="1"/>
        <v>-1.2372107973832558</v>
      </c>
      <c r="X7576" s="2">
        <f ca="1"/>
        <v>57.793604639381975</v>
      </c>
      <c r="AG7576" s="2">
        <f ca="1"/>
        <v>0.58477991721828571</v>
      </c>
      <c r="AH7576" s="2" t="str">
        <f ca="1"/>
        <v>Bad</v>
      </c>
    </row>
    <row r="7577" spans="2:34" x14ac:dyDescent="0.2">
      <c r="B7577" s="2">
        <f ca="1"/>
        <v>0.62861301157761207</v>
      </c>
      <c r="O7577" s="2">
        <f ca="1"/>
        <v>2.0376655591255126</v>
      </c>
      <c r="X7577" s="2">
        <f ca="1"/>
        <v>78.411654224188325</v>
      </c>
      <c r="AG7577" s="2">
        <f ca="1"/>
        <v>0.37714697987736945</v>
      </c>
      <c r="AH7577" s="2" t="str">
        <f ca="1"/>
        <v>OK</v>
      </c>
    </row>
    <row r="7578" spans="2:34" x14ac:dyDescent="0.2">
      <c r="B7578" s="2">
        <f ca="1"/>
        <v>4.0684769258316766E-3</v>
      </c>
      <c r="O7578" s="2">
        <f ca="1"/>
        <v>-1.3922654709421132</v>
      </c>
      <c r="X7578" s="2">
        <f ca="1"/>
        <v>86.607446085762035</v>
      </c>
      <c r="AG7578" s="2">
        <f ca="1"/>
        <v>0.49865866880954113</v>
      </c>
      <c r="AH7578" s="2" t="str">
        <f ca="1"/>
        <v>Bad</v>
      </c>
    </row>
    <row r="7579" spans="2:34" x14ac:dyDescent="0.2">
      <c r="B7579" s="2">
        <f ca="1"/>
        <v>0.83039089608135885</v>
      </c>
      <c r="O7579" s="2">
        <f ca="1"/>
        <v>-0.50815477899825789</v>
      </c>
      <c r="X7579" s="2">
        <f ca="1"/>
        <v>34.865250632524891</v>
      </c>
      <c r="AG7579" s="2">
        <f ca="1"/>
        <v>0.8713265708516631</v>
      </c>
      <c r="AH7579" s="2" t="str">
        <f ca="1"/>
        <v>Bad</v>
      </c>
    </row>
    <row r="7580" spans="2:34" x14ac:dyDescent="0.2">
      <c r="B7580" s="2">
        <f ca="1"/>
        <v>0.91635204123746572</v>
      </c>
      <c r="O7580" s="2">
        <f ca="1"/>
        <v>-0.46504518945320356</v>
      </c>
      <c r="X7580" s="2">
        <f ca="1"/>
        <v>31.310134727710231</v>
      </c>
      <c r="AG7580" s="2">
        <f ca="1"/>
        <v>0.6723375461915817</v>
      </c>
      <c r="AH7580" s="2" t="str">
        <f ca="1"/>
        <v>Bad</v>
      </c>
    </row>
    <row r="7581" spans="2:34" x14ac:dyDescent="0.2">
      <c r="B7581" s="2">
        <f ca="1"/>
        <v>0.14471212794726607</v>
      </c>
      <c r="O7581" s="2">
        <f ca="1"/>
        <v>-0.19179024966061797</v>
      </c>
      <c r="X7581" s="2">
        <f ca="1"/>
        <v>53.310953779332344</v>
      </c>
      <c r="AG7581" s="2">
        <f ca="1"/>
        <v>0.10300085647931034</v>
      </c>
      <c r="AH7581" s="2" t="str">
        <f ca="1"/>
        <v>OK</v>
      </c>
    </row>
    <row r="7582" spans="2:34" x14ac:dyDescent="0.2">
      <c r="B7582" s="2">
        <f ca="1"/>
        <v>0.11972285654626336</v>
      </c>
      <c r="O7582" s="2">
        <f ca="1"/>
        <v>1.5598856551298979</v>
      </c>
      <c r="X7582" s="2">
        <f ca="1"/>
        <v>58.58854074730661</v>
      </c>
      <c r="AG7582" s="2">
        <f ca="1"/>
        <v>0.7310155798559288</v>
      </c>
      <c r="AH7582" s="2" t="str">
        <f ca="1"/>
        <v>Bad</v>
      </c>
    </row>
    <row r="7583" spans="2:34" x14ac:dyDescent="0.2">
      <c r="B7583" s="2">
        <f ca="1"/>
        <v>0.42157883434045362</v>
      </c>
      <c r="O7583" s="2">
        <f ca="1"/>
        <v>-1.3962228902718865</v>
      </c>
      <c r="X7583" s="2">
        <f ca="1"/>
        <v>17.650388732124689</v>
      </c>
      <c r="AG7583" s="2">
        <f ca="1"/>
        <v>0.43674175657161984</v>
      </c>
      <c r="AH7583" s="2" t="str">
        <f ca="1"/>
        <v>Bad</v>
      </c>
    </row>
    <row r="7584" spans="2:34" x14ac:dyDescent="0.2">
      <c r="B7584" s="2">
        <f ca="1"/>
        <v>0.75129236354225304</v>
      </c>
      <c r="O7584" s="2">
        <f ca="1"/>
        <v>-0.3663403222481233</v>
      </c>
      <c r="X7584" s="2">
        <f ca="1"/>
        <v>43.054751288548402</v>
      </c>
      <c r="AG7584" s="2">
        <f ca="1"/>
        <v>0.22284222909316664</v>
      </c>
      <c r="AH7584" s="2" t="str">
        <f ca="1"/>
        <v>OK</v>
      </c>
    </row>
    <row r="7585" spans="2:34" x14ac:dyDescent="0.2">
      <c r="B7585" s="2">
        <f ca="1"/>
        <v>0.77027761765022773</v>
      </c>
      <c r="O7585" s="2">
        <f ca="1"/>
        <v>1.3808058753126464</v>
      </c>
      <c r="X7585" s="2">
        <f ca="1"/>
        <v>50.302467308951258</v>
      </c>
      <c r="AG7585" s="2">
        <f ca="1"/>
        <v>0.16223650284478852</v>
      </c>
      <c r="AH7585" s="2" t="str">
        <f ca="1"/>
        <v>OK</v>
      </c>
    </row>
    <row r="7586" spans="2:34" x14ac:dyDescent="0.2">
      <c r="B7586" s="2">
        <f ca="1"/>
        <v>0.70664560535565024</v>
      </c>
      <c r="O7586" s="2">
        <f ca="1"/>
        <v>0.71866571784182565</v>
      </c>
      <c r="X7586" s="2">
        <f ca="1"/>
        <v>63.958323555580165</v>
      </c>
      <c r="AG7586" s="2">
        <f ca="1"/>
        <v>0.12358302296125445</v>
      </c>
      <c r="AH7586" s="2" t="str">
        <f ca="1"/>
        <v>OK</v>
      </c>
    </row>
    <row r="7587" spans="2:34" x14ac:dyDescent="0.2">
      <c r="B7587" s="2">
        <f ca="1"/>
        <v>0.31420462908631785</v>
      </c>
      <c r="O7587" s="2">
        <f ca="1"/>
        <v>-1.2234962795107223</v>
      </c>
      <c r="X7587" s="2">
        <f ca="1"/>
        <v>19.252722833124206</v>
      </c>
      <c r="AG7587" s="2">
        <f ca="1"/>
        <v>0.90036684353142249</v>
      </c>
      <c r="AH7587" s="2" t="str">
        <f ca="1"/>
        <v>Bad</v>
      </c>
    </row>
    <row r="7588" spans="2:34" x14ac:dyDescent="0.2">
      <c r="B7588" s="2">
        <f ca="1"/>
        <v>0.95638034204592914</v>
      </c>
      <c r="O7588" s="2">
        <f ca="1"/>
        <v>0.96801827093646664</v>
      </c>
      <c r="X7588" s="2">
        <f ca="1"/>
        <v>77.85676875516576</v>
      </c>
      <c r="AG7588" s="2">
        <f ca="1"/>
        <v>0.89877018671021669</v>
      </c>
      <c r="AH7588" s="2" t="str">
        <f ca="1"/>
        <v>Bad</v>
      </c>
    </row>
    <row r="7589" spans="2:34" x14ac:dyDescent="0.2">
      <c r="B7589" s="2">
        <f ca="1"/>
        <v>0.50044364354672899</v>
      </c>
      <c r="O7589" s="2">
        <f ca="1"/>
        <v>-5.2567504278131054E-2</v>
      </c>
      <c r="X7589" s="2">
        <f ca="1"/>
        <v>36.325403208589677</v>
      </c>
      <c r="AG7589" s="2">
        <f ca="1"/>
        <v>0.95405065112383847</v>
      </c>
      <c r="AH7589" s="2" t="str">
        <f ca="1"/>
        <v>Bad</v>
      </c>
    </row>
    <row r="7590" spans="2:34" x14ac:dyDescent="0.2">
      <c r="B7590" s="2">
        <f ca="1"/>
        <v>0.47542979653929085</v>
      </c>
      <c r="O7590" s="2">
        <f ca="1"/>
        <v>0.84825357029835458</v>
      </c>
      <c r="X7590" s="2">
        <f ca="1"/>
        <v>31.982960826069906</v>
      </c>
      <c r="AG7590" s="2">
        <f ca="1"/>
        <v>0.5092784098404004</v>
      </c>
      <c r="AH7590" s="2" t="str">
        <f ca="1"/>
        <v>Bad</v>
      </c>
    </row>
    <row r="7591" spans="2:34" x14ac:dyDescent="0.2">
      <c r="B7591" s="2">
        <f ca="1"/>
        <v>0.29699378476831839</v>
      </c>
      <c r="O7591" s="2">
        <f ca="1"/>
        <v>-1.2304967639972484</v>
      </c>
      <c r="X7591" s="2">
        <f ca="1"/>
        <v>53.493408570179369</v>
      </c>
      <c r="AG7591" s="2">
        <f ca="1"/>
        <v>0.47539401442085016</v>
      </c>
      <c r="AH7591" s="2" t="str">
        <f ca="1"/>
        <v>Bad</v>
      </c>
    </row>
    <row r="7592" spans="2:34" x14ac:dyDescent="0.2">
      <c r="B7592" s="2">
        <f ca="1"/>
        <v>0.92192620609806131</v>
      </c>
      <c r="O7592" s="2">
        <f ca="1"/>
        <v>0.95483102969573341</v>
      </c>
      <c r="X7592" s="2">
        <f ca="1"/>
        <v>43.775244933169375</v>
      </c>
      <c r="AG7592" s="2">
        <f ca="1"/>
        <v>0.1002588602945842</v>
      </c>
      <c r="AH7592" s="2" t="str">
        <f ca="1"/>
        <v>OK</v>
      </c>
    </row>
    <row r="7593" spans="2:34" x14ac:dyDescent="0.2">
      <c r="B7593" s="2">
        <f ca="1"/>
        <v>0.17545141752594851</v>
      </c>
      <c r="O7593" s="2">
        <f ca="1"/>
        <v>-0.51186791458365299</v>
      </c>
      <c r="X7593" s="2">
        <f ca="1"/>
        <v>68.845710661400233</v>
      </c>
      <c r="AG7593" s="2">
        <f ca="1"/>
        <v>0.69884846406678913</v>
      </c>
      <c r="AH7593" s="2" t="str">
        <f ca="1"/>
        <v>Bad</v>
      </c>
    </row>
    <row r="7594" spans="2:34" x14ac:dyDescent="0.2">
      <c r="B7594" s="2">
        <f ca="1"/>
        <v>0.65702532613478315</v>
      </c>
      <c r="O7594" s="2">
        <f ca="1"/>
        <v>-0.76985553096102033</v>
      </c>
      <c r="X7594" s="2">
        <f ca="1"/>
        <v>53.850157469566383</v>
      </c>
      <c r="AG7594" s="2">
        <f ca="1"/>
        <v>0.87860468642116407</v>
      </c>
      <c r="AH7594" s="2" t="str">
        <f ca="1"/>
        <v>Bad</v>
      </c>
    </row>
    <row r="7595" spans="2:34" x14ac:dyDescent="0.2">
      <c r="B7595" s="2">
        <f ca="1"/>
        <v>0.56158062809828602</v>
      </c>
      <c r="O7595" s="2">
        <f ca="1"/>
        <v>-0.40160950581745775</v>
      </c>
      <c r="X7595" s="2">
        <f ca="1"/>
        <v>41.313839107708134</v>
      </c>
      <c r="AG7595" s="2">
        <f ca="1"/>
        <v>0.44070438288648917</v>
      </c>
      <c r="AH7595" s="2" t="str">
        <f ca="1"/>
        <v>Bad</v>
      </c>
    </row>
    <row r="7596" spans="2:34" x14ac:dyDescent="0.2">
      <c r="B7596" s="2">
        <f ca="1"/>
        <v>0.7781436312539709</v>
      </c>
      <c r="O7596" s="2">
        <f ca="1"/>
        <v>0.76793012041834785</v>
      </c>
      <c r="X7596" s="2">
        <f ca="1"/>
        <v>75.212964003935681</v>
      </c>
      <c r="AG7596" s="2">
        <f ca="1"/>
        <v>0.32758364924217509</v>
      </c>
      <c r="AH7596" s="2" t="str">
        <f ca="1"/>
        <v>OK</v>
      </c>
    </row>
    <row r="7597" spans="2:34" x14ac:dyDescent="0.2">
      <c r="B7597" s="2">
        <f ca="1"/>
        <v>0.57101934097196994</v>
      </c>
      <c r="O7597" s="2">
        <f ca="1"/>
        <v>-0.17208364440690119</v>
      </c>
      <c r="X7597" s="2">
        <f ca="1"/>
        <v>54.873570908207242</v>
      </c>
      <c r="AG7597" s="2">
        <f ca="1"/>
        <v>0.40493083613222547</v>
      </c>
      <c r="AH7597" s="2" t="str">
        <f ca="1"/>
        <v>Bad</v>
      </c>
    </row>
    <row r="7598" spans="2:34" x14ac:dyDescent="0.2">
      <c r="B7598" s="2">
        <f ca="1"/>
        <v>0.20889013793557476</v>
      </c>
      <c r="O7598" s="2">
        <f ca="1"/>
        <v>0.27897877681130173</v>
      </c>
      <c r="X7598" s="2">
        <f ca="1"/>
        <v>72.91576228585339</v>
      </c>
      <c r="AG7598" s="2">
        <f ca="1"/>
        <v>6.5339521898474917E-2</v>
      </c>
      <c r="AH7598" s="2" t="str">
        <f ca="1"/>
        <v>OK</v>
      </c>
    </row>
    <row r="7599" spans="2:34" x14ac:dyDescent="0.2">
      <c r="B7599" s="2">
        <f ca="1"/>
        <v>0.37414814468425961</v>
      </c>
      <c r="O7599" s="2">
        <f ca="1"/>
        <v>3.6931150770934847E-2</v>
      </c>
      <c r="X7599" s="2">
        <f ca="1"/>
        <v>44.276081846135824</v>
      </c>
      <c r="AG7599" s="2">
        <f ca="1"/>
        <v>0.9259318094121145</v>
      </c>
      <c r="AH7599" s="2" t="str">
        <f ca="1"/>
        <v>Bad</v>
      </c>
    </row>
    <row r="7600" spans="2:34" x14ac:dyDescent="0.2">
      <c r="B7600" s="2">
        <f ca="1"/>
        <v>0.24903149293013072</v>
      </c>
      <c r="O7600" s="2">
        <f ca="1"/>
        <v>-1.1090334379239073</v>
      </c>
      <c r="X7600" s="2">
        <f ca="1"/>
        <v>51.270914031346621</v>
      </c>
      <c r="AG7600" s="2">
        <f ca="1"/>
        <v>0.9328970537801784</v>
      </c>
      <c r="AH7600" s="2" t="str">
        <f ca="1"/>
        <v>Bad</v>
      </c>
    </row>
    <row r="7601" spans="2:34" x14ac:dyDescent="0.2">
      <c r="B7601" s="2">
        <f ca="1"/>
        <v>0.20860496079432278</v>
      </c>
      <c r="O7601" s="2">
        <f ca="1"/>
        <v>0.22549025378661833</v>
      </c>
      <c r="X7601" s="2">
        <f ca="1"/>
        <v>44.360708271234934</v>
      </c>
      <c r="AG7601" s="2">
        <f ca="1"/>
        <v>8.3272765450625563E-2</v>
      </c>
      <c r="AH7601" s="2" t="str">
        <f ca="1"/>
        <v>OK</v>
      </c>
    </row>
    <row r="7602" spans="2:34" x14ac:dyDescent="0.2">
      <c r="B7602" s="2">
        <f ca="1"/>
        <v>0.11568648162957706</v>
      </c>
      <c r="O7602" s="2">
        <f ca="1"/>
        <v>-0.10643875502792195</v>
      </c>
      <c r="X7602" s="2">
        <f ca="1"/>
        <v>37.486743507711346</v>
      </c>
      <c r="AG7602" s="2">
        <f ca="1"/>
        <v>0.62145166433300836</v>
      </c>
      <c r="AH7602" s="2" t="str">
        <f ca="1"/>
        <v>Bad</v>
      </c>
    </row>
    <row r="7603" spans="2:34" x14ac:dyDescent="0.2">
      <c r="B7603" s="2">
        <f ca="1"/>
        <v>0.62129225697931245</v>
      </c>
      <c r="O7603" s="2">
        <f ca="1"/>
        <v>0.11578312875059753</v>
      </c>
      <c r="X7603" s="2">
        <f ca="1"/>
        <v>35.043959920739354</v>
      </c>
      <c r="AG7603" s="2">
        <f ca="1"/>
        <v>0.85235791178122899</v>
      </c>
      <c r="AH7603" s="2" t="str">
        <f ca="1"/>
        <v>Bad</v>
      </c>
    </row>
    <row r="7604" spans="2:34" x14ac:dyDescent="0.2">
      <c r="B7604" s="2">
        <f ca="1"/>
        <v>0.80857223444313009</v>
      </c>
      <c r="O7604" s="2">
        <f ca="1"/>
        <v>8.6642533655342316E-2</v>
      </c>
      <c r="X7604" s="2">
        <f ca="1"/>
        <v>46.078309930923282</v>
      </c>
      <c r="AG7604" s="2">
        <f ca="1"/>
        <v>0.83897626372163203</v>
      </c>
      <c r="AH7604" s="2" t="str">
        <f ca="1"/>
        <v>Bad</v>
      </c>
    </row>
    <row r="7605" spans="2:34" x14ac:dyDescent="0.2">
      <c r="B7605" s="2">
        <f ca="1"/>
        <v>0.84863473138388756</v>
      </c>
      <c r="O7605" s="2">
        <f ca="1"/>
        <v>-1.1231643810536909</v>
      </c>
      <c r="X7605" s="2">
        <f ca="1"/>
        <v>55.590842405236245</v>
      </c>
      <c r="AG7605" s="2">
        <f ca="1"/>
        <v>0.2089479580168736</v>
      </c>
      <c r="AH7605" s="2" t="str">
        <f ca="1"/>
        <v>OK</v>
      </c>
    </row>
    <row r="7606" spans="2:34" x14ac:dyDescent="0.2">
      <c r="B7606" s="2">
        <f ca="1"/>
        <v>0.67479284866694211</v>
      </c>
      <c r="O7606" s="2">
        <f ca="1"/>
        <v>2.1412223381058668</v>
      </c>
      <c r="X7606" s="2">
        <f ca="1"/>
        <v>74.781071857494126</v>
      </c>
      <c r="AG7606" s="2">
        <f ca="1"/>
        <v>0.72636097990239712</v>
      </c>
      <c r="AH7606" s="2" t="str">
        <f ca="1"/>
        <v>Bad</v>
      </c>
    </row>
    <row r="7607" spans="2:34" x14ac:dyDescent="0.2">
      <c r="B7607" s="2">
        <f ca="1"/>
        <v>0.27231943154888483</v>
      </c>
      <c r="O7607" s="2">
        <f ca="1"/>
        <v>0.59674660849824213</v>
      </c>
      <c r="X7607" s="2">
        <f ca="1"/>
        <v>36.11760692385468</v>
      </c>
      <c r="AG7607" s="2">
        <f ca="1"/>
        <v>0.78549114293313327</v>
      </c>
      <c r="AH7607" s="2" t="str">
        <f ca="1"/>
        <v>Bad</v>
      </c>
    </row>
    <row r="7608" spans="2:34" x14ac:dyDescent="0.2">
      <c r="B7608" s="2">
        <f ca="1"/>
        <v>0.19994645898821695</v>
      </c>
      <c r="O7608" s="2">
        <f ca="1"/>
        <v>0.47916588357566475</v>
      </c>
      <c r="X7608" s="2">
        <f ca="1"/>
        <v>58.050354025732183</v>
      </c>
      <c r="AG7608" s="2">
        <f ca="1"/>
        <v>0.37825800398923581</v>
      </c>
      <c r="AH7608" s="2" t="str">
        <f ca="1"/>
        <v>OK</v>
      </c>
    </row>
    <row r="7609" spans="2:34" x14ac:dyDescent="0.2">
      <c r="B7609" s="2">
        <f ca="1"/>
        <v>0.68456618494125165</v>
      </c>
      <c r="O7609" s="2">
        <f ca="1"/>
        <v>0.21565665353571239</v>
      </c>
      <c r="X7609" s="2">
        <f ca="1"/>
        <v>57.126062952933069</v>
      </c>
      <c r="AG7609" s="2">
        <f ca="1"/>
        <v>0.94158903754230194</v>
      </c>
      <c r="AH7609" s="2" t="str">
        <f ca="1"/>
        <v>Bad</v>
      </c>
    </row>
    <row r="7610" spans="2:34" x14ac:dyDescent="0.2">
      <c r="B7610" s="2">
        <f ca="1"/>
        <v>0.46056254831769383</v>
      </c>
      <c r="O7610" s="2">
        <f ca="1"/>
        <v>-0.6132471682914824</v>
      </c>
      <c r="X7610" s="2">
        <f ca="1"/>
        <v>54.140404751953639</v>
      </c>
      <c r="AG7610" s="2">
        <f ca="1"/>
        <v>0.63764233272614912</v>
      </c>
      <c r="AH7610" s="2" t="str">
        <f ca="1"/>
        <v>Bad</v>
      </c>
    </row>
    <row r="7611" spans="2:34" x14ac:dyDescent="0.2">
      <c r="B7611" s="2">
        <f ca="1"/>
        <v>0.88289952183450082</v>
      </c>
      <c r="O7611" s="2">
        <f ca="1"/>
        <v>-1.5260917819530726</v>
      </c>
      <c r="X7611" s="2">
        <f ca="1"/>
        <v>83.856482027474044</v>
      </c>
      <c r="AG7611" s="2">
        <f ca="1"/>
        <v>1.4614545637526177E-2</v>
      </c>
      <c r="AH7611" s="2" t="str">
        <f ca="1"/>
        <v>Good</v>
      </c>
    </row>
    <row r="7612" spans="2:34" x14ac:dyDescent="0.2">
      <c r="B7612" s="2">
        <f ca="1"/>
        <v>0.34525980224570207</v>
      </c>
      <c r="O7612" s="2">
        <f ca="1"/>
        <v>-1.0940845645712078</v>
      </c>
      <c r="X7612" s="2">
        <f ca="1"/>
        <v>52.606157439277027</v>
      </c>
      <c r="AG7612" s="2">
        <f ca="1"/>
        <v>0.39874339782437218</v>
      </c>
      <c r="AH7612" s="2" t="str">
        <f ca="1"/>
        <v>OK</v>
      </c>
    </row>
    <row r="7613" spans="2:34" x14ac:dyDescent="0.2">
      <c r="B7613" s="2">
        <f ca="1"/>
        <v>0.84421889837445629</v>
      </c>
      <c r="O7613" s="2">
        <f ca="1"/>
        <v>-0.76873544559673712</v>
      </c>
      <c r="X7613" s="2">
        <f ca="1"/>
        <v>70.929090816587845</v>
      </c>
      <c r="AG7613" s="2">
        <f ca="1"/>
        <v>0.54508015135123844</v>
      </c>
      <c r="AH7613" s="2" t="str">
        <f ca="1"/>
        <v>Bad</v>
      </c>
    </row>
    <row r="7614" spans="2:34" x14ac:dyDescent="0.2">
      <c r="B7614" s="2">
        <f ca="1"/>
        <v>0.89667049581762615</v>
      </c>
      <c r="O7614" s="2">
        <f ca="1"/>
        <v>-0.31374871426812245</v>
      </c>
      <c r="X7614" s="2">
        <f ca="1"/>
        <v>55.429261294688303</v>
      </c>
      <c r="AG7614" s="2">
        <f ca="1"/>
        <v>0.50944046306294499</v>
      </c>
      <c r="AH7614" s="2" t="str">
        <f ca="1"/>
        <v>Bad</v>
      </c>
    </row>
    <row r="7615" spans="2:34" x14ac:dyDescent="0.2">
      <c r="B7615" s="2">
        <f ca="1"/>
        <v>0.42640201614035722</v>
      </c>
      <c r="O7615" s="2">
        <f ca="1"/>
        <v>-2.8701200997352135E-2</v>
      </c>
      <c r="X7615" s="2">
        <f ca="1"/>
        <v>40.50463861450379</v>
      </c>
      <c r="AG7615" s="2">
        <f ca="1"/>
        <v>0.72411237257984484</v>
      </c>
      <c r="AH7615" s="2" t="str">
        <f ca="1"/>
        <v>Bad</v>
      </c>
    </row>
    <row r="7616" spans="2:34" x14ac:dyDescent="0.2">
      <c r="B7616" s="2">
        <f ca="1"/>
        <v>0.79627070690088608</v>
      </c>
      <c r="O7616" s="2">
        <f ca="1"/>
        <v>-0.37037543892382568</v>
      </c>
      <c r="X7616" s="2">
        <f ca="1"/>
        <v>46.930499862396019</v>
      </c>
      <c r="AG7616" s="2">
        <f ca="1"/>
        <v>0.17695285998662591</v>
      </c>
      <c r="AH7616" s="2" t="str">
        <f ca="1"/>
        <v>OK</v>
      </c>
    </row>
    <row r="7617" spans="2:34" x14ac:dyDescent="0.2">
      <c r="B7617" s="2">
        <f ca="1"/>
        <v>0.90808296678258893</v>
      </c>
      <c r="O7617" s="2">
        <f ca="1"/>
        <v>0.68680732857890037</v>
      </c>
      <c r="X7617" s="2">
        <f ca="1"/>
        <v>35.727280090369916</v>
      </c>
      <c r="AG7617" s="2">
        <f ca="1"/>
        <v>0.69977396271190906</v>
      </c>
      <c r="AH7617" s="2" t="str">
        <f ca="1"/>
        <v>Bad</v>
      </c>
    </row>
    <row r="7618" spans="2:34" x14ac:dyDescent="0.2">
      <c r="B7618" s="2">
        <f ca="1"/>
        <v>0.27749549098236415</v>
      </c>
      <c r="O7618" s="2">
        <f ca="1"/>
        <v>-1.4269675858931179</v>
      </c>
      <c r="X7618" s="2">
        <f ca="1"/>
        <v>45.120228152646654</v>
      </c>
      <c r="AG7618" s="2">
        <f ca="1"/>
        <v>0.49821872489175223</v>
      </c>
      <c r="AH7618" s="2" t="str">
        <f ca="1"/>
        <v>Bad</v>
      </c>
    </row>
    <row r="7619" spans="2:34" x14ac:dyDescent="0.2">
      <c r="B7619" s="2">
        <f ca="1"/>
        <v>0.61618161958617779</v>
      </c>
      <c r="O7619" s="2">
        <f ca="1"/>
        <v>-1.3792853444810687</v>
      </c>
      <c r="X7619" s="2">
        <f ca="1"/>
        <v>54.858482058451223</v>
      </c>
      <c r="AG7619" s="2">
        <f ca="1"/>
        <v>0.18874222545758657</v>
      </c>
      <c r="AH7619" s="2" t="str">
        <f ca="1"/>
        <v>OK</v>
      </c>
    </row>
    <row r="7620" spans="2:34" x14ac:dyDescent="0.2">
      <c r="B7620" s="2">
        <f ca="1"/>
        <v>0.70135456791979323</v>
      </c>
      <c r="O7620" s="2">
        <f ca="1"/>
        <v>0.38214660537013961</v>
      </c>
      <c r="X7620" s="2">
        <f ca="1"/>
        <v>59.720804746722258</v>
      </c>
      <c r="AG7620" s="2">
        <f ca="1"/>
        <v>0.99247034539557566</v>
      </c>
      <c r="AH7620" s="2" t="str">
        <f ca="1"/>
        <v>Bad</v>
      </c>
    </row>
    <row r="7621" spans="2:34" x14ac:dyDescent="0.2">
      <c r="B7621" s="2">
        <f ca="1"/>
        <v>0.332941031934056</v>
      </c>
      <c r="O7621" s="2">
        <f ca="1"/>
        <v>-0.2407894316041656</v>
      </c>
      <c r="X7621" s="2">
        <f ca="1"/>
        <v>54.211011072501456</v>
      </c>
      <c r="AG7621" s="2">
        <f ca="1"/>
        <v>0.24684473396501172</v>
      </c>
      <c r="AH7621" s="2" t="str">
        <f ca="1"/>
        <v>OK</v>
      </c>
    </row>
    <row r="7622" spans="2:34" x14ac:dyDescent="0.2">
      <c r="B7622" s="2">
        <f ca="1"/>
        <v>2.3891748499670573E-2</v>
      </c>
      <c r="O7622" s="2">
        <f ca="1"/>
        <v>-0.16722173019079686</v>
      </c>
      <c r="X7622" s="2">
        <f ca="1"/>
        <v>24.12551890793377</v>
      </c>
      <c r="AG7622" s="2">
        <f ca="1"/>
        <v>4.8652799382853829E-2</v>
      </c>
      <c r="AH7622" s="2" t="str">
        <f ca="1"/>
        <v>Good</v>
      </c>
    </row>
    <row r="7623" spans="2:34" x14ac:dyDescent="0.2">
      <c r="B7623" s="2">
        <f ca="1"/>
        <v>0.45198510421683014</v>
      </c>
      <c r="O7623" s="2">
        <f ca="1"/>
        <v>-0.10807831403504545</v>
      </c>
      <c r="X7623" s="2">
        <f ca="1"/>
        <v>25.493455575849076</v>
      </c>
      <c r="AG7623" s="2">
        <f ca="1"/>
        <v>0.25192964631427439</v>
      </c>
      <c r="AH7623" s="2" t="str">
        <f ca="1"/>
        <v>OK</v>
      </c>
    </row>
    <row r="7624" spans="2:34" x14ac:dyDescent="0.2">
      <c r="B7624" s="2">
        <f ca="1"/>
        <v>0.89917522337558209</v>
      </c>
      <c r="O7624" s="2">
        <f ca="1"/>
        <v>0.93877158405665584</v>
      </c>
      <c r="X7624" s="2">
        <f ca="1"/>
        <v>48.473148624515858</v>
      </c>
      <c r="AG7624" s="2">
        <f ca="1"/>
        <v>0.22267104057623999</v>
      </c>
      <c r="AH7624" s="2" t="str">
        <f ca="1"/>
        <v>OK</v>
      </c>
    </row>
    <row r="7625" spans="2:34" x14ac:dyDescent="0.2">
      <c r="B7625" s="2">
        <f ca="1"/>
        <v>0.46142672637468873</v>
      </c>
      <c r="O7625" s="2">
        <f ca="1"/>
        <v>-4.6009160087223368E-2</v>
      </c>
      <c r="X7625" s="2">
        <f ca="1"/>
        <v>29.359736485750012</v>
      </c>
      <c r="AG7625" s="2">
        <f ca="1"/>
        <v>0.32871132699387484</v>
      </c>
      <c r="AH7625" s="2" t="str">
        <f ca="1"/>
        <v>OK</v>
      </c>
    </row>
    <row r="7626" spans="2:34" x14ac:dyDescent="0.2">
      <c r="B7626" s="2">
        <f ca="1"/>
        <v>0.70466270427773048</v>
      </c>
      <c r="O7626" s="2">
        <f ca="1"/>
        <v>-1.2244636346549322</v>
      </c>
      <c r="X7626" s="2">
        <f ca="1"/>
        <v>65.71034596314027</v>
      </c>
      <c r="AG7626" s="2">
        <f ca="1"/>
        <v>8.512964540842427E-2</v>
      </c>
      <c r="AH7626" s="2" t="str">
        <f ca="1"/>
        <v>OK</v>
      </c>
    </row>
    <row r="7627" spans="2:34" x14ac:dyDescent="0.2">
      <c r="B7627" s="2">
        <f ca="1"/>
        <v>0.50420370711937235</v>
      </c>
      <c r="O7627" s="2">
        <f ca="1"/>
        <v>0.55735531963421181</v>
      </c>
      <c r="X7627" s="2">
        <f ca="1"/>
        <v>43.209922565505948</v>
      </c>
      <c r="AG7627" s="2">
        <f ca="1"/>
        <v>0.96483071258746778</v>
      </c>
      <c r="AH7627" s="2" t="str">
        <f ca="1"/>
        <v>Bad</v>
      </c>
    </row>
    <row r="7628" spans="2:34" x14ac:dyDescent="0.2">
      <c r="B7628" s="2">
        <f ca="1"/>
        <v>5.1952042299654444E-2</v>
      </c>
      <c r="O7628" s="2">
        <f ca="1"/>
        <v>-0.77515506903321563</v>
      </c>
      <c r="X7628" s="2">
        <f ca="1"/>
        <v>36.980943966125622</v>
      </c>
      <c r="AG7628" s="2">
        <f ca="1"/>
        <v>0.9860750450103124</v>
      </c>
      <c r="AH7628" s="2" t="str">
        <f ca="1"/>
        <v>Bad</v>
      </c>
    </row>
    <row r="7629" spans="2:34" x14ac:dyDescent="0.2">
      <c r="B7629" s="2">
        <f ca="1"/>
        <v>0.18380390998699392</v>
      </c>
      <c r="O7629" s="2">
        <f ca="1"/>
        <v>1.0013385682963052</v>
      </c>
      <c r="X7629" s="2">
        <f ca="1"/>
        <v>43.012948794334974</v>
      </c>
      <c r="AG7629" s="2">
        <f ca="1"/>
        <v>0.97784737484675999</v>
      </c>
      <c r="AH7629" s="2" t="str">
        <f ca="1"/>
        <v>Bad</v>
      </c>
    </row>
    <row r="7630" spans="2:34" x14ac:dyDescent="0.2">
      <c r="B7630" s="2">
        <f ca="1"/>
        <v>0.81967431989851947</v>
      </c>
      <c r="O7630" s="2">
        <f ca="1"/>
        <v>-0.32183189624343639</v>
      </c>
      <c r="X7630" s="2">
        <f ca="1"/>
        <v>68.645934327087986</v>
      </c>
      <c r="AG7630" s="2">
        <f ca="1"/>
        <v>0.84001038466705968</v>
      </c>
      <c r="AH7630" s="2" t="str">
        <f ca="1"/>
        <v>Bad</v>
      </c>
    </row>
    <row r="7631" spans="2:34" x14ac:dyDescent="0.2">
      <c r="B7631" s="2">
        <f ca="1"/>
        <v>0.29485918659279298</v>
      </c>
      <c r="O7631" s="2">
        <f ca="1"/>
        <v>-0.8097338905805983</v>
      </c>
      <c r="X7631" s="2">
        <f ca="1"/>
        <v>59.396764243503164</v>
      </c>
      <c r="AG7631" s="2">
        <f ca="1"/>
        <v>0.7506672695032035</v>
      </c>
      <c r="AH7631" s="2" t="str">
        <f ca="1"/>
        <v>Bad</v>
      </c>
    </row>
    <row r="7632" spans="2:34" x14ac:dyDescent="0.2">
      <c r="B7632" s="2">
        <f ca="1"/>
        <v>0.26410104758266861</v>
      </c>
      <c r="O7632" s="2">
        <f ca="1"/>
        <v>0.34256550814424419</v>
      </c>
      <c r="X7632" s="2">
        <f ca="1"/>
        <v>44.849754773682932</v>
      </c>
      <c r="AG7632" s="2">
        <f ca="1"/>
        <v>0.71359066235155733</v>
      </c>
      <c r="AH7632" s="2" t="str">
        <f ca="1"/>
        <v>Bad</v>
      </c>
    </row>
    <row r="7633" spans="2:34" x14ac:dyDescent="0.2">
      <c r="B7633" s="2">
        <f ca="1"/>
        <v>0.18631240077926714</v>
      </c>
      <c r="O7633" s="2">
        <f ca="1"/>
        <v>-0.87562724685521887</v>
      </c>
      <c r="X7633" s="2">
        <f ca="1"/>
        <v>41.65644125902805</v>
      </c>
      <c r="AG7633" s="2">
        <f ca="1"/>
        <v>2.7996409168382641E-3</v>
      </c>
      <c r="AH7633" s="2" t="str">
        <f ca="1"/>
        <v>Good</v>
      </c>
    </row>
    <row r="7634" spans="2:34" x14ac:dyDescent="0.2">
      <c r="B7634" s="2">
        <f ca="1"/>
        <v>0.61276297055416817</v>
      </c>
      <c r="O7634" s="2">
        <f ca="1"/>
        <v>-1.0663487021586799</v>
      </c>
      <c r="X7634" s="2">
        <f ca="1"/>
        <v>41.003347042876428</v>
      </c>
      <c r="AG7634" s="2">
        <f ca="1"/>
        <v>0.64214971936252541</v>
      </c>
      <c r="AH7634" s="2" t="str">
        <f ca="1"/>
        <v>Bad</v>
      </c>
    </row>
    <row r="7635" spans="2:34" x14ac:dyDescent="0.2">
      <c r="B7635" s="2">
        <f ca="1"/>
        <v>0.27100799396486508</v>
      </c>
      <c r="O7635" s="2">
        <f ca="1"/>
        <v>-0.1091860363067504</v>
      </c>
      <c r="X7635" s="2">
        <f ca="1"/>
        <v>89.653613137358988</v>
      </c>
      <c r="AG7635" s="2">
        <f ca="1"/>
        <v>0.23469696015196573</v>
      </c>
      <c r="AH7635" s="2" t="str">
        <f ca="1"/>
        <v>OK</v>
      </c>
    </row>
    <row r="7636" spans="2:34" x14ac:dyDescent="0.2">
      <c r="B7636" s="2">
        <f ca="1"/>
        <v>0.24503896139328529</v>
      </c>
      <c r="O7636" s="2">
        <f ca="1"/>
        <v>0.32349887084051721</v>
      </c>
      <c r="X7636" s="2">
        <f ca="1"/>
        <v>29.158583969951486</v>
      </c>
      <c r="AG7636" s="2">
        <f ca="1"/>
        <v>0.86056231936722782</v>
      </c>
      <c r="AH7636" s="2" t="str">
        <f ca="1"/>
        <v>Bad</v>
      </c>
    </row>
    <row r="7637" spans="2:34" x14ac:dyDescent="0.2">
      <c r="B7637" s="2">
        <f ca="1"/>
        <v>0.41415311123784737</v>
      </c>
      <c r="O7637" s="2">
        <f ca="1"/>
        <v>0.19550256809394825</v>
      </c>
      <c r="X7637" s="2">
        <f ca="1"/>
        <v>56.664712908450682</v>
      </c>
      <c r="AG7637" s="2">
        <f ca="1"/>
        <v>0.51765899570973151</v>
      </c>
      <c r="AH7637" s="2" t="str">
        <f ca="1"/>
        <v>Bad</v>
      </c>
    </row>
    <row r="7638" spans="2:34" x14ac:dyDescent="0.2">
      <c r="B7638" s="2">
        <f ca="1"/>
        <v>2.7327367259768032E-2</v>
      </c>
      <c r="O7638" s="2">
        <f ca="1"/>
        <v>-2.7357961266202362</v>
      </c>
      <c r="X7638" s="2">
        <f ca="1"/>
        <v>100.87750488445153</v>
      </c>
      <c r="AG7638" s="2">
        <f ca="1"/>
        <v>0.79629253176379833</v>
      </c>
      <c r="AH7638" s="2" t="str">
        <f ca="1"/>
        <v>Bad</v>
      </c>
    </row>
    <row r="7639" spans="2:34" x14ac:dyDescent="0.2">
      <c r="B7639" s="2">
        <f ca="1"/>
        <v>0.95093192768239354</v>
      </c>
      <c r="O7639" s="2">
        <f ca="1"/>
        <v>-1.974636765733395</v>
      </c>
      <c r="X7639" s="2">
        <f ca="1"/>
        <v>58.898079738996344</v>
      </c>
      <c r="AG7639" s="2">
        <f ca="1"/>
        <v>0.3082820278255054</v>
      </c>
      <c r="AH7639" s="2" t="str">
        <f ca="1"/>
        <v>OK</v>
      </c>
    </row>
    <row r="7640" spans="2:34" x14ac:dyDescent="0.2">
      <c r="B7640" s="2">
        <f ca="1"/>
        <v>0.86823394337995086</v>
      </c>
      <c r="O7640" s="2">
        <f ca="1"/>
        <v>0.74655079303269911</v>
      </c>
      <c r="X7640" s="2">
        <f ca="1"/>
        <v>48.205649348065222</v>
      </c>
      <c r="AG7640" s="2">
        <f ca="1"/>
        <v>0.694639348271052</v>
      </c>
      <c r="AH7640" s="2" t="str">
        <f ca="1"/>
        <v>Bad</v>
      </c>
    </row>
    <row r="7641" spans="2:34" x14ac:dyDescent="0.2">
      <c r="B7641" s="2">
        <f ca="1"/>
        <v>0.39198287056623515</v>
      </c>
      <c r="O7641" s="2">
        <f ca="1"/>
        <v>-0.26532215179201868</v>
      </c>
      <c r="X7641" s="2">
        <f ca="1"/>
        <v>64.062229392754958</v>
      </c>
      <c r="AG7641" s="2">
        <f ca="1"/>
        <v>0.84970209140497821</v>
      </c>
      <c r="AH7641" s="2" t="str">
        <f ca="1"/>
        <v>Bad</v>
      </c>
    </row>
    <row r="7642" spans="2:34" x14ac:dyDescent="0.2">
      <c r="B7642" s="2">
        <f ca="1"/>
        <v>0.57518396391081628</v>
      </c>
      <c r="O7642" s="2">
        <f ca="1"/>
        <v>0.33677668508390818</v>
      </c>
      <c r="X7642" s="2">
        <f ca="1"/>
        <v>42.652030369609449</v>
      </c>
      <c r="AG7642" s="2">
        <f ca="1"/>
        <v>0.23586753487504719</v>
      </c>
      <c r="AH7642" s="2" t="str">
        <f ca="1"/>
        <v>OK</v>
      </c>
    </row>
    <row r="7643" spans="2:34" x14ac:dyDescent="0.2">
      <c r="B7643" s="2">
        <f ca="1"/>
        <v>0.66982364628635538</v>
      </c>
      <c r="O7643" s="2">
        <f ca="1"/>
        <v>-0.21666424310039281</v>
      </c>
      <c r="X7643" s="2">
        <f ca="1"/>
        <v>64.245351410275134</v>
      </c>
      <c r="AG7643" s="2">
        <f ca="1"/>
        <v>6.0421973474368951E-2</v>
      </c>
      <c r="AH7643" s="2" t="str">
        <f ca="1"/>
        <v>OK</v>
      </c>
    </row>
    <row r="7644" spans="2:34" x14ac:dyDescent="0.2">
      <c r="B7644" s="2">
        <f ca="1"/>
        <v>0.65464316294667335</v>
      </c>
      <c r="O7644" s="2">
        <f ca="1"/>
        <v>-0.39338984888543577</v>
      </c>
      <c r="X7644" s="2">
        <f ca="1"/>
        <v>40.854486811433233</v>
      </c>
      <c r="AG7644" s="2">
        <f ca="1"/>
        <v>0.66528179581952407</v>
      </c>
      <c r="AH7644" s="2" t="str">
        <f ca="1"/>
        <v>Bad</v>
      </c>
    </row>
    <row r="7645" spans="2:34" x14ac:dyDescent="0.2">
      <c r="B7645" s="2">
        <f ca="1"/>
        <v>0.37304286551262567</v>
      </c>
      <c r="O7645" s="2">
        <f ca="1"/>
        <v>2.0600810652066013</v>
      </c>
      <c r="X7645" s="2">
        <f ca="1"/>
        <v>32.524873624105865</v>
      </c>
      <c r="AG7645" s="2">
        <f ca="1"/>
        <v>0.45469182036663391</v>
      </c>
      <c r="AH7645" s="2" t="str">
        <f ca="1"/>
        <v>Bad</v>
      </c>
    </row>
    <row r="7646" spans="2:34" x14ac:dyDescent="0.2">
      <c r="B7646" s="2">
        <f ca="1"/>
        <v>0.72154692926715991</v>
      </c>
      <c r="O7646" s="2">
        <f ca="1"/>
        <v>0.24873921894802731</v>
      </c>
      <c r="X7646" s="2">
        <f ca="1"/>
        <v>50.69621245970233</v>
      </c>
      <c r="AG7646" s="2">
        <f ca="1"/>
        <v>0.43133113776221466</v>
      </c>
      <c r="AH7646" s="2" t="str">
        <f ca="1"/>
        <v>Bad</v>
      </c>
    </row>
    <row r="7647" spans="2:34" x14ac:dyDescent="0.2">
      <c r="B7647" s="2">
        <f ca="1"/>
        <v>0.92910479031347148</v>
      </c>
      <c r="O7647" s="2">
        <f ca="1"/>
        <v>-0.68665226522451472</v>
      </c>
      <c r="X7647" s="2">
        <f ca="1"/>
        <v>56.186860447077144</v>
      </c>
      <c r="AG7647" s="2">
        <f ca="1"/>
        <v>0.2520109523110412</v>
      </c>
      <c r="AH7647" s="2" t="str">
        <f ca="1"/>
        <v>OK</v>
      </c>
    </row>
    <row r="7648" spans="2:34" x14ac:dyDescent="0.2">
      <c r="B7648" s="2">
        <f ca="1"/>
        <v>0.50963250498364832</v>
      </c>
      <c r="O7648" s="2">
        <f ca="1"/>
        <v>0.45633285382487976</v>
      </c>
      <c r="X7648" s="2">
        <f ca="1"/>
        <v>43.55180960908676</v>
      </c>
      <c r="AG7648" s="2">
        <f ca="1"/>
        <v>0.3832000154312234</v>
      </c>
      <c r="AH7648" s="2" t="str">
        <f ca="1"/>
        <v>OK</v>
      </c>
    </row>
    <row r="7649" spans="2:34" x14ac:dyDescent="0.2">
      <c r="B7649" s="2">
        <f ca="1"/>
        <v>0.7482534818184563</v>
      </c>
      <c r="O7649" s="2">
        <f ca="1"/>
        <v>1.9440484904785587</v>
      </c>
      <c r="X7649" s="2">
        <f ca="1"/>
        <v>74.245135989361231</v>
      </c>
      <c r="AG7649" s="2">
        <f ca="1"/>
        <v>0.82856252618992832</v>
      </c>
      <c r="AH7649" s="2" t="str">
        <f ca="1"/>
        <v>Bad</v>
      </c>
    </row>
    <row r="7650" spans="2:34" x14ac:dyDescent="0.2">
      <c r="B7650" s="2">
        <f ca="1"/>
        <v>0.94751002889279001</v>
      </c>
      <c r="O7650" s="2">
        <f ca="1"/>
        <v>5.4299150344727425E-2</v>
      </c>
      <c r="X7650" s="2">
        <f ca="1"/>
        <v>44.880217498368175</v>
      </c>
      <c r="AG7650" s="2">
        <f ca="1"/>
        <v>0.29629805249814667</v>
      </c>
      <c r="AH7650" s="2" t="str">
        <f ca="1"/>
        <v>OK</v>
      </c>
    </row>
    <row r="7651" spans="2:34" x14ac:dyDescent="0.2">
      <c r="B7651" s="2">
        <f ca="1"/>
        <v>0.2132024182243264</v>
      </c>
      <c r="O7651" s="2">
        <f ca="1"/>
        <v>1.0299892529376646</v>
      </c>
      <c r="X7651" s="2">
        <f ca="1"/>
        <v>55.061996598016172</v>
      </c>
      <c r="AG7651" s="2">
        <f ca="1"/>
        <v>0.16234570866524578</v>
      </c>
      <c r="AH7651" s="2" t="str">
        <f ca="1"/>
        <v>OK</v>
      </c>
    </row>
    <row r="7652" spans="2:34" x14ac:dyDescent="0.2">
      <c r="B7652" s="2">
        <f ca="1"/>
        <v>0.89602484502617918</v>
      </c>
      <c r="O7652" s="2">
        <f ca="1"/>
        <v>0.24257121680804544</v>
      </c>
      <c r="X7652" s="2">
        <f ca="1"/>
        <v>61.879928962267016</v>
      </c>
      <c r="AG7652" s="2">
        <f ca="1"/>
        <v>0.71115504759596959</v>
      </c>
      <c r="AH7652" s="2" t="str">
        <f ca="1"/>
        <v>Bad</v>
      </c>
    </row>
    <row r="7653" spans="2:34" x14ac:dyDescent="0.2">
      <c r="B7653" s="2">
        <f ca="1"/>
        <v>0.67081155341348442</v>
      </c>
      <c r="O7653" s="2">
        <f ca="1"/>
        <v>1.262094795697718</v>
      </c>
      <c r="X7653" s="2">
        <f ca="1"/>
        <v>58.220568013775221</v>
      </c>
      <c r="AG7653" s="2">
        <f ca="1"/>
        <v>0.11833905999354455</v>
      </c>
      <c r="AH7653" s="2" t="str">
        <f ca="1"/>
        <v>OK</v>
      </c>
    </row>
    <row r="7654" spans="2:34" x14ac:dyDescent="0.2">
      <c r="B7654" s="2">
        <f ca="1"/>
        <v>0.42423274752256601</v>
      </c>
      <c r="O7654" s="2">
        <f ca="1"/>
        <v>-0.12075420294960627</v>
      </c>
      <c r="X7654" s="2">
        <f ca="1"/>
        <v>66.890188973228433</v>
      </c>
      <c r="AG7654" s="2">
        <f ca="1"/>
        <v>0.14422478742108025</v>
      </c>
      <c r="AH7654" s="2" t="str">
        <f ca="1"/>
        <v>OK</v>
      </c>
    </row>
    <row r="7655" spans="2:34" x14ac:dyDescent="0.2">
      <c r="B7655" s="2">
        <f ca="1"/>
        <v>0.88604868128163194</v>
      </c>
      <c r="O7655" s="2">
        <f ca="1"/>
        <v>-0.85708085996110506</v>
      </c>
      <c r="X7655" s="2">
        <f ca="1"/>
        <v>61.196155908541868</v>
      </c>
      <c r="AG7655" s="2">
        <f ca="1"/>
        <v>0.32706320897006069</v>
      </c>
      <c r="AH7655" s="2" t="str">
        <f ca="1"/>
        <v>OK</v>
      </c>
    </row>
    <row r="7656" spans="2:34" x14ac:dyDescent="0.2">
      <c r="B7656" s="2">
        <f ca="1"/>
        <v>0.8900602914441611</v>
      </c>
      <c r="O7656" s="2">
        <f ca="1"/>
        <v>-0.65948756118698415</v>
      </c>
      <c r="X7656" s="2">
        <f ca="1"/>
        <v>37.81309703197379</v>
      </c>
      <c r="AG7656" s="2">
        <f ca="1"/>
        <v>0.23324215767857126</v>
      </c>
      <c r="AH7656" s="2" t="str">
        <f ca="1"/>
        <v>OK</v>
      </c>
    </row>
    <row r="7657" spans="2:34" x14ac:dyDescent="0.2">
      <c r="B7657" s="2">
        <f ca="1"/>
        <v>0.79620540415744112</v>
      </c>
      <c r="O7657" s="2">
        <f ca="1"/>
        <v>-1.3047414480627104</v>
      </c>
      <c r="X7657" s="2">
        <f ca="1"/>
        <v>47.967802068605195</v>
      </c>
      <c r="AG7657" s="2">
        <f ca="1"/>
        <v>0.11207412300948549</v>
      </c>
      <c r="AH7657" s="2" t="str">
        <f ca="1"/>
        <v>OK</v>
      </c>
    </row>
    <row r="7658" spans="2:34" x14ac:dyDescent="0.2">
      <c r="B7658" s="2">
        <f ca="1"/>
        <v>0.96099017646880136</v>
      </c>
      <c r="O7658" s="2">
        <f ca="1"/>
        <v>-1.1509134544093711</v>
      </c>
      <c r="X7658" s="2">
        <f ca="1"/>
        <v>62.184556301886282</v>
      </c>
      <c r="AG7658" s="2">
        <f ca="1"/>
        <v>0.44325946687206397</v>
      </c>
      <c r="AH7658" s="2" t="str">
        <f ca="1"/>
        <v>Bad</v>
      </c>
    </row>
    <row r="7659" spans="2:34" x14ac:dyDescent="0.2">
      <c r="B7659" s="2">
        <f ca="1"/>
        <v>0.93223338932903466</v>
      </c>
      <c r="O7659" s="2">
        <f ca="1"/>
        <v>0.55874870959017808</v>
      </c>
      <c r="X7659" s="2">
        <f ca="1"/>
        <v>65.900945947243471</v>
      </c>
      <c r="AG7659" s="2">
        <f ca="1"/>
        <v>0.7488944472010326</v>
      </c>
      <c r="AH7659" s="2" t="str">
        <f ca="1"/>
        <v>Bad</v>
      </c>
    </row>
    <row r="7660" spans="2:34" x14ac:dyDescent="0.2">
      <c r="B7660" s="2">
        <f ca="1"/>
        <v>0.59349322270912341</v>
      </c>
      <c r="O7660" s="2">
        <f ca="1"/>
        <v>-0.36599368999960152</v>
      </c>
      <c r="X7660" s="2">
        <f ca="1"/>
        <v>42.151116591433933</v>
      </c>
      <c r="AG7660" s="2">
        <f ca="1"/>
        <v>0.81139273097948172</v>
      </c>
      <c r="AH7660" s="2" t="str">
        <f ca="1"/>
        <v>Bad</v>
      </c>
    </row>
    <row r="7661" spans="2:34" x14ac:dyDescent="0.2">
      <c r="B7661" s="2">
        <f ca="1"/>
        <v>0.15226559280588492</v>
      </c>
      <c r="O7661" s="2">
        <f ca="1"/>
        <v>0.17697626797514032</v>
      </c>
      <c r="X7661" s="2">
        <f ca="1"/>
        <v>58.11354581987441</v>
      </c>
      <c r="AG7661" s="2">
        <f ca="1"/>
        <v>0.93969490029780989</v>
      </c>
      <c r="AH7661" s="2" t="str">
        <f ca="1"/>
        <v>Bad</v>
      </c>
    </row>
    <row r="7662" spans="2:34" x14ac:dyDescent="0.2">
      <c r="B7662" s="2">
        <f ca="1"/>
        <v>0.15190013959121695</v>
      </c>
      <c r="O7662" s="2">
        <f ca="1"/>
        <v>0.11854061004453363</v>
      </c>
      <c r="X7662" s="2">
        <f ca="1"/>
        <v>50.639693077921955</v>
      </c>
      <c r="AG7662" s="2">
        <f ca="1"/>
        <v>0.33836149367099733</v>
      </c>
      <c r="AH7662" s="2" t="str">
        <f ca="1"/>
        <v>OK</v>
      </c>
    </row>
    <row r="7663" spans="2:34" x14ac:dyDescent="0.2">
      <c r="B7663" s="2">
        <f ca="1"/>
        <v>0.30984736824206838</v>
      </c>
      <c r="O7663" s="2">
        <f ca="1"/>
        <v>0.4047622589935983</v>
      </c>
      <c r="X7663" s="2">
        <f ca="1"/>
        <v>43.792476330630961</v>
      </c>
      <c r="AG7663" s="2">
        <f ca="1"/>
        <v>0.45568163775221748</v>
      </c>
      <c r="AH7663" s="2" t="str">
        <f ca="1"/>
        <v>Bad</v>
      </c>
    </row>
    <row r="7664" spans="2:34" x14ac:dyDescent="0.2">
      <c r="B7664" s="2">
        <f ca="1"/>
        <v>4.0450456476279983E-2</v>
      </c>
      <c r="O7664" s="2">
        <f ca="1"/>
        <v>0.811634311767223</v>
      </c>
      <c r="X7664" s="2">
        <f ca="1"/>
        <v>61.111165694647127</v>
      </c>
      <c r="AG7664" s="2">
        <f ca="1"/>
        <v>0.23152503157515358</v>
      </c>
      <c r="AH7664" s="2" t="str">
        <f ca="1"/>
        <v>OK</v>
      </c>
    </row>
    <row r="7665" spans="2:34" x14ac:dyDescent="0.2">
      <c r="B7665" s="2">
        <f ca="1"/>
        <v>0.83242890239478773</v>
      </c>
      <c r="O7665" s="2">
        <f ca="1"/>
        <v>-1.2192173189934239</v>
      </c>
      <c r="X7665" s="2">
        <f ca="1"/>
        <v>22.432367193636779</v>
      </c>
      <c r="AG7665" s="2">
        <f ca="1"/>
        <v>0.11379146572232846</v>
      </c>
      <c r="AH7665" s="2" t="str">
        <f ca="1"/>
        <v>OK</v>
      </c>
    </row>
    <row r="7666" spans="2:34" x14ac:dyDescent="0.2">
      <c r="B7666" s="2">
        <f ca="1"/>
        <v>0.51541252839490337</v>
      </c>
      <c r="O7666" s="2">
        <f ca="1"/>
        <v>-0.33348297067987315</v>
      </c>
      <c r="X7666" s="2">
        <f ca="1"/>
        <v>51.239789683947393</v>
      </c>
      <c r="AG7666" s="2">
        <f ca="1"/>
        <v>0.43736187329117016</v>
      </c>
      <c r="AH7666" s="2" t="str">
        <f ca="1"/>
        <v>Bad</v>
      </c>
    </row>
    <row r="7667" spans="2:34" x14ac:dyDescent="0.2">
      <c r="B7667" s="2">
        <f ca="1"/>
        <v>0.74864060284993772</v>
      </c>
      <c r="O7667" s="2">
        <f ca="1"/>
        <v>-2.3096204754922654E-3</v>
      </c>
      <c r="X7667" s="2">
        <f ca="1"/>
        <v>31.061788033964973</v>
      </c>
      <c r="AG7667" s="2">
        <f ca="1"/>
        <v>0.8154814972157316</v>
      </c>
      <c r="AH7667" s="2" t="str">
        <f ca="1"/>
        <v>Bad</v>
      </c>
    </row>
    <row r="7668" spans="2:34" x14ac:dyDescent="0.2">
      <c r="B7668" s="2">
        <f ca="1"/>
        <v>0.53353309707054009</v>
      </c>
      <c r="O7668" s="2">
        <f ca="1"/>
        <v>-0.34074088184346302</v>
      </c>
      <c r="X7668" s="2">
        <f ca="1"/>
        <v>46.808709509089354</v>
      </c>
      <c r="AG7668" s="2">
        <f ca="1"/>
        <v>0.23443737455808966</v>
      </c>
      <c r="AH7668" s="2" t="str">
        <f ca="1"/>
        <v>OK</v>
      </c>
    </row>
    <row r="7669" spans="2:34" x14ac:dyDescent="0.2">
      <c r="B7669" s="2">
        <f ca="1"/>
        <v>0.32432685919956006</v>
      </c>
      <c r="O7669" s="2">
        <f ca="1"/>
        <v>1.6309337783425106</v>
      </c>
      <c r="X7669" s="2">
        <f ca="1"/>
        <v>51.579338580066782</v>
      </c>
      <c r="AG7669" s="2">
        <f ca="1"/>
        <v>0.33008770282136002</v>
      </c>
      <c r="AH7669" s="2" t="str">
        <f ca="1"/>
        <v>OK</v>
      </c>
    </row>
    <row r="7670" spans="2:34" x14ac:dyDescent="0.2">
      <c r="B7670" s="2">
        <f ca="1"/>
        <v>0.45922966248093711</v>
      </c>
      <c r="O7670" s="2">
        <f ca="1"/>
        <v>-0.35179070410837238</v>
      </c>
      <c r="X7670" s="2">
        <f ca="1"/>
        <v>29.251876701493185</v>
      </c>
      <c r="AG7670" s="2">
        <f ca="1"/>
        <v>0.60036943051830183</v>
      </c>
      <c r="AH7670" s="2" t="str">
        <f ca="1"/>
        <v>Bad</v>
      </c>
    </row>
    <row r="7671" spans="2:34" x14ac:dyDescent="0.2">
      <c r="B7671" s="2">
        <f ca="1"/>
        <v>5.4365932906927261E-2</v>
      </c>
      <c r="O7671" s="2">
        <f ca="1"/>
        <v>0.71965583502580066</v>
      </c>
      <c r="X7671" s="2">
        <f ca="1"/>
        <v>50.539849160369521</v>
      </c>
      <c r="AG7671" s="2">
        <f ca="1"/>
        <v>0.97391664529776278</v>
      </c>
      <c r="AH7671" s="2" t="str">
        <f ca="1"/>
        <v>Bad</v>
      </c>
    </row>
    <row r="7672" spans="2:34" x14ac:dyDescent="0.2">
      <c r="B7672" s="2">
        <f ca="1"/>
        <v>0.52147169071103106</v>
      </c>
      <c r="O7672" s="2">
        <f ca="1"/>
        <v>-0.92459739740503544</v>
      </c>
      <c r="X7672" s="2">
        <f ca="1"/>
        <v>47.808410513971474</v>
      </c>
      <c r="AG7672" s="2">
        <f ca="1"/>
        <v>0.44995551838386194</v>
      </c>
      <c r="AH7672" s="2" t="str">
        <f ca="1"/>
        <v>Bad</v>
      </c>
    </row>
    <row r="7673" spans="2:34" x14ac:dyDescent="0.2">
      <c r="B7673" s="2">
        <f ca="1"/>
        <v>0.56851672702646705</v>
      </c>
      <c r="O7673" s="2">
        <f ca="1"/>
        <v>0.71538298771381081</v>
      </c>
      <c r="X7673" s="2">
        <f ca="1"/>
        <v>50.631109976103012</v>
      </c>
      <c r="AG7673" s="2">
        <f ca="1"/>
        <v>0.94760847464675968</v>
      </c>
      <c r="AH7673" s="2" t="str">
        <f ca="1"/>
        <v>Bad</v>
      </c>
    </row>
    <row r="7674" spans="2:34" x14ac:dyDescent="0.2">
      <c r="B7674" s="2">
        <f ca="1"/>
        <v>2.7642257106847978E-3</v>
      </c>
      <c r="O7674" s="2">
        <f ca="1"/>
        <v>-0.59194135722452801</v>
      </c>
      <c r="X7674" s="2">
        <f ca="1"/>
        <v>125.03417767571499</v>
      </c>
      <c r="AG7674" s="2">
        <f ca="1"/>
        <v>0.25997522972269316</v>
      </c>
      <c r="AH7674" s="2" t="str">
        <f ca="1"/>
        <v>OK</v>
      </c>
    </row>
    <row r="7675" spans="2:34" x14ac:dyDescent="0.2">
      <c r="B7675" s="2">
        <f ca="1"/>
        <v>0.87522865772032676</v>
      </c>
      <c r="O7675" s="2">
        <f ca="1"/>
        <v>-1.3580058184627024</v>
      </c>
      <c r="X7675" s="2">
        <f ca="1"/>
        <v>66.89563551952466</v>
      </c>
      <c r="AG7675" s="2">
        <f ca="1"/>
        <v>0.76547001219429678</v>
      </c>
      <c r="AH7675" s="2" t="str">
        <f ca="1"/>
        <v>Bad</v>
      </c>
    </row>
    <row r="7676" spans="2:34" x14ac:dyDescent="0.2">
      <c r="B7676" s="2">
        <f ca="1"/>
        <v>0.499262179493694</v>
      </c>
      <c r="O7676" s="2">
        <f ca="1"/>
        <v>1.9104968248264862</v>
      </c>
      <c r="X7676" s="2">
        <f ca="1"/>
        <v>35.040888473122806</v>
      </c>
      <c r="AG7676" s="2">
        <f ca="1"/>
        <v>0.71574297829684896</v>
      </c>
      <c r="AH7676" s="2" t="str">
        <f ca="1"/>
        <v>Bad</v>
      </c>
    </row>
    <row r="7677" spans="2:34" x14ac:dyDescent="0.2">
      <c r="B7677" s="2">
        <f ca="1"/>
        <v>0.87270029365448276</v>
      </c>
      <c r="O7677" s="2">
        <f ca="1"/>
        <v>-0.84541589490665414</v>
      </c>
      <c r="X7677" s="2">
        <f ca="1"/>
        <v>101.42341592001854</v>
      </c>
      <c r="AG7677" s="2">
        <f ca="1"/>
        <v>0.3742822402911623</v>
      </c>
      <c r="AH7677" s="2" t="str">
        <f ca="1"/>
        <v>OK</v>
      </c>
    </row>
    <row r="7678" spans="2:34" x14ac:dyDescent="0.2">
      <c r="B7678" s="2">
        <f ca="1"/>
        <v>0.58216637574714358</v>
      </c>
      <c r="O7678" s="2">
        <f ca="1"/>
        <v>1.3466910900355966</v>
      </c>
      <c r="X7678" s="2">
        <f ca="1"/>
        <v>97.534455181979951</v>
      </c>
      <c r="AG7678" s="2">
        <f ca="1"/>
        <v>0.99238415707853389</v>
      </c>
      <c r="AH7678" s="2" t="str">
        <f ca="1"/>
        <v>Bad</v>
      </c>
    </row>
    <row r="7679" spans="2:34" x14ac:dyDescent="0.2">
      <c r="B7679" s="2">
        <f ca="1"/>
        <v>0.27106289052355326</v>
      </c>
      <c r="O7679" s="2">
        <f ca="1"/>
        <v>-0.37431799099038665</v>
      </c>
      <c r="X7679" s="2">
        <f ca="1"/>
        <v>47.037955592269086</v>
      </c>
      <c r="AG7679" s="2">
        <f ca="1"/>
        <v>0.37234737334214296</v>
      </c>
      <c r="AH7679" s="2" t="str">
        <f ca="1"/>
        <v>OK</v>
      </c>
    </row>
    <row r="7680" spans="2:34" x14ac:dyDescent="0.2">
      <c r="B7680" s="2">
        <f ca="1"/>
        <v>0.62540621790423789</v>
      </c>
      <c r="O7680" s="2">
        <f ca="1"/>
        <v>0.14856341776752721</v>
      </c>
      <c r="X7680" s="2">
        <f ca="1"/>
        <v>59.223774285039887</v>
      </c>
      <c r="AG7680" s="2">
        <f ca="1"/>
        <v>0.88779757242401081</v>
      </c>
      <c r="AH7680" s="2" t="str">
        <f ca="1"/>
        <v>Bad</v>
      </c>
    </row>
    <row r="7681" spans="2:34" x14ac:dyDescent="0.2">
      <c r="B7681" s="2">
        <f ca="1"/>
        <v>0.80558604060016936</v>
      </c>
      <c r="O7681" s="2">
        <f ca="1"/>
        <v>1.1020522432973723</v>
      </c>
      <c r="X7681" s="2">
        <f ca="1"/>
        <v>45.944486546153733</v>
      </c>
      <c r="AG7681" s="2">
        <f ca="1"/>
        <v>0.82392410858600007</v>
      </c>
      <c r="AH7681" s="2" t="str">
        <f ca="1"/>
        <v>Bad</v>
      </c>
    </row>
    <row r="7682" spans="2:34" x14ac:dyDescent="0.2">
      <c r="B7682" s="2">
        <f ca="1"/>
        <v>0.80044883096950503</v>
      </c>
      <c r="O7682" s="2">
        <f ca="1"/>
        <v>-1.2255571482517207</v>
      </c>
      <c r="X7682" s="2">
        <f ca="1"/>
        <v>67.465884732364557</v>
      </c>
      <c r="AG7682" s="2">
        <f ca="1"/>
        <v>0.60428121032459914</v>
      </c>
      <c r="AH7682" s="2" t="str">
        <f ca="1"/>
        <v>Bad</v>
      </c>
    </row>
    <row r="7683" spans="2:34" x14ac:dyDescent="0.2">
      <c r="B7683" s="2">
        <f ca="1"/>
        <v>0.76879537008207155</v>
      </c>
      <c r="O7683" s="2">
        <f ca="1"/>
        <v>0.901917692493583</v>
      </c>
      <c r="X7683" s="2">
        <f ca="1"/>
        <v>51.60569598914546</v>
      </c>
      <c r="AG7683" s="2">
        <f ca="1"/>
        <v>0.92774086329564809</v>
      </c>
      <c r="AH7683" s="2" t="str">
        <f ca="1"/>
        <v>Bad</v>
      </c>
    </row>
    <row r="7684" spans="2:34" x14ac:dyDescent="0.2">
      <c r="B7684" s="2">
        <f ca="1"/>
        <v>0.23658908426495229</v>
      </c>
      <c r="O7684" s="2">
        <f ca="1"/>
        <v>0.50540856219843366</v>
      </c>
      <c r="X7684" s="2">
        <f ca="1"/>
        <v>28.264045044060108</v>
      </c>
      <c r="AG7684" s="2">
        <f ca="1"/>
        <v>0.32369678410911829</v>
      </c>
      <c r="AH7684" s="2" t="str">
        <f ca="1"/>
        <v>OK</v>
      </c>
    </row>
    <row r="7685" spans="2:34" x14ac:dyDescent="0.2">
      <c r="B7685" s="2">
        <f ca="1"/>
        <v>0.19518930604502804</v>
      </c>
      <c r="O7685" s="2">
        <f ca="1"/>
        <v>0.54052649601721359</v>
      </c>
      <c r="X7685" s="2">
        <f ca="1"/>
        <v>61.546463469765307</v>
      </c>
      <c r="AG7685" s="2">
        <f ca="1"/>
        <v>0.81732068332685026</v>
      </c>
      <c r="AH7685" s="2" t="str">
        <f ca="1"/>
        <v>Bad</v>
      </c>
    </row>
    <row r="7686" spans="2:34" x14ac:dyDescent="0.2">
      <c r="B7686" s="2">
        <f ca="1"/>
        <v>0.67329168783426607</v>
      </c>
      <c r="O7686" s="2">
        <f ca="1"/>
        <v>1.8418681113105653</v>
      </c>
      <c r="X7686" s="2">
        <f ca="1"/>
        <v>43.409658813565322</v>
      </c>
      <c r="AG7686" s="2">
        <f ca="1"/>
        <v>0.76111816715528913</v>
      </c>
      <c r="AH7686" s="2" t="str">
        <f ca="1"/>
        <v>Bad</v>
      </c>
    </row>
    <row r="7687" spans="2:34" x14ac:dyDescent="0.2">
      <c r="B7687" s="2">
        <f ca="1"/>
        <v>0.14265439042944794</v>
      </c>
      <c r="O7687" s="2">
        <f ca="1"/>
        <v>1.665752743377775</v>
      </c>
      <c r="X7687" s="2">
        <f ca="1"/>
        <v>80.716726374687582</v>
      </c>
      <c r="AG7687" s="2">
        <f ca="1"/>
        <v>0.15324186414514607</v>
      </c>
      <c r="AH7687" s="2" t="str">
        <f ca="1"/>
        <v>OK</v>
      </c>
    </row>
    <row r="7688" spans="2:34" x14ac:dyDescent="0.2">
      <c r="B7688" s="2">
        <f ca="1"/>
        <v>0.2112593712034323</v>
      </c>
      <c r="O7688" s="2">
        <f ca="1"/>
        <v>0.56433542450076191</v>
      </c>
      <c r="X7688" s="2">
        <f ca="1"/>
        <v>40.280510418980285</v>
      </c>
      <c r="AG7688" s="2">
        <f ca="1"/>
        <v>0.61093472940538018</v>
      </c>
      <c r="AH7688" s="2" t="str">
        <f ca="1"/>
        <v>Bad</v>
      </c>
    </row>
    <row r="7689" spans="2:34" x14ac:dyDescent="0.2">
      <c r="B7689" s="2">
        <f ca="1"/>
        <v>0.71391968850662368</v>
      </c>
      <c r="O7689" s="2">
        <f ca="1"/>
        <v>-2.2180073434017866</v>
      </c>
      <c r="X7689" s="2">
        <f ca="1"/>
        <v>41.12285272962631</v>
      </c>
      <c r="AG7689" s="2">
        <f ca="1"/>
        <v>0.48931057237548203</v>
      </c>
      <c r="AH7689" s="2" t="str">
        <f ca="1"/>
        <v>Bad</v>
      </c>
    </row>
    <row r="7690" spans="2:34" x14ac:dyDescent="0.2">
      <c r="B7690" s="2">
        <f ca="1"/>
        <v>0.49902900090724578</v>
      </c>
      <c r="O7690" s="2">
        <f ca="1"/>
        <v>6.9200129034069462E-3</v>
      </c>
      <c r="X7690" s="2">
        <f ca="1"/>
        <v>77.506364758080053</v>
      </c>
      <c r="AG7690" s="2">
        <f ca="1"/>
        <v>0.55467368859495814</v>
      </c>
      <c r="AH7690" s="2" t="str">
        <f ca="1"/>
        <v>Bad</v>
      </c>
    </row>
    <row r="7691" spans="2:34" x14ac:dyDescent="0.2">
      <c r="B7691" s="2">
        <f ca="1"/>
        <v>0.51470588306567877</v>
      </c>
      <c r="O7691" s="2">
        <f ca="1"/>
        <v>2.0000743683702087</v>
      </c>
      <c r="X7691" s="2">
        <f ca="1"/>
        <v>42.634356068889694</v>
      </c>
      <c r="AG7691" s="2">
        <f ca="1"/>
        <v>0.30761816068718506</v>
      </c>
      <c r="AH7691" s="2" t="str">
        <f ca="1"/>
        <v>OK</v>
      </c>
    </row>
    <row r="7692" spans="2:34" x14ac:dyDescent="0.2">
      <c r="B7692" s="2">
        <f ca="1"/>
        <v>0.98466519922476436</v>
      </c>
      <c r="O7692" s="2">
        <f ca="1"/>
        <v>0.26287274987309739</v>
      </c>
      <c r="X7692" s="2">
        <f ca="1"/>
        <v>35.490658450590651</v>
      </c>
      <c r="AG7692" s="2">
        <f ca="1"/>
        <v>0.3307369031930385</v>
      </c>
      <c r="AH7692" s="2" t="str">
        <f ca="1"/>
        <v>OK</v>
      </c>
    </row>
    <row r="7693" spans="2:34" x14ac:dyDescent="0.2">
      <c r="B7693" s="2">
        <f ca="1"/>
        <v>0.27755284655598711</v>
      </c>
      <c r="O7693" s="2">
        <f ca="1"/>
        <v>0.85542186740222514</v>
      </c>
      <c r="X7693" s="2">
        <f ca="1"/>
        <v>34.177866177826822</v>
      </c>
      <c r="AG7693" s="2">
        <f ca="1"/>
        <v>0.8286727188743539</v>
      </c>
      <c r="AH7693" s="2" t="str">
        <f ca="1"/>
        <v>Bad</v>
      </c>
    </row>
    <row r="7694" spans="2:34" x14ac:dyDescent="0.2">
      <c r="B7694" s="2">
        <f ca="1"/>
        <v>1.4481944244657319E-2</v>
      </c>
      <c r="O7694" s="2">
        <f ca="1"/>
        <v>0.51961536775262784</v>
      </c>
      <c r="X7694" s="2">
        <f ca="1"/>
        <v>53.650213431351823</v>
      </c>
      <c r="AG7694" s="2">
        <f ca="1"/>
        <v>8.5837337718428719E-2</v>
      </c>
      <c r="AH7694" s="2" t="str">
        <f ca="1"/>
        <v>OK</v>
      </c>
    </row>
    <row r="7695" spans="2:34" x14ac:dyDescent="0.2">
      <c r="B7695" s="2">
        <f ca="1"/>
        <v>0.91079644811745131</v>
      </c>
      <c r="O7695" s="2">
        <f ca="1"/>
        <v>0.41766395105160298</v>
      </c>
      <c r="X7695" s="2">
        <f ca="1"/>
        <v>60.533250108287262</v>
      </c>
      <c r="AG7695" s="2">
        <f ca="1"/>
        <v>0.27752353909867056</v>
      </c>
      <c r="AH7695" s="2" t="str">
        <f ca="1"/>
        <v>OK</v>
      </c>
    </row>
    <row r="7696" spans="2:34" x14ac:dyDescent="0.2">
      <c r="B7696" s="2">
        <f ca="1"/>
        <v>0.34613884141034834</v>
      </c>
      <c r="O7696" s="2">
        <f ca="1"/>
        <v>-0.50819914179191339</v>
      </c>
      <c r="X7696" s="2">
        <f ca="1"/>
        <v>64.908306552682291</v>
      </c>
      <c r="AG7696" s="2">
        <f ca="1"/>
        <v>0.56846342450851495</v>
      </c>
      <c r="AH7696" s="2" t="str">
        <f ca="1"/>
        <v>Bad</v>
      </c>
    </row>
    <row r="7697" spans="2:34" x14ac:dyDescent="0.2">
      <c r="B7697" s="2">
        <f ca="1"/>
        <v>0.62482196757709896</v>
      </c>
      <c r="O7697" s="2">
        <f ca="1"/>
        <v>2.8328393458494441</v>
      </c>
      <c r="X7697" s="2">
        <f ca="1"/>
        <v>43.979596513924477</v>
      </c>
      <c r="AG7697" s="2">
        <f ca="1"/>
        <v>0.51224024394407253</v>
      </c>
      <c r="AH7697" s="2" t="str">
        <f ca="1"/>
        <v>Bad</v>
      </c>
    </row>
    <row r="7698" spans="2:34" x14ac:dyDescent="0.2">
      <c r="B7698" s="2">
        <f ca="1"/>
        <v>0.27703359828776808</v>
      </c>
      <c r="O7698" s="2">
        <f ca="1"/>
        <v>1.8325213222820904</v>
      </c>
      <c r="X7698" s="2">
        <f ca="1"/>
        <v>62.573043803699065</v>
      </c>
      <c r="AG7698" s="2">
        <f ca="1"/>
        <v>0.12243596080219765</v>
      </c>
      <c r="AH7698" s="2" t="str">
        <f ca="1"/>
        <v>OK</v>
      </c>
    </row>
    <row r="7699" spans="2:34" x14ac:dyDescent="0.2">
      <c r="B7699" s="2">
        <f ca="1"/>
        <v>0.53810267166593606</v>
      </c>
      <c r="O7699" s="2">
        <f ca="1"/>
        <v>1.3441061740997948</v>
      </c>
      <c r="X7699" s="2">
        <f ca="1"/>
        <v>37.340122200757349</v>
      </c>
      <c r="AG7699" s="2">
        <f ca="1"/>
        <v>0.97730546373424576</v>
      </c>
      <c r="AH7699" s="2" t="str">
        <f ca="1"/>
        <v>Bad</v>
      </c>
    </row>
    <row r="7700" spans="2:34" x14ac:dyDescent="0.2">
      <c r="B7700" s="2">
        <f ca="1"/>
        <v>0.89055683923728002</v>
      </c>
      <c r="O7700" s="2">
        <f ca="1"/>
        <v>-1.5973031232602088</v>
      </c>
      <c r="X7700" s="2">
        <f ca="1"/>
        <v>51.342327486412138</v>
      </c>
      <c r="AG7700" s="2">
        <f ca="1"/>
        <v>0.7035658932002089</v>
      </c>
      <c r="AH7700" s="2" t="str">
        <f ca="1"/>
        <v>Bad</v>
      </c>
    </row>
    <row r="7701" spans="2:34" x14ac:dyDescent="0.2">
      <c r="B7701" s="2">
        <f ca="1"/>
        <v>0.30699860927580036</v>
      </c>
      <c r="O7701" s="2">
        <f ca="1"/>
        <v>1.6685815792245746</v>
      </c>
      <c r="X7701" s="2">
        <f ca="1"/>
        <v>33.65513950812646</v>
      </c>
      <c r="AG7701" s="2">
        <f ca="1"/>
        <v>0.91530017508842532</v>
      </c>
      <c r="AH7701" s="2" t="str">
        <f ca="1"/>
        <v>Bad</v>
      </c>
    </row>
    <row r="7702" spans="2:34" x14ac:dyDescent="0.2">
      <c r="B7702" s="2">
        <f ca="1"/>
        <v>0.19866039457273121</v>
      </c>
      <c r="O7702" s="2">
        <f ca="1"/>
        <v>-1.6911389849240382E-3</v>
      </c>
      <c r="X7702" s="2">
        <f ca="1"/>
        <v>36.511359836659622</v>
      </c>
      <c r="AG7702" s="2">
        <f ca="1"/>
        <v>2.9126295783673539E-2</v>
      </c>
      <c r="AH7702" s="2" t="str">
        <f ca="1"/>
        <v>Good</v>
      </c>
    </row>
    <row r="7703" spans="2:34" x14ac:dyDescent="0.2">
      <c r="B7703" s="2">
        <f ca="1"/>
        <v>0.96252220935658772</v>
      </c>
      <c r="O7703" s="2">
        <f ca="1"/>
        <v>-0.16831325971329106</v>
      </c>
      <c r="X7703" s="2">
        <f ca="1"/>
        <v>39.228695042647672</v>
      </c>
      <c r="AG7703" s="2">
        <f ca="1"/>
        <v>0.16275369468180956</v>
      </c>
      <c r="AH7703" s="2" t="str">
        <f ca="1"/>
        <v>OK</v>
      </c>
    </row>
    <row r="7704" spans="2:34" x14ac:dyDescent="0.2">
      <c r="B7704" s="2">
        <f ca="1"/>
        <v>0.23611259966198106</v>
      </c>
      <c r="O7704" s="2">
        <f ca="1"/>
        <v>-1.3479665219396242</v>
      </c>
      <c r="X7704" s="2">
        <f ca="1"/>
        <v>21.443774311881736</v>
      </c>
      <c r="AG7704" s="2">
        <f ca="1"/>
        <v>0.7893198772024792</v>
      </c>
      <c r="AH7704" s="2" t="str">
        <f ca="1"/>
        <v>Bad</v>
      </c>
    </row>
    <row r="7705" spans="2:34" x14ac:dyDescent="0.2">
      <c r="B7705" s="2">
        <f ca="1"/>
        <v>0.25627603086174111</v>
      </c>
      <c r="O7705" s="2">
        <f ca="1"/>
        <v>-1.0722230276358555</v>
      </c>
      <c r="X7705" s="2">
        <f ca="1"/>
        <v>30.52231278224566</v>
      </c>
      <c r="AG7705" s="2">
        <f ca="1"/>
        <v>2.522522534802385E-2</v>
      </c>
      <c r="AH7705" s="2" t="str">
        <f ca="1"/>
        <v>Good</v>
      </c>
    </row>
    <row r="7706" spans="2:34" x14ac:dyDescent="0.2">
      <c r="B7706" s="2">
        <f ca="1"/>
        <v>0.87910196934194329</v>
      </c>
      <c r="O7706" s="2">
        <f ca="1"/>
        <v>0.38862126867287161</v>
      </c>
      <c r="X7706" s="2">
        <f ca="1"/>
        <v>69.807964157577402</v>
      </c>
      <c r="AG7706" s="2">
        <f ca="1"/>
        <v>0.77779558326336962</v>
      </c>
      <c r="AH7706" s="2" t="str">
        <f ca="1"/>
        <v>Bad</v>
      </c>
    </row>
    <row r="7707" spans="2:34" x14ac:dyDescent="0.2">
      <c r="B7707" s="2">
        <f ca="1"/>
        <v>0.67141035923899084</v>
      </c>
      <c r="O7707" s="2">
        <f ca="1"/>
        <v>0.96051518278272807</v>
      </c>
      <c r="X7707" s="2">
        <f ca="1"/>
        <v>37.661359254141161</v>
      </c>
      <c r="AG7707" s="2">
        <f ca="1"/>
        <v>0.29141332819884358</v>
      </c>
      <c r="AH7707" s="2" t="str">
        <f ca="1"/>
        <v>OK</v>
      </c>
    </row>
    <row r="7708" spans="2:34" x14ac:dyDescent="0.2">
      <c r="B7708" s="2">
        <f ca="1"/>
        <v>0.3231530720080813</v>
      </c>
      <c r="O7708" s="2">
        <f ca="1"/>
        <v>1.6587509952890449</v>
      </c>
      <c r="X7708" s="2">
        <f ca="1"/>
        <v>31.163465374353912</v>
      </c>
      <c r="AG7708" s="2">
        <f ca="1"/>
        <v>0.20735341151439024</v>
      </c>
      <c r="AH7708" s="2" t="str">
        <f ca="1"/>
        <v>OK</v>
      </c>
    </row>
    <row r="7709" spans="2:34" x14ac:dyDescent="0.2">
      <c r="B7709" s="2">
        <f ca="1"/>
        <v>0.98578321086254017</v>
      </c>
      <c r="O7709" s="2">
        <f ca="1"/>
        <v>-0.35009943507327956</v>
      </c>
      <c r="X7709" s="2">
        <f ca="1"/>
        <v>45.975064088903423</v>
      </c>
      <c r="AG7709" s="2">
        <f ca="1"/>
        <v>0.9288275934945549</v>
      </c>
      <c r="AH7709" s="2" t="str">
        <f ca="1"/>
        <v>Bad</v>
      </c>
    </row>
    <row r="7710" spans="2:34" x14ac:dyDescent="0.2">
      <c r="B7710" s="2">
        <f ca="1"/>
        <v>0.17653903785957015</v>
      </c>
      <c r="O7710" s="2">
        <f ca="1"/>
        <v>0.97127842090757088</v>
      </c>
      <c r="X7710" s="2">
        <f ca="1"/>
        <v>54.467498594142398</v>
      </c>
      <c r="AG7710" s="2">
        <f ca="1"/>
        <v>9.8120719800566469E-2</v>
      </c>
      <c r="AH7710" s="2" t="str">
        <f ca="1"/>
        <v>OK</v>
      </c>
    </row>
    <row r="7711" spans="2:34" x14ac:dyDescent="0.2">
      <c r="B7711" s="2">
        <f ca="1"/>
        <v>9.9795447465529596E-2</v>
      </c>
      <c r="O7711" s="2">
        <f ca="1"/>
        <v>-1.649343901561549</v>
      </c>
      <c r="X7711" s="2">
        <f ca="1"/>
        <v>65.757876348223917</v>
      </c>
      <c r="AG7711" s="2">
        <f ca="1"/>
        <v>0.7582339768922588</v>
      </c>
      <c r="AH7711" s="2" t="str">
        <f ca="1"/>
        <v>Bad</v>
      </c>
    </row>
    <row r="7712" spans="2:34" x14ac:dyDescent="0.2">
      <c r="B7712" s="2">
        <f ca="1"/>
        <v>0.76410448879631843</v>
      </c>
      <c r="O7712" s="2">
        <f ca="1"/>
        <v>-0.80090078025238143</v>
      </c>
      <c r="X7712" s="2">
        <f ca="1"/>
        <v>63.808436299915591</v>
      </c>
      <c r="AG7712" s="2">
        <f ca="1"/>
        <v>0.74830194445687903</v>
      </c>
      <c r="AH7712" s="2" t="str">
        <f ca="1"/>
        <v>Bad</v>
      </c>
    </row>
    <row r="7713" spans="2:34" x14ac:dyDescent="0.2">
      <c r="B7713" s="2">
        <f ca="1"/>
        <v>6.4837111271371928E-2</v>
      </c>
      <c r="O7713" s="2">
        <f ca="1"/>
        <v>0.48596779831078118</v>
      </c>
      <c r="X7713" s="2">
        <f ca="1"/>
        <v>43.168567735218566</v>
      </c>
      <c r="AG7713" s="2">
        <f ca="1"/>
        <v>0.56432979738800415</v>
      </c>
      <c r="AH7713" s="2" t="str">
        <f ca="1"/>
        <v>Bad</v>
      </c>
    </row>
    <row r="7714" spans="2:34" x14ac:dyDescent="0.2">
      <c r="B7714" s="2">
        <f ca="1"/>
        <v>2.0715120353564487E-2</v>
      </c>
      <c r="O7714" s="2">
        <f ca="1"/>
        <v>0.10649729190553564</v>
      </c>
      <c r="X7714" s="2">
        <f ca="1"/>
        <v>56.177372701862311</v>
      </c>
      <c r="AG7714" s="2">
        <f ca="1"/>
        <v>0.76747303628039965</v>
      </c>
      <c r="AH7714" s="2" t="str">
        <f ca="1"/>
        <v>Bad</v>
      </c>
    </row>
    <row r="7715" spans="2:34" x14ac:dyDescent="0.2">
      <c r="B7715" s="2">
        <f ca="1"/>
        <v>0.14345294425313049</v>
      </c>
      <c r="O7715" s="2">
        <f ca="1"/>
        <v>0.65204150540247297</v>
      </c>
      <c r="X7715" s="2">
        <f ca="1"/>
        <v>52.387700385710588</v>
      </c>
      <c r="AG7715" s="2">
        <f ca="1"/>
        <v>0.33121312151624505</v>
      </c>
      <c r="AH7715" s="2" t="str">
        <f ca="1"/>
        <v>OK</v>
      </c>
    </row>
    <row r="7716" spans="2:34" x14ac:dyDescent="0.2">
      <c r="B7716" s="2">
        <f ca="1"/>
        <v>0.62654440396587252</v>
      </c>
      <c r="O7716" s="2">
        <f ca="1"/>
        <v>3.2343754282321467E-2</v>
      </c>
      <c r="X7716" s="2">
        <f ca="1"/>
        <v>28.241229575840702</v>
      </c>
      <c r="AG7716" s="2">
        <f ca="1"/>
        <v>0.42586808314993596</v>
      </c>
      <c r="AH7716" s="2" t="str">
        <f ca="1"/>
        <v>Bad</v>
      </c>
    </row>
    <row r="7717" spans="2:34" x14ac:dyDescent="0.2">
      <c r="B7717" s="2">
        <f ca="1"/>
        <v>0.74201803233518815</v>
      </c>
      <c r="O7717" s="2">
        <f ca="1"/>
        <v>1.0777956892076577</v>
      </c>
      <c r="X7717" s="2">
        <f ca="1"/>
        <v>61.89789341987457</v>
      </c>
      <c r="AG7717" s="2">
        <f ca="1"/>
        <v>0.77882655558389624</v>
      </c>
      <c r="AH7717" s="2" t="str">
        <f ca="1"/>
        <v>Bad</v>
      </c>
    </row>
    <row r="7718" spans="2:34" x14ac:dyDescent="0.2">
      <c r="B7718" s="2">
        <f ca="1"/>
        <v>0.62749899187082403</v>
      </c>
      <c r="O7718" s="2">
        <f ca="1"/>
        <v>-1.5931416932704967</v>
      </c>
      <c r="X7718" s="2">
        <f ca="1"/>
        <v>68.843918581925095</v>
      </c>
      <c r="AG7718" s="2">
        <f ca="1"/>
        <v>0.98253376804508363</v>
      </c>
      <c r="AH7718" s="2" t="str">
        <f ca="1"/>
        <v>Bad</v>
      </c>
    </row>
    <row r="7719" spans="2:34" x14ac:dyDescent="0.2">
      <c r="B7719" s="2">
        <f ca="1"/>
        <v>0.50930689335852564</v>
      </c>
      <c r="O7719" s="2">
        <f ca="1"/>
        <v>-0.19248983496589822</v>
      </c>
      <c r="X7719" s="2">
        <f ca="1"/>
        <v>20.640250692912705</v>
      </c>
      <c r="AG7719" s="2">
        <f ca="1"/>
        <v>0.89374994899844729</v>
      </c>
      <c r="AH7719" s="2" t="str">
        <f ca="1"/>
        <v>Bad</v>
      </c>
    </row>
    <row r="7720" spans="2:34" x14ac:dyDescent="0.2">
      <c r="B7720" s="2">
        <f ca="1"/>
        <v>0.79370260915664326</v>
      </c>
      <c r="O7720" s="2">
        <f ca="1"/>
        <v>0.23124951216214845</v>
      </c>
      <c r="X7720" s="2">
        <f ca="1"/>
        <v>50.608067481382093</v>
      </c>
      <c r="AG7720" s="2">
        <f ca="1"/>
        <v>0.76865637979027235</v>
      </c>
      <c r="AH7720" s="2" t="str">
        <f ca="1"/>
        <v>Bad</v>
      </c>
    </row>
    <row r="7721" spans="2:34" x14ac:dyDescent="0.2">
      <c r="B7721" s="2">
        <f ca="1"/>
        <v>0.66551565411504954</v>
      </c>
      <c r="O7721" s="2">
        <f ca="1"/>
        <v>-0.92045450521259231</v>
      </c>
      <c r="X7721" s="2">
        <f ca="1"/>
        <v>36.411753032872774</v>
      </c>
      <c r="AG7721" s="2">
        <f ca="1"/>
        <v>0.49246860072623866</v>
      </c>
      <c r="AH7721" s="2" t="str">
        <f ca="1"/>
        <v>Bad</v>
      </c>
    </row>
    <row r="7722" spans="2:34" x14ac:dyDescent="0.2">
      <c r="B7722" s="2">
        <f ca="1"/>
        <v>9.8378391793673803E-2</v>
      </c>
      <c r="O7722" s="2">
        <f ca="1"/>
        <v>-7.063304278857474E-2</v>
      </c>
      <c r="X7722" s="2">
        <f ca="1"/>
        <v>43.563500096479864</v>
      </c>
      <c r="AG7722" s="2">
        <f ca="1"/>
        <v>0.84207482514043797</v>
      </c>
      <c r="AH7722" s="2" t="str">
        <f ca="1"/>
        <v>Bad</v>
      </c>
    </row>
    <row r="7723" spans="2:34" x14ac:dyDescent="0.2">
      <c r="B7723" s="2">
        <f ca="1"/>
        <v>0.28804282492432942</v>
      </c>
      <c r="O7723" s="2">
        <f ca="1"/>
        <v>-0.7847611640872495</v>
      </c>
      <c r="X7723" s="2">
        <f ca="1"/>
        <v>62.000214909393222</v>
      </c>
      <c r="AG7723" s="2">
        <f ca="1"/>
        <v>0.84650702935439903</v>
      </c>
      <c r="AH7723" s="2" t="str">
        <f ca="1"/>
        <v>Bad</v>
      </c>
    </row>
    <row r="7724" spans="2:34" x14ac:dyDescent="0.2">
      <c r="B7724" s="2">
        <f ca="1"/>
        <v>0.27702630321409405</v>
      </c>
      <c r="O7724" s="2">
        <f ca="1"/>
        <v>-1.2448743487438776</v>
      </c>
      <c r="X7724" s="2">
        <f ca="1"/>
        <v>35.20464542180391</v>
      </c>
      <c r="AG7724" s="2">
        <f ca="1"/>
        <v>0.3181787797078246</v>
      </c>
      <c r="AH7724" s="2" t="str">
        <f ca="1"/>
        <v>OK</v>
      </c>
    </row>
    <row r="7725" spans="2:34" x14ac:dyDescent="0.2">
      <c r="B7725" s="2">
        <f ca="1"/>
        <v>0.24982633889093031</v>
      </c>
      <c r="O7725" s="2">
        <f ca="1"/>
        <v>-1.0246342887574653</v>
      </c>
      <c r="X7725" s="2">
        <f ca="1"/>
        <v>68.663409180015606</v>
      </c>
      <c r="AG7725" s="2">
        <f ca="1"/>
        <v>0.44996945890462103</v>
      </c>
      <c r="AH7725" s="2" t="str">
        <f ca="1"/>
        <v>Bad</v>
      </c>
    </row>
    <row r="7726" spans="2:34" x14ac:dyDescent="0.2">
      <c r="B7726" s="2">
        <f ca="1"/>
        <v>0.93163293965591154</v>
      </c>
      <c r="O7726" s="2">
        <f ca="1"/>
        <v>-1.5358099742774445</v>
      </c>
      <c r="X7726" s="2">
        <f ca="1"/>
        <v>86.340732023549336</v>
      </c>
      <c r="AG7726" s="2">
        <f ca="1"/>
        <v>0.24100135591568739</v>
      </c>
      <c r="AH7726" s="2" t="str">
        <f ca="1"/>
        <v>OK</v>
      </c>
    </row>
    <row r="7727" spans="2:34" x14ac:dyDescent="0.2">
      <c r="B7727" s="2">
        <f ca="1"/>
        <v>0.20310636476492938</v>
      </c>
      <c r="O7727" s="2">
        <f ca="1"/>
        <v>0.63325023643977674</v>
      </c>
      <c r="X7727" s="2">
        <f ca="1"/>
        <v>48.075318672832445</v>
      </c>
      <c r="AG7727" s="2">
        <f ca="1"/>
        <v>0.19003906669363335</v>
      </c>
      <c r="AH7727" s="2" t="str">
        <f ca="1"/>
        <v>OK</v>
      </c>
    </row>
    <row r="7728" spans="2:34" x14ac:dyDescent="0.2">
      <c r="B7728" s="2">
        <f ca="1"/>
        <v>1.9085719615025143E-2</v>
      </c>
      <c r="O7728" s="2">
        <f ca="1"/>
        <v>-1.2525688721704493</v>
      </c>
      <c r="X7728" s="2">
        <f ca="1"/>
        <v>28.536666052610215</v>
      </c>
      <c r="AG7728" s="2">
        <f ca="1"/>
        <v>0.54430553147446892</v>
      </c>
      <c r="AH7728" s="2" t="str">
        <f ca="1"/>
        <v>Bad</v>
      </c>
    </row>
    <row r="7729" spans="2:34" x14ac:dyDescent="0.2">
      <c r="B7729" s="2">
        <f ca="1"/>
        <v>0.46102029430233382</v>
      </c>
      <c r="O7729" s="2">
        <f ca="1"/>
        <v>0.560399773617272</v>
      </c>
      <c r="X7729" s="2">
        <f ca="1"/>
        <v>58.762874443385471</v>
      </c>
      <c r="AG7729" s="2">
        <f ca="1"/>
        <v>0.31248288862487628</v>
      </c>
      <c r="AH7729" s="2" t="str">
        <f ca="1"/>
        <v>OK</v>
      </c>
    </row>
    <row r="7730" spans="2:34" x14ac:dyDescent="0.2">
      <c r="B7730" s="2">
        <f ca="1"/>
        <v>6.5865758359151538E-3</v>
      </c>
      <c r="O7730" s="2">
        <f ca="1"/>
        <v>0.57285413237287119</v>
      </c>
      <c r="X7730" s="2">
        <f ca="1"/>
        <v>41.4922550089317</v>
      </c>
      <c r="AG7730" s="2">
        <f ca="1"/>
        <v>0.35158925490171522</v>
      </c>
      <c r="AH7730" s="2" t="str">
        <f ca="1"/>
        <v>OK</v>
      </c>
    </row>
    <row r="7731" spans="2:34" x14ac:dyDescent="0.2">
      <c r="B7731" s="2">
        <f ca="1"/>
        <v>0.11621624529880514</v>
      </c>
      <c r="O7731" s="2">
        <f ca="1"/>
        <v>2.1544781517460376</v>
      </c>
      <c r="X7731" s="2">
        <f ca="1"/>
        <v>67.100848167262484</v>
      </c>
      <c r="AG7731" s="2">
        <f ca="1"/>
        <v>0.23195033465138071</v>
      </c>
      <c r="AH7731" s="2" t="str">
        <f ca="1"/>
        <v>OK</v>
      </c>
    </row>
    <row r="7732" spans="2:34" x14ac:dyDescent="0.2">
      <c r="B7732" s="2">
        <f ca="1"/>
        <v>0.81321799831205199</v>
      </c>
      <c r="O7732" s="2">
        <f ca="1"/>
        <v>-0.83532802440498211</v>
      </c>
      <c r="X7732" s="2">
        <f ca="1"/>
        <v>45.045840553187659</v>
      </c>
      <c r="AG7732" s="2">
        <f ca="1"/>
        <v>0.45063879035531507</v>
      </c>
      <c r="AH7732" s="2" t="str">
        <f ca="1"/>
        <v>Bad</v>
      </c>
    </row>
    <row r="7733" spans="2:34" x14ac:dyDescent="0.2">
      <c r="B7733" s="2">
        <f ca="1"/>
        <v>1.7713209383381168E-2</v>
      </c>
      <c r="O7733" s="2">
        <f ca="1"/>
        <v>0.18107491985523472</v>
      </c>
      <c r="X7733" s="2">
        <f ca="1"/>
        <v>48.506247641344444</v>
      </c>
      <c r="AG7733" s="2">
        <f ca="1"/>
        <v>0.10112940059006958</v>
      </c>
      <c r="AH7733" s="2" t="str">
        <f ca="1"/>
        <v>OK</v>
      </c>
    </row>
    <row r="7734" spans="2:34" x14ac:dyDescent="0.2">
      <c r="B7734" s="2">
        <f ca="1"/>
        <v>2.1331089793128699E-2</v>
      </c>
      <c r="O7734" s="2">
        <f ca="1"/>
        <v>-0.72858881646763507</v>
      </c>
      <c r="X7734" s="2">
        <f ca="1"/>
        <v>49.913102330125056</v>
      </c>
      <c r="AG7734" s="2">
        <f ca="1"/>
        <v>0.96718754110489313</v>
      </c>
      <c r="AH7734" s="2" t="str">
        <f ca="1"/>
        <v>Bad</v>
      </c>
    </row>
    <row r="7735" spans="2:34" x14ac:dyDescent="0.2">
      <c r="B7735" s="2">
        <f ca="1"/>
        <v>0.75445704825744708</v>
      </c>
      <c r="O7735" s="2">
        <f ca="1"/>
        <v>-1.0444866344039176</v>
      </c>
      <c r="X7735" s="2">
        <f ca="1"/>
        <v>69.610589483271596</v>
      </c>
      <c r="AG7735" s="2">
        <f ca="1"/>
        <v>0.34509800944691849</v>
      </c>
      <c r="AH7735" s="2" t="str">
        <f ca="1"/>
        <v>OK</v>
      </c>
    </row>
    <row r="7736" spans="2:34" x14ac:dyDescent="0.2">
      <c r="B7736" s="2">
        <f ca="1"/>
        <v>0.36560086995266228</v>
      </c>
      <c r="O7736" s="2">
        <f ca="1"/>
        <v>0.88464786310811516</v>
      </c>
      <c r="X7736" s="2">
        <f ca="1"/>
        <v>39.858976113737157</v>
      </c>
      <c r="AG7736" s="2">
        <f ca="1"/>
        <v>0.91004870728200671</v>
      </c>
      <c r="AH7736" s="2" t="str">
        <f ca="1"/>
        <v>Bad</v>
      </c>
    </row>
    <row r="7737" spans="2:34" x14ac:dyDescent="0.2">
      <c r="B7737" s="2">
        <f ca="1"/>
        <v>0.43559894091446894</v>
      </c>
      <c r="O7737" s="2">
        <f ca="1"/>
        <v>-1.1443304624799902</v>
      </c>
      <c r="X7737" s="2">
        <f ca="1"/>
        <v>35.495938554408312</v>
      </c>
      <c r="AG7737" s="2">
        <f ca="1"/>
        <v>0.73277093442314589</v>
      </c>
      <c r="AH7737" s="2" t="str">
        <f ca="1"/>
        <v>Bad</v>
      </c>
    </row>
    <row r="7738" spans="2:34" x14ac:dyDescent="0.2">
      <c r="B7738" s="2">
        <f ca="1"/>
        <v>0.13694190636254344</v>
      </c>
      <c r="O7738" s="2">
        <f ca="1"/>
        <v>1.3170772978697491</v>
      </c>
      <c r="X7738" s="2">
        <f ca="1"/>
        <v>36.372776289668145</v>
      </c>
      <c r="AG7738" s="2">
        <f ca="1"/>
        <v>0.73789629337506746</v>
      </c>
      <c r="AH7738" s="2" t="str">
        <f ca="1"/>
        <v>Bad</v>
      </c>
    </row>
    <row r="7739" spans="2:34" x14ac:dyDescent="0.2">
      <c r="B7739" s="2">
        <f ca="1"/>
        <v>0.80327569054504089</v>
      </c>
      <c r="O7739" s="2">
        <f ca="1"/>
        <v>-5.6678010477494357E-2</v>
      </c>
      <c r="X7739" s="2">
        <f ca="1"/>
        <v>66.530581389154889</v>
      </c>
      <c r="AG7739" s="2">
        <f ca="1"/>
        <v>0.52300053737201235</v>
      </c>
      <c r="AH7739" s="2" t="str">
        <f ca="1"/>
        <v>Bad</v>
      </c>
    </row>
    <row r="7740" spans="2:34" x14ac:dyDescent="0.2">
      <c r="B7740" s="2">
        <f ca="1"/>
        <v>0.30705726706272629</v>
      </c>
      <c r="O7740" s="2">
        <f ca="1"/>
        <v>2.1351188544781321</v>
      </c>
      <c r="X7740" s="2">
        <f ca="1"/>
        <v>53.420051696459382</v>
      </c>
      <c r="AG7740" s="2">
        <f ca="1"/>
        <v>0.27157117230364958</v>
      </c>
      <c r="AH7740" s="2" t="str">
        <f ca="1"/>
        <v>OK</v>
      </c>
    </row>
    <row r="7741" spans="2:34" x14ac:dyDescent="0.2">
      <c r="B7741" s="2">
        <f ca="1"/>
        <v>3.2485990403015697E-2</v>
      </c>
      <c r="O7741" s="2">
        <f ca="1"/>
        <v>1.4195683191806754</v>
      </c>
      <c r="X7741" s="2">
        <f ca="1"/>
        <v>41.708469620570064</v>
      </c>
      <c r="AG7741" s="2">
        <f ca="1"/>
        <v>0.60362793989763275</v>
      </c>
      <c r="AH7741" s="2" t="str">
        <f ca="1"/>
        <v>Bad</v>
      </c>
    </row>
    <row r="7742" spans="2:34" x14ac:dyDescent="0.2">
      <c r="B7742" s="2">
        <f ca="1"/>
        <v>0.76986708507351476</v>
      </c>
      <c r="O7742" s="2">
        <f ca="1"/>
        <v>0.16155892792181792</v>
      </c>
      <c r="X7742" s="2">
        <f ca="1"/>
        <v>35.539124104217649</v>
      </c>
      <c r="AG7742" s="2">
        <f ca="1"/>
        <v>0.23207326535537898</v>
      </c>
      <c r="AH7742" s="2" t="str">
        <f ca="1"/>
        <v>OK</v>
      </c>
    </row>
    <row r="7743" spans="2:34" x14ac:dyDescent="0.2">
      <c r="B7743" s="2">
        <f ca="1"/>
        <v>0.68988318526996473</v>
      </c>
      <c r="O7743" s="2">
        <f ca="1"/>
        <v>-0.96807597103790444</v>
      </c>
      <c r="X7743" s="2">
        <f ca="1"/>
        <v>45.842539412469002</v>
      </c>
      <c r="AG7743" s="2">
        <f ca="1"/>
        <v>0.72977452571124357</v>
      </c>
      <c r="AH7743" s="2" t="str">
        <f ca="1"/>
        <v>Bad</v>
      </c>
    </row>
    <row r="7744" spans="2:34" x14ac:dyDescent="0.2">
      <c r="B7744" s="2">
        <f ca="1"/>
        <v>0.51648032645660669</v>
      </c>
      <c r="O7744" s="2">
        <f ca="1"/>
        <v>-0.12725695550119639</v>
      </c>
      <c r="X7744" s="2">
        <f ca="1"/>
        <v>54.542764901168475</v>
      </c>
      <c r="AG7744" s="2">
        <f ca="1"/>
        <v>0.16635481539347108</v>
      </c>
      <c r="AH7744" s="2" t="str">
        <f ca="1"/>
        <v>OK</v>
      </c>
    </row>
    <row r="7745" spans="2:34" x14ac:dyDescent="0.2">
      <c r="B7745" s="2">
        <f ca="1"/>
        <v>0.17945436016420824</v>
      </c>
      <c r="O7745" s="2">
        <f ca="1"/>
        <v>0.16338897701567115</v>
      </c>
      <c r="X7745" s="2">
        <f ca="1"/>
        <v>75.464467780785839</v>
      </c>
      <c r="AG7745" s="2">
        <f ca="1"/>
        <v>0.45307694417657873</v>
      </c>
      <c r="AH7745" s="2" t="str">
        <f ca="1"/>
        <v>Bad</v>
      </c>
    </row>
    <row r="7746" spans="2:34" x14ac:dyDescent="0.2">
      <c r="B7746" s="2">
        <f ca="1"/>
        <v>8.7107905194715674E-2</v>
      </c>
      <c r="O7746" s="2">
        <f ca="1"/>
        <v>-0.50096824484706348</v>
      </c>
      <c r="X7746" s="2">
        <f ca="1"/>
        <v>66.266096063608344</v>
      </c>
      <c r="AG7746" s="2">
        <f ca="1"/>
        <v>0.83000304168366368</v>
      </c>
      <c r="AH7746" s="2" t="str">
        <f ca="1"/>
        <v>Bad</v>
      </c>
    </row>
    <row r="7747" spans="2:34" x14ac:dyDescent="0.2">
      <c r="B7747" s="2">
        <f ca="1"/>
        <v>8.4005006177964914E-2</v>
      </c>
      <c r="O7747" s="2">
        <f ca="1"/>
        <v>3.1076596782328918E-2</v>
      </c>
      <c r="X7747" s="2">
        <f ca="1"/>
        <v>29.298628010571136</v>
      </c>
      <c r="AG7747" s="2">
        <f ca="1"/>
        <v>0.56813596397308874</v>
      </c>
      <c r="AH7747" s="2" t="str">
        <f ca="1"/>
        <v>Bad</v>
      </c>
    </row>
    <row r="7748" spans="2:34" x14ac:dyDescent="0.2">
      <c r="B7748" s="2">
        <f ca="1"/>
        <v>0.88842947942953243</v>
      </c>
      <c r="O7748" s="2">
        <f ca="1"/>
        <v>-0.94421432289897633</v>
      </c>
      <c r="X7748" s="2">
        <f ca="1"/>
        <v>46.219247765400162</v>
      </c>
      <c r="AG7748" s="2">
        <f ca="1"/>
        <v>0.47650719385198093</v>
      </c>
      <c r="AH7748" s="2" t="str">
        <f ca="1"/>
        <v>Bad</v>
      </c>
    </row>
    <row r="7749" spans="2:34" x14ac:dyDescent="0.2">
      <c r="B7749" s="2">
        <f ca="1"/>
        <v>0.8771602126085436</v>
      </c>
      <c r="O7749" s="2">
        <f ca="1"/>
        <v>-0.59048199239106969</v>
      </c>
      <c r="X7749" s="2">
        <f ca="1"/>
        <v>75.229025342219728</v>
      </c>
      <c r="AG7749" s="2">
        <f ca="1"/>
        <v>0.57556336407733433</v>
      </c>
      <c r="AH7749" s="2" t="str">
        <f ca="1"/>
        <v>Bad</v>
      </c>
    </row>
    <row r="7750" spans="2:34" x14ac:dyDescent="0.2">
      <c r="B7750" s="2">
        <f ca="1"/>
        <v>0.20648822969957115</v>
      </c>
      <c r="O7750" s="2">
        <f ca="1"/>
        <v>-1.5447279241818568</v>
      </c>
      <c r="X7750" s="2">
        <f ca="1"/>
        <v>58.557335424232598</v>
      </c>
      <c r="AG7750" s="2">
        <f ca="1"/>
        <v>0.44029075357708836</v>
      </c>
      <c r="AH7750" s="2" t="str">
        <f ca="1"/>
        <v>Bad</v>
      </c>
    </row>
    <row r="7751" spans="2:34" x14ac:dyDescent="0.2">
      <c r="B7751" s="2">
        <f ca="1"/>
        <v>0.84180639972468785</v>
      </c>
      <c r="O7751" s="2">
        <f ca="1"/>
        <v>-1.7254087208075217</v>
      </c>
      <c r="X7751" s="2">
        <f ca="1"/>
        <v>31.432043703737907</v>
      </c>
      <c r="AG7751" s="2">
        <f ca="1"/>
        <v>0.76791297239502776</v>
      </c>
      <c r="AH7751" s="2" t="str">
        <f ca="1"/>
        <v>Bad</v>
      </c>
    </row>
    <row r="7752" spans="2:34" x14ac:dyDescent="0.2">
      <c r="B7752" s="2">
        <f ca="1"/>
        <v>0.35900484969555935</v>
      </c>
      <c r="O7752" s="2">
        <f ca="1"/>
        <v>-1.1222714543383576</v>
      </c>
      <c r="X7752" s="2">
        <f ca="1"/>
        <v>64.654636514635357</v>
      </c>
      <c r="AG7752" s="2">
        <f ca="1"/>
        <v>0.41995448593999951</v>
      </c>
      <c r="AH7752" s="2" t="str">
        <f ca="1"/>
        <v>Bad</v>
      </c>
    </row>
    <row r="7753" spans="2:34" x14ac:dyDescent="0.2">
      <c r="B7753" s="2">
        <f ca="1"/>
        <v>0.18188584889651427</v>
      </c>
      <c r="O7753" s="2">
        <f ca="1"/>
        <v>-1.5542720126359103E-2</v>
      </c>
      <c r="X7753" s="2">
        <f ca="1"/>
        <v>70.146547990087626</v>
      </c>
      <c r="AG7753" s="2">
        <f ca="1"/>
        <v>0.96869350352806061</v>
      </c>
      <c r="AH7753" s="2" t="str">
        <f ca="1"/>
        <v>Bad</v>
      </c>
    </row>
    <row r="7754" spans="2:34" x14ac:dyDescent="0.2">
      <c r="B7754" s="2">
        <f ca="1"/>
        <v>0.87945797557170824</v>
      </c>
      <c r="O7754" s="2">
        <f ca="1"/>
        <v>-5.1856177378305716E-2</v>
      </c>
      <c r="X7754" s="2">
        <f ca="1"/>
        <v>50.730951495542243</v>
      </c>
      <c r="AG7754" s="2">
        <f ca="1"/>
        <v>0.66471175562442264</v>
      </c>
      <c r="AH7754" s="2" t="str">
        <f ca="1"/>
        <v>Bad</v>
      </c>
    </row>
    <row r="7755" spans="2:34" x14ac:dyDescent="0.2">
      <c r="B7755" s="2">
        <f ca="1"/>
        <v>0.53457699518023083</v>
      </c>
      <c r="O7755" s="2">
        <f ca="1"/>
        <v>-0.33843709690836399</v>
      </c>
      <c r="X7755" s="2">
        <f ca="1"/>
        <v>33.663005827288359</v>
      </c>
      <c r="AG7755" s="2">
        <f ca="1"/>
        <v>0.53561263361340505</v>
      </c>
      <c r="AH7755" s="2" t="str">
        <f ca="1"/>
        <v>Bad</v>
      </c>
    </row>
    <row r="7756" spans="2:34" x14ac:dyDescent="0.2">
      <c r="B7756" s="2">
        <f ca="1"/>
        <v>0.77859108937565269</v>
      </c>
      <c r="O7756" s="2">
        <f ca="1"/>
        <v>1.7503043708649799</v>
      </c>
      <c r="X7756" s="2">
        <f ca="1"/>
        <v>46.225393532766049</v>
      </c>
      <c r="AG7756" s="2">
        <f ca="1"/>
        <v>0.7165573383207029</v>
      </c>
      <c r="AH7756" s="2" t="str">
        <f ca="1"/>
        <v>Bad</v>
      </c>
    </row>
    <row r="7757" spans="2:34" x14ac:dyDescent="0.2">
      <c r="B7757" s="2">
        <f ca="1"/>
        <v>0.48414704269369624</v>
      </c>
      <c r="O7757" s="2">
        <f ca="1"/>
        <v>-1.4337343312789581</v>
      </c>
      <c r="X7757" s="2">
        <f ca="1"/>
        <v>53.263141057381901</v>
      </c>
      <c r="AG7757" s="2">
        <f ca="1"/>
        <v>0.46706038638993008</v>
      </c>
      <c r="AH7757" s="2" t="str">
        <f ca="1"/>
        <v>Bad</v>
      </c>
    </row>
    <row r="7758" spans="2:34" x14ac:dyDescent="0.2">
      <c r="B7758" s="2">
        <f ca="1"/>
        <v>0.7706545999925456</v>
      </c>
      <c r="O7758" s="2">
        <f ca="1"/>
        <v>-0.57435587825633816</v>
      </c>
      <c r="X7758" s="2">
        <f ca="1"/>
        <v>49.867851826693567</v>
      </c>
      <c r="AG7758" s="2">
        <f ca="1"/>
        <v>0.32574882541053007</v>
      </c>
      <c r="AH7758" s="2" t="str">
        <f ca="1"/>
        <v>OK</v>
      </c>
    </row>
    <row r="7759" spans="2:34" x14ac:dyDescent="0.2">
      <c r="B7759" s="2">
        <f ca="1"/>
        <v>0.26711288174887216</v>
      </c>
      <c r="O7759" s="2">
        <f ca="1"/>
        <v>0.98469018474961056</v>
      </c>
      <c r="X7759" s="2">
        <f ca="1"/>
        <v>32.493492999505428</v>
      </c>
      <c r="AG7759" s="2">
        <f ca="1"/>
        <v>0.49595357131218942</v>
      </c>
      <c r="AH7759" s="2" t="str">
        <f ca="1"/>
        <v>Bad</v>
      </c>
    </row>
    <row r="7760" spans="2:34" x14ac:dyDescent="0.2">
      <c r="B7760" s="2">
        <f ca="1"/>
        <v>0.5221366118687325</v>
      </c>
      <c r="O7760" s="2">
        <f ca="1"/>
        <v>0.87411861568863647</v>
      </c>
      <c r="X7760" s="2">
        <f ca="1"/>
        <v>67.310312969587997</v>
      </c>
      <c r="AG7760" s="2">
        <f ca="1"/>
        <v>0.11246965479134441</v>
      </c>
      <c r="AH7760" s="2" t="str">
        <f ca="1"/>
        <v>OK</v>
      </c>
    </row>
    <row r="7761" spans="2:34" x14ac:dyDescent="0.2">
      <c r="B7761" s="2">
        <f ca="1"/>
        <v>2.2127806096504887E-2</v>
      </c>
      <c r="O7761" s="2">
        <f ca="1"/>
        <v>-0.58444812435116245</v>
      </c>
      <c r="X7761" s="2">
        <f ca="1"/>
        <v>37.177648360210569</v>
      </c>
      <c r="AG7761" s="2">
        <f ca="1"/>
        <v>0.17504794150093828</v>
      </c>
      <c r="AH7761" s="2" t="str">
        <f ca="1"/>
        <v>OK</v>
      </c>
    </row>
    <row r="7762" spans="2:34" x14ac:dyDescent="0.2">
      <c r="B7762" s="2">
        <f ca="1"/>
        <v>0.21300103181068852</v>
      </c>
      <c r="O7762" s="2">
        <f ca="1"/>
        <v>-0.94967005604710042</v>
      </c>
      <c r="X7762" s="2">
        <f ca="1"/>
        <v>65.469521383712632</v>
      </c>
      <c r="AG7762" s="2">
        <f ca="1"/>
        <v>0.75362563140895689</v>
      </c>
      <c r="AH7762" s="2" t="str">
        <f ca="1"/>
        <v>Bad</v>
      </c>
    </row>
    <row r="7763" spans="2:34" x14ac:dyDescent="0.2">
      <c r="B7763" s="2">
        <f ca="1"/>
        <v>0.67030342988249991</v>
      </c>
      <c r="O7763" s="2">
        <f ca="1"/>
        <v>0.5772197822117735</v>
      </c>
      <c r="X7763" s="2">
        <f ca="1"/>
        <v>53.83581068452402</v>
      </c>
      <c r="AG7763" s="2">
        <f ca="1"/>
        <v>4.0627731863771332E-2</v>
      </c>
      <c r="AH7763" s="2" t="str">
        <f ca="1"/>
        <v>Good</v>
      </c>
    </row>
    <row r="7764" spans="2:34" x14ac:dyDescent="0.2">
      <c r="B7764" s="2">
        <f ca="1"/>
        <v>0.66030131595095343</v>
      </c>
      <c r="O7764" s="2">
        <f ca="1"/>
        <v>-1.7458026582540878E-2</v>
      </c>
      <c r="X7764" s="2">
        <f ca="1"/>
        <v>46.500693155515492</v>
      </c>
      <c r="AG7764" s="2">
        <f ca="1"/>
        <v>0.37545422993771282</v>
      </c>
      <c r="AH7764" s="2" t="str">
        <f ca="1"/>
        <v>OK</v>
      </c>
    </row>
    <row r="7765" spans="2:34" x14ac:dyDescent="0.2">
      <c r="B7765" s="2">
        <f ca="1"/>
        <v>0.42048282613894505</v>
      </c>
      <c r="O7765" s="2">
        <f ca="1"/>
        <v>1.2353358634588947</v>
      </c>
      <c r="X7765" s="2">
        <f ca="1"/>
        <v>49.60277355848887</v>
      </c>
      <c r="AG7765" s="2">
        <f ca="1"/>
        <v>0.78411915718867942</v>
      </c>
      <c r="AH7765" s="2" t="str">
        <f ca="1"/>
        <v>Bad</v>
      </c>
    </row>
    <row r="7766" spans="2:34" x14ac:dyDescent="0.2">
      <c r="B7766" s="2">
        <f ca="1"/>
        <v>0.9136533531719544</v>
      </c>
      <c r="O7766" s="2">
        <f ca="1"/>
        <v>-0.64079623067454139</v>
      </c>
      <c r="X7766" s="2">
        <f ca="1"/>
        <v>39.169586857253478</v>
      </c>
      <c r="AG7766" s="2">
        <f ca="1"/>
        <v>0.56477599622834118</v>
      </c>
      <c r="AH7766" s="2" t="str">
        <f ca="1"/>
        <v>Bad</v>
      </c>
    </row>
    <row r="7767" spans="2:34" x14ac:dyDescent="0.2">
      <c r="B7767" s="2">
        <f ca="1"/>
        <v>0.4912607659887045</v>
      </c>
      <c r="O7767" s="2">
        <f ca="1"/>
        <v>-0.6823284446877651</v>
      </c>
      <c r="X7767" s="2">
        <f ca="1"/>
        <v>29.828529691199428</v>
      </c>
      <c r="AG7767" s="2">
        <f ca="1"/>
        <v>0.47251986450002481</v>
      </c>
      <c r="AH7767" s="2" t="str">
        <f ca="1"/>
        <v>Bad</v>
      </c>
    </row>
    <row r="7768" spans="2:34" x14ac:dyDescent="0.2">
      <c r="B7768" s="2">
        <f ca="1"/>
        <v>0.22511574996599837</v>
      </c>
      <c r="O7768" s="2">
        <f ca="1"/>
        <v>-0.99936005245452753</v>
      </c>
      <c r="X7768" s="2">
        <f ca="1"/>
        <v>43.131477851737515</v>
      </c>
      <c r="AG7768" s="2">
        <f ca="1"/>
        <v>0.77486669807782538</v>
      </c>
      <c r="AH7768" s="2" t="str">
        <f ca="1"/>
        <v>Bad</v>
      </c>
    </row>
    <row r="7769" spans="2:34" x14ac:dyDescent="0.2">
      <c r="B7769" s="2">
        <f ca="1"/>
        <v>0.23960390381571384</v>
      </c>
      <c r="O7769" s="2">
        <f ca="1"/>
        <v>-8.6516830579278156E-2</v>
      </c>
      <c r="X7769" s="2">
        <f ca="1"/>
        <v>37.933724223208969</v>
      </c>
      <c r="AG7769" s="2">
        <f ca="1"/>
        <v>0.10678748356904277</v>
      </c>
      <c r="AH7769" s="2" t="str">
        <f ca="1"/>
        <v>OK</v>
      </c>
    </row>
    <row r="7770" spans="2:34" x14ac:dyDescent="0.2">
      <c r="B7770" s="2">
        <f ca="1"/>
        <v>0.95141696803870146</v>
      </c>
      <c r="O7770" s="2">
        <f ca="1"/>
        <v>0.40672293222722788</v>
      </c>
      <c r="X7770" s="2">
        <f ca="1"/>
        <v>71.318637355277303</v>
      </c>
      <c r="AG7770" s="2">
        <f ca="1"/>
        <v>0.36186003502438724</v>
      </c>
      <c r="AH7770" s="2" t="str">
        <f ca="1"/>
        <v>OK</v>
      </c>
    </row>
    <row r="7771" spans="2:34" x14ac:dyDescent="0.2">
      <c r="B7771" s="2">
        <f ca="1"/>
        <v>0.8838441562628323</v>
      </c>
      <c r="O7771" s="2">
        <f ca="1"/>
        <v>-2.217611650162334</v>
      </c>
      <c r="X7771" s="2">
        <f ca="1"/>
        <v>48.701174321998472</v>
      </c>
      <c r="AG7771" s="2">
        <f ca="1"/>
        <v>0.99695713198174118</v>
      </c>
      <c r="AH7771" s="2" t="str">
        <f ca="1"/>
        <v>Bad</v>
      </c>
    </row>
    <row r="7772" spans="2:34" x14ac:dyDescent="0.2">
      <c r="B7772" s="2">
        <f ca="1"/>
        <v>0.57155225354267292</v>
      </c>
      <c r="O7772" s="2">
        <f ca="1"/>
        <v>-0.76771850787156304</v>
      </c>
      <c r="X7772" s="2">
        <f ca="1"/>
        <v>45.335477376866926</v>
      </c>
      <c r="AG7772" s="2">
        <f ca="1"/>
        <v>0.68774703741881149</v>
      </c>
      <c r="AH7772" s="2" t="str">
        <f ca="1"/>
        <v>Bad</v>
      </c>
    </row>
    <row r="7773" spans="2:34" x14ac:dyDescent="0.2">
      <c r="B7773" s="2">
        <f ca="1"/>
        <v>5.8625184584153445E-2</v>
      </c>
      <c r="O7773" s="2">
        <f ca="1"/>
        <v>0.90905077435697013</v>
      </c>
      <c r="X7773" s="2">
        <f ca="1"/>
        <v>43.613594427642326</v>
      </c>
      <c r="AG7773" s="2">
        <f ca="1"/>
        <v>0.89833006184554676</v>
      </c>
      <c r="AH7773" s="2" t="str">
        <f ca="1"/>
        <v>Bad</v>
      </c>
    </row>
    <row r="7774" spans="2:34" x14ac:dyDescent="0.2">
      <c r="B7774" s="2">
        <f ca="1"/>
        <v>0.36109198136927145</v>
      </c>
      <c r="O7774" s="2">
        <f ca="1"/>
        <v>1.1744420367874278</v>
      </c>
      <c r="X7774" s="2">
        <f ca="1"/>
        <v>45.855018031607969</v>
      </c>
      <c r="AG7774" s="2">
        <f ca="1"/>
        <v>0.82870349662553666</v>
      </c>
      <c r="AH7774" s="2" t="str">
        <f ca="1"/>
        <v>Bad</v>
      </c>
    </row>
    <row r="7775" spans="2:34" x14ac:dyDescent="0.2">
      <c r="B7775" s="2">
        <f ca="1"/>
        <v>8.8209813725457886E-2</v>
      </c>
      <c r="O7775" s="2">
        <f ca="1"/>
        <v>9.8507920137281851E-2</v>
      </c>
      <c r="X7775" s="2">
        <f ca="1"/>
        <v>34.162440836514044</v>
      </c>
      <c r="AG7775" s="2">
        <f ca="1"/>
        <v>0.52426470923322865</v>
      </c>
      <c r="AH7775" s="2" t="str">
        <f ca="1"/>
        <v>Bad</v>
      </c>
    </row>
    <row r="7776" spans="2:34" x14ac:dyDescent="0.2">
      <c r="B7776" s="2">
        <f ca="1"/>
        <v>0.6623823981789112</v>
      </c>
      <c r="O7776" s="2">
        <f ca="1"/>
        <v>0.29478305695012341</v>
      </c>
      <c r="X7776" s="2">
        <f ca="1"/>
        <v>52.106518575787966</v>
      </c>
      <c r="AG7776" s="2">
        <f ca="1"/>
        <v>6.3009401876840787E-2</v>
      </c>
      <c r="AH7776" s="2" t="str">
        <f ca="1"/>
        <v>OK</v>
      </c>
    </row>
    <row r="7777" spans="2:34" x14ac:dyDescent="0.2">
      <c r="B7777" s="2">
        <f ca="1"/>
        <v>0.5008615095618365</v>
      </c>
      <c r="O7777" s="2">
        <f ca="1"/>
        <v>3.5781140662926182E-2</v>
      </c>
      <c r="X7777" s="2">
        <f ca="1"/>
        <v>49.614354604034247</v>
      </c>
      <c r="AG7777" s="2">
        <f ca="1"/>
        <v>0.87280966964537865</v>
      </c>
      <c r="AH7777" s="2" t="str">
        <f ca="1"/>
        <v>Bad</v>
      </c>
    </row>
    <row r="7778" spans="2:34" x14ac:dyDescent="0.2">
      <c r="B7778" s="2">
        <f ca="1"/>
        <v>0.1904457843291516</v>
      </c>
      <c r="O7778" s="2">
        <f ca="1"/>
        <v>-0.69637568402116801</v>
      </c>
      <c r="X7778" s="2">
        <f ca="1"/>
        <v>57.229468732581559</v>
      </c>
      <c r="AG7778" s="2">
        <f ca="1"/>
        <v>0.56532944359181614</v>
      </c>
      <c r="AH7778" s="2" t="str">
        <f ca="1"/>
        <v>Bad</v>
      </c>
    </row>
    <row r="7779" spans="2:34" x14ac:dyDescent="0.2">
      <c r="B7779" s="2">
        <f ca="1"/>
        <v>0.58270872288890763</v>
      </c>
      <c r="O7779" s="2">
        <f ca="1"/>
        <v>0.45555207125484054</v>
      </c>
      <c r="X7779" s="2">
        <f ca="1"/>
        <v>30.139064452392226</v>
      </c>
      <c r="AG7779" s="2">
        <f ca="1"/>
        <v>0.99463969554464327</v>
      </c>
      <c r="AH7779" s="2" t="str">
        <f ca="1"/>
        <v>Bad</v>
      </c>
    </row>
    <row r="7780" spans="2:34" x14ac:dyDescent="0.2">
      <c r="B7780" s="2">
        <f ca="1"/>
        <v>6.1013035266572091E-2</v>
      </c>
      <c r="O7780" s="2">
        <f ca="1"/>
        <v>0.49244993238791784</v>
      </c>
      <c r="X7780" s="2">
        <f ca="1"/>
        <v>39.281831150518485</v>
      </c>
      <c r="AG7780" s="2">
        <f ca="1"/>
        <v>0.14244396938247728</v>
      </c>
      <c r="AH7780" s="2" t="str">
        <f ca="1"/>
        <v>OK</v>
      </c>
    </row>
    <row r="7781" spans="2:34" x14ac:dyDescent="0.2">
      <c r="B7781" s="2">
        <f ca="1"/>
        <v>0.9462921734802916</v>
      </c>
      <c r="O7781" s="2">
        <f ca="1"/>
        <v>-0.12336376289651875</v>
      </c>
      <c r="X7781" s="2">
        <f ca="1"/>
        <v>59.496580618486234</v>
      </c>
      <c r="AG7781" s="2">
        <f ca="1"/>
        <v>0.17914885590902085</v>
      </c>
      <c r="AH7781" s="2" t="str">
        <f ca="1"/>
        <v>OK</v>
      </c>
    </row>
    <row r="7782" spans="2:34" x14ac:dyDescent="0.2">
      <c r="B7782" s="2">
        <f ca="1"/>
        <v>0.18184377460283518</v>
      </c>
      <c r="O7782" s="2">
        <f ca="1"/>
        <v>-0.30282759532394338</v>
      </c>
      <c r="X7782" s="2">
        <f ca="1"/>
        <v>50.014150871767654</v>
      </c>
      <c r="AG7782" s="2">
        <f ca="1"/>
        <v>0.95601677621069991</v>
      </c>
      <c r="AH7782" s="2" t="str">
        <f ca="1"/>
        <v>Bad</v>
      </c>
    </row>
    <row r="7783" spans="2:34" x14ac:dyDescent="0.2">
      <c r="B7783" s="2">
        <f ca="1"/>
        <v>0.3486245172880722</v>
      </c>
      <c r="O7783" s="2">
        <f ca="1"/>
        <v>0.61945570382275084</v>
      </c>
      <c r="X7783" s="2">
        <f ca="1"/>
        <v>104.828439447417</v>
      </c>
      <c r="AG7783" s="2">
        <f ca="1"/>
        <v>0.95629260477786526</v>
      </c>
      <c r="AH7783" s="2" t="str">
        <f ca="1"/>
        <v>Bad</v>
      </c>
    </row>
    <row r="7784" spans="2:34" x14ac:dyDescent="0.2">
      <c r="B7784" s="2">
        <f ca="1"/>
        <v>0.55484741880971389</v>
      </c>
      <c r="O7784" s="2">
        <f ca="1"/>
        <v>-1.1628685372866376</v>
      </c>
      <c r="X7784" s="2">
        <f ca="1"/>
        <v>54.843458343796307</v>
      </c>
      <c r="AG7784" s="2">
        <f ca="1"/>
        <v>0.99534185331446534</v>
      </c>
      <c r="AH7784" s="2" t="str">
        <f ca="1"/>
        <v>Bad</v>
      </c>
    </row>
    <row r="7785" spans="2:34" x14ac:dyDescent="0.2">
      <c r="B7785" s="2">
        <f ca="1"/>
        <v>0.45186082071544353</v>
      </c>
      <c r="O7785" s="2">
        <f ca="1"/>
        <v>1.1437112161407708</v>
      </c>
      <c r="X7785" s="2">
        <f ca="1"/>
        <v>36.079821350581589</v>
      </c>
      <c r="AG7785" s="2">
        <f ca="1"/>
        <v>0.56789264069666756</v>
      </c>
      <c r="AH7785" s="2" t="str">
        <f ca="1"/>
        <v>Bad</v>
      </c>
    </row>
    <row r="7786" spans="2:34" x14ac:dyDescent="0.2">
      <c r="B7786" s="2">
        <f ca="1"/>
        <v>0.97609474833067411</v>
      </c>
      <c r="O7786" s="2">
        <f ca="1"/>
        <v>-0.6525304010493147</v>
      </c>
      <c r="X7786" s="2">
        <f ca="1"/>
        <v>53.830978316570722</v>
      </c>
      <c r="AG7786" s="2">
        <f ca="1"/>
        <v>0.81161998237502897</v>
      </c>
      <c r="AH7786" s="2" t="str">
        <f ca="1"/>
        <v>Bad</v>
      </c>
    </row>
    <row r="7787" spans="2:34" x14ac:dyDescent="0.2">
      <c r="B7787" s="2">
        <f ca="1"/>
        <v>0.4344408726342408</v>
      </c>
      <c r="O7787" s="2">
        <f ca="1"/>
        <v>0.18014469057599422</v>
      </c>
      <c r="X7787" s="2">
        <f ca="1"/>
        <v>41.400195666874112</v>
      </c>
      <c r="AG7787" s="2">
        <f ca="1"/>
        <v>0.96276114680092384</v>
      </c>
      <c r="AH7787" s="2" t="str">
        <f ca="1"/>
        <v>Bad</v>
      </c>
    </row>
    <row r="7788" spans="2:34" x14ac:dyDescent="0.2">
      <c r="B7788" s="2">
        <f ca="1"/>
        <v>0.53453667755644352</v>
      </c>
      <c r="O7788" s="2">
        <f ca="1"/>
        <v>-1.2830985598797546</v>
      </c>
      <c r="X7788" s="2">
        <f ca="1"/>
        <v>31.950182084221339</v>
      </c>
      <c r="AG7788" s="2">
        <f ca="1"/>
        <v>0.2939010198672376</v>
      </c>
      <c r="AH7788" s="2" t="str">
        <f ca="1"/>
        <v>OK</v>
      </c>
    </row>
    <row r="7789" spans="2:34" x14ac:dyDescent="0.2">
      <c r="B7789" s="2">
        <f ca="1"/>
        <v>0.66164262477035973</v>
      </c>
      <c r="O7789" s="2">
        <f ca="1"/>
        <v>0.8444145627740689</v>
      </c>
      <c r="X7789" s="2">
        <f ca="1"/>
        <v>35.180199033461854</v>
      </c>
      <c r="AG7789" s="2">
        <f ca="1"/>
        <v>0.12268025691392781</v>
      </c>
      <c r="AH7789" s="2" t="str">
        <f ca="1"/>
        <v>OK</v>
      </c>
    </row>
    <row r="7790" spans="2:34" x14ac:dyDescent="0.2">
      <c r="B7790" s="2">
        <f ca="1"/>
        <v>0.35796948157231268</v>
      </c>
      <c r="O7790" s="2">
        <f ca="1"/>
        <v>1.2053269887192957</v>
      </c>
      <c r="X7790" s="2">
        <f ca="1"/>
        <v>46.263443874902407</v>
      </c>
      <c r="AG7790" s="2">
        <f ca="1"/>
        <v>0.6202353302383723</v>
      </c>
      <c r="AH7790" s="2" t="str">
        <f ca="1"/>
        <v>Bad</v>
      </c>
    </row>
    <row r="7791" spans="2:34" x14ac:dyDescent="0.2">
      <c r="B7791" s="2">
        <f ca="1"/>
        <v>0.75580393147642755</v>
      </c>
      <c r="O7791" s="2">
        <f ca="1"/>
        <v>0.7229209078525074</v>
      </c>
      <c r="X7791" s="2">
        <f ca="1"/>
        <v>60.376282865277602</v>
      </c>
      <c r="AG7791" s="2">
        <f ca="1"/>
        <v>0.36927460732458561</v>
      </c>
      <c r="AH7791" s="2" t="str">
        <f ca="1"/>
        <v>OK</v>
      </c>
    </row>
    <row r="7792" spans="2:34" x14ac:dyDescent="0.2">
      <c r="B7792" s="2">
        <f ca="1"/>
        <v>0.31263994973260423</v>
      </c>
      <c r="O7792" s="2">
        <f ca="1"/>
        <v>-1.1120498344685352</v>
      </c>
      <c r="X7792" s="2">
        <f ca="1"/>
        <v>45.009563788203472</v>
      </c>
      <c r="AG7792" s="2">
        <f ca="1"/>
        <v>0.36018684388490496</v>
      </c>
      <c r="AH7792" s="2" t="str">
        <f ca="1"/>
        <v>OK</v>
      </c>
    </row>
    <row r="7793" spans="2:34" x14ac:dyDescent="0.2">
      <c r="B7793" s="2">
        <f ca="1"/>
        <v>0.54344848736375151</v>
      </c>
      <c r="O7793" s="2">
        <f ca="1"/>
        <v>-0.46752086587482072</v>
      </c>
      <c r="X7793" s="2">
        <f ca="1"/>
        <v>46.954884693548834</v>
      </c>
      <c r="AG7793" s="2">
        <f ca="1"/>
        <v>0.73823397962063986</v>
      </c>
      <c r="AH7793" s="2" t="str">
        <f ca="1"/>
        <v>Bad</v>
      </c>
    </row>
    <row r="7794" spans="2:34" x14ac:dyDescent="0.2">
      <c r="B7794" s="2">
        <f ca="1"/>
        <v>0.77079540539541869</v>
      </c>
      <c r="O7794" s="2">
        <f ca="1"/>
        <v>-1.7232393913400075</v>
      </c>
      <c r="X7794" s="2">
        <f ca="1"/>
        <v>68.962900148546993</v>
      </c>
      <c r="AG7794" s="2">
        <f ca="1"/>
        <v>0.23738354000604445</v>
      </c>
      <c r="AH7794" s="2" t="str">
        <f ca="1"/>
        <v>OK</v>
      </c>
    </row>
    <row r="7795" spans="2:34" x14ac:dyDescent="0.2">
      <c r="B7795" s="2">
        <f ca="1"/>
        <v>0.89279213433747406</v>
      </c>
      <c r="O7795" s="2">
        <f ca="1"/>
        <v>0.23344734569482936</v>
      </c>
      <c r="X7795" s="2">
        <f ca="1"/>
        <v>56.867970213917154</v>
      </c>
      <c r="AG7795" s="2">
        <f ca="1"/>
        <v>0.41937966231003876</v>
      </c>
      <c r="AH7795" s="2" t="str">
        <f ca="1"/>
        <v>Bad</v>
      </c>
    </row>
    <row r="7796" spans="2:34" x14ac:dyDescent="0.2">
      <c r="B7796" s="2">
        <f ca="1"/>
        <v>0.34939384201233081</v>
      </c>
      <c r="O7796" s="2">
        <f ca="1"/>
        <v>-0.53200276948284153</v>
      </c>
      <c r="X7796" s="2">
        <f ca="1"/>
        <v>42.471210787873375</v>
      </c>
      <c r="AG7796" s="2">
        <f ca="1"/>
        <v>0.63947423388104152</v>
      </c>
      <c r="AH7796" s="2" t="str">
        <f ca="1"/>
        <v>Bad</v>
      </c>
    </row>
    <row r="7797" spans="2:34" x14ac:dyDescent="0.2">
      <c r="B7797" s="2">
        <f ca="1"/>
        <v>0.58307708490745647</v>
      </c>
      <c r="O7797" s="2">
        <f ca="1"/>
        <v>1.4205033371159694</v>
      </c>
      <c r="X7797" s="2">
        <f ca="1"/>
        <v>69.370734736725652</v>
      </c>
      <c r="AG7797" s="2">
        <f ca="1"/>
        <v>5.9115887174777448E-2</v>
      </c>
      <c r="AH7797" s="2" t="str">
        <f ca="1"/>
        <v>OK</v>
      </c>
    </row>
    <row r="7798" spans="2:34" x14ac:dyDescent="0.2">
      <c r="B7798" s="2">
        <f ca="1"/>
        <v>0.43250222137753824</v>
      </c>
      <c r="O7798" s="2">
        <f ca="1"/>
        <v>0.9932738308610638</v>
      </c>
      <c r="X7798" s="2">
        <f ca="1"/>
        <v>35.61352309764878</v>
      </c>
      <c r="AG7798" s="2">
        <f ca="1"/>
        <v>0.16260822752424109</v>
      </c>
      <c r="AH7798" s="2" t="str">
        <f ca="1"/>
        <v>OK</v>
      </c>
    </row>
    <row r="7799" spans="2:34" x14ac:dyDescent="0.2">
      <c r="B7799" s="2">
        <f ca="1"/>
        <v>0.37195255743020117</v>
      </c>
      <c r="O7799" s="2">
        <f ca="1"/>
        <v>-0.19374015393793559</v>
      </c>
      <c r="X7799" s="2">
        <f ca="1"/>
        <v>118.38061516500287</v>
      </c>
      <c r="AG7799" s="2">
        <f ca="1"/>
        <v>0.4066861533576045</v>
      </c>
      <c r="AH7799" s="2" t="str">
        <f ca="1"/>
        <v>Bad</v>
      </c>
    </row>
    <row r="7800" spans="2:34" x14ac:dyDescent="0.2">
      <c r="B7800" s="2">
        <f ca="1"/>
        <v>0.18940569450634115</v>
      </c>
      <c r="O7800" s="2">
        <f ca="1"/>
        <v>9.1560174879400005E-2</v>
      </c>
      <c r="X7800" s="2">
        <f ca="1"/>
        <v>63.180127563768522</v>
      </c>
      <c r="AG7800" s="2">
        <f ca="1"/>
        <v>0.47844081168173003</v>
      </c>
      <c r="AH7800" s="2" t="str">
        <f ca="1"/>
        <v>Bad</v>
      </c>
    </row>
    <row r="7801" spans="2:34" x14ac:dyDescent="0.2">
      <c r="B7801" s="2">
        <f ca="1"/>
        <v>0.12128221024970953</v>
      </c>
      <c r="O7801" s="2">
        <f ca="1"/>
        <v>-1.1024927724794022</v>
      </c>
      <c r="X7801" s="2">
        <f ca="1"/>
        <v>45.995759255399264</v>
      </c>
      <c r="AG7801" s="2">
        <f ca="1"/>
        <v>0.98959259512385711</v>
      </c>
      <c r="AH7801" s="2" t="str">
        <f ca="1"/>
        <v>Bad</v>
      </c>
    </row>
    <row r="7802" spans="2:34" x14ac:dyDescent="0.2">
      <c r="B7802" s="2">
        <f ca="1"/>
        <v>0.89059004818212761</v>
      </c>
      <c r="O7802" s="2">
        <f ca="1"/>
        <v>-0.39903354506725947</v>
      </c>
      <c r="X7802" s="2">
        <f ca="1"/>
        <v>55.375686960942694</v>
      </c>
      <c r="AG7802" s="2">
        <f ca="1"/>
        <v>0.29287117487546088</v>
      </c>
      <c r="AH7802" s="2" t="str">
        <f ca="1"/>
        <v>OK</v>
      </c>
    </row>
    <row r="7803" spans="2:34" x14ac:dyDescent="0.2">
      <c r="B7803" s="2">
        <f ca="1"/>
        <v>0.47863880915972068</v>
      </c>
      <c r="O7803" s="2">
        <f ca="1"/>
        <v>-0.98375219384395718</v>
      </c>
      <c r="X7803" s="2">
        <f ca="1"/>
        <v>72.388618942901502</v>
      </c>
      <c r="AG7803" s="2">
        <f ca="1"/>
        <v>5.1154147615255274E-2</v>
      </c>
      <c r="AH7803" s="2" t="str">
        <f ca="1"/>
        <v>OK</v>
      </c>
    </row>
    <row r="7804" spans="2:34" x14ac:dyDescent="0.2">
      <c r="B7804" s="2">
        <f ca="1"/>
        <v>0.13011790579010407</v>
      </c>
      <c r="O7804" s="2">
        <f ca="1"/>
        <v>-0.32355802221563246</v>
      </c>
      <c r="X7804" s="2">
        <f ca="1"/>
        <v>30.36908587869268</v>
      </c>
      <c r="AG7804" s="2">
        <f ca="1"/>
        <v>0.72069121791474489</v>
      </c>
      <c r="AH7804" s="2" t="str">
        <f ca="1"/>
        <v>Bad</v>
      </c>
    </row>
    <row r="7805" spans="2:34" x14ac:dyDescent="0.2">
      <c r="B7805" s="2">
        <f ca="1"/>
        <v>0.30510844160696915</v>
      </c>
      <c r="O7805" s="2">
        <f ca="1"/>
        <v>-1.5875006948860402</v>
      </c>
      <c r="X7805" s="2">
        <f ca="1"/>
        <v>67.412004835457623</v>
      </c>
      <c r="AG7805" s="2">
        <f ca="1"/>
        <v>0.32035580930815066</v>
      </c>
      <c r="AH7805" s="2" t="str">
        <f ca="1"/>
        <v>OK</v>
      </c>
    </row>
    <row r="7806" spans="2:34" x14ac:dyDescent="0.2">
      <c r="B7806" s="2">
        <f ca="1"/>
        <v>0.90322027395722726</v>
      </c>
      <c r="O7806" s="2">
        <f ca="1"/>
        <v>0.1366675805638837</v>
      </c>
      <c r="X7806" s="2">
        <f ca="1"/>
        <v>36.043259301462029</v>
      </c>
      <c r="AG7806" s="2">
        <f ca="1"/>
        <v>0.43846576129963144</v>
      </c>
      <c r="AH7806" s="2" t="str">
        <f ca="1"/>
        <v>Bad</v>
      </c>
    </row>
    <row r="7807" spans="2:34" x14ac:dyDescent="0.2">
      <c r="B7807" s="2">
        <f ca="1"/>
        <v>0.59637378117105988</v>
      </c>
      <c r="O7807" s="2">
        <f ca="1"/>
        <v>1.9967225071405719</v>
      </c>
      <c r="X7807" s="2">
        <f ca="1"/>
        <v>54.641063977584309</v>
      </c>
      <c r="AG7807" s="2">
        <f ca="1"/>
        <v>0.87202865151734565</v>
      </c>
      <c r="AH7807" s="2" t="str">
        <f ca="1"/>
        <v>Bad</v>
      </c>
    </row>
    <row r="7808" spans="2:34" x14ac:dyDescent="0.2">
      <c r="B7808" s="2">
        <f ca="1"/>
        <v>6.3390714773725598E-3</v>
      </c>
      <c r="O7808" s="2">
        <f ca="1"/>
        <v>0.95472998328754299</v>
      </c>
      <c r="X7808" s="2">
        <f ca="1"/>
        <v>33.294917673684495</v>
      </c>
      <c r="AG7808" s="2">
        <f ca="1"/>
        <v>0.84159383766383322</v>
      </c>
      <c r="AH7808" s="2" t="str">
        <f ca="1"/>
        <v>Bad</v>
      </c>
    </row>
    <row r="7809" spans="2:34" x14ac:dyDescent="0.2">
      <c r="B7809" s="2">
        <f ca="1"/>
        <v>0.61573886124054833</v>
      </c>
      <c r="O7809" s="2">
        <f ca="1"/>
        <v>-0.12059146281881167</v>
      </c>
      <c r="X7809" s="2">
        <f ca="1"/>
        <v>43.490699883656575</v>
      </c>
      <c r="AG7809" s="2">
        <f ca="1"/>
        <v>0.29537780849581918</v>
      </c>
      <c r="AH7809" s="2" t="str">
        <f ca="1"/>
        <v>OK</v>
      </c>
    </row>
    <row r="7810" spans="2:34" x14ac:dyDescent="0.2">
      <c r="B7810" s="2">
        <f ca="1"/>
        <v>0.33861465898433352</v>
      </c>
      <c r="O7810" s="2">
        <f ca="1"/>
        <v>-1.4746439104444913</v>
      </c>
      <c r="X7810" s="2">
        <f ca="1"/>
        <v>64.205611633779924</v>
      </c>
      <c r="AG7810" s="2">
        <f ca="1"/>
        <v>0.26081358115046527</v>
      </c>
      <c r="AH7810" s="2" t="str">
        <f ca="1"/>
        <v>OK</v>
      </c>
    </row>
    <row r="7811" spans="2:34" x14ac:dyDescent="0.2">
      <c r="B7811" s="2">
        <f ca="1"/>
        <v>0.41273632977328201</v>
      </c>
      <c r="O7811" s="2">
        <f ca="1"/>
        <v>-0.51540475105599548</v>
      </c>
      <c r="X7811" s="2">
        <f ca="1"/>
        <v>48.850703164789607</v>
      </c>
      <c r="AG7811" s="2">
        <f ca="1"/>
        <v>0.95404418068828467</v>
      </c>
      <c r="AH7811" s="2" t="str">
        <f ca="1"/>
        <v>Bad</v>
      </c>
    </row>
    <row r="7812" spans="2:34" x14ac:dyDescent="0.2">
      <c r="B7812" s="2">
        <f ca="1"/>
        <v>0.97734832390865622</v>
      </c>
      <c r="O7812" s="2">
        <f ca="1"/>
        <v>1.3050060104474619</v>
      </c>
      <c r="X7812" s="2">
        <f ca="1"/>
        <v>64.162596277175695</v>
      </c>
      <c r="AG7812" s="2">
        <f ca="1"/>
        <v>0.25078864950677793</v>
      </c>
      <c r="AH7812" s="2" t="str">
        <f ca="1"/>
        <v>OK</v>
      </c>
    </row>
    <row r="7813" spans="2:34" x14ac:dyDescent="0.2">
      <c r="B7813" s="2">
        <f ca="1"/>
        <v>0.69232804542883053</v>
      </c>
      <c r="O7813" s="2">
        <f ca="1"/>
        <v>-0.85148501956860678</v>
      </c>
      <c r="X7813" s="2">
        <f ca="1"/>
        <v>73.965965343862308</v>
      </c>
      <c r="AG7813" s="2">
        <f ca="1"/>
        <v>9.0339653250055996E-2</v>
      </c>
      <c r="AH7813" s="2" t="str">
        <f ca="1"/>
        <v>OK</v>
      </c>
    </row>
    <row r="7814" spans="2:34" x14ac:dyDescent="0.2">
      <c r="B7814" s="2">
        <f ca="1"/>
        <v>7.0928618279515243E-2</v>
      </c>
      <c r="O7814" s="2">
        <f ca="1"/>
        <v>0.31346035347720419</v>
      </c>
      <c r="X7814" s="2">
        <f ca="1"/>
        <v>34.640999773154853</v>
      </c>
      <c r="AG7814" s="2">
        <f ca="1"/>
        <v>0.53778448940826262</v>
      </c>
      <c r="AH7814" s="2" t="str">
        <f ca="1"/>
        <v>Bad</v>
      </c>
    </row>
    <row r="7815" spans="2:34" x14ac:dyDescent="0.2">
      <c r="B7815" s="2">
        <f ca="1"/>
        <v>0.68227938053265547</v>
      </c>
      <c r="O7815" s="2">
        <f ca="1"/>
        <v>7.2601443860089796E-3</v>
      </c>
      <c r="X7815" s="2">
        <f ca="1"/>
        <v>43.964137346247398</v>
      </c>
      <c r="AG7815" s="2">
        <f ca="1"/>
        <v>0.71341082295353164</v>
      </c>
      <c r="AH7815" s="2" t="str">
        <f ca="1"/>
        <v>Bad</v>
      </c>
    </row>
    <row r="7816" spans="2:34" x14ac:dyDescent="0.2">
      <c r="B7816" s="2">
        <f ca="1"/>
        <v>6.3834613664894624E-2</v>
      </c>
      <c r="O7816" s="2">
        <f ca="1"/>
        <v>-0.23365181598662085</v>
      </c>
      <c r="X7816" s="2">
        <f ca="1"/>
        <v>91.245375737687638</v>
      </c>
      <c r="AG7816" s="2">
        <f ca="1"/>
        <v>0.12869107917231482</v>
      </c>
      <c r="AH7816" s="2" t="str">
        <f ca="1"/>
        <v>OK</v>
      </c>
    </row>
    <row r="7817" spans="2:34" x14ac:dyDescent="0.2">
      <c r="B7817" s="2">
        <f ca="1"/>
        <v>0.78717991170718093</v>
      </c>
      <c r="O7817" s="2">
        <f ca="1"/>
        <v>-1.3802669356743802</v>
      </c>
      <c r="X7817" s="2">
        <f ca="1"/>
        <v>27.059965069319478</v>
      </c>
      <c r="AG7817" s="2">
        <f ca="1"/>
        <v>0.44866786327411079</v>
      </c>
      <c r="AH7817" s="2" t="str">
        <f ca="1"/>
        <v>Bad</v>
      </c>
    </row>
    <row r="7818" spans="2:34" x14ac:dyDescent="0.2">
      <c r="B7818" s="2">
        <f ca="1"/>
        <v>0.74893220332709309</v>
      </c>
      <c r="O7818" s="2">
        <f ca="1"/>
        <v>9.9103599930055825E-2</v>
      </c>
      <c r="X7818" s="2">
        <f ca="1"/>
        <v>67.427163729585914</v>
      </c>
      <c r="AG7818" s="2">
        <f ca="1"/>
        <v>0.73010394338677798</v>
      </c>
      <c r="AH7818" s="2" t="str">
        <f ca="1"/>
        <v>Bad</v>
      </c>
    </row>
    <row r="7819" spans="2:34" x14ac:dyDescent="0.2">
      <c r="B7819" s="2">
        <f ca="1"/>
        <v>1.9761713677784565E-2</v>
      </c>
      <c r="O7819" s="2">
        <f ca="1"/>
        <v>-1.0989679269843398</v>
      </c>
      <c r="X7819" s="2">
        <f ca="1"/>
        <v>46.665657000109199</v>
      </c>
      <c r="AG7819" s="2">
        <f ca="1"/>
        <v>6.6664815432903257E-2</v>
      </c>
      <c r="AH7819" s="2" t="str">
        <f ca="1"/>
        <v>OK</v>
      </c>
    </row>
    <row r="7820" spans="2:34" x14ac:dyDescent="0.2">
      <c r="B7820" s="2">
        <f ca="1"/>
        <v>0.27482800898674653</v>
      </c>
      <c r="O7820" s="2">
        <f ca="1"/>
        <v>-0.95647573403012565</v>
      </c>
      <c r="X7820" s="2">
        <f ca="1"/>
        <v>38.0909872667103</v>
      </c>
      <c r="AG7820" s="2">
        <f ca="1"/>
        <v>0.62890434002439477</v>
      </c>
      <c r="AH7820" s="2" t="str">
        <f ca="1"/>
        <v>Bad</v>
      </c>
    </row>
    <row r="7821" spans="2:34" x14ac:dyDescent="0.2">
      <c r="B7821" s="2">
        <f ca="1"/>
        <v>0.86577415877998698</v>
      </c>
      <c r="O7821" s="2">
        <f ca="1"/>
        <v>-1.4788145602797067</v>
      </c>
      <c r="X7821" s="2">
        <f ca="1"/>
        <v>72.595813394884814</v>
      </c>
      <c r="AG7821" s="2">
        <f ca="1"/>
        <v>0.49295979153943059</v>
      </c>
      <c r="AH7821" s="2" t="str">
        <f ca="1"/>
        <v>Bad</v>
      </c>
    </row>
    <row r="7822" spans="2:34" x14ac:dyDescent="0.2">
      <c r="B7822" s="2">
        <f ca="1"/>
        <v>0.59334621318701442</v>
      </c>
      <c r="O7822" s="2">
        <f ca="1"/>
        <v>-0.46778472007187349</v>
      </c>
      <c r="X7822" s="2">
        <f ca="1"/>
        <v>60.332483542656647</v>
      </c>
      <c r="AG7822" s="2">
        <f ca="1"/>
        <v>0.10083258781844684</v>
      </c>
      <c r="AH7822" s="2" t="str">
        <f ca="1"/>
        <v>OK</v>
      </c>
    </row>
    <row r="7823" spans="2:34" x14ac:dyDescent="0.2">
      <c r="B7823" s="2">
        <f ca="1"/>
        <v>0.81283644438924263</v>
      </c>
      <c r="O7823" s="2">
        <f ca="1"/>
        <v>-0.52849410978247957</v>
      </c>
      <c r="X7823" s="2">
        <f ca="1"/>
        <v>64.511850167874456</v>
      </c>
      <c r="AG7823" s="2">
        <f ca="1"/>
        <v>0.8686941254548608</v>
      </c>
      <c r="AH7823" s="2" t="str">
        <f ca="1"/>
        <v>Bad</v>
      </c>
    </row>
    <row r="7824" spans="2:34" x14ac:dyDescent="0.2">
      <c r="B7824" s="2">
        <f ca="1"/>
        <v>0.95240547798339281</v>
      </c>
      <c r="O7824" s="2">
        <f ca="1"/>
        <v>0.67645600967971298</v>
      </c>
      <c r="X7824" s="2">
        <f ca="1"/>
        <v>53.49780271401211</v>
      </c>
      <c r="AG7824" s="2">
        <f ca="1"/>
        <v>0.41677918479626519</v>
      </c>
      <c r="AH7824" s="2" t="str">
        <f ca="1"/>
        <v>Bad</v>
      </c>
    </row>
    <row r="7825" spans="2:34" x14ac:dyDescent="0.2">
      <c r="B7825" s="2">
        <f ca="1"/>
        <v>0.46345974641304499</v>
      </c>
      <c r="O7825" s="2">
        <f ca="1"/>
        <v>-0.8154913402581605</v>
      </c>
      <c r="X7825" s="2">
        <f ca="1"/>
        <v>30.127442926808602</v>
      </c>
      <c r="AG7825" s="2">
        <f ca="1"/>
        <v>3.9288397184356727E-2</v>
      </c>
      <c r="AH7825" s="2" t="str">
        <f ca="1"/>
        <v>Good</v>
      </c>
    </row>
    <row r="7826" spans="2:34" x14ac:dyDescent="0.2">
      <c r="B7826" s="2">
        <f ca="1"/>
        <v>0.82447522955379449</v>
      </c>
      <c r="O7826" s="2">
        <f ca="1"/>
        <v>-0.38531609415500656</v>
      </c>
      <c r="X7826" s="2">
        <f ca="1"/>
        <v>52.12024335267688</v>
      </c>
      <c r="AG7826" s="2">
        <f ca="1"/>
        <v>0.70635668020546416</v>
      </c>
      <c r="AH7826" s="2" t="str">
        <f ca="1"/>
        <v>Bad</v>
      </c>
    </row>
    <row r="7827" spans="2:34" x14ac:dyDescent="0.2">
      <c r="B7827" s="2">
        <f ca="1"/>
        <v>0.56009093453175196</v>
      </c>
      <c r="O7827" s="2">
        <f ca="1"/>
        <v>2.2031954400082481</v>
      </c>
      <c r="X7827" s="2">
        <f ca="1"/>
        <v>61.208064263145907</v>
      </c>
      <c r="AG7827" s="2">
        <f ca="1"/>
        <v>0.55380015510554892</v>
      </c>
      <c r="AH7827" s="2" t="str">
        <f ca="1"/>
        <v>Bad</v>
      </c>
    </row>
    <row r="7828" spans="2:34" x14ac:dyDescent="0.2">
      <c r="B7828" s="2">
        <f ca="1"/>
        <v>0.7502644335755515</v>
      </c>
      <c r="O7828" s="2">
        <f ca="1"/>
        <v>-0.15121215592539392</v>
      </c>
      <c r="X7828" s="2">
        <f ca="1"/>
        <v>53.314282232683972</v>
      </c>
      <c r="AG7828" s="2">
        <f ca="1"/>
        <v>0.61353422489903986</v>
      </c>
      <c r="AH7828" s="2" t="str">
        <f ca="1"/>
        <v>Bad</v>
      </c>
    </row>
    <row r="7829" spans="2:34" x14ac:dyDescent="0.2">
      <c r="B7829" s="2">
        <f ca="1"/>
        <v>0.72741994551761979</v>
      </c>
      <c r="O7829" s="2">
        <f ca="1"/>
        <v>1.3876785739763107</v>
      </c>
      <c r="X7829" s="2">
        <f ca="1"/>
        <v>55.286756463233971</v>
      </c>
      <c r="AG7829" s="2">
        <f ca="1"/>
        <v>0.29781031430916016</v>
      </c>
      <c r="AH7829" s="2" t="str">
        <f ca="1"/>
        <v>OK</v>
      </c>
    </row>
    <row r="7830" spans="2:34" x14ac:dyDescent="0.2">
      <c r="B7830" s="2">
        <f ca="1"/>
        <v>6.9025930458995965E-2</v>
      </c>
      <c r="O7830" s="2">
        <f ca="1"/>
        <v>1.1012632013392807</v>
      </c>
      <c r="X7830" s="2">
        <f ca="1"/>
        <v>50.265348526666507</v>
      </c>
      <c r="AG7830" s="2">
        <f ca="1"/>
        <v>0.69819069799666122</v>
      </c>
      <c r="AH7830" s="2" t="str">
        <f ca="1"/>
        <v>Bad</v>
      </c>
    </row>
    <row r="7831" spans="2:34" x14ac:dyDescent="0.2">
      <c r="B7831" s="2">
        <f ca="1"/>
        <v>0.95070999902303366</v>
      </c>
      <c r="O7831" s="2">
        <f ca="1"/>
        <v>-1.4964421632735629</v>
      </c>
      <c r="X7831" s="2">
        <f ca="1"/>
        <v>45.291281672406839</v>
      </c>
      <c r="AG7831" s="2">
        <f ca="1"/>
        <v>0.86770083262161068</v>
      </c>
      <c r="AH7831" s="2" t="str">
        <f ca="1"/>
        <v>Bad</v>
      </c>
    </row>
    <row r="7832" spans="2:34" x14ac:dyDescent="0.2">
      <c r="B7832" s="2">
        <f ca="1"/>
        <v>0.26398446820134525</v>
      </c>
      <c r="O7832" s="2">
        <f ca="1"/>
        <v>3.0618939392246469</v>
      </c>
      <c r="X7832" s="2">
        <f ca="1"/>
        <v>86.05640924519264</v>
      </c>
      <c r="AG7832" s="2">
        <f ca="1"/>
        <v>0.7573272035068308</v>
      </c>
      <c r="AH7832" s="2" t="str">
        <f ca="1"/>
        <v>Bad</v>
      </c>
    </row>
    <row r="7833" spans="2:34" x14ac:dyDescent="0.2">
      <c r="B7833" s="2">
        <f ca="1"/>
        <v>0.61862422043382148</v>
      </c>
      <c r="O7833" s="2">
        <f ca="1"/>
        <v>1.3918167761821831</v>
      </c>
      <c r="X7833" s="2">
        <f ca="1"/>
        <v>90.279843770126121</v>
      </c>
      <c r="AG7833" s="2">
        <f ca="1"/>
        <v>0.55883917949596951</v>
      </c>
      <c r="AH7833" s="2" t="str">
        <f ca="1"/>
        <v>Bad</v>
      </c>
    </row>
    <row r="7834" spans="2:34" x14ac:dyDescent="0.2">
      <c r="B7834" s="2">
        <f ca="1"/>
        <v>0.92457960012663154</v>
      </c>
      <c r="O7834" s="2">
        <f ca="1"/>
        <v>-0.28328366031283853</v>
      </c>
      <c r="X7834" s="2">
        <f ca="1"/>
        <v>44.2997647690636</v>
      </c>
      <c r="AG7834" s="2">
        <f ca="1"/>
        <v>4.3044557982816478E-2</v>
      </c>
      <c r="AH7834" s="2" t="str">
        <f ca="1"/>
        <v>Good</v>
      </c>
    </row>
    <row r="7835" spans="2:34" x14ac:dyDescent="0.2">
      <c r="B7835" s="2">
        <f ca="1"/>
        <v>0.48821145830433088</v>
      </c>
      <c r="O7835" s="2">
        <f ca="1"/>
        <v>0.98632991687108929</v>
      </c>
      <c r="X7835" s="2">
        <f ca="1"/>
        <v>50.96231886937602</v>
      </c>
      <c r="AG7835" s="2">
        <f ca="1"/>
        <v>0.82755478319248987</v>
      </c>
      <c r="AH7835" s="2" t="str">
        <f ca="1"/>
        <v>Bad</v>
      </c>
    </row>
    <row r="7836" spans="2:34" x14ac:dyDescent="0.2">
      <c r="B7836" s="2">
        <f ca="1"/>
        <v>0.64902987015754499</v>
      </c>
      <c r="O7836" s="2">
        <f ca="1"/>
        <v>-0.42299165312134174</v>
      </c>
      <c r="X7836" s="2">
        <f ca="1"/>
        <v>42.74933453857215</v>
      </c>
      <c r="AG7836" s="2">
        <f ca="1"/>
        <v>0.23730574834886431</v>
      </c>
      <c r="AH7836" s="2" t="str">
        <f ca="1"/>
        <v>OK</v>
      </c>
    </row>
    <row r="7837" spans="2:34" x14ac:dyDescent="0.2">
      <c r="B7837" s="2">
        <f ca="1"/>
        <v>0.2917810002472343</v>
      </c>
      <c r="O7837" s="2">
        <f ca="1"/>
        <v>-0.86540422561667663</v>
      </c>
      <c r="X7837" s="2">
        <f ca="1"/>
        <v>35.41645469128278</v>
      </c>
      <c r="AG7837" s="2">
        <f ca="1"/>
        <v>0.16324016675692632</v>
      </c>
      <c r="AH7837" s="2" t="str">
        <f ca="1"/>
        <v>OK</v>
      </c>
    </row>
    <row r="7838" spans="2:34" x14ac:dyDescent="0.2">
      <c r="B7838" s="2">
        <f ca="1"/>
        <v>0.60295105037510899</v>
      </c>
      <c r="O7838" s="2">
        <f ca="1"/>
        <v>1.190861982250357</v>
      </c>
      <c r="X7838" s="2">
        <f ca="1"/>
        <v>68.048738221278299</v>
      </c>
      <c r="AG7838" s="2">
        <f ca="1"/>
        <v>0.65384525074088029</v>
      </c>
      <c r="AH7838" s="2" t="str">
        <f ca="1"/>
        <v>Bad</v>
      </c>
    </row>
    <row r="7839" spans="2:34" x14ac:dyDescent="0.2">
      <c r="B7839" s="2">
        <f ca="1"/>
        <v>0.66180585770397449</v>
      </c>
      <c r="O7839" s="2">
        <f ca="1"/>
        <v>0.30146650282621529</v>
      </c>
      <c r="X7839" s="2">
        <f ca="1"/>
        <v>80.426427514908681</v>
      </c>
      <c r="AG7839" s="2">
        <f ca="1"/>
        <v>0.6103066008669944</v>
      </c>
      <c r="AH7839" s="2" t="str">
        <f ca="1"/>
        <v>Bad</v>
      </c>
    </row>
    <row r="7840" spans="2:34" x14ac:dyDescent="0.2">
      <c r="B7840" s="2">
        <f ca="1"/>
        <v>0.52401233313745932</v>
      </c>
      <c r="O7840" s="2">
        <f ca="1"/>
        <v>-0.11960887321183306</v>
      </c>
      <c r="X7840" s="2">
        <f ca="1"/>
        <v>75.338237803336256</v>
      </c>
      <c r="AG7840" s="2">
        <f ca="1"/>
        <v>0.6682072508346466</v>
      </c>
      <c r="AH7840" s="2" t="str">
        <f ca="1"/>
        <v>Bad</v>
      </c>
    </row>
    <row r="7841" spans="2:34" x14ac:dyDescent="0.2">
      <c r="B7841" s="2">
        <f ca="1"/>
        <v>0.10592110371930974</v>
      </c>
      <c r="O7841" s="2">
        <f ca="1"/>
        <v>-0.8083097176572569</v>
      </c>
      <c r="X7841" s="2">
        <f ca="1"/>
        <v>76.12940223180199</v>
      </c>
      <c r="AG7841" s="2">
        <f ca="1"/>
        <v>0.37560037999263063</v>
      </c>
      <c r="AH7841" s="2" t="str">
        <f ca="1"/>
        <v>OK</v>
      </c>
    </row>
    <row r="7842" spans="2:34" x14ac:dyDescent="0.2">
      <c r="B7842" s="2">
        <f ca="1"/>
        <v>0.56969515908012291</v>
      </c>
      <c r="O7842" s="2">
        <f ca="1"/>
        <v>0.87962433126264938</v>
      </c>
      <c r="X7842" s="2">
        <f ca="1"/>
        <v>42.269241674052765</v>
      </c>
      <c r="AG7842" s="2">
        <f ca="1"/>
        <v>0.43799088380180384</v>
      </c>
      <c r="AH7842" s="2" t="str">
        <f ca="1"/>
        <v>Bad</v>
      </c>
    </row>
    <row r="7843" spans="2:34" x14ac:dyDescent="0.2">
      <c r="B7843" s="2">
        <f ca="1"/>
        <v>0.45916628994827424</v>
      </c>
      <c r="O7843" s="2">
        <f ca="1"/>
        <v>0.54098548295076554</v>
      </c>
      <c r="X7843" s="2">
        <f ca="1"/>
        <v>32.347570635145651</v>
      </c>
      <c r="AG7843" s="2">
        <f ca="1"/>
        <v>0.12244432695143659</v>
      </c>
      <c r="AH7843" s="2" t="str">
        <f ca="1"/>
        <v>OK</v>
      </c>
    </row>
    <row r="7844" spans="2:34" x14ac:dyDescent="0.2">
      <c r="B7844" s="2">
        <f ca="1"/>
        <v>0.2001671813085184</v>
      </c>
      <c r="O7844" s="2">
        <f ca="1"/>
        <v>1.6866207043473593</v>
      </c>
      <c r="X7844" s="2">
        <f ca="1"/>
        <v>64.291783129277889</v>
      </c>
      <c r="AG7844" s="2">
        <f ca="1"/>
        <v>3.8144582216250278E-2</v>
      </c>
      <c r="AH7844" s="2" t="str">
        <f ca="1"/>
        <v>Good</v>
      </c>
    </row>
    <row r="7845" spans="2:34" x14ac:dyDescent="0.2">
      <c r="B7845" s="2">
        <f ca="1"/>
        <v>0.64069495247652708</v>
      </c>
      <c r="O7845" s="2">
        <f ca="1"/>
        <v>-1.2404444710588589</v>
      </c>
      <c r="X7845" s="2">
        <f ca="1"/>
        <v>57.509748923603119</v>
      </c>
      <c r="AG7845" s="2">
        <f ca="1"/>
        <v>0.13044267462443582</v>
      </c>
      <c r="AH7845" s="2" t="str">
        <f ca="1"/>
        <v>OK</v>
      </c>
    </row>
    <row r="7846" spans="2:34" x14ac:dyDescent="0.2">
      <c r="B7846" s="2">
        <f ca="1"/>
        <v>0.36599563623774589</v>
      </c>
      <c r="O7846" s="2">
        <f ca="1"/>
        <v>0.24956602247055876</v>
      </c>
      <c r="X7846" s="2">
        <f ca="1"/>
        <v>39.063697652716016</v>
      </c>
      <c r="AG7846" s="2">
        <f ca="1"/>
        <v>0.78943912838289232</v>
      </c>
      <c r="AH7846" s="2" t="str">
        <f ca="1"/>
        <v>Bad</v>
      </c>
    </row>
    <row r="7847" spans="2:34" x14ac:dyDescent="0.2">
      <c r="B7847" s="2">
        <f ca="1"/>
        <v>0.90387028532543323</v>
      </c>
      <c r="O7847" s="2">
        <f ca="1"/>
        <v>-0.64927026719654413</v>
      </c>
      <c r="X7847" s="2">
        <f ca="1"/>
        <v>41.546577879296024</v>
      </c>
      <c r="AG7847" s="2">
        <f ca="1"/>
        <v>0.25097650447128039</v>
      </c>
      <c r="AH7847" s="2" t="str">
        <f ca="1"/>
        <v>OK</v>
      </c>
    </row>
    <row r="7848" spans="2:34" x14ac:dyDescent="0.2">
      <c r="B7848" s="2">
        <f ca="1"/>
        <v>0.58491917467308774</v>
      </c>
      <c r="O7848" s="2">
        <f ca="1"/>
        <v>8.0212283703699469E-2</v>
      </c>
      <c r="X7848" s="2">
        <f ca="1"/>
        <v>58.754540628763735</v>
      </c>
      <c r="AG7848" s="2">
        <f ca="1"/>
        <v>0.8199439881385826</v>
      </c>
      <c r="AH7848" s="2" t="str">
        <f ca="1"/>
        <v>Bad</v>
      </c>
    </row>
    <row r="7849" spans="2:34" x14ac:dyDescent="0.2">
      <c r="B7849" s="2">
        <f ca="1"/>
        <v>0.51517557369101508</v>
      </c>
      <c r="O7849" s="2">
        <f ca="1"/>
        <v>0.1711087577304552</v>
      </c>
      <c r="X7849" s="2">
        <f ca="1"/>
        <v>77.167874702048138</v>
      </c>
      <c r="AG7849" s="2">
        <f ca="1"/>
        <v>0.52111932333743538</v>
      </c>
      <c r="AH7849" s="2" t="str">
        <f ca="1"/>
        <v>Bad</v>
      </c>
    </row>
    <row r="7850" spans="2:34" x14ac:dyDescent="0.2">
      <c r="B7850" s="2">
        <f ca="1"/>
        <v>0.53474179448648851</v>
      </c>
      <c r="O7850" s="2">
        <f ca="1"/>
        <v>-7.2041092112990077E-2</v>
      </c>
      <c r="X7850" s="2">
        <f ca="1"/>
        <v>70.212250284857404</v>
      </c>
      <c r="AG7850" s="2">
        <f ca="1"/>
        <v>0.20126113997391437</v>
      </c>
      <c r="AH7850" s="2" t="str">
        <f ca="1"/>
        <v>OK</v>
      </c>
    </row>
    <row r="7851" spans="2:34" x14ac:dyDescent="0.2">
      <c r="B7851" s="2">
        <f ca="1"/>
        <v>0.42732839143440637</v>
      </c>
      <c r="O7851" s="2">
        <f ca="1"/>
        <v>-1.072068281056167</v>
      </c>
      <c r="X7851" s="2">
        <f ca="1"/>
        <v>54.307393154535042</v>
      </c>
      <c r="AG7851" s="2">
        <f ca="1"/>
        <v>0.83323514882795147</v>
      </c>
      <c r="AH7851" s="2" t="str">
        <f ca="1"/>
        <v>Bad</v>
      </c>
    </row>
    <row r="7852" spans="2:34" x14ac:dyDescent="0.2">
      <c r="B7852" s="2">
        <f ca="1"/>
        <v>0.64829972446879269</v>
      </c>
      <c r="O7852" s="2">
        <f ca="1"/>
        <v>-1.0217248331058746</v>
      </c>
      <c r="X7852" s="2">
        <f ca="1"/>
        <v>34.383438559857467</v>
      </c>
      <c r="AG7852" s="2">
        <f ca="1"/>
        <v>0.31259476581386747</v>
      </c>
      <c r="AH7852" s="2" t="str">
        <f ca="1"/>
        <v>OK</v>
      </c>
    </row>
    <row r="7853" spans="2:34" x14ac:dyDescent="0.2">
      <c r="B7853" s="2">
        <f ca="1"/>
        <v>0.48772796437547949</v>
      </c>
      <c r="O7853" s="2">
        <f ca="1"/>
        <v>0.76613497337443137</v>
      </c>
      <c r="X7853" s="2">
        <f ca="1"/>
        <v>43.619952755924587</v>
      </c>
      <c r="AG7853" s="2">
        <f ca="1"/>
        <v>0.25868343053371468</v>
      </c>
      <c r="AH7853" s="2" t="str">
        <f ca="1"/>
        <v>OK</v>
      </c>
    </row>
    <row r="7854" spans="2:34" x14ac:dyDescent="0.2">
      <c r="B7854" s="2">
        <f ca="1"/>
        <v>0.98767338168996077</v>
      </c>
      <c r="O7854" s="2">
        <f ca="1"/>
        <v>-0.19050678592722808</v>
      </c>
      <c r="X7854" s="2">
        <f ca="1"/>
        <v>38.310206574971339</v>
      </c>
      <c r="AG7854" s="2">
        <f ca="1"/>
        <v>0.10381260354179123</v>
      </c>
      <c r="AH7854" s="2" t="str">
        <f ca="1"/>
        <v>OK</v>
      </c>
    </row>
    <row r="7855" spans="2:34" x14ac:dyDescent="0.2">
      <c r="B7855" s="2">
        <f ca="1"/>
        <v>0.61037397181451269</v>
      </c>
      <c r="O7855" s="2">
        <f ca="1"/>
        <v>0.1451501452821323</v>
      </c>
      <c r="X7855" s="2">
        <f ca="1"/>
        <v>17.59529852862261</v>
      </c>
      <c r="AG7855" s="2">
        <f ca="1"/>
        <v>0.5657227912879137</v>
      </c>
      <c r="AH7855" s="2" t="str">
        <f ca="1"/>
        <v>Bad</v>
      </c>
    </row>
    <row r="7856" spans="2:34" x14ac:dyDescent="0.2">
      <c r="B7856" s="2">
        <f ca="1"/>
        <v>0.75223612618421054</v>
      </c>
      <c r="O7856" s="2">
        <f ca="1"/>
        <v>0.33019112753164975</v>
      </c>
      <c r="X7856" s="2">
        <f ca="1"/>
        <v>55.543582790620015</v>
      </c>
      <c r="AG7856" s="2">
        <f ca="1"/>
        <v>1.7369763629634383E-2</v>
      </c>
      <c r="AH7856" s="2" t="str">
        <f ca="1"/>
        <v>Good</v>
      </c>
    </row>
    <row r="7857" spans="2:34" x14ac:dyDescent="0.2">
      <c r="B7857" s="2">
        <f ca="1"/>
        <v>0.12766827158133043</v>
      </c>
      <c r="O7857" s="2">
        <f ca="1"/>
        <v>0.12176769877249864</v>
      </c>
      <c r="X7857" s="2">
        <f ca="1"/>
        <v>65.731268536905219</v>
      </c>
      <c r="AG7857" s="2">
        <f ca="1"/>
        <v>0.55993415454236972</v>
      </c>
      <c r="AH7857" s="2" t="str">
        <f ca="1"/>
        <v>Bad</v>
      </c>
    </row>
    <row r="7858" spans="2:34" x14ac:dyDescent="0.2">
      <c r="B7858" s="2">
        <f ca="1"/>
        <v>0.78563079362912558</v>
      </c>
      <c r="O7858" s="2">
        <f ca="1"/>
        <v>-1.1159382094203946E-3</v>
      </c>
      <c r="X7858" s="2">
        <f ca="1"/>
        <v>57.568145103793533</v>
      </c>
      <c r="AG7858" s="2">
        <f ca="1"/>
        <v>0.77447346126321492</v>
      </c>
      <c r="AH7858" s="2" t="str">
        <f ca="1"/>
        <v>Bad</v>
      </c>
    </row>
    <row r="7859" spans="2:34" x14ac:dyDescent="0.2">
      <c r="B7859" s="2">
        <f ca="1"/>
        <v>0.18213154081235206</v>
      </c>
      <c r="O7859" s="2">
        <f ca="1"/>
        <v>0.96345741121310058</v>
      </c>
      <c r="X7859" s="2">
        <f ca="1"/>
        <v>43.451308070537678</v>
      </c>
      <c r="AG7859" s="2">
        <f ca="1"/>
        <v>0.51685036638502879</v>
      </c>
      <c r="AH7859" s="2" t="str">
        <f ca="1"/>
        <v>Bad</v>
      </c>
    </row>
    <row r="7860" spans="2:34" x14ac:dyDescent="0.2">
      <c r="B7860" s="2">
        <f ca="1"/>
        <v>0.21397575135466096</v>
      </c>
      <c r="O7860" s="2">
        <f ca="1"/>
        <v>-0.45487005476001491</v>
      </c>
      <c r="X7860" s="2">
        <f ca="1"/>
        <v>39.813397821049236</v>
      </c>
      <c r="AG7860" s="2">
        <f ca="1"/>
        <v>0.69542710976010502</v>
      </c>
      <c r="AH7860" s="2" t="str">
        <f ca="1"/>
        <v>Bad</v>
      </c>
    </row>
    <row r="7861" spans="2:34" x14ac:dyDescent="0.2">
      <c r="B7861" s="2">
        <f ca="1"/>
        <v>0.972440233280363</v>
      </c>
      <c r="O7861" s="2">
        <f ca="1"/>
        <v>-0.62979660082603806</v>
      </c>
      <c r="X7861" s="2">
        <f ca="1"/>
        <v>35.603698277295905</v>
      </c>
      <c r="AG7861" s="2">
        <f ca="1"/>
        <v>0.54626113710242508</v>
      </c>
      <c r="AH7861" s="2" t="str">
        <f ca="1"/>
        <v>Bad</v>
      </c>
    </row>
    <row r="7862" spans="2:34" x14ac:dyDescent="0.2">
      <c r="B7862" s="2">
        <f ca="1"/>
        <v>0.94640756156429018</v>
      </c>
      <c r="O7862" s="2">
        <f ca="1"/>
        <v>0.1126822269268936</v>
      </c>
      <c r="X7862" s="2">
        <f ca="1"/>
        <v>55.08772145071093</v>
      </c>
      <c r="AG7862" s="2">
        <f ca="1"/>
        <v>0.60344417353389601</v>
      </c>
      <c r="AH7862" s="2" t="str">
        <f ca="1"/>
        <v>Bad</v>
      </c>
    </row>
    <row r="7863" spans="2:34" x14ac:dyDescent="0.2">
      <c r="B7863" s="2">
        <f ca="1"/>
        <v>0.26235235484813813</v>
      </c>
      <c r="O7863" s="2">
        <f ca="1"/>
        <v>1.9903164437353495</v>
      </c>
      <c r="X7863" s="2">
        <f ca="1"/>
        <v>66.73699677540462</v>
      </c>
      <c r="AG7863" s="2">
        <f ca="1"/>
        <v>0.75176555750615925</v>
      </c>
      <c r="AH7863" s="2" t="str">
        <f ca="1"/>
        <v>Bad</v>
      </c>
    </row>
    <row r="7864" spans="2:34" x14ac:dyDescent="0.2">
      <c r="B7864" s="2">
        <f ca="1"/>
        <v>0.65501354957905256</v>
      </c>
      <c r="O7864" s="2">
        <f ca="1"/>
        <v>-4.4227558124366545E-2</v>
      </c>
      <c r="X7864" s="2">
        <f ca="1"/>
        <v>39.943496345221952</v>
      </c>
      <c r="AG7864" s="2">
        <f ca="1"/>
        <v>0.85107269440049693</v>
      </c>
      <c r="AH7864" s="2" t="str">
        <f ca="1"/>
        <v>Bad</v>
      </c>
    </row>
    <row r="7865" spans="2:34" x14ac:dyDescent="0.2">
      <c r="B7865" s="2">
        <f ca="1"/>
        <v>0.47793704166439399</v>
      </c>
      <c r="O7865" s="2">
        <f ca="1"/>
        <v>-1.1460905039736635</v>
      </c>
      <c r="X7865" s="2">
        <f ca="1"/>
        <v>48.091743725301029</v>
      </c>
      <c r="AG7865" s="2">
        <f ca="1"/>
        <v>0.14933339921699007</v>
      </c>
      <c r="AH7865" s="2" t="str">
        <f ca="1"/>
        <v>OK</v>
      </c>
    </row>
    <row r="7866" spans="2:34" x14ac:dyDescent="0.2">
      <c r="B7866" s="2">
        <f ca="1"/>
        <v>0.25691891250608445</v>
      </c>
      <c r="O7866" s="2">
        <f ca="1"/>
        <v>0.42812025526902725</v>
      </c>
      <c r="X7866" s="2">
        <f ca="1"/>
        <v>44.511124013765489</v>
      </c>
      <c r="AG7866" s="2">
        <f ca="1"/>
        <v>0.84265027056044306</v>
      </c>
      <c r="AH7866" s="2" t="str">
        <f ca="1"/>
        <v>Bad</v>
      </c>
    </row>
    <row r="7867" spans="2:34" x14ac:dyDescent="0.2">
      <c r="B7867" s="2">
        <f ca="1"/>
        <v>0.20863662340981071</v>
      </c>
      <c r="O7867" s="2">
        <f ca="1"/>
        <v>-0.44713858716036825</v>
      </c>
      <c r="X7867" s="2">
        <f ca="1"/>
        <v>21.323959324116032</v>
      </c>
      <c r="AG7867" s="2">
        <f ca="1"/>
        <v>0.3545836980853605</v>
      </c>
      <c r="AH7867" s="2" t="str">
        <f ca="1"/>
        <v>OK</v>
      </c>
    </row>
    <row r="7868" spans="2:34" x14ac:dyDescent="0.2">
      <c r="B7868" s="2">
        <f ca="1"/>
        <v>0.4186879480488106</v>
      </c>
      <c r="O7868" s="2">
        <f ca="1"/>
        <v>0.77268390497181327</v>
      </c>
      <c r="X7868" s="2">
        <f ca="1"/>
        <v>48.021575013370459</v>
      </c>
      <c r="AG7868" s="2">
        <f ca="1"/>
        <v>0.30622278094949928</v>
      </c>
      <c r="AH7868" s="2" t="str">
        <f ca="1"/>
        <v>OK</v>
      </c>
    </row>
    <row r="7869" spans="2:34" x14ac:dyDescent="0.2">
      <c r="B7869" s="2">
        <f ca="1"/>
        <v>0.60801560521352904</v>
      </c>
      <c r="O7869" s="2">
        <f ca="1"/>
        <v>-0.12835273631707489</v>
      </c>
      <c r="X7869" s="2">
        <f ca="1"/>
        <v>61.179198239617428</v>
      </c>
      <c r="AG7869" s="2">
        <f ca="1"/>
        <v>0.76779810306053653</v>
      </c>
      <c r="AH7869" s="2" t="str">
        <f ca="1"/>
        <v>Bad</v>
      </c>
    </row>
    <row r="7870" spans="2:34" x14ac:dyDescent="0.2">
      <c r="B7870" s="2">
        <f ca="1"/>
        <v>0.81043654651910324</v>
      </c>
      <c r="O7870" s="2">
        <f ca="1"/>
        <v>3.0683057968674796E-2</v>
      </c>
      <c r="X7870" s="2">
        <f ca="1"/>
        <v>45.383672297828149</v>
      </c>
      <c r="AG7870" s="2">
        <f ca="1"/>
        <v>0.71606532506466047</v>
      </c>
      <c r="AH7870" s="2" t="str">
        <f ca="1"/>
        <v>Bad</v>
      </c>
    </row>
    <row r="7871" spans="2:34" x14ac:dyDescent="0.2">
      <c r="B7871" s="2">
        <f ca="1"/>
        <v>0.10403170894604563</v>
      </c>
      <c r="O7871" s="2">
        <f ca="1"/>
        <v>-0.98383264589978758</v>
      </c>
      <c r="X7871" s="2">
        <f ca="1"/>
        <v>69.314458116735423</v>
      </c>
      <c r="AG7871" s="2">
        <f ca="1"/>
        <v>0.98907288244912883</v>
      </c>
      <c r="AH7871" s="2" t="str">
        <f ca="1"/>
        <v>Bad</v>
      </c>
    </row>
    <row r="7872" spans="2:34" x14ac:dyDescent="0.2">
      <c r="B7872" s="2">
        <f ca="1"/>
        <v>2.2973650446103777E-2</v>
      </c>
      <c r="O7872" s="2">
        <f ca="1"/>
        <v>-1.8375097018219972</v>
      </c>
      <c r="X7872" s="2">
        <f ca="1"/>
        <v>40.520674980261532</v>
      </c>
      <c r="AG7872" s="2">
        <f ca="1"/>
        <v>0.55393894162434321</v>
      </c>
      <c r="AH7872" s="2" t="str">
        <f ca="1"/>
        <v>Bad</v>
      </c>
    </row>
    <row r="7873" spans="2:34" x14ac:dyDescent="0.2">
      <c r="B7873" s="2">
        <f ca="1"/>
        <v>0.69952656981982941</v>
      </c>
      <c r="O7873" s="2">
        <f ca="1"/>
        <v>-1.2261733337262966</v>
      </c>
      <c r="X7873" s="2">
        <f ca="1"/>
        <v>22.99087331251026</v>
      </c>
      <c r="AG7873" s="2">
        <f ca="1"/>
        <v>0.47195485512937396</v>
      </c>
      <c r="AH7873" s="2" t="str">
        <f ca="1"/>
        <v>Bad</v>
      </c>
    </row>
    <row r="7874" spans="2:34" x14ac:dyDescent="0.2">
      <c r="B7874" s="2">
        <f ca="1"/>
        <v>0.30629489656646025</v>
      </c>
      <c r="O7874" s="2">
        <f ca="1"/>
        <v>-0.17879470939643771</v>
      </c>
      <c r="X7874" s="2">
        <f ca="1"/>
        <v>54.891612415375953</v>
      </c>
      <c r="AG7874" s="2">
        <f ca="1"/>
        <v>0.3261514012537996</v>
      </c>
      <c r="AH7874" s="2" t="str">
        <f ca="1"/>
        <v>OK</v>
      </c>
    </row>
    <row r="7875" spans="2:34" x14ac:dyDescent="0.2">
      <c r="B7875" s="2">
        <f ca="1"/>
        <v>0.5950982816842727</v>
      </c>
      <c r="O7875" s="2">
        <f ca="1"/>
        <v>0.55568667680032102</v>
      </c>
      <c r="X7875" s="2">
        <f ca="1"/>
        <v>20.903301418592672</v>
      </c>
      <c r="AG7875" s="2">
        <f ca="1"/>
        <v>0.79694206283662528</v>
      </c>
      <c r="AH7875" s="2" t="str">
        <f ca="1"/>
        <v>Bad</v>
      </c>
    </row>
    <row r="7876" spans="2:34" x14ac:dyDescent="0.2">
      <c r="B7876" s="2">
        <f ca="1"/>
        <v>0.48023035052022034</v>
      </c>
      <c r="O7876" s="2">
        <f ca="1"/>
        <v>-0.48263653278218188</v>
      </c>
      <c r="X7876" s="2">
        <f ca="1"/>
        <v>24.155274326345008</v>
      </c>
      <c r="AG7876" s="2">
        <f ca="1"/>
        <v>0.21811828802841382</v>
      </c>
      <c r="AH7876" s="2" t="str">
        <f ca="1"/>
        <v>OK</v>
      </c>
    </row>
    <row r="7877" spans="2:34" x14ac:dyDescent="0.2">
      <c r="B7877" s="2">
        <f ca="1"/>
        <v>7.4366457662102814E-3</v>
      </c>
      <c r="O7877" s="2">
        <f ca="1"/>
        <v>-0.20838478289952278</v>
      </c>
      <c r="X7877" s="2">
        <f ca="1"/>
        <v>48.739129903324809</v>
      </c>
      <c r="AG7877" s="2">
        <f ca="1"/>
        <v>0.7387290874300465</v>
      </c>
      <c r="AH7877" s="2" t="str">
        <f ca="1"/>
        <v>Bad</v>
      </c>
    </row>
    <row r="7878" spans="2:34" x14ac:dyDescent="0.2">
      <c r="B7878" s="2">
        <f ca="1"/>
        <v>0.84764937733836554</v>
      </c>
      <c r="O7878" s="2">
        <f ca="1"/>
        <v>-0.64686963868403269</v>
      </c>
      <c r="X7878" s="2">
        <f ca="1"/>
        <v>52.445595608657733</v>
      </c>
      <c r="AG7878" s="2">
        <f ca="1"/>
        <v>8.6159075680569241E-2</v>
      </c>
      <c r="AH7878" s="2" t="str">
        <f ca="1"/>
        <v>OK</v>
      </c>
    </row>
    <row r="7879" spans="2:34" x14ac:dyDescent="0.2">
      <c r="B7879" s="2">
        <f ca="1"/>
        <v>0.84732406063584476</v>
      </c>
      <c r="O7879" s="2">
        <f ca="1"/>
        <v>-0.15398683715479364</v>
      </c>
      <c r="X7879" s="2">
        <f ca="1"/>
        <v>67.161181917020173</v>
      </c>
      <c r="AG7879" s="2">
        <f ca="1"/>
        <v>0.54011403445683115</v>
      </c>
      <c r="AH7879" s="2" t="str">
        <f ca="1"/>
        <v>Bad</v>
      </c>
    </row>
    <row r="7880" spans="2:34" x14ac:dyDescent="0.2">
      <c r="B7880" s="2">
        <f ca="1"/>
        <v>0.32582020158176128</v>
      </c>
      <c r="O7880" s="2">
        <f ca="1"/>
        <v>-0.5843174560078378</v>
      </c>
      <c r="X7880" s="2">
        <f ca="1"/>
        <v>51.516681378203089</v>
      </c>
      <c r="AG7880" s="2">
        <f ca="1"/>
        <v>0.27932594263302524</v>
      </c>
      <c r="AH7880" s="2" t="str">
        <f ca="1"/>
        <v>OK</v>
      </c>
    </row>
    <row r="7881" spans="2:34" x14ac:dyDescent="0.2">
      <c r="B7881" s="2">
        <f ca="1"/>
        <v>0.81082739733199305</v>
      </c>
      <c r="O7881" s="2">
        <f ca="1"/>
        <v>0.97296176920650534</v>
      </c>
      <c r="X7881" s="2">
        <f ca="1"/>
        <v>28.369683499691185</v>
      </c>
      <c r="AG7881" s="2">
        <f ca="1"/>
        <v>0.48628406350652709</v>
      </c>
      <c r="AH7881" s="2" t="str">
        <f ca="1"/>
        <v>Bad</v>
      </c>
    </row>
    <row r="7882" spans="2:34" x14ac:dyDescent="0.2">
      <c r="B7882" s="2">
        <f ca="1"/>
        <v>0.99364553390061694</v>
      </c>
      <c r="O7882" s="2">
        <f ca="1"/>
        <v>-0.89149550406158762</v>
      </c>
      <c r="X7882" s="2">
        <f ca="1"/>
        <v>40.447028944529428</v>
      </c>
      <c r="AG7882" s="2">
        <f ca="1"/>
        <v>5.7059242396075849E-2</v>
      </c>
      <c r="AH7882" s="2" t="str">
        <f ca="1"/>
        <v>OK</v>
      </c>
    </row>
    <row r="7883" spans="2:34" x14ac:dyDescent="0.2">
      <c r="B7883" s="2">
        <f ca="1"/>
        <v>0.31540594894769414</v>
      </c>
      <c r="O7883" s="2">
        <f ca="1"/>
        <v>1.2070783165249503</v>
      </c>
      <c r="X7883" s="2">
        <f ca="1"/>
        <v>36.723281004307431</v>
      </c>
      <c r="AG7883" s="2">
        <f ca="1"/>
        <v>0.60205520949291058</v>
      </c>
      <c r="AH7883" s="2" t="str">
        <f ca="1"/>
        <v>Bad</v>
      </c>
    </row>
    <row r="7884" spans="2:34" x14ac:dyDescent="0.2">
      <c r="B7884" s="2">
        <f ca="1"/>
        <v>0.89899383630288798</v>
      </c>
      <c r="O7884" s="2">
        <f ca="1"/>
        <v>-0.5606306746516444</v>
      </c>
      <c r="X7884" s="2">
        <f ca="1"/>
        <v>41.964378351941491</v>
      </c>
      <c r="AG7884" s="2">
        <f ca="1"/>
        <v>0.98145921262250702</v>
      </c>
      <c r="AH7884" s="2" t="str">
        <f ca="1"/>
        <v>Bad</v>
      </c>
    </row>
    <row r="7885" spans="2:34" x14ac:dyDescent="0.2">
      <c r="B7885" s="2">
        <f ca="1"/>
        <v>0.13364462362342411</v>
      </c>
      <c r="O7885" s="2">
        <f ca="1"/>
        <v>0.39064737034278113</v>
      </c>
      <c r="X7885" s="2">
        <f ca="1"/>
        <v>50.95202504357475</v>
      </c>
      <c r="AG7885" s="2">
        <f ca="1"/>
        <v>0.28453914357937649</v>
      </c>
      <c r="AH7885" s="2" t="str">
        <f ca="1"/>
        <v>OK</v>
      </c>
    </row>
    <row r="7886" spans="2:34" x14ac:dyDescent="0.2">
      <c r="B7886" s="2">
        <f ca="1"/>
        <v>0.88797722915241795</v>
      </c>
      <c r="O7886" s="2">
        <f ca="1"/>
        <v>-3.1598904920900113</v>
      </c>
      <c r="X7886" s="2">
        <f ca="1"/>
        <v>36.163266426895831</v>
      </c>
      <c r="AG7886" s="2">
        <f ca="1"/>
        <v>0.15448076451006365</v>
      </c>
      <c r="AH7886" s="2" t="str">
        <f ca="1"/>
        <v>OK</v>
      </c>
    </row>
    <row r="7887" spans="2:34" x14ac:dyDescent="0.2">
      <c r="B7887" s="2">
        <f ca="1"/>
        <v>0.36460770221110939</v>
      </c>
      <c r="O7887" s="2">
        <f ca="1"/>
        <v>-1.7228484267896655</v>
      </c>
      <c r="X7887" s="2">
        <f ca="1"/>
        <v>51.950602366575453</v>
      </c>
      <c r="AG7887" s="2">
        <f ca="1"/>
        <v>0.33958682226657655</v>
      </c>
      <c r="AH7887" s="2" t="str">
        <f ca="1"/>
        <v>OK</v>
      </c>
    </row>
    <row r="7888" spans="2:34" x14ac:dyDescent="0.2">
      <c r="B7888" s="2">
        <f ca="1"/>
        <v>0.28893687268771662</v>
      </c>
      <c r="O7888" s="2">
        <f ca="1"/>
        <v>-1.7700226755777635</v>
      </c>
      <c r="X7888" s="2">
        <f ca="1"/>
        <v>39.858953853289961</v>
      </c>
      <c r="AG7888" s="2">
        <f ca="1"/>
        <v>0.98818603011175288</v>
      </c>
      <c r="AH7888" s="2" t="str">
        <f ca="1"/>
        <v>Bad</v>
      </c>
    </row>
    <row r="7889" spans="2:34" x14ac:dyDescent="0.2">
      <c r="B7889" s="2">
        <f ca="1"/>
        <v>0.53537102051352825</v>
      </c>
      <c r="O7889" s="2">
        <f ca="1"/>
        <v>0.31868486446211575</v>
      </c>
      <c r="X7889" s="2">
        <f ca="1"/>
        <v>45.795925296352038</v>
      </c>
      <c r="AG7889" s="2">
        <f ca="1"/>
        <v>0.22574239974627175</v>
      </c>
      <c r="AH7889" s="2" t="str">
        <f ca="1"/>
        <v>OK</v>
      </c>
    </row>
    <row r="7890" spans="2:34" x14ac:dyDescent="0.2">
      <c r="B7890" s="2">
        <f ca="1"/>
        <v>0.32847207347835794</v>
      </c>
      <c r="O7890" s="2">
        <f ca="1"/>
        <v>-0.30208402519716332</v>
      </c>
      <c r="X7890" s="2">
        <f ca="1"/>
        <v>39.221455085293414</v>
      </c>
      <c r="AG7890" s="2">
        <f ca="1"/>
        <v>0.67568855778867287</v>
      </c>
      <c r="AH7890" s="2" t="str">
        <f ca="1"/>
        <v>Bad</v>
      </c>
    </row>
    <row r="7891" spans="2:34" x14ac:dyDescent="0.2">
      <c r="B7891" s="2">
        <f ca="1"/>
        <v>0.56056634767274049</v>
      </c>
      <c r="O7891" s="2">
        <f ca="1"/>
        <v>1.0855303118459774</v>
      </c>
      <c r="X7891" s="2">
        <f ca="1"/>
        <v>24.637357526568614</v>
      </c>
      <c r="AG7891" s="2">
        <f ca="1"/>
        <v>0.32422951297885416</v>
      </c>
      <c r="AH7891" s="2" t="str">
        <f ca="1"/>
        <v>OK</v>
      </c>
    </row>
    <row r="7892" spans="2:34" x14ac:dyDescent="0.2">
      <c r="B7892" s="2">
        <f ca="1"/>
        <v>0.31311536748961188</v>
      </c>
      <c r="O7892" s="2">
        <f ca="1"/>
        <v>0.37049770484367378</v>
      </c>
      <c r="X7892" s="2">
        <f ca="1"/>
        <v>50.386348209512505</v>
      </c>
      <c r="AG7892" s="2">
        <f ca="1"/>
        <v>0.81588738250964266</v>
      </c>
      <c r="AH7892" s="2" t="str">
        <f ca="1"/>
        <v>Bad</v>
      </c>
    </row>
    <row r="7893" spans="2:34" x14ac:dyDescent="0.2">
      <c r="B7893" s="2">
        <f ca="1"/>
        <v>0.20138001983776843</v>
      </c>
      <c r="O7893" s="2">
        <f ca="1"/>
        <v>-0.76457251062659337</v>
      </c>
      <c r="X7893" s="2">
        <f ca="1"/>
        <v>44.714674182198664</v>
      </c>
      <c r="AG7893" s="2">
        <f ca="1"/>
        <v>0.10766402315842427</v>
      </c>
      <c r="AH7893" s="2" t="str">
        <f ca="1"/>
        <v>OK</v>
      </c>
    </row>
    <row r="7894" spans="2:34" x14ac:dyDescent="0.2">
      <c r="B7894" s="2">
        <f ca="1"/>
        <v>0.62494274196557731</v>
      </c>
      <c r="O7894" s="2">
        <f ca="1"/>
        <v>2.0138907891264397</v>
      </c>
      <c r="X7894" s="2">
        <f ca="1"/>
        <v>34.633397623837467</v>
      </c>
      <c r="AG7894" s="2">
        <f ca="1"/>
        <v>0.70393099599069253</v>
      </c>
      <c r="AH7894" s="2" t="str">
        <f ca="1"/>
        <v>Bad</v>
      </c>
    </row>
    <row r="7895" spans="2:34" x14ac:dyDescent="0.2">
      <c r="B7895" s="2">
        <f ca="1"/>
        <v>0.4228816871463108</v>
      </c>
      <c r="O7895" s="2">
        <f ca="1"/>
        <v>-0.65023297600450514</v>
      </c>
      <c r="X7895" s="2">
        <f ca="1"/>
        <v>27.946771724342589</v>
      </c>
      <c r="AG7895" s="2">
        <f ca="1"/>
        <v>0.35848755210750149</v>
      </c>
      <c r="AH7895" s="2" t="str">
        <f ca="1"/>
        <v>OK</v>
      </c>
    </row>
    <row r="7896" spans="2:34" x14ac:dyDescent="0.2">
      <c r="B7896" s="2">
        <f ca="1"/>
        <v>0.81389766473122549</v>
      </c>
      <c r="O7896" s="2">
        <f ca="1"/>
        <v>0.57564914270520595</v>
      </c>
      <c r="X7896" s="2">
        <f ca="1"/>
        <v>65.417602933690105</v>
      </c>
      <c r="AG7896" s="2">
        <f ca="1"/>
        <v>7.0208873051621046E-2</v>
      </c>
      <c r="AH7896" s="2" t="str">
        <f ca="1"/>
        <v>OK</v>
      </c>
    </row>
    <row r="7897" spans="2:34" x14ac:dyDescent="0.2">
      <c r="B7897" s="2">
        <f ca="1"/>
        <v>0.61634026135713693</v>
      </c>
      <c r="O7897" s="2">
        <f ca="1"/>
        <v>0.93008743547600969</v>
      </c>
      <c r="X7897" s="2">
        <f ca="1"/>
        <v>76.603208118498443</v>
      </c>
      <c r="AG7897" s="2">
        <f ca="1"/>
        <v>8.8948433535422922E-3</v>
      </c>
      <c r="AH7897" s="2" t="str">
        <f ca="1"/>
        <v>Good</v>
      </c>
    </row>
    <row r="7898" spans="2:34" x14ac:dyDescent="0.2">
      <c r="B7898" s="2">
        <f ca="1"/>
        <v>0.59865324082220561</v>
      </c>
      <c r="O7898" s="2">
        <f ca="1"/>
        <v>-1.5210758372678876</v>
      </c>
      <c r="X7898" s="2">
        <f ca="1"/>
        <v>71.143111473232622</v>
      </c>
      <c r="AG7898" s="2">
        <f ca="1"/>
        <v>0.94087171707188633</v>
      </c>
      <c r="AH7898" s="2" t="str">
        <f ca="1"/>
        <v>Bad</v>
      </c>
    </row>
    <row r="7899" spans="2:34" x14ac:dyDescent="0.2">
      <c r="B7899" s="2">
        <f ca="1"/>
        <v>0.98765946399654236</v>
      </c>
      <c r="O7899" s="2">
        <f ca="1"/>
        <v>2.9635158295653059E-2</v>
      </c>
      <c r="X7899" s="2">
        <f ca="1"/>
        <v>52.517853495577953</v>
      </c>
      <c r="AG7899" s="2">
        <f ca="1"/>
        <v>0.4314205588839386</v>
      </c>
      <c r="AH7899" s="2" t="str">
        <f ca="1"/>
        <v>Bad</v>
      </c>
    </row>
    <row r="7900" spans="2:34" x14ac:dyDescent="0.2">
      <c r="B7900" s="2">
        <f ca="1"/>
        <v>0.79109251526636548</v>
      </c>
      <c r="O7900" s="2">
        <f ca="1"/>
        <v>1.5583439127715017</v>
      </c>
      <c r="X7900" s="2">
        <f ca="1"/>
        <v>51.481485080486422</v>
      </c>
      <c r="AG7900" s="2">
        <f ca="1"/>
        <v>0.69511942990360498</v>
      </c>
      <c r="AH7900" s="2" t="str">
        <f ca="1"/>
        <v>Bad</v>
      </c>
    </row>
    <row r="7901" spans="2:34" x14ac:dyDescent="0.2">
      <c r="B7901" s="2">
        <f ca="1"/>
        <v>0.29932056427986886</v>
      </c>
      <c r="O7901" s="2">
        <f ca="1"/>
        <v>-1.8375115957420673</v>
      </c>
      <c r="X7901" s="2">
        <f ca="1"/>
        <v>50.180986146530124</v>
      </c>
      <c r="AG7901" s="2">
        <f ca="1"/>
        <v>0.85159037008060467</v>
      </c>
      <c r="AH7901" s="2" t="str">
        <f ca="1"/>
        <v>Bad</v>
      </c>
    </row>
    <row r="7902" spans="2:34" x14ac:dyDescent="0.2">
      <c r="B7902" s="2">
        <f ca="1"/>
        <v>0.50884546920558082</v>
      </c>
      <c r="O7902" s="2">
        <f ca="1"/>
        <v>4.4328906914613178E-2</v>
      </c>
      <c r="X7902" s="2">
        <f ca="1"/>
        <v>62.307207854235514</v>
      </c>
      <c r="AG7902" s="2">
        <f ca="1"/>
        <v>0.73146106062407212</v>
      </c>
      <c r="AH7902" s="2" t="str">
        <f ca="1"/>
        <v>Bad</v>
      </c>
    </row>
    <row r="7903" spans="2:34" x14ac:dyDescent="0.2">
      <c r="B7903" s="2">
        <f ca="1"/>
        <v>0.89630522178854077</v>
      </c>
      <c r="O7903" s="2">
        <f ca="1"/>
        <v>-4.2650274302454695E-2</v>
      </c>
      <c r="X7903" s="2">
        <f ca="1"/>
        <v>47.856651783505612</v>
      </c>
      <c r="AG7903" s="2">
        <f ca="1"/>
        <v>0.77529945701974601</v>
      </c>
      <c r="AH7903" s="2" t="str">
        <f ca="1"/>
        <v>Bad</v>
      </c>
    </row>
    <row r="7904" spans="2:34" x14ac:dyDescent="0.2">
      <c r="B7904" s="2">
        <f ca="1"/>
        <v>0.82658813472881421</v>
      </c>
      <c r="O7904" s="2">
        <f ca="1"/>
        <v>-0.98999795361187937</v>
      </c>
      <c r="X7904" s="2">
        <f ca="1"/>
        <v>49.585005303170966</v>
      </c>
      <c r="AG7904" s="2">
        <f ca="1"/>
        <v>0.46617132643525916</v>
      </c>
      <c r="AH7904" s="2" t="str">
        <f ca="1"/>
        <v>Bad</v>
      </c>
    </row>
    <row r="7905" spans="2:34" x14ac:dyDescent="0.2">
      <c r="B7905" s="2">
        <f ca="1"/>
        <v>0.61999582289301869</v>
      </c>
      <c r="O7905" s="2">
        <f ca="1"/>
        <v>-0.37375711612816565</v>
      </c>
      <c r="X7905" s="2">
        <f ca="1"/>
        <v>41.802666741078333</v>
      </c>
      <c r="AG7905" s="2">
        <f ca="1"/>
        <v>0.53071112557740974</v>
      </c>
      <c r="AH7905" s="2" t="str">
        <f ca="1"/>
        <v>Bad</v>
      </c>
    </row>
    <row r="7906" spans="2:34" x14ac:dyDescent="0.2">
      <c r="B7906" s="2">
        <f ca="1"/>
        <v>0.77727452332674973</v>
      </c>
      <c r="O7906" s="2">
        <f ca="1"/>
        <v>-0.80381078300323938</v>
      </c>
      <c r="X7906" s="2">
        <f ca="1"/>
        <v>24.246721034443603</v>
      </c>
      <c r="AG7906" s="2">
        <f ca="1"/>
        <v>0.92859427729745292</v>
      </c>
      <c r="AH7906" s="2" t="str">
        <f ca="1"/>
        <v>Bad</v>
      </c>
    </row>
    <row r="7907" spans="2:34" x14ac:dyDescent="0.2">
      <c r="B7907" s="2">
        <f ca="1"/>
        <v>0.23607169330258482</v>
      </c>
      <c r="O7907" s="2">
        <f ca="1"/>
        <v>0.67360463563471584</v>
      </c>
      <c r="X7907" s="2">
        <f ca="1"/>
        <v>48.918966294671542</v>
      </c>
      <c r="AG7907" s="2">
        <f ca="1"/>
        <v>0.36553187059911929</v>
      </c>
      <c r="AH7907" s="2" t="str">
        <f ca="1"/>
        <v>OK</v>
      </c>
    </row>
    <row r="7908" spans="2:34" x14ac:dyDescent="0.2">
      <c r="B7908" s="2">
        <f ca="1"/>
        <v>0.12794129092607442</v>
      </c>
      <c r="O7908" s="2">
        <f ca="1"/>
        <v>-3.5060346658178829E-3</v>
      </c>
      <c r="X7908" s="2">
        <f ca="1"/>
        <v>39.822060011337172</v>
      </c>
      <c r="AG7908" s="2">
        <f ca="1"/>
        <v>0.91954455649191758</v>
      </c>
      <c r="AH7908" s="2" t="str">
        <f ca="1"/>
        <v>Bad</v>
      </c>
    </row>
    <row r="7909" spans="2:34" x14ac:dyDescent="0.2">
      <c r="B7909" s="2">
        <f ca="1"/>
        <v>0.83224367182220726</v>
      </c>
      <c r="O7909" s="2">
        <f ca="1"/>
        <v>-0.89353216271689317</v>
      </c>
      <c r="X7909" s="2">
        <f ca="1"/>
        <v>36.351793432994398</v>
      </c>
      <c r="AG7909" s="2">
        <f ca="1"/>
        <v>0.32512495024908472</v>
      </c>
      <c r="AH7909" s="2" t="str">
        <f ca="1"/>
        <v>OK</v>
      </c>
    </row>
    <row r="7910" spans="2:34" x14ac:dyDescent="0.2">
      <c r="B7910" s="2">
        <f ca="1"/>
        <v>0.53659427982200447</v>
      </c>
      <c r="O7910" s="2">
        <f ca="1"/>
        <v>0.64198870628313665</v>
      </c>
      <c r="X7910" s="2">
        <f ca="1"/>
        <v>76.132394061418609</v>
      </c>
      <c r="AG7910" s="2">
        <f ca="1"/>
        <v>0.12833356095608339</v>
      </c>
      <c r="AH7910" s="2" t="str">
        <f ca="1"/>
        <v>OK</v>
      </c>
    </row>
    <row r="7911" spans="2:34" x14ac:dyDescent="0.2">
      <c r="B7911" s="2">
        <f ca="1"/>
        <v>0.75759071885967422</v>
      </c>
      <c r="O7911" s="2">
        <f ca="1"/>
        <v>0.77317253286095433</v>
      </c>
      <c r="X7911" s="2">
        <f ca="1"/>
        <v>84.243314146323854</v>
      </c>
      <c r="AG7911" s="2">
        <f ca="1"/>
        <v>5.7104554118466933E-2</v>
      </c>
      <c r="AH7911" s="2" t="str">
        <f ca="1"/>
        <v>OK</v>
      </c>
    </row>
    <row r="7912" spans="2:34" x14ac:dyDescent="0.2">
      <c r="B7912" s="2">
        <f ca="1"/>
        <v>0.3265702213913364</v>
      </c>
      <c r="O7912" s="2">
        <f ca="1"/>
        <v>2.3651553806839507</v>
      </c>
      <c r="X7912" s="2">
        <f ca="1"/>
        <v>57.934810123279647</v>
      </c>
      <c r="AG7912" s="2">
        <f ca="1"/>
        <v>0.89415111116417889</v>
      </c>
      <c r="AH7912" s="2" t="str">
        <f ca="1"/>
        <v>Bad</v>
      </c>
    </row>
    <row r="7913" spans="2:34" x14ac:dyDescent="0.2">
      <c r="B7913" s="2">
        <f ca="1"/>
        <v>0.29568693772587751</v>
      </c>
      <c r="O7913" s="2">
        <f ca="1"/>
        <v>0.10192690784285537</v>
      </c>
      <c r="X7913" s="2">
        <f ca="1"/>
        <v>66.553789214187034</v>
      </c>
      <c r="AG7913" s="2">
        <f ca="1"/>
        <v>0.64901781349448839</v>
      </c>
      <c r="AH7913" s="2" t="str">
        <f ca="1"/>
        <v>Bad</v>
      </c>
    </row>
    <row r="7914" spans="2:34" x14ac:dyDescent="0.2">
      <c r="B7914" s="2">
        <f ca="1"/>
        <v>0.28656612905705647</v>
      </c>
      <c r="O7914" s="2">
        <f ca="1"/>
        <v>-0.52839520990082423</v>
      </c>
      <c r="X7914" s="2">
        <f ca="1"/>
        <v>34.060210408646633</v>
      </c>
      <c r="AG7914" s="2">
        <f ca="1"/>
        <v>0.87495360332100369</v>
      </c>
      <c r="AH7914" s="2" t="str">
        <f ca="1"/>
        <v>Bad</v>
      </c>
    </row>
    <row r="7915" spans="2:34" x14ac:dyDescent="0.2">
      <c r="B7915" s="2">
        <f ca="1"/>
        <v>0.59326920985017439</v>
      </c>
      <c r="O7915" s="2">
        <f ca="1"/>
        <v>-1.2180810182661075</v>
      </c>
      <c r="X7915" s="2">
        <f ca="1"/>
        <v>36.62884569954663</v>
      </c>
      <c r="AG7915" s="2">
        <f ca="1"/>
        <v>0.25785616551768609</v>
      </c>
      <c r="AH7915" s="2" t="str">
        <f ca="1"/>
        <v>OK</v>
      </c>
    </row>
    <row r="7916" spans="2:34" x14ac:dyDescent="0.2">
      <c r="B7916" s="2">
        <f ca="1"/>
        <v>0.47771219178246271</v>
      </c>
      <c r="O7916" s="2">
        <f ca="1"/>
        <v>-1.2712440049146019</v>
      </c>
      <c r="X7916" s="2">
        <f ca="1"/>
        <v>51.661661597227557</v>
      </c>
      <c r="AG7916" s="2">
        <f ca="1"/>
        <v>3.7322135098719622E-2</v>
      </c>
      <c r="AH7916" s="2" t="str">
        <f ca="1"/>
        <v>Good</v>
      </c>
    </row>
    <row r="7917" spans="2:34" x14ac:dyDescent="0.2">
      <c r="B7917" s="2">
        <f ca="1"/>
        <v>0.85456900598887864</v>
      </c>
      <c r="O7917" s="2">
        <f ca="1"/>
        <v>0.85669796053444691</v>
      </c>
      <c r="X7917" s="2">
        <f ca="1"/>
        <v>24.825116504482786</v>
      </c>
      <c r="AG7917" s="2">
        <f ca="1"/>
        <v>0.10965898262959151</v>
      </c>
      <c r="AH7917" s="2" t="str">
        <f ca="1"/>
        <v>OK</v>
      </c>
    </row>
    <row r="7918" spans="2:34" x14ac:dyDescent="0.2">
      <c r="B7918" s="2">
        <f ca="1"/>
        <v>0.70792995549609294</v>
      </c>
      <c r="O7918" s="2">
        <f ca="1"/>
        <v>-1.3330713827902563</v>
      </c>
      <c r="X7918" s="2">
        <f ca="1"/>
        <v>40.799033264981055</v>
      </c>
      <c r="AG7918" s="2">
        <f ca="1"/>
        <v>0.14149458874595333</v>
      </c>
      <c r="AH7918" s="2" t="str">
        <f ca="1"/>
        <v>OK</v>
      </c>
    </row>
    <row r="7919" spans="2:34" x14ac:dyDescent="0.2">
      <c r="B7919" s="2">
        <f ca="1"/>
        <v>0.34425539531860272</v>
      </c>
      <c r="O7919" s="2">
        <f ca="1"/>
        <v>0.15698324963179633</v>
      </c>
      <c r="X7919" s="2">
        <f ca="1"/>
        <v>50.743376454953733</v>
      </c>
      <c r="AG7919" s="2">
        <f ca="1"/>
        <v>0.70317134566047446</v>
      </c>
      <c r="AH7919" s="2" t="str">
        <f ca="1"/>
        <v>Bad</v>
      </c>
    </row>
    <row r="7920" spans="2:34" x14ac:dyDescent="0.2">
      <c r="B7920" s="2">
        <f ca="1"/>
        <v>0.52046154880358753</v>
      </c>
      <c r="O7920" s="2">
        <f ca="1"/>
        <v>0.19125427969581435</v>
      </c>
      <c r="X7920" s="2">
        <f ca="1"/>
        <v>31.164172651620593</v>
      </c>
      <c r="AG7920" s="2">
        <f ca="1"/>
        <v>3.5340742217326859E-3</v>
      </c>
      <c r="AH7920" s="2" t="str">
        <f ca="1"/>
        <v>Good</v>
      </c>
    </row>
    <row r="7921" spans="2:34" x14ac:dyDescent="0.2">
      <c r="B7921" s="2">
        <f ca="1"/>
        <v>0.89828612997285506</v>
      </c>
      <c r="O7921" s="2">
        <f ca="1"/>
        <v>-0.77849083405445174</v>
      </c>
      <c r="X7921" s="2">
        <f ca="1"/>
        <v>50.118988136531684</v>
      </c>
      <c r="AG7921" s="2">
        <f ca="1"/>
        <v>6.8746792174823046E-2</v>
      </c>
      <c r="AH7921" s="2" t="str">
        <f ca="1"/>
        <v>OK</v>
      </c>
    </row>
    <row r="7922" spans="2:34" x14ac:dyDescent="0.2">
      <c r="B7922" s="2">
        <f ca="1"/>
        <v>0.16269487339510058</v>
      </c>
      <c r="O7922" s="2">
        <f ca="1"/>
        <v>1.2381485239398125</v>
      </c>
      <c r="X7922" s="2">
        <f ca="1"/>
        <v>54.081771207503671</v>
      </c>
      <c r="AG7922" s="2">
        <f ca="1"/>
        <v>0.74440804514027237</v>
      </c>
      <c r="AH7922" s="2" t="str">
        <f ca="1"/>
        <v>Bad</v>
      </c>
    </row>
    <row r="7923" spans="2:34" x14ac:dyDescent="0.2">
      <c r="B7923" s="2">
        <f ca="1"/>
        <v>0.7413147693961446</v>
      </c>
      <c r="O7923" s="2">
        <f ca="1"/>
        <v>-2.6417576031135139</v>
      </c>
      <c r="X7923" s="2">
        <f ca="1"/>
        <v>29.204436661346094</v>
      </c>
      <c r="AG7923" s="2">
        <f ca="1"/>
        <v>0.71975400806974865</v>
      </c>
      <c r="AH7923" s="2" t="str">
        <f ca="1"/>
        <v>Bad</v>
      </c>
    </row>
    <row r="7924" spans="2:34" x14ac:dyDescent="0.2">
      <c r="B7924" s="2">
        <f ca="1"/>
        <v>0.34056076739716956</v>
      </c>
      <c r="O7924" s="2">
        <f ca="1"/>
        <v>1.401718435779145</v>
      </c>
      <c r="X7924" s="2">
        <f ca="1"/>
        <v>68.148306440823575</v>
      </c>
      <c r="AG7924" s="2">
        <f ca="1"/>
        <v>0.80805202944745336</v>
      </c>
      <c r="AH7924" s="2" t="str">
        <f ca="1"/>
        <v>Bad</v>
      </c>
    </row>
    <row r="7925" spans="2:34" x14ac:dyDescent="0.2">
      <c r="B7925" s="2">
        <f ca="1"/>
        <v>0.95997562363797595</v>
      </c>
      <c r="O7925" s="2">
        <f ca="1"/>
        <v>1.5182077010582939</v>
      </c>
      <c r="X7925" s="2">
        <f ca="1"/>
        <v>60.911663172039852</v>
      </c>
      <c r="AG7925" s="2">
        <f ca="1"/>
        <v>0.28955029678244459</v>
      </c>
      <c r="AH7925" s="2" t="str">
        <f ca="1"/>
        <v>OK</v>
      </c>
    </row>
    <row r="7926" spans="2:34" x14ac:dyDescent="0.2">
      <c r="B7926" s="2">
        <f ca="1"/>
        <v>0.93382722277991492</v>
      </c>
      <c r="O7926" s="2">
        <f ca="1"/>
        <v>1.0275347959733716</v>
      </c>
      <c r="X7926" s="2">
        <f ca="1"/>
        <v>80.046036090610812</v>
      </c>
      <c r="AG7926" s="2">
        <f ca="1"/>
        <v>0.31781866202693099</v>
      </c>
      <c r="AH7926" s="2" t="str">
        <f ca="1"/>
        <v>OK</v>
      </c>
    </row>
    <row r="7927" spans="2:34" x14ac:dyDescent="0.2">
      <c r="B7927" s="2">
        <f ca="1"/>
        <v>0.29178062893159651</v>
      </c>
      <c r="O7927" s="2">
        <f ca="1"/>
        <v>0.73930192789773364</v>
      </c>
      <c r="X7927" s="2">
        <f ca="1"/>
        <v>55.391878271051013</v>
      </c>
      <c r="AG7927" s="2">
        <f ca="1"/>
        <v>0.62275607597517357</v>
      </c>
      <c r="AH7927" s="2" t="str">
        <f ca="1"/>
        <v>Bad</v>
      </c>
    </row>
    <row r="7928" spans="2:34" x14ac:dyDescent="0.2">
      <c r="B7928" s="2">
        <f ca="1"/>
        <v>0.30569131358383705</v>
      </c>
      <c r="O7928" s="2">
        <f ca="1"/>
        <v>-0.50087420242639236</v>
      </c>
      <c r="X7928" s="2">
        <f ca="1"/>
        <v>31.478970196952979</v>
      </c>
      <c r="AG7928" s="2">
        <f ca="1"/>
        <v>0.79749612618419397</v>
      </c>
      <c r="AH7928" s="2" t="str">
        <f ca="1"/>
        <v>Bad</v>
      </c>
    </row>
    <row r="7929" spans="2:34" x14ac:dyDescent="0.2">
      <c r="B7929" s="2">
        <f ca="1"/>
        <v>0.33518090021735225</v>
      </c>
      <c r="O7929" s="2">
        <f ca="1"/>
        <v>-1.2494572850320016</v>
      </c>
      <c r="X7929" s="2">
        <f ca="1"/>
        <v>62.186653244231103</v>
      </c>
      <c r="AG7929" s="2">
        <f ca="1"/>
        <v>0.29069841081700143</v>
      </c>
      <c r="AH7929" s="2" t="str">
        <f ca="1"/>
        <v>OK</v>
      </c>
    </row>
    <row r="7930" spans="2:34" x14ac:dyDescent="0.2">
      <c r="B7930" s="2">
        <f ca="1"/>
        <v>0.48553307313231664</v>
      </c>
      <c r="O7930" s="2">
        <f ca="1"/>
        <v>3.3977619072124649E-3</v>
      </c>
      <c r="X7930" s="2">
        <f ca="1"/>
        <v>62.02232137915361</v>
      </c>
      <c r="AG7930" s="2">
        <f ca="1"/>
        <v>0.42560051016094058</v>
      </c>
      <c r="AH7930" s="2" t="str">
        <f ca="1"/>
        <v>Bad</v>
      </c>
    </row>
    <row r="7931" spans="2:34" x14ac:dyDescent="0.2">
      <c r="B7931" s="2">
        <f ca="1"/>
        <v>0.85786660384643221</v>
      </c>
      <c r="O7931" s="2">
        <f ca="1"/>
        <v>-0.60609054886169822</v>
      </c>
      <c r="X7931" s="2">
        <f ca="1"/>
        <v>65.795495092404693</v>
      </c>
      <c r="AG7931" s="2">
        <f ca="1"/>
        <v>0.62759210429351375</v>
      </c>
      <c r="AH7931" s="2" t="str">
        <f ca="1"/>
        <v>Bad</v>
      </c>
    </row>
    <row r="7932" spans="2:34" x14ac:dyDescent="0.2">
      <c r="B7932" s="2">
        <f ca="1"/>
        <v>0.43638694551876855</v>
      </c>
      <c r="O7932" s="2">
        <f ca="1"/>
        <v>-1.9979031073655471</v>
      </c>
      <c r="X7932" s="2">
        <f ca="1"/>
        <v>83.70102936665306</v>
      </c>
      <c r="AG7932" s="2">
        <f ca="1"/>
        <v>0.10356891967613113</v>
      </c>
      <c r="AH7932" s="2" t="str">
        <f ca="1"/>
        <v>OK</v>
      </c>
    </row>
    <row r="7933" spans="2:34" x14ac:dyDescent="0.2">
      <c r="B7933" s="2">
        <f ca="1"/>
        <v>0.35677761645703843</v>
      </c>
      <c r="O7933" s="2">
        <f ca="1"/>
        <v>2.5844581689262871E-2</v>
      </c>
      <c r="X7933" s="2">
        <f ca="1"/>
        <v>36.153012488708427</v>
      </c>
      <c r="AG7933" s="2">
        <f ca="1"/>
        <v>0.4450672848677677</v>
      </c>
      <c r="AH7933" s="2" t="str">
        <f ca="1"/>
        <v>Bad</v>
      </c>
    </row>
    <row r="7934" spans="2:34" x14ac:dyDescent="0.2">
      <c r="B7934" s="2">
        <f ca="1"/>
        <v>0.4041943621903008</v>
      </c>
      <c r="O7934" s="2">
        <f ca="1"/>
        <v>0.19902962048503162</v>
      </c>
      <c r="X7934" s="2">
        <f ca="1"/>
        <v>60.461190759636601</v>
      </c>
      <c r="AG7934" s="2">
        <f ca="1"/>
        <v>0.50775472623758477</v>
      </c>
      <c r="AH7934" s="2" t="str">
        <f ca="1"/>
        <v>Bad</v>
      </c>
    </row>
    <row r="7935" spans="2:34" x14ac:dyDescent="0.2">
      <c r="B7935" s="2">
        <f ca="1"/>
        <v>0.56638374311986173</v>
      </c>
      <c r="O7935" s="2">
        <f ca="1"/>
        <v>-8.0929773703511204E-2</v>
      </c>
      <c r="X7935" s="2">
        <f ca="1"/>
        <v>23.275205067507656</v>
      </c>
      <c r="AG7935" s="2">
        <f ca="1"/>
        <v>0.51716283451474365</v>
      </c>
      <c r="AH7935" s="2" t="str">
        <f ca="1"/>
        <v>Bad</v>
      </c>
    </row>
    <row r="7936" spans="2:34" x14ac:dyDescent="0.2">
      <c r="B7936" s="2">
        <f ca="1"/>
        <v>0.23398910139928186</v>
      </c>
      <c r="O7936" s="2">
        <f ca="1"/>
        <v>-0.63372952893796253</v>
      </c>
      <c r="X7936" s="2">
        <f ca="1"/>
        <v>80.667252645430494</v>
      </c>
      <c r="AG7936" s="2">
        <f ca="1"/>
        <v>0.31561543637353218</v>
      </c>
      <c r="AH7936" s="2" t="str">
        <f ca="1"/>
        <v>OK</v>
      </c>
    </row>
    <row r="7937" spans="2:34" x14ac:dyDescent="0.2">
      <c r="B7937" s="2">
        <f ca="1"/>
        <v>0.25543632528055626</v>
      </c>
      <c r="O7937" s="2">
        <f ca="1"/>
        <v>0.7425016745561368</v>
      </c>
      <c r="X7937" s="2">
        <f ca="1"/>
        <v>55.599216150374495</v>
      </c>
      <c r="AG7937" s="2">
        <f ca="1"/>
        <v>0.46935930070257981</v>
      </c>
      <c r="AH7937" s="2" t="str">
        <f ca="1"/>
        <v>Bad</v>
      </c>
    </row>
    <row r="7938" spans="2:34" x14ac:dyDescent="0.2">
      <c r="B7938" s="2">
        <f ca="1"/>
        <v>0.76742730984926011</v>
      </c>
      <c r="O7938" s="2">
        <f ca="1"/>
        <v>-0.35034401789761394</v>
      </c>
      <c r="X7938" s="2">
        <f ca="1"/>
        <v>43.339963281712087</v>
      </c>
      <c r="AG7938" s="2">
        <f ca="1"/>
        <v>0.64996925124759453</v>
      </c>
      <c r="AH7938" s="2" t="str">
        <f ca="1"/>
        <v>Bad</v>
      </c>
    </row>
    <row r="7939" spans="2:34" x14ac:dyDescent="0.2">
      <c r="B7939" s="2">
        <f ca="1"/>
        <v>0.34066763596544769</v>
      </c>
      <c r="O7939" s="2">
        <f ca="1"/>
        <v>-0.65313609226042724</v>
      </c>
      <c r="X7939" s="2">
        <f ca="1"/>
        <v>43.318177215061276</v>
      </c>
      <c r="AG7939" s="2">
        <f ca="1"/>
        <v>0.68460552052177626</v>
      </c>
      <c r="AH7939" s="2" t="str">
        <f ca="1"/>
        <v>Bad</v>
      </c>
    </row>
    <row r="7940" spans="2:34" x14ac:dyDescent="0.2">
      <c r="B7940" s="2">
        <f ca="1"/>
        <v>0.50847232554548238</v>
      </c>
      <c r="O7940" s="2">
        <f ca="1"/>
        <v>0.24183187561784611</v>
      </c>
      <c r="X7940" s="2">
        <f ca="1"/>
        <v>38.44807171113343</v>
      </c>
      <c r="AG7940" s="2">
        <f ca="1"/>
        <v>0.95175985326960744</v>
      </c>
      <c r="AH7940" s="2" t="str">
        <f ca="1"/>
        <v>Bad</v>
      </c>
    </row>
    <row r="7941" spans="2:34" x14ac:dyDescent="0.2">
      <c r="B7941" s="2">
        <f ca="1"/>
        <v>0.66947682289066557</v>
      </c>
      <c r="O7941" s="2">
        <f ca="1"/>
        <v>0.16474326763982239</v>
      </c>
      <c r="X7941" s="2">
        <f ca="1"/>
        <v>26.781878091958564</v>
      </c>
      <c r="AG7941" s="2">
        <f ca="1"/>
        <v>0.62755760205158007</v>
      </c>
      <c r="AH7941" s="2" t="str">
        <f ca="1"/>
        <v>Bad</v>
      </c>
    </row>
    <row r="7942" spans="2:34" x14ac:dyDescent="0.2">
      <c r="B7942" s="2">
        <f ca="1"/>
        <v>0.60973887288708117</v>
      </c>
      <c r="O7942" s="2">
        <f ca="1"/>
        <v>-0.99430177618539828</v>
      </c>
      <c r="X7942" s="2">
        <f ca="1"/>
        <v>36.173133659468817</v>
      </c>
      <c r="AG7942" s="2">
        <f ca="1"/>
        <v>0.93299271497798397</v>
      </c>
      <c r="AH7942" s="2" t="str">
        <f ca="1"/>
        <v>Bad</v>
      </c>
    </row>
    <row r="7943" spans="2:34" x14ac:dyDescent="0.2">
      <c r="B7943" s="2">
        <f ca="1"/>
        <v>0.38248025662790774</v>
      </c>
      <c r="O7943" s="2">
        <f ca="1"/>
        <v>-0.10510457409028885</v>
      </c>
      <c r="X7943" s="2">
        <f ca="1"/>
        <v>45.203303091568571</v>
      </c>
      <c r="AG7943" s="2">
        <f ca="1"/>
        <v>3.31575796789505E-2</v>
      </c>
      <c r="AH7943" s="2" t="str">
        <f ca="1"/>
        <v>Good</v>
      </c>
    </row>
    <row r="7944" spans="2:34" x14ac:dyDescent="0.2">
      <c r="B7944" s="2">
        <f ca="1"/>
        <v>0.9045484253868139</v>
      </c>
      <c r="O7944" s="2">
        <f ca="1"/>
        <v>-1.0311729169716255</v>
      </c>
      <c r="X7944" s="2">
        <f ca="1"/>
        <v>57.418709676726905</v>
      </c>
      <c r="AG7944" s="2">
        <f ca="1"/>
        <v>0.65887561848421261</v>
      </c>
      <c r="AH7944" s="2" t="str">
        <f ca="1"/>
        <v>Bad</v>
      </c>
    </row>
    <row r="7945" spans="2:34" x14ac:dyDescent="0.2">
      <c r="B7945" s="2">
        <f ca="1"/>
        <v>0.72957548458638932</v>
      </c>
      <c r="O7945" s="2">
        <f ca="1"/>
        <v>0.91427214143321545</v>
      </c>
      <c r="X7945" s="2">
        <f ca="1"/>
        <v>38.894671969075986</v>
      </c>
      <c r="AG7945" s="2">
        <f ca="1"/>
        <v>0.63412017801148379</v>
      </c>
      <c r="AH7945" s="2" t="str">
        <f ca="1"/>
        <v>Bad</v>
      </c>
    </row>
    <row r="7946" spans="2:34" x14ac:dyDescent="0.2">
      <c r="B7946" s="2">
        <f ca="1"/>
        <v>0.41413603263010512</v>
      </c>
      <c r="O7946" s="2">
        <f ca="1"/>
        <v>0.13277706071522949</v>
      </c>
      <c r="X7946" s="2">
        <f ca="1"/>
        <v>38.406567107712263</v>
      </c>
      <c r="AG7946" s="2">
        <f ca="1"/>
        <v>0.30387775825480534</v>
      </c>
      <c r="AH7946" s="2" t="str">
        <f ca="1"/>
        <v>OK</v>
      </c>
    </row>
    <row r="7947" spans="2:34" x14ac:dyDescent="0.2">
      <c r="B7947" s="2">
        <f ca="1"/>
        <v>0.76862677106943633</v>
      </c>
      <c r="O7947" s="2">
        <f ca="1"/>
        <v>-0.39494210248883249</v>
      </c>
      <c r="X7947" s="2">
        <f ca="1"/>
        <v>33.416045319404219</v>
      </c>
      <c r="AG7947" s="2">
        <f ca="1"/>
        <v>0.58758439348389735</v>
      </c>
      <c r="AH7947" s="2" t="str">
        <f ca="1"/>
        <v>Bad</v>
      </c>
    </row>
    <row r="7948" spans="2:34" x14ac:dyDescent="0.2">
      <c r="B7948" s="2">
        <f ca="1"/>
        <v>0.63118365589258096</v>
      </c>
      <c r="O7948" s="2">
        <f ca="1"/>
        <v>-0.55892321693529767</v>
      </c>
      <c r="X7948" s="2">
        <f ca="1"/>
        <v>94.814067510804193</v>
      </c>
      <c r="AG7948" s="2">
        <f ca="1"/>
        <v>0.17909406875940248</v>
      </c>
      <c r="AH7948" s="2" t="str">
        <f ca="1"/>
        <v>OK</v>
      </c>
    </row>
    <row r="7949" spans="2:34" x14ac:dyDescent="0.2">
      <c r="B7949" s="2">
        <f ca="1"/>
        <v>0.83349294654937056</v>
      </c>
      <c r="O7949" s="2">
        <f ca="1"/>
        <v>0.88535848747849755</v>
      </c>
      <c r="X7949" s="2">
        <f ca="1"/>
        <v>41.787642678637312</v>
      </c>
      <c r="AG7949" s="2">
        <f ca="1"/>
        <v>0.17327756252089199</v>
      </c>
      <c r="AH7949" s="2" t="str">
        <f ca="1"/>
        <v>OK</v>
      </c>
    </row>
    <row r="7950" spans="2:34" x14ac:dyDescent="0.2">
      <c r="B7950" s="2">
        <f ca="1"/>
        <v>0.89446674148105432</v>
      </c>
      <c r="O7950" s="2">
        <f ca="1"/>
        <v>-0.89177297930878774</v>
      </c>
      <c r="X7950" s="2">
        <f ca="1"/>
        <v>53.573565897284858</v>
      </c>
      <c r="AG7950" s="2">
        <f ca="1"/>
        <v>0.60725323895293415</v>
      </c>
      <c r="AH7950" s="2" t="str">
        <f ca="1"/>
        <v>Bad</v>
      </c>
    </row>
    <row r="7951" spans="2:34" x14ac:dyDescent="0.2">
      <c r="B7951" s="2">
        <f ca="1"/>
        <v>0.98800837842657563</v>
      </c>
      <c r="O7951" s="2">
        <f ca="1"/>
        <v>-0.4126836172610544</v>
      </c>
      <c r="X7951" s="2">
        <f ca="1"/>
        <v>53.670799982912961</v>
      </c>
      <c r="AG7951" s="2">
        <f ca="1"/>
        <v>0.43234823981356341</v>
      </c>
      <c r="AH7951" s="2" t="str">
        <f ca="1"/>
        <v>Bad</v>
      </c>
    </row>
    <row r="7952" spans="2:34" x14ac:dyDescent="0.2">
      <c r="B7952" s="2">
        <f ca="1"/>
        <v>0.97318266629884786</v>
      </c>
      <c r="O7952" s="2">
        <f ca="1"/>
        <v>-1.1005885654739078</v>
      </c>
      <c r="X7952" s="2">
        <f ca="1"/>
        <v>46.401962872853687</v>
      </c>
      <c r="AG7952" s="2">
        <f ca="1"/>
        <v>0.42568936366623578</v>
      </c>
      <c r="AH7952" s="2" t="str">
        <f ca="1"/>
        <v>Bad</v>
      </c>
    </row>
    <row r="7953" spans="2:34" x14ac:dyDescent="0.2">
      <c r="B7953" s="2">
        <f ca="1"/>
        <v>0.77528878763538889</v>
      </c>
      <c r="O7953" s="2">
        <f ca="1"/>
        <v>0.28475010153361013</v>
      </c>
      <c r="X7953" s="2">
        <f ca="1"/>
        <v>39.649593120669891</v>
      </c>
      <c r="AG7953" s="2">
        <f ca="1"/>
        <v>0.76457864688808863</v>
      </c>
      <c r="AH7953" s="2" t="str">
        <f ca="1"/>
        <v>Bad</v>
      </c>
    </row>
    <row r="7954" spans="2:34" x14ac:dyDescent="0.2">
      <c r="B7954" s="2">
        <f ca="1"/>
        <v>0.97292793733456673</v>
      </c>
      <c r="O7954" s="2">
        <f ca="1"/>
        <v>2.7460007738325838</v>
      </c>
      <c r="X7954" s="2">
        <f ca="1"/>
        <v>65.032473955524296</v>
      </c>
      <c r="AG7954" s="2">
        <f ca="1"/>
        <v>0.2538777820378153</v>
      </c>
      <c r="AH7954" s="2" t="str">
        <f ca="1"/>
        <v>OK</v>
      </c>
    </row>
    <row r="7955" spans="2:34" x14ac:dyDescent="0.2">
      <c r="B7955" s="2">
        <f ca="1"/>
        <v>0.44158696697183597</v>
      </c>
      <c r="O7955" s="2">
        <f ca="1"/>
        <v>-0.55406788135317975</v>
      </c>
      <c r="X7955" s="2">
        <f ca="1"/>
        <v>35.642306446528487</v>
      </c>
      <c r="AG7955" s="2">
        <f ca="1"/>
        <v>0.30199516536880378</v>
      </c>
      <c r="AH7955" s="2" t="str">
        <f ca="1"/>
        <v>OK</v>
      </c>
    </row>
    <row r="7956" spans="2:34" x14ac:dyDescent="0.2">
      <c r="B7956" s="2">
        <f ca="1"/>
        <v>0.62177497138459215</v>
      </c>
      <c r="O7956" s="2">
        <f ca="1"/>
        <v>-0.31146431252765483</v>
      </c>
      <c r="X7956" s="2">
        <f ca="1"/>
        <v>52.714568843049435</v>
      </c>
      <c r="AG7956" s="2">
        <f ca="1"/>
        <v>0.80245322612299752</v>
      </c>
      <c r="AH7956" s="2" t="str">
        <f ca="1"/>
        <v>Bad</v>
      </c>
    </row>
    <row r="7957" spans="2:34" x14ac:dyDescent="0.2">
      <c r="B7957" s="2">
        <f ca="1"/>
        <v>0.23854985726114775</v>
      </c>
      <c r="O7957" s="2">
        <f ca="1"/>
        <v>-4.1804865929009727E-2</v>
      </c>
      <c r="X7957" s="2">
        <f ca="1"/>
        <v>36.685512837920648</v>
      </c>
      <c r="AG7957" s="2">
        <f ca="1"/>
        <v>0.21184302069593786</v>
      </c>
      <c r="AH7957" s="2" t="str">
        <f ca="1"/>
        <v>OK</v>
      </c>
    </row>
    <row r="7958" spans="2:34" x14ac:dyDescent="0.2">
      <c r="B7958" s="2">
        <f ca="1"/>
        <v>8.6842417573424813E-2</v>
      </c>
      <c r="O7958" s="2">
        <f ca="1"/>
        <v>0.42993763804001273</v>
      </c>
      <c r="X7958" s="2">
        <f ca="1"/>
        <v>69.184460371842178</v>
      </c>
      <c r="AG7958" s="2">
        <f ca="1"/>
        <v>0.46241725591317717</v>
      </c>
      <c r="AH7958" s="2" t="str">
        <f ca="1"/>
        <v>Bad</v>
      </c>
    </row>
    <row r="7959" spans="2:34" x14ac:dyDescent="0.2">
      <c r="B7959" s="2">
        <f ca="1"/>
        <v>0.86870748935004749</v>
      </c>
      <c r="O7959" s="2">
        <f ca="1"/>
        <v>0.70727850457839159</v>
      </c>
      <c r="X7959" s="2">
        <f ca="1"/>
        <v>56.725612496789552</v>
      </c>
      <c r="AG7959" s="2">
        <f ca="1"/>
        <v>0.5265798778219557</v>
      </c>
      <c r="AH7959" s="2" t="str">
        <f ca="1"/>
        <v>Bad</v>
      </c>
    </row>
    <row r="7960" spans="2:34" x14ac:dyDescent="0.2">
      <c r="B7960" s="2">
        <f ca="1"/>
        <v>9.2396128114435649E-2</v>
      </c>
      <c r="O7960" s="2">
        <f ca="1"/>
        <v>6.5979400440550937E-2</v>
      </c>
      <c r="X7960" s="2">
        <f ca="1"/>
        <v>46.654677070940181</v>
      </c>
      <c r="AG7960" s="2">
        <f ca="1"/>
        <v>0.5284652214860428</v>
      </c>
      <c r="AH7960" s="2" t="str">
        <f ca="1"/>
        <v>Bad</v>
      </c>
    </row>
    <row r="7961" spans="2:34" x14ac:dyDescent="0.2">
      <c r="B7961" s="2">
        <f ca="1"/>
        <v>0.23296898177754577</v>
      </c>
      <c r="O7961" s="2">
        <f ca="1"/>
        <v>-1.5670681197640801</v>
      </c>
      <c r="X7961" s="2">
        <f ca="1"/>
        <v>43.339257435017721</v>
      </c>
      <c r="AG7961" s="2">
        <f ca="1"/>
        <v>0.60107066791442509</v>
      </c>
      <c r="AH7961" s="2" t="str">
        <f ca="1"/>
        <v>Bad</v>
      </c>
    </row>
    <row r="7962" spans="2:34" x14ac:dyDescent="0.2">
      <c r="B7962" s="2">
        <f ca="1"/>
        <v>0.56289400043111759</v>
      </c>
      <c r="O7962" s="2">
        <f ca="1"/>
        <v>0.26049961811897343</v>
      </c>
      <c r="X7962" s="2">
        <f ca="1"/>
        <v>30.633317787848199</v>
      </c>
      <c r="AG7962" s="2">
        <f ca="1"/>
        <v>0.58529260399337213</v>
      </c>
      <c r="AH7962" s="2" t="str">
        <f ca="1"/>
        <v>Bad</v>
      </c>
    </row>
    <row r="7963" spans="2:34" x14ac:dyDescent="0.2">
      <c r="B7963" s="2">
        <f ca="1"/>
        <v>0.39837722731295266</v>
      </c>
      <c r="O7963" s="2">
        <f ca="1"/>
        <v>0.17316624260486022</v>
      </c>
      <c r="X7963" s="2">
        <f ca="1"/>
        <v>74.670170298614437</v>
      </c>
      <c r="AG7963" s="2">
        <f ca="1"/>
        <v>0.18250293048719834</v>
      </c>
      <c r="AH7963" s="2" t="str">
        <f ca="1"/>
        <v>OK</v>
      </c>
    </row>
    <row r="7964" spans="2:34" x14ac:dyDescent="0.2">
      <c r="B7964" s="2">
        <f ca="1"/>
        <v>0.65858967707301019</v>
      </c>
      <c r="O7964" s="2">
        <f ca="1"/>
        <v>-0.34743486174773042</v>
      </c>
      <c r="X7964" s="2">
        <f ca="1"/>
        <v>75.148586188507323</v>
      </c>
      <c r="AG7964" s="2">
        <f ca="1"/>
        <v>0.53073742306331217</v>
      </c>
      <c r="AH7964" s="2" t="str">
        <f ca="1"/>
        <v>Bad</v>
      </c>
    </row>
    <row r="7965" spans="2:34" x14ac:dyDescent="0.2">
      <c r="B7965" s="2">
        <f ca="1"/>
        <v>5.5357716587272954E-2</v>
      </c>
      <c r="O7965" s="2">
        <f ca="1"/>
        <v>0.5025106262086142</v>
      </c>
      <c r="X7965" s="2">
        <f ca="1"/>
        <v>88.694793214795325</v>
      </c>
      <c r="AG7965" s="2">
        <f ca="1"/>
        <v>0.30876719247070694</v>
      </c>
      <c r="AH7965" s="2" t="str">
        <f ca="1"/>
        <v>OK</v>
      </c>
    </row>
    <row r="7966" spans="2:34" x14ac:dyDescent="0.2">
      <c r="B7966" s="2">
        <f ca="1"/>
        <v>0.38118286105481736</v>
      </c>
      <c r="O7966" s="2">
        <f ca="1"/>
        <v>-0.65377169097386101</v>
      </c>
      <c r="X7966" s="2">
        <f ca="1"/>
        <v>43.531394965946298</v>
      </c>
      <c r="AG7966" s="2">
        <f ca="1"/>
        <v>0.74972093919031346</v>
      </c>
      <c r="AH7966" s="2" t="str">
        <f ca="1"/>
        <v>Bad</v>
      </c>
    </row>
    <row r="7967" spans="2:34" x14ac:dyDescent="0.2">
      <c r="B7967" s="2">
        <f ca="1"/>
        <v>0.72972297747624482</v>
      </c>
      <c r="O7967" s="2">
        <f ca="1"/>
        <v>0.59265758813030722</v>
      </c>
      <c r="X7967" s="2">
        <f ca="1"/>
        <v>93.291635427703582</v>
      </c>
      <c r="AG7967" s="2">
        <f ca="1"/>
        <v>0.45219619544231682</v>
      </c>
      <c r="AH7967" s="2" t="str">
        <f ca="1"/>
        <v>Bad</v>
      </c>
    </row>
    <row r="7968" spans="2:34" x14ac:dyDescent="0.2">
      <c r="B7968" s="2">
        <f ca="1"/>
        <v>0.42741994512800563</v>
      </c>
      <c r="O7968" s="2">
        <f ca="1"/>
        <v>-1.5266630299233248</v>
      </c>
      <c r="X7968" s="2">
        <f ca="1"/>
        <v>47.133023112119389</v>
      </c>
      <c r="AG7968" s="2">
        <f ca="1"/>
        <v>0.98304503440046576</v>
      </c>
      <c r="AH7968" s="2" t="str">
        <f ca="1"/>
        <v>Bad</v>
      </c>
    </row>
    <row r="7969" spans="2:34" x14ac:dyDescent="0.2">
      <c r="B7969" s="2">
        <f ca="1"/>
        <v>0.63576812380532322</v>
      </c>
      <c r="O7969" s="2">
        <f ca="1"/>
        <v>-0.77811755856882703</v>
      </c>
      <c r="X7969" s="2">
        <f ca="1"/>
        <v>38.117357278673644</v>
      </c>
      <c r="AG7969" s="2">
        <f ca="1"/>
        <v>0.24792435118149725</v>
      </c>
      <c r="AH7969" s="2" t="str">
        <f ca="1"/>
        <v>OK</v>
      </c>
    </row>
    <row r="7970" spans="2:34" x14ac:dyDescent="0.2">
      <c r="B7970" s="2">
        <f ca="1"/>
        <v>0.37651322704399237</v>
      </c>
      <c r="O7970" s="2">
        <f ca="1"/>
        <v>-0.23826965934973229</v>
      </c>
      <c r="X7970" s="2">
        <f ca="1"/>
        <v>50.880521546083408</v>
      </c>
      <c r="AG7970" s="2">
        <f ca="1"/>
        <v>0.3390349692215715</v>
      </c>
      <c r="AH7970" s="2" t="str">
        <f ca="1"/>
        <v>OK</v>
      </c>
    </row>
    <row r="7971" spans="2:34" x14ac:dyDescent="0.2">
      <c r="B7971" s="2">
        <f ca="1"/>
        <v>0.50035236832506946</v>
      </c>
      <c r="O7971" s="2">
        <f ca="1"/>
        <v>-1.2524340521140946</v>
      </c>
      <c r="X7971" s="2">
        <f ca="1"/>
        <v>39.499423310362992</v>
      </c>
      <c r="AG7971" s="2">
        <f ca="1"/>
        <v>0.46637467760358886</v>
      </c>
      <c r="AH7971" s="2" t="str">
        <f ca="1"/>
        <v>Bad</v>
      </c>
    </row>
    <row r="7972" spans="2:34" x14ac:dyDescent="0.2">
      <c r="B7972" s="2">
        <f ca="1"/>
        <v>0.23658158926498207</v>
      </c>
      <c r="O7972" s="2">
        <f ca="1"/>
        <v>-0.84169892736983731</v>
      </c>
      <c r="X7972" s="2">
        <f ca="1"/>
        <v>49.27349892263387</v>
      </c>
      <c r="AG7972" s="2">
        <f ca="1"/>
        <v>0.59895934668442741</v>
      </c>
      <c r="AH7972" s="2" t="str">
        <f ca="1"/>
        <v>Bad</v>
      </c>
    </row>
    <row r="7973" spans="2:34" x14ac:dyDescent="0.2">
      <c r="B7973" s="2">
        <f ca="1"/>
        <v>0.99784998598338936</v>
      </c>
      <c r="O7973" s="2">
        <f ca="1"/>
        <v>0.39373835492345499</v>
      </c>
      <c r="X7973" s="2">
        <f ca="1"/>
        <v>58.774420917947879</v>
      </c>
      <c r="AG7973" s="2">
        <f ca="1"/>
        <v>0.16181121293873924</v>
      </c>
      <c r="AH7973" s="2" t="str">
        <f ca="1"/>
        <v>OK</v>
      </c>
    </row>
    <row r="7974" spans="2:34" x14ac:dyDescent="0.2">
      <c r="B7974" s="2">
        <f ca="1"/>
        <v>0.71284403797356455</v>
      </c>
      <c r="O7974" s="2">
        <f ca="1"/>
        <v>0.13184412380169244</v>
      </c>
      <c r="X7974" s="2">
        <f ca="1"/>
        <v>43.302944504073892</v>
      </c>
      <c r="AG7974" s="2">
        <f ca="1"/>
        <v>0.14207841900598561</v>
      </c>
      <c r="AH7974" s="2" t="str">
        <f ca="1"/>
        <v>OK</v>
      </c>
    </row>
    <row r="7975" spans="2:34" x14ac:dyDescent="0.2">
      <c r="B7975" s="2">
        <f ca="1"/>
        <v>0.69577197901078436</v>
      </c>
      <c r="O7975" s="2">
        <f ca="1"/>
        <v>-1.2394767477168445</v>
      </c>
      <c r="X7975" s="2">
        <f ca="1"/>
        <v>32.864538312720157</v>
      </c>
      <c r="AG7975" s="2">
        <f ca="1"/>
        <v>5.9845525211247752E-2</v>
      </c>
      <c r="AH7975" s="2" t="str">
        <f ca="1"/>
        <v>OK</v>
      </c>
    </row>
    <row r="7976" spans="2:34" x14ac:dyDescent="0.2">
      <c r="B7976" s="2">
        <f ca="1"/>
        <v>0.20982835017636403</v>
      </c>
      <c r="O7976" s="2">
        <f ca="1"/>
        <v>2.533993436112926E-2</v>
      </c>
      <c r="X7976" s="2">
        <f ca="1"/>
        <v>79.971614412666966</v>
      </c>
      <c r="AG7976" s="2">
        <f ca="1"/>
        <v>0.46156558384520752</v>
      </c>
      <c r="AH7976" s="2" t="str">
        <f ca="1"/>
        <v>Bad</v>
      </c>
    </row>
    <row r="7977" spans="2:34" x14ac:dyDescent="0.2">
      <c r="B7977" s="2">
        <f ca="1"/>
        <v>7.3711686761205764E-2</v>
      </c>
      <c r="O7977" s="2">
        <f ca="1"/>
        <v>-1.1980108225639716</v>
      </c>
      <c r="X7977" s="2">
        <f ca="1"/>
        <v>84.918738758964011</v>
      </c>
      <c r="AG7977" s="2">
        <f ca="1"/>
        <v>0.18531863889137745</v>
      </c>
      <c r="AH7977" s="2" t="str">
        <f ca="1"/>
        <v>OK</v>
      </c>
    </row>
    <row r="7978" spans="2:34" x14ac:dyDescent="0.2">
      <c r="B7978" s="2">
        <f ca="1"/>
        <v>0.68413813342535779</v>
      </c>
      <c r="O7978" s="2">
        <f ca="1"/>
        <v>-2.569696571363056</v>
      </c>
      <c r="X7978" s="2">
        <f ca="1"/>
        <v>38.068495452721876</v>
      </c>
      <c r="AG7978" s="2">
        <f ca="1"/>
        <v>0.55601414241496516</v>
      </c>
      <c r="AH7978" s="2" t="str">
        <f ca="1"/>
        <v>Bad</v>
      </c>
    </row>
    <row r="7979" spans="2:34" x14ac:dyDescent="0.2">
      <c r="B7979" s="2">
        <f ca="1"/>
        <v>0.82646430306122665</v>
      </c>
      <c r="O7979" s="2">
        <f ca="1"/>
        <v>-0.52954604612794687</v>
      </c>
      <c r="X7979" s="2">
        <f ca="1"/>
        <v>30.883561559114426</v>
      </c>
      <c r="AG7979" s="2">
        <f ca="1"/>
        <v>0.41013670210826692</v>
      </c>
      <c r="AH7979" s="2" t="str">
        <f ca="1"/>
        <v>Bad</v>
      </c>
    </row>
    <row r="7980" spans="2:34" x14ac:dyDescent="0.2">
      <c r="B7980" s="2">
        <f ca="1"/>
        <v>8.025202201618864E-2</v>
      </c>
      <c r="O7980" s="2">
        <f ca="1"/>
        <v>1.0795519249018899</v>
      </c>
      <c r="X7980" s="2">
        <f ca="1"/>
        <v>34.868864714130005</v>
      </c>
      <c r="AG7980" s="2">
        <f ca="1"/>
        <v>1.7359011651782774E-2</v>
      </c>
      <c r="AH7980" s="2" t="str">
        <f ca="1"/>
        <v>Good</v>
      </c>
    </row>
    <row r="7981" spans="2:34" x14ac:dyDescent="0.2">
      <c r="B7981" s="2">
        <f ca="1"/>
        <v>0.21041486684846911</v>
      </c>
      <c r="O7981" s="2">
        <f ca="1"/>
        <v>1.6440671097852928</v>
      </c>
      <c r="X7981" s="2">
        <f ca="1"/>
        <v>33.05932570423289</v>
      </c>
      <c r="AG7981" s="2">
        <f ca="1"/>
        <v>0.14752147451488296</v>
      </c>
      <c r="AH7981" s="2" t="str">
        <f ca="1"/>
        <v>OK</v>
      </c>
    </row>
    <row r="7982" spans="2:34" x14ac:dyDescent="0.2">
      <c r="B7982" s="2">
        <f ca="1"/>
        <v>4.9452517637112337E-2</v>
      </c>
      <c r="O7982" s="2">
        <f ca="1"/>
        <v>0.32780700963652126</v>
      </c>
      <c r="X7982" s="2">
        <f ca="1"/>
        <v>52.65868327357942</v>
      </c>
      <c r="AG7982" s="2">
        <f ca="1"/>
        <v>0.89727718759249298</v>
      </c>
      <c r="AH7982" s="2" t="str">
        <f ca="1"/>
        <v>Bad</v>
      </c>
    </row>
    <row r="7983" spans="2:34" x14ac:dyDescent="0.2">
      <c r="B7983" s="2">
        <f ca="1"/>
        <v>0.77996968655966947</v>
      </c>
      <c r="O7983" s="2">
        <f ca="1"/>
        <v>9.0293210899286075E-2</v>
      </c>
      <c r="X7983" s="2">
        <f ca="1"/>
        <v>53.929213972649706</v>
      </c>
      <c r="AG7983" s="2">
        <f ca="1"/>
        <v>0.72336407763754185</v>
      </c>
      <c r="AH7983" s="2" t="str">
        <f ca="1"/>
        <v>Bad</v>
      </c>
    </row>
    <row r="7984" spans="2:34" x14ac:dyDescent="0.2">
      <c r="B7984" s="2">
        <f ca="1"/>
        <v>0.85805200169595186</v>
      </c>
      <c r="O7984" s="2">
        <f ca="1"/>
        <v>0.15425197379144084</v>
      </c>
      <c r="X7984" s="2">
        <f ca="1"/>
        <v>62.716308088453545</v>
      </c>
      <c r="AG7984" s="2">
        <f ca="1"/>
        <v>7.5352613983150629E-2</v>
      </c>
      <c r="AH7984" s="2" t="str">
        <f ca="1"/>
        <v>OK</v>
      </c>
    </row>
    <row r="7985" spans="2:34" x14ac:dyDescent="0.2">
      <c r="B7985" s="2">
        <f ca="1"/>
        <v>0.61835237722218439</v>
      </c>
      <c r="O7985" s="2">
        <f ca="1"/>
        <v>0.12079211188693006</v>
      </c>
      <c r="X7985" s="2">
        <f ca="1"/>
        <v>67.835737321215703</v>
      </c>
      <c r="AG7985" s="2">
        <f ca="1"/>
        <v>0.49124533988441765</v>
      </c>
      <c r="AH7985" s="2" t="str">
        <f ca="1"/>
        <v>Bad</v>
      </c>
    </row>
    <row r="7986" spans="2:34" x14ac:dyDescent="0.2">
      <c r="B7986" s="2">
        <f ca="1"/>
        <v>0.16518274204885164</v>
      </c>
      <c r="O7986" s="2">
        <f ca="1"/>
        <v>-0.39535979796467818</v>
      </c>
      <c r="X7986" s="2">
        <f ca="1"/>
        <v>72.008296211304653</v>
      </c>
      <c r="AG7986" s="2">
        <f ca="1"/>
        <v>0.96570955599923636</v>
      </c>
      <c r="AH7986" s="2" t="str">
        <f ca="1"/>
        <v>Bad</v>
      </c>
    </row>
    <row r="7987" spans="2:34" x14ac:dyDescent="0.2">
      <c r="B7987" s="2">
        <f ca="1"/>
        <v>0.58806537451251617</v>
      </c>
      <c r="O7987" s="2">
        <f ca="1"/>
        <v>0.95556412855605033</v>
      </c>
      <c r="X7987" s="2">
        <f ca="1"/>
        <v>47.167828242718386</v>
      </c>
      <c r="AG7987" s="2">
        <f ca="1"/>
        <v>0.63196606685172418</v>
      </c>
      <c r="AH7987" s="2" t="str">
        <f ca="1"/>
        <v>Bad</v>
      </c>
    </row>
    <row r="7988" spans="2:34" x14ac:dyDescent="0.2">
      <c r="B7988" s="2">
        <f ca="1"/>
        <v>0.3883430974497335</v>
      </c>
      <c r="O7988" s="2">
        <f ca="1"/>
        <v>0.25050437351778987</v>
      </c>
      <c r="X7988" s="2">
        <f ca="1"/>
        <v>48.965866894996076</v>
      </c>
      <c r="AG7988" s="2">
        <f ca="1"/>
        <v>0.39873969906888918</v>
      </c>
      <c r="AH7988" s="2" t="str">
        <f ca="1"/>
        <v>OK</v>
      </c>
    </row>
    <row r="7989" spans="2:34" x14ac:dyDescent="0.2">
      <c r="B7989" s="2">
        <f ca="1"/>
        <v>0.60494222529316999</v>
      </c>
      <c r="O7989" s="2">
        <f ca="1"/>
        <v>-1.2327295619939809</v>
      </c>
      <c r="X7989" s="2">
        <f ca="1"/>
        <v>36.598804527871074</v>
      </c>
      <c r="AG7989" s="2">
        <f ca="1"/>
        <v>0.39420824172629576</v>
      </c>
      <c r="AH7989" s="2" t="str">
        <f ca="1"/>
        <v>OK</v>
      </c>
    </row>
    <row r="7990" spans="2:34" x14ac:dyDescent="0.2">
      <c r="B7990" s="2">
        <f ca="1"/>
        <v>0.3512074486156358</v>
      </c>
      <c r="O7990" s="2">
        <f ca="1"/>
        <v>-0.30440977472086461</v>
      </c>
      <c r="X7990" s="2">
        <f ca="1"/>
        <v>37.592798742766071</v>
      </c>
      <c r="AG7990" s="2">
        <f ca="1"/>
        <v>4.0435409225205943E-2</v>
      </c>
      <c r="AH7990" s="2" t="str">
        <f ca="1"/>
        <v>Good</v>
      </c>
    </row>
    <row r="7991" spans="2:34" x14ac:dyDescent="0.2">
      <c r="B7991" s="2">
        <f ca="1"/>
        <v>0.38199953460941516</v>
      </c>
      <c r="O7991" s="2">
        <f ca="1"/>
        <v>5.7625239052039373E-3</v>
      </c>
      <c r="X7991" s="2">
        <f ca="1"/>
        <v>38.597744485467203</v>
      </c>
      <c r="AG7991" s="2">
        <f ca="1"/>
        <v>0.45001426799767241</v>
      </c>
      <c r="AH7991" s="2" t="str">
        <f ca="1"/>
        <v>Bad</v>
      </c>
    </row>
    <row r="7992" spans="2:34" x14ac:dyDescent="0.2">
      <c r="B7992" s="2">
        <f ca="1"/>
        <v>0.14501446241545835</v>
      </c>
      <c r="O7992" s="2">
        <f ca="1"/>
        <v>0.45870172482080368</v>
      </c>
      <c r="X7992" s="2">
        <f ca="1"/>
        <v>42.448252640866599</v>
      </c>
      <c r="AG7992" s="2">
        <f ca="1"/>
        <v>0.1660069427863291</v>
      </c>
      <c r="AH7992" s="2" t="str">
        <f ca="1"/>
        <v>OK</v>
      </c>
    </row>
    <row r="7993" spans="2:34" x14ac:dyDescent="0.2">
      <c r="B7993" s="2">
        <f ca="1"/>
        <v>0.75698740528326569</v>
      </c>
      <c r="O7993" s="2">
        <f ca="1"/>
        <v>0.61574175758769389</v>
      </c>
      <c r="X7993" s="2">
        <f ca="1"/>
        <v>75.979622828344475</v>
      </c>
      <c r="AG7993" s="2">
        <f ca="1"/>
        <v>0.82728448789049702</v>
      </c>
      <c r="AH7993" s="2" t="str">
        <f ca="1"/>
        <v>Bad</v>
      </c>
    </row>
    <row r="7994" spans="2:34" x14ac:dyDescent="0.2">
      <c r="B7994" s="2">
        <f ca="1"/>
        <v>0.29144725041841446</v>
      </c>
      <c r="O7994" s="2">
        <f ca="1"/>
        <v>2.0517645563026807</v>
      </c>
      <c r="X7994" s="2">
        <f ca="1"/>
        <v>84.527663748760858</v>
      </c>
      <c r="AG7994" s="2">
        <f ca="1"/>
        <v>0.46122730079039886</v>
      </c>
      <c r="AH7994" s="2" t="str">
        <f ca="1"/>
        <v>Bad</v>
      </c>
    </row>
    <row r="7995" spans="2:34" x14ac:dyDescent="0.2">
      <c r="B7995" s="2">
        <f ca="1"/>
        <v>0.55552824706192427</v>
      </c>
      <c r="O7995" s="2">
        <f ca="1"/>
        <v>0.92736453115438966</v>
      </c>
      <c r="X7995" s="2">
        <f ca="1"/>
        <v>76.734024585610086</v>
      </c>
      <c r="AG7995" s="2">
        <f ca="1"/>
        <v>0.45932761379665732</v>
      </c>
      <c r="AH7995" s="2" t="str">
        <f ca="1"/>
        <v>Bad</v>
      </c>
    </row>
    <row r="7996" spans="2:34" x14ac:dyDescent="0.2">
      <c r="B7996" s="2">
        <f ca="1"/>
        <v>0.31128948697275916</v>
      </c>
      <c r="O7996" s="2">
        <f ca="1"/>
        <v>-0.97804246675661477</v>
      </c>
      <c r="X7996" s="2">
        <f ca="1"/>
        <v>70.322617410804909</v>
      </c>
      <c r="AG7996" s="2">
        <f ca="1"/>
        <v>0.74094967233093367</v>
      </c>
      <c r="AH7996" s="2" t="str">
        <f ca="1"/>
        <v>Bad</v>
      </c>
    </row>
    <row r="7997" spans="2:34" x14ac:dyDescent="0.2">
      <c r="B7997" s="2">
        <f ca="1"/>
        <v>0.58413492302997261</v>
      </c>
      <c r="O7997" s="2">
        <f ca="1"/>
        <v>0.6032904137125249</v>
      </c>
      <c r="X7997" s="2">
        <f ca="1"/>
        <v>54.4134856828179</v>
      </c>
      <c r="AG7997" s="2">
        <f ca="1"/>
        <v>1.2193566884007634E-2</v>
      </c>
      <c r="AH7997" s="2" t="str">
        <f ca="1"/>
        <v>Good</v>
      </c>
    </row>
    <row r="7998" spans="2:34" x14ac:dyDescent="0.2">
      <c r="B7998" s="2">
        <f ca="1"/>
        <v>0.79021461309633012</v>
      </c>
      <c r="O7998" s="2">
        <f ca="1"/>
        <v>0.96139444326653545</v>
      </c>
      <c r="X7998" s="2">
        <f ca="1"/>
        <v>33.847787600680853</v>
      </c>
      <c r="AG7998" s="2">
        <f ca="1"/>
        <v>0.43122571669735565</v>
      </c>
      <c r="AH7998" s="2" t="str">
        <f ca="1"/>
        <v>Bad</v>
      </c>
    </row>
    <row r="7999" spans="2:34" x14ac:dyDescent="0.2">
      <c r="B7999" s="2">
        <f ca="1"/>
        <v>0.88980238833029968</v>
      </c>
      <c r="O7999" s="2">
        <f ca="1"/>
        <v>-1.1651424799294499</v>
      </c>
      <c r="X7999" s="2">
        <f ca="1"/>
        <v>61.345321951381024</v>
      </c>
      <c r="AG7999" s="2">
        <f ca="1"/>
        <v>0.23750143224980769</v>
      </c>
      <c r="AH7999" s="2" t="str">
        <f ca="1"/>
        <v>OK</v>
      </c>
    </row>
    <row r="8000" spans="2:34" x14ac:dyDescent="0.2">
      <c r="B8000" s="2">
        <f ca="1"/>
        <v>0.1690465470198772</v>
      </c>
      <c r="O8000" s="2">
        <f ca="1"/>
        <v>0.64483992051300754</v>
      </c>
      <c r="X8000" s="2">
        <f ca="1"/>
        <v>58.793200842285273</v>
      </c>
      <c r="AG8000" s="2">
        <f ca="1"/>
        <v>2.7539316477214193E-2</v>
      </c>
      <c r="AH8000" s="2" t="str">
        <f ca="1"/>
        <v>Good</v>
      </c>
    </row>
    <row r="8001" spans="2:34" x14ac:dyDescent="0.2">
      <c r="B8001" s="2">
        <f ca="1"/>
        <v>7.8099630735556591E-2</v>
      </c>
      <c r="O8001" s="2">
        <f ca="1"/>
        <v>0.71112193225915843</v>
      </c>
      <c r="X8001" s="2">
        <f ca="1"/>
        <v>67.092089640415566</v>
      </c>
      <c r="AG8001" s="2">
        <f ca="1"/>
        <v>0.57090149552176572</v>
      </c>
      <c r="AH8001" s="2" t="str">
        <f ca="1"/>
        <v>Bad</v>
      </c>
    </row>
    <row r="8002" spans="2:34" x14ac:dyDescent="0.2">
      <c r="B8002" s="2">
        <f ca="1"/>
        <v>0.89252316518103192</v>
      </c>
      <c r="O8002" s="2">
        <f ca="1"/>
        <v>-0.27250436212139806</v>
      </c>
      <c r="X8002" s="2">
        <f ca="1"/>
        <v>31.843674993908749</v>
      </c>
      <c r="AG8002" s="2">
        <f ca="1"/>
        <v>0.48249794737049623</v>
      </c>
      <c r="AH8002" s="2" t="str">
        <f ca="1"/>
        <v>Bad</v>
      </c>
    </row>
    <row r="8003" spans="2:34" x14ac:dyDescent="0.2">
      <c r="B8003" s="2">
        <f ca="1"/>
        <v>0.9091729232686212</v>
      </c>
      <c r="O8003" s="2">
        <f ca="1"/>
        <v>1.8234557075099873</v>
      </c>
      <c r="X8003" s="2">
        <f ca="1"/>
        <v>23.64890035143106</v>
      </c>
      <c r="AG8003" s="2">
        <f ca="1"/>
        <v>0.61580273391253293</v>
      </c>
      <c r="AH8003" s="2" t="str">
        <f ca="1"/>
        <v>Bad</v>
      </c>
    </row>
    <row r="8004" spans="2:34" x14ac:dyDescent="0.2">
      <c r="B8004" s="2">
        <f ca="1"/>
        <v>0.62329460821085703</v>
      </c>
      <c r="O8004" s="2">
        <f ca="1"/>
        <v>5.3413066851965472E-2</v>
      </c>
      <c r="X8004" s="2">
        <f ca="1"/>
        <v>53.287071128536702</v>
      </c>
      <c r="AG8004" s="2">
        <f ca="1"/>
        <v>0.88550502729189695</v>
      </c>
      <c r="AH8004" s="2" t="str">
        <f ca="1"/>
        <v>Bad</v>
      </c>
    </row>
    <row r="8005" spans="2:34" x14ac:dyDescent="0.2">
      <c r="B8005" s="2">
        <f ca="1"/>
        <v>0.6452274092920931</v>
      </c>
      <c r="O8005" s="2">
        <f ca="1"/>
        <v>0.71489290255790172</v>
      </c>
      <c r="X8005" s="2">
        <f ca="1"/>
        <v>73.489705361670431</v>
      </c>
      <c r="AG8005" s="2">
        <f ca="1"/>
        <v>0.67843436609250785</v>
      </c>
      <c r="AH8005" s="2" t="str">
        <f ca="1"/>
        <v>Bad</v>
      </c>
    </row>
    <row r="8006" spans="2:34" x14ac:dyDescent="0.2">
      <c r="B8006" s="2">
        <f ca="1"/>
        <v>0.74908422079189552</v>
      </c>
      <c r="O8006" s="2">
        <f ca="1"/>
        <v>-7.9276026961507096E-2</v>
      </c>
      <c r="X8006" s="2">
        <f ca="1"/>
        <v>49.203202246423821</v>
      </c>
      <c r="AG8006" s="2">
        <f ca="1"/>
        <v>0.91316204709321935</v>
      </c>
      <c r="AH8006" s="2" t="str">
        <f ca="1"/>
        <v>Bad</v>
      </c>
    </row>
    <row r="8007" spans="2:34" x14ac:dyDescent="0.2">
      <c r="B8007" s="2">
        <f ca="1"/>
        <v>2.4815847787853285E-2</v>
      </c>
      <c r="O8007" s="2">
        <f ca="1"/>
        <v>-2.862273380638368</v>
      </c>
      <c r="X8007" s="2">
        <f ca="1"/>
        <v>54.07980816573744</v>
      </c>
      <c r="AG8007" s="2">
        <f ca="1"/>
        <v>0.38395681426142469</v>
      </c>
      <c r="AH8007" s="2" t="str">
        <f ca="1"/>
        <v>OK</v>
      </c>
    </row>
    <row r="8008" spans="2:34" x14ac:dyDescent="0.2">
      <c r="B8008" s="2">
        <f ca="1"/>
        <v>0.54350862154152146</v>
      </c>
      <c r="O8008" s="2">
        <f ca="1"/>
        <v>1.4736438742092572</v>
      </c>
      <c r="X8008" s="2">
        <f ca="1"/>
        <v>54.504203072312578</v>
      </c>
      <c r="AG8008" s="2">
        <f ca="1"/>
        <v>0.19421981569218194</v>
      </c>
      <c r="AH8008" s="2" t="str">
        <f ca="1"/>
        <v>OK</v>
      </c>
    </row>
    <row r="8009" spans="2:34" x14ac:dyDescent="0.2">
      <c r="B8009" s="2">
        <f ca="1"/>
        <v>0.15513924573563465</v>
      </c>
      <c r="O8009" s="2">
        <f ca="1"/>
        <v>-1.3111564141350012</v>
      </c>
      <c r="X8009" s="2">
        <f ca="1"/>
        <v>60.752148396774871</v>
      </c>
      <c r="AG8009" s="2">
        <f ca="1"/>
        <v>0.61525609025766714</v>
      </c>
      <c r="AH8009" s="2" t="str">
        <f ca="1"/>
        <v>Bad</v>
      </c>
    </row>
    <row r="8010" spans="2:34" x14ac:dyDescent="0.2">
      <c r="B8010" s="2">
        <f ca="1"/>
        <v>0.13968477271556634</v>
      </c>
      <c r="O8010" s="2">
        <f ca="1"/>
        <v>6.261483819343357E-3</v>
      </c>
      <c r="X8010" s="2">
        <f ca="1"/>
        <v>66.397180462151027</v>
      </c>
      <c r="AG8010" s="2">
        <f ca="1"/>
        <v>8.9502247327706508E-2</v>
      </c>
      <c r="AH8010" s="2" t="str">
        <f ca="1"/>
        <v>OK</v>
      </c>
    </row>
    <row r="8011" spans="2:34" x14ac:dyDescent="0.2">
      <c r="B8011" s="2">
        <f ca="1"/>
        <v>0.23374504420404163</v>
      </c>
      <c r="O8011" s="2">
        <f ca="1"/>
        <v>4.4503858809165013E-2</v>
      </c>
      <c r="X8011" s="2">
        <f ca="1"/>
        <v>47.717959104747578</v>
      </c>
      <c r="AG8011" s="2">
        <f ca="1"/>
        <v>0.82285398687290789</v>
      </c>
      <c r="AH8011" s="2" t="str">
        <f ca="1"/>
        <v>Bad</v>
      </c>
    </row>
    <row r="8012" spans="2:34" x14ac:dyDescent="0.2">
      <c r="B8012" s="2">
        <f ca="1"/>
        <v>4.3545333606413994E-2</v>
      </c>
      <c r="O8012" s="2">
        <f ca="1"/>
        <v>-0.42401344974156102</v>
      </c>
      <c r="X8012" s="2">
        <f ca="1"/>
        <v>35.135848682309799</v>
      </c>
      <c r="AG8012" s="2">
        <f ca="1"/>
        <v>0.16777999695705437</v>
      </c>
      <c r="AH8012" s="2" t="str">
        <f ca="1"/>
        <v>OK</v>
      </c>
    </row>
    <row r="8013" spans="2:34" x14ac:dyDescent="0.2">
      <c r="B8013" s="2">
        <f ca="1"/>
        <v>0.30003453009529246</v>
      </c>
      <c r="O8013" s="2">
        <f ca="1"/>
        <v>1.1454046648489169</v>
      </c>
      <c r="X8013" s="2">
        <f ca="1"/>
        <v>78.644791473937261</v>
      </c>
      <c r="AG8013" s="2">
        <f ca="1"/>
        <v>0.89116907375666576</v>
      </c>
      <c r="AH8013" s="2" t="str">
        <f ca="1"/>
        <v>Bad</v>
      </c>
    </row>
    <row r="8014" spans="2:34" x14ac:dyDescent="0.2">
      <c r="B8014" s="2">
        <f ca="1"/>
        <v>0.17513943947308319</v>
      </c>
      <c r="O8014" s="2">
        <f ca="1"/>
        <v>0.22314829404124842</v>
      </c>
      <c r="X8014" s="2">
        <f ca="1"/>
        <v>74.878271470913077</v>
      </c>
      <c r="AG8014" s="2">
        <f ca="1"/>
        <v>0.2753235367004585</v>
      </c>
      <c r="AH8014" s="2" t="str">
        <f ca="1"/>
        <v>OK</v>
      </c>
    </row>
    <row r="8015" spans="2:34" x14ac:dyDescent="0.2">
      <c r="B8015" s="2">
        <f ca="1"/>
        <v>0.65003671848807776</v>
      </c>
      <c r="O8015" s="2">
        <f ca="1"/>
        <v>-0.57420283074855849</v>
      </c>
      <c r="X8015" s="2">
        <f ca="1"/>
        <v>50.965999791642389</v>
      </c>
      <c r="AG8015" s="2">
        <f ca="1"/>
        <v>0.23575775219128015</v>
      </c>
      <c r="AH8015" s="2" t="str">
        <f ca="1"/>
        <v>OK</v>
      </c>
    </row>
    <row r="8016" spans="2:34" x14ac:dyDescent="0.2">
      <c r="B8016" s="2">
        <f ca="1"/>
        <v>0.19428713855691115</v>
      </c>
      <c r="O8016" s="2">
        <f ca="1"/>
        <v>-0.88882413702556262</v>
      </c>
      <c r="X8016" s="2">
        <f ca="1"/>
        <v>59.080524918203238</v>
      </c>
      <c r="AG8016" s="2">
        <f ca="1"/>
        <v>0.63148417943979052</v>
      </c>
      <c r="AH8016" s="2" t="str">
        <f ca="1"/>
        <v>Bad</v>
      </c>
    </row>
    <row r="8017" spans="2:34" x14ac:dyDescent="0.2">
      <c r="B8017" s="2">
        <f ca="1"/>
        <v>4.7554041877367448E-2</v>
      </c>
      <c r="O8017" s="2">
        <f ca="1"/>
        <v>-0.88566533385435409</v>
      </c>
      <c r="X8017" s="2">
        <f ca="1"/>
        <v>57.960183328729009</v>
      </c>
      <c r="AG8017" s="2">
        <f ca="1"/>
        <v>0.89987489322834291</v>
      </c>
      <c r="AH8017" s="2" t="str">
        <f ca="1"/>
        <v>Bad</v>
      </c>
    </row>
    <row r="8018" spans="2:34" x14ac:dyDescent="0.2">
      <c r="B8018" s="2">
        <f ca="1"/>
        <v>0.40364796130216551</v>
      </c>
      <c r="O8018" s="2">
        <f ca="1"/>
        <v>-9.5471860382655205E-2</v>
      </c>
      <c r="X8018" s="2">
        <f ca="1"/>
        <v>52.508693369261437</v>
      </c>
      <c r="AG8018" s="2">
        <f ca="1"/>
        <v>0.3201483304060575</v>
      </c>
      <c r="AH8018" s="2" t="str">
        <f ca="1"/>
        <v>OK</v>
      </c>
    </row>
    <row r="8019" spans="2:34" x14ac:dyDescent="0.2">
      <c r="B8019" s="2">
        <f ca="1"/>
        <v>0.41477023446252126</v>
      </c>
      <c r="O8019" s="2">
        <f ca="1"/>
        <v>0.55861291496799015</v>
      </c>
      <c r="X8019" s="2">
        <f ca="1"/>
        <v>29.47847293707342</v>
      </c>
      <c r="AG8019" s="2">
        <f ca="1"/>
        <v>0.27076982559828267</v>
      </c>
      <c r="AH8019" s="2" t="str">
        <f ca="1"/>
        <v>OK</v>
      </c>
    </row>
    <row r="8020" spans="2:34" x14ac:dyDescent="0.2">
      <c r="B8020" s="2">
        <f ca="1"/>
        <v>0.48828604211422455</v>
      </c>
      <c r="O8020" s="2">
        <f ca="1"/>
        <v>-1.2920196579220267</v>
      </c>
      <c r="X8020" s="2">
        <f ca="1"/>
        <v>38.01604418365946</v>
      </c>
      <c r="AG8020" s="2">
        <f ca="1"/>
        <v>0.8885961139221199</v>
      </c>
      <c r="AH8020" s="2" t="str">
        <f ca="1"/>
        <v>Bad</v>
      </c>
    </row>
    <row r="8021" spans="2:34" x14ac:dyDescent="0.2">
      <c r="B8021" s="2">
        <f ca="1"/>
        <v>0.48174757747074293</v>
      </c>
      <c r="O8021" s="2">
        <f ca="1"/>
        <v>-9.1773559853048289E-2</v>
      </c>
      <c r="X8021" s="2">
        <f ca="1"/>
        <v>78.942404201170021</v>
      </c>
      <c r="AG8021" s="2">
        <f ca="1"/>
        <v>0.7375806874705908</v>
      </c>
      <c r="AH8021" s="2" t="str">
        <f ca="1"/>
        <v>Bad</v>
      </c>
    </row>
    <row r="8022" spans="2:34" x14ac:dyDescent="0.2">
      <c r="B8022" s="2">
        <f ca="1"/>
        <v>0.33268900535717094</v>
      </c>
      <c r="O8022" s="2">
        <f ca="1"/>
        <v>1.3304294011710045</v>
      </c>
      <c r="X8022" s="2">
        <f ca="1"/>
        <v>30.394286896998345</v>
      </c>
      <c r="AG8022" s="2">
        <f ca="1"/>
        <v>0.47484125045916858</v>
      </c>
      <c r="AH8022" s="2" t="str">
        <f ca="1"/>
        <v>Bad</v>
      </c>
    </row>
    <row r="8023" spans="2:34" x14ac:dyDescent="0.2">
      <c r="B8023" s="2">
        <f ca="1"/>
        <v>0.80559417323141291</v>
      </c>
      <c r="O8023" s="2">
        <f ca="1"/>
        <v>0.62306866209154355</v>
      </c>
      <c r="X8023" s="2">
        <f ca="1"/>
        <v>49.278181388739981</v>
      </c>
      <c r="AG8023" s="2">
        <f ca="1"/>
        <v>0.70596793150401749</v>
      </c>
      <c r="AH8023" s="2" t="str">
        <f ca="1"/>
        <v>Bad</v>
      </c>
    </row>
    <row r="8024" spans="2:34" x14ac:dyDescent="0.2">
      <c r="B8024" s="2">
        <f ca="1"/>
        <v>0.37863118343225843</v>
      </c>
      <c r="O8024" s="2">
        <f ca="1"/>
        <v>-0.55229142207635273</v>
      </c>
      <c r="X8024" s="2">
        <f ca="1"/>
        <v>56.281459720953535</v>
      </c>
      <c r="AG8024" s="2">
        <f ca="1"/>
        <v>4.8398189072495823E-2</v>
      </c>
      <c r="AH8024" s="2" t="str">
        <f ca="1"/>
        <v>Good</v>
      </c>
    </row>
    <row r="8025" spans="2:34" x14ac:dyDescent="0.2">
      <c r="B8025" s="2">
        <f ca="1"/>
        <v>0.75758953340514545</v>
      </c>
      <c r="O8025" s="2">
        <f ca="1"/>
        <v>-0.39445768337906056</v>
      </c>
      <c r="X8025" s="2">
        <f ca="1"/>
        <v>40.996202070758287</v>
      </c>
      <c r="AG8025" s="2">
        <f ca="1"/>
        <v>0.69908970941012272</v>
      </c>
      <c r="AH8025" s="2" t="str">
        <f ca="1"/>
        <v>Bad</v>
      </c>
    </row>
    <row r="8026" spans="2:34" x14ac:dyDescent="0.2">
      <c r="B8026" s="2">
        <f ca="1"/>
        <v>2.2845025481390779E-2</v>
      </c>
      <c r="O8026" s="2">
        <f ca="1"/>
        <v>2.1938192694309446</v>
      </c>
      <c r="X8026" s="2">
        <f ca="1"/>
        <v>45.653700636051653</v>
      </c>
      <c r="AG8026" s="2">
        <f ca="1"/>
        <v>0.98311376504663928</v>
      </c>
      <c r="AH8026" s="2" t="str">
        <f ca="1"/>
        <v>Bad</v>
      </c>
    </row>
    <row r="8027" spans="2:34" x14ac:dyDescent="0.2">
      <c r="B8027" s="2">
        <f ca="1"/>
        <v>0.99970795913194754</v>
      </c>
      <c r="O8027" s="2">
        <f ca="1"/>
        <v>0.45077575108325424</v>
      </c>
      <c r="X8027" s="2">
        <f ca="1"/>
        <v>29.89580241947813</v>
      </c>
      <c r="AG8027" s="2">
        <f ca="1"/>
        <v>0.23123079371711719</v>
      </c>
      <c r="AH8027" s="2" t="str">
        <f ca="1"/>
        <v>OK</v>
      </c>
    </row>
    <row r="8028" spans="2:34" x14ac:dyDescent="0.2">
      <c r="B8028" s="2">
        <f ca="1"/>
        <v>0.95949328164341341</v>
      </c>
      <c r="O8028" s="2">
        <f ca="1"/>
        <v>0.59875257178194286</v>
      </c>
      <c r="X8028" s="2">
        <f ca="1"/>
        <v>54.92059987899588</v>
      </c>
      <c r="AG8028" s="2">
        <f ca="1"/>
        <v>7.8831017451540752E-2</v>
      </c>
      <c r="AH8028" s="2" t="str">
        <f ca="1"/>
        <v>OK</v>
      </c>
    </row>
    <row r="8029" spans="2:34" x14ac:dyDescent="0.2">
      <c r="B8029" s="2">
        <f ca="1"/>
        <v>0.8740164315705059</v>
      </c>
      <c r="O8029" s="2">
        <f ca="1"/>
        <v>0.8082181111390635</v>
      </c>
      <c r="X8029" s="2">
        <f ca="1"/>
        <v>66.701683414294251</v>
      </c>
      <c r="AG8029" s="2">
        <f ca="1"/>
        <v>0.43574015104558006</v>
      </c>
      <c r="AH8029" s="2" t="str">
        <f ca="1"/>
        <v>Bad</v>
      </c>
    </row>
    <row r="8030" spans="2:34" x14ac:dyDescent="0.2">
      <c r="B8030" s="2">
        <f ca="1"/>
        <v>0.68899598277000784</v>
      </c>
      <c r="O8030" s="2">
        <f ca="1"/>
        <v>-0.42586692517734859</v>
      </c>
      <c r="X8030" s="2">
        <f ca="1"/>
        <v>33.421445700784382</v>
      </c>
      <c r="AG8030" s="2">
        <f ca="1"/>
        <v>0.47462546583026111</v>
      </c>
      <c r="AH8030" s="2" t="str">
        <f ca="1"/>
        <v>Bad</v>
      </c>
    </row>
    <row r="8031" spans="2:34" x14ac:dyDescent="0.2">
      <c r="B8031" s="2">
        <f ca="1"/>
        <v>0.45057000562540073</v>
      </c>
      <c r="O8031" s="2">
        <f ca="1"/>
        <v>0.18254415055038922</v>
      </c>
      <c r="X8031" s="2">
        <f ca="1"/>
        <v>62.127207104536453</v>
      </c>
      <c r="AG8031" s="2">
        <f ca="1"/>
        <v>0.5894095310329126</v>
      </c>
      <c r="AH8031" s="2" t="str">
        <f ca="1"/>
        <v>Bad</v>
      </c>
    </row>
    <row r="8032" spans="2:34" x14ac:dyDescent="0.2">
      <c r="B8032" s="2">
        <f ca="1"/>
        <v>0.87052436403052802</v>
      </c>
      <c r="O8032" s="2">
        <f ca="1"/>
        <v>-1.9742493357751436</v>
      </c>
      <c r="X8032" s="2">
        <f ca="1"/>
        <v>20.696835866573501</v>
      </c>
      <c r="AG8032" s="2">
        <f ca="1"/>
        <v>0.22278604977440408</v>
      </c>
      <c r="AH8032" s="2" t="str">
        <f ca="1"/>
        <v>OK</v>
      </c>
    </row>
    <row r="8033" spans="2:34" x14ac:dyDescent="0.2">
      <c r="B8033" s="2">
        <f ca="1"/>
        <v>0.17609088733146394</v>
      </c>
      <c r="O8033" s="2">
        <f ca="1"/>
        <v>-3.2386109523636318E-2</v>
      </c>
      <c r="X8033" s="2">
        <f ca="1"/>
        <v>23.993290039810038</v>
      </c>
      <c r="AG8033" s="2">
        <f ca="1"/>
        <v>0.94189218778664752</v>
      </c>
      <c r="AH8033" s="2" t="str">
        <f ca="1"/>
        <v>Bad</v>
      </c>
    </row>
    <row r="8034" spans="2:34" x14ac:dyDescent="0.2">
      <c r="B8034" s="2">
        <f ca="1"/>
        <v>0.77474510378486494</v>
      </c>
      <c r="O8034" s="2">
        <f ca="1"/>
        <v>1.1492391900942898</v>
      </c>
      <c r="X8034" s="2">
        <f ca="1"/>
        <v>46.439184414580495</v>
      </c>
      <c r="AG8034" s="2">
        <f ca="1"/>
        <v>0.96632559862624468</v>
      </c>
      <c r="AH8034" s="2" t="str">
        <f ca="1"/>
        <v>Bad</v>
      </c>
    </row>
    <row r="8035" spans="2:34" x14ac:dyDescent="0.2">
      <c r="B8035" s="2">
        <f ca="1"/>
        <v>0.33054257796991227</v>
      </c>
      <c r="O8035" s="2">
        <f ca="1"/>
        <v>0.35076789258244562</v>
      </c>
      <c r="X8035" s="2">
        <f ca="1"/>
        <v>66.551081805446046</v>
      </c>
      <c r="AG8035" s="2">
        <f ca="1"/>
        <v>0.20596704692722412</v>
      </c>
      <c r="AH8035" s="2" t="str">
        <f ca="1"/>
        <v>OK</v>
      </c>
    </row>
    <row r="8036" spans="2:34" x14ac:dyDescent="0.2">
      <c r="B8036" s="2">
        <f ca="1"/>
        <v>0.95775731471533931</v>
      </c>
      <c r="O8036" s="2">
        <f ca="1"/>
        <v>1.822108147417195</v>
      </c>
      <c r="X8036" s="2">
        <f ca="1"/>
        <v>39.352127283160684</v>
      </c>
      <c r="AG8036" s="2">
        <f ca="1"/>
        <v>0.54487331036581588</v>
      </c>
      <c r="AH8036" s="2" t="str">
        <f ca="1"/>
        <v>Bad</v>
      </c>
    </row>
    <row r="8037" spans="2:34" x14ac:dyDescent="0.2">
      <c r="B8037" s="2">
        <f ca="1"/>
        <v>0.44700306332278505</v>
      </c>
      <c r="O8037" s="2">
        <f ca="1"/>
        <v>0.32062227585515291</v>
      </c>
      <c r="X8037" s="2">
        <f ca="1"/>
        <v>69.448574665401111</v>
      </c>
      <c r="AG8037" s="2">
        <f ca="1"/>
        <v>3.0494889622035615E-2</v>
      </c>
      <c r="AH8037" s="2" t="str">
        <f ca="1"/>
        <v>Good</v>
      </c>
    </row>
    <row r="8038" spans="2:34" x14ac:dyDescent="0.2">
      <c r="B8038" s="2">
        <f ca="1"/>
        <v>3.087684770792154E-2</v>
      </c>
      <c r="O8038" s="2">
        <f ca="1"/>
        <v>-1.7968348353788242</v>
      </c>
      <c r="X8038" s="2">
        <f ca="1"/>
        <v>35.730420492165401</v>
      </c>
      <c r="AG8038" s="2">
        <f ca="1"/>
        <v>0.98853222087605142</v>
      </c>
      <c r="AH8038" s="2" t="str">
        <f ca="1"/>
        <v>Bad</v>
      </c>
    </row>
    <row r="8039" spans="2:34" x14ac:dyDescent="0.2">
      <c r="B8039" s="2">
        <f ca="1"/>
        <v>0.77885318416369897</v>
      </c>
      <c r="O8039" s="2">
        <f ca="1"/>
        <v>1.0416935100657783</v>
      </c>
      <c r="X8039" s="2">
        <f ca="1"/>
        <v>46.766010602133207</v>
      </c>
      <c r="AG8039" s="2">
        <f ca="1"/>
        <v>0.99640674119273265</v>
      </c>
      <c r="AH8039" s="2" t="str">
        <f ca="1"/>
        <v>Bad</v>
      </c>
    </row>
    <row r="8040" spans="2:34" x14ac:dyDescent="0.2">
      <c r="B8040" s="2">
        <f ca="1"/>
        <v>0.79083097744654118</v>
      </c>
      <c r="O8040" s="2">
        <f ca="1"/>
        <v>0.82285138611495012</v>
      </c>
      <c r="X8040" s="2">
        <f ca="1"/>
        <v>46.281955772356163</v>
      </c>
      <c r="AG8040" s="2">
        <f ca="1"/>
        <v>0.47741050344530778</v>
      </c>
      <c r="AH8040" s="2" t="str">
        <f ca="1"/>
        <v>Bad</v>
      </c>
    </row>
    <row r="8041" spans="2:34" x14ac:dyDescent="0.2">
      <c r="B8041" s="2">
        <f ca="1"/>
        <v>0.66415581110683508</v>
      </c>
      <c r="O8041" s="2">
        <f ca="1"/>
        <v>0.39216597188304175</v>
      </c>
      <c r="X8041" s="2">
        <f ca="1"/>
        <v>52.715931629164992</v>
      </c>
      <c r="AG8041" s="2">
        <f ca="1"/>
        <v>0.85844580733748943</v>
      </c>
      <c r="AH8041" s="2" t="str">
        <f ca="1"/>
        <v>Bad</v>
      </c>
    </row>
    <row r="8042" spans="2:34" x14ac:dyDescent="0.2">
      <c r="B8042" s="2">
        <f ca="1"/>
        <v>0.90232070500508521</v>
      </c>
      <c r="O8042" s="2">
        <f ca="1"/>
        <v>1.4516513201216237</v>
      </c>
      <c r="X8042" s="2">
        <f ca="1"/>
        <v>38.960103729316309</v>
      </c>
      <c r="AG8042" s="2">
        <f ca="1"/>
        <v>0.64884657279785918</v>
      </c>
      <c r="AH8042" s="2" t="str">
        <f ca="1"/>
        <v>Bad</v>
      </c>
    </row>
    <row r="8043" spans="2:34" x14ac:dyDescent="0.2">
      <c r="B8043" s="2">
        <f ca="1"/>
        <v>0.19211545009227393</v>
      </c>
      <c r="O8043" s="2">
        <f ca="1"/>
        <v>-1.342932648618963</v>
      </c>
      <c r="X8043" s="2">
        <f ca="1"/>
        <v>46.132122486602746</v>
      </c>
      <c r="AG8043" s="2">
        <f ca="1"/>
        <v>0.61021771847648898</v>
      </c>
      <c r="AH8043" s="2" t="str">
        <f ca="1"/>
        <v>Bad</v>
      </c>
    </row>
    <row r="8044" spans="2:34" x14ac:dyDescent="0.2">
      <c r="B8044" s="2">
        <f ca="1"/>
        <v>0.81418978230917793</v>
      </c>
      <c r="O8044" s="2">
        <f ca="1"/>
        <v>-2.2144594274595648</v>
      </c>
      <c r="X8044" s="2">
        <f ca="1"/>
        <v>60.124317537649425</v>
      </c>
      <c r="AG8044" s="2">
        <f ca="1"/>
        <v>0.27401412109437606</v>
      </c>
      <c r="AH8044" s="2" t="str">
        <f ca="1"/>
        <v>OK</v>
      </c>
    </row>
    <row r="8045" spans="2:34" x14ac:dyDescent="0.2">
      <c r="B8045" s="2">
        <f ca="1"/>
        <v>0.26848140654834474</v>
      </c>
      <c r="O8045" s="2">
        <f ca="1"/>
        <v>-0.16130688161737311</v>
      </c>
      <c r="X8045" s="2">
        <f ca="1"/>
        <v>78.051224759384993</v>
      </c>
      <c r="AG8045" s="2">
        <f ca="1"/>
        <v>0.38008196014412476</v>
      </c>
      <c r="AH8045" s="2" t="str">
        <f ca="1"/>
        <v>OK</v>
      </c>
    </row>
    <row r="8046" spans="2:34" x14ac:dyDescent="0.2">
      <c r="B8046" s="2">
        <f ca="1"/>
        <v>0.25340976277078275</v>
      </c>
      <c r="O8046" s="2">
        <f ca="1"/>
        <v>-3.6498190624884824E-2</v>
      </c>
      <c r="X8046" s="2">
        <f ca="1"/>
        <v>34.2198616670495</v>
      </c>
      <c r="AG8046" s="2">
        <f ca="1"/>
        <v>0.14896889496695609</v>
      </c>
      <c r="AH8046" s="2" t="str">
        <f ca="1"/>
        <v>OK</v>
      </c>
    </row>
    <row r="8047" spans="2:34" x14ac:dyDescent="0.2">
      <c r="B8047" s="2">
        <f ca="1"/>
        <v>0.80086217677746752</v>
      </c>
      <c r="O8047" s="2">
        <f ca="1"/>
        <v>-0.55565979677864663</v>
      </c>
      <c r="X8047" s="2">
        <f ca="1"/>
        <v>27.390139976098638</v>
      </c>
      <c r="AG8047" s="2">
        <f ca="1"/>
        <v>0.79446369085730417</v>
      </c>
      <c r="AH8047" s="2" t="str">
        <f ca="1"/>
        <v>Bad</v>
      </c>
    </row>
    <row r="8048" spans="2:34" x14ac:dyDescent="0.2">
      <c r="B8048" s="2">
        <f ca="1"/>
        <v>0.79505469940161722</v>
      </c>
      <c r="O8048" s="2">
        <f ca="1"/>
        <v>-0.79278591114871777</v>
      </c>
      <c r="X8048" s="2">
        <f ca="1"/>
        <v>46.566211585876275</v>
      </c>
      <c r="AG8048" s="2">
        <f ca="1"/>
        <v>0.5416314590948732</v>
      </c>
      <c r="AH8048" s="2" t="str">
        <f ca="1"/>
        <v>Bad</v>
      </c>
    </row>
    <row r="8049" spans="2:34" x14ac:dyDescent="0.2">
      <c r="B8049" s="2">
        <f ca="1"/>
        <v>0.40016062673143571</v>
      </c>
      <c r="O8049" s="2">
        <f ca="1"/>
        <v>0.30841565062601478</v>
      </c>
      <c r="X8049" s="2">
        <f ca="1"/>
        <v>26.284321976125959</v>
      </c>
      <c r="AG8049" s="2">
        <f ca="1"/>
        <v>0.33699762024188473</v>
      </c>
      <c r="AH8049" s="2" t="str">
        <f ca="1"/>
        <v>OK</v>
      </c>
    </row>
    <row r="8050" spans="2:34" x14ac:dyDescent="0.2">
      <c r="B8050" s="2">
        <f ca="1"/>
        <v>0.99845957786166428</v>
      </c>
      <c r="O8050" s="2">
        <f ca="1"/>
        <v>-0.77942878569414908</v>
      </c>
      <c r="X8050" s="2">
        <f ca="1"/>
        <v>40.995230364091867</v>
      </c>
      <c r="AG8050" s="2">
        <f ca="1"/>
        <v>6.5400113727053455E-2</v>
      </c>
      <c r="AH8050" s="2" t="str">
        <f ca="1"/>
        <v>OK</v>
      </c>
    </row>
    <row r="8051" spans="2:34" x14ac:dyDescent="0.2">
      <c r="B8051" s="2">
        <f ca="1"/>
        <v>0.62598695705675289</v>
      </c>
      <c r="O8051" s="2">
        <f ca="1"/>
        <v>-0.82179387372303858</v>
      </c>
      <c r="X8051" s="2">
        <f ca="1"/>
        <v>62.542509891758783</v>
      </c>
      <c r="AG8051" s="2">
        <f ca="1"/>
        <v>7.1950555301418806E-2</v>
      </c>
      <c r="AH8051" s="2" t="str">
        <f ca="1"/>
        <v>OK</v>
      </c>
    </row>
    <row r="8052" spans="2:34" x14ac:dyDescent="0.2">
      <c r="B8052" s="2">
        <f ca="1"/>
        <v>0.88422251972255972</v>
      </c>
      <c r="O8052" s="2">
        <f ca="1"/>
        <v>-8.5506129082841803E-2</v>
      </c>
      <c r="X8052" s="2">
        <f ca="1"/>
        <v>35.759951022855219</v>
      </c>
      <c r="AG8052" s="2">
        <f ca="1"/>
        <v>0.88865428094889798</v>
      </c>
      <c r="AH8052" s="2" t="str">
        <f ca="1"/>
        <v>Bad</v>
      </c>
    </row>
    <row r="8053" spans="2:34" x14ac:dyDescent="0.2">
      <c r="B8053" s="2">
        <f ca="1"/>
        <v>0.84267006247997878</v>
      </c>
      <c r="O8053" s="2">
        <f ca="1"/>
        <v>0.85203722460372788</v>
      </c>
      <c r="X8053" s="2">
        <f ca="1"/>
        <v>32.950809122491464</v>
      </c>
      <c r="AG8053" s="2">
        <f ca="1"/>
        <v>0.33391163271336977</v>
      </c>
      <c r="AH8053" s="2" t="str">
        <f ca="1"/>
        <v>OK</v>
      </c>
    </row>
    <row r="8054" spans="2:34" x14ac:dyDescent="0.2">
      <c r="B8054" s="2">
        <f ca="1"/>
        <v>0.75166786999549329</v>
      </c>
      <c r="O8054" s="2">
        <f ca="1"/>
        <v>-1.9318369904173733</v>
      </c>
      <c r="X8054" s="2">
        <f ca="1"/>
        <v>42.853713480352873</v>
      </c>
      <c r="AG8054" s="2">
        <f ca="1"/>
        <v>0.89469177019616608</v>
      </c>
      <c r="AH8054" s="2" t="str">
        <f ca="1"/>
        <v>Bad</v>
      </c>
    </row>
    <row r="8055" spans="2:34" x14ac:dyDescent="0.2">
      <c r="B8055" s="2">
        <f ca="1"/>
        <v>0.42675457053064814</v>
      </c>
      <c r="O8055" s="2">
        <f ca="1"/>
        <v>0.67400600747087946</v>
      </c>
      <c r="X8055" s="2">
        <f ca="1"/>
        <v>73.740223179049437</v>
      </c>
      <c r="AG8055" s="2">
        <f ca="1"/>
        <v>7.3757723840605749E-2</v>
      </c>
      <c r="AH8055" s="2" t="str">
        <f ca="1"/>
        <v>OK</v>
      </c>
    </row>
    <row r="8056" spans="2:34" x14ac:dyDescent="0.2">
      <c r="B8056" s="2">
        <f ca="1"/>
        <v>0.20398204368010098</v>
      </c>
      <c r="O8056" s="2">
        <f ca="1"/>
        <v>0.4244262315406101</v>
      </c>
      <c r="X8056" s="2">
        <f ca="1"/>
        <v>39.468662972493902</v>
      </c>
      <c r="AG8056" s="2">
        <f ca="1"/>
        <v>0.11136586135970283</v>
      </c>
      <c r="AH8056" s="2" t="str">
        <f ca="1"/>
        <v>OK</v>
      </c>
    </row>
    <row r="8057" spans="2:34" x14ac:dyDescent="0.2">
      <c r="B8057" s="2">
        <f ca="1"/>
        <v>0.29336391735532152</v>
      </c>
      <c r="O8057" s="2">
        <f ca="1"/>
        <v>0.18781194329892589</v>
      </c>
      <c r="X8057" s="2">
        <f ca="1"/>
        <v>49.008223844278838</v>
      </c>
      <c r="AG8057" s="2">
        <f ca="1"/>
        <v>0.18315840600160027</v>
      </c>
      <c r="AH8057" s="2" t="str">
        <f ca="1"/>
        <v>OK</v>
      </c>
    </row>
    <row r="8058" spans="2:34" x14ac:dyDescent="0.2">
      <c r="B8058" s="2">
        <f ca="1"/>
        <v>0.774576249452128</v>
      </c>
      <c r="O8058" s="2">
        <f ca="1"/>
        <v>-0.23875632266313207</v>
      </c>
      <c r="X8058" s="2">
        <f ca="1"/>
        <v>36.59678270192196</v>
      </c>
      <c r="AG8058" s="2">
        <f ca="1"/>
        <v>0.27657408661509519</v>
      </c>
      <c r="AH8058" s="2" t="str">
        <f ca="1"/>
        <v>OK</v>
      </c>
    </row>
    <row r="8059" spans="2:34" x14ac:dyDescent="0.2">
      <c r="B8059" s="2">
        <f ca="1"/>
        <v>0.46354879063793319</v>
      </c>
      <c r="O8059" s="2">
        <f ca="1"/>
        <v>-0.2441748124414384</v>
      </c>
      <c r="X8059" s="2">
        <f ca="1"/>
        <v>49.976035303326761</v>
      </c>
      <c r="AG8059" s="2">
        <f ca="1"/>
        <v>0.87733027034488642</v>
      </c>
      <c r="AH8059" s="2" t="str">
        <f ca="1"/>
        <v>Bad</v>
      </c>
    </row>
    <row r="8060" spans="2:34" x14ac:dyDescent="0.2">
      <c r="B8060" s="2">
        <f ca="1"/>
        <v>0.47322960541811621</v>
      </c>
      <c r="O8060" s="2">
        <f ca="1"/>
        <v>0.73896064961755381</v>
      </c>
      <c r="X8060" s="2">
        <f ca="1"/>
        <v>54.436616621378477</v>
      </c>
      <c r="AG8060" s="2">
        <f ca="1"/>
        <v>5.1360282636668808E-2</v>
      </c>
      <c r="AH8060" s="2" t="str">
        <f ca="1"/>
        <v>OK</v>
      </c>
    </row>
    <row r="8061" spans="2:34" x14ac:dyDescent="0.2">
      <c r="B8061" s="2">
        <f ca="1"/>
        <v>0.51055466511021041</v>
      </c>
      <c r="O8061" s="2">
        <f ca="1"/>
        <v>0.45471620942709645</v>
      </c>
      <c r="X8061" s="2">
        <f ca="1"/>
        <v>38.287487387966749</v>
      </c>
      <c r="AG8061" s="2">
        <f ca="1"/>
        <v>0.9695500507510042</v>
      </c>
      <c r="AH8061" s="2" t="str">
        <f ca="1"/>
        <v>Bad</v>
      </c>
    </row>
    <row r="8062" spans="2:34" x14ac:dyDescent="0.2">
      <c r="B8062" s="2">
        <f ca="1"/>
        <v>0.84054899021943252</v>
      </c>
      <c r="O8062" s="2">
        <f ca="1"/>
        <v>-0.49988631343466894</v>
      </c>
      <c r="X8062" s="2">
        <f ca="1"/>
        <v>60.614620251342501</v>
      </c>
      <c r="AG8062" s="2">
        <f ca="1"/>
        <v>0.5978774777106648</v>
      </c>
      <c r="AH8062" s="2" t="str">
        <f ca="1"/>
        <v>Bad</v>
      </c>
    </row>
    <row r="8063" spans="2:34" x14ac:dyDescent="0.2">
      <c r="B8063" s="2">
        <f ca="1"/>
        <v>0.26214549462065695</v>
      </c>
      <c r="O8063" s="2">
        <f ca="1"/>
        <v>0.39136891475754226</v>
      </c>
      <c r="X8063" s="2">
        <f ca="1"/>
        <v>42.410638372262213</v>
      </c>
      <c r="AG8063" s="2">
        <f ca="1"/>
        <v>0.92290051694073449</v>
      </c>
      <c r="AH8063" s="2" t="str">
        <f ca="1"/>
        <v>Bad</v>
      </c>
    </row>
    <row r="8064" spans="2:34" x14ac:dyDescent="0.2">
      <c r="B8064" s="2">
        <f ca="1"/>
        <v>9.9250415999731167E-2</v>
      </c>
      <c r="O8064" s="2">
        <f ca="1"/>
        <v>-0.69578267093849944</v>
      </c>
      <c r="X8064" s="2">
        <f ca="1"/>
        <v>55.920978548924758</v>
      </c>
      <c r="AG8064" s="2">
        <f ca="1"/>
        <v>0.58513533518708605</v>
      </c>
      <c r="AH8064" s="2" t="str">
        <f ca="1"/>
        <v>Bad</v>
      </c>
    </row>
    <row r="8065" spans="2:34" x14ac:dyDescent="0.2">
      <c r="B8065" s="2">
        <f ca="1"/>
        <v>0.32983258491438705</v>
      </c>
      <c r="O8065" s="2">
        <f ca="1"/>
        <v>0.61274350417956647</v>
      </c>
      <c r="X8065" s="2">
        <f ca="1"/>
        <v>58.457560453677317</v>
      </c>
      <c r="AG8065" s="2">
        <f ca="1"/>
        <v>0.79813693012476072</v>
      </c>
      <c r="AH8065" s="2" t="str">
        <f ca="1"/>
        <v>Bad</v>
      </c>
    </row>
    <row r="8066" spans="2:34" x14ac:dyDescent="0.2">
      <c r="B8066" s="2">
        <f ca="1"/>
        <v>0.88737501154683951</v>
      </c>
      <c r="O8066" s="2">
        <f ca="1"/>
        <v>-1.957025754755954</v>
      </c>
      <c r="X8066" s="2">
        <f ca="1"/>
        <v>65.304031252622039</v>
      </c>
      <c r="AG8066" s="2">
        <f ca="1"/>
        <v>3.152303254988098E-2</v>
      </c>
      <c r="AH8066" s="2" t="str">
        <f ca="1"/>
        <v>Good</v>
      </c>
    </row>
    <row r="8067" spans="2:34" x14ac:dyDescent="0.2">
      <c r="B8067" s="2">
        <f ca="1"/>
        <v>7.5007517278802727E-2</v>
      </c>
      <c r="O8067" s="2">
        <f ca="1"/>
        <v>0.9875245812031902</v>
      </c>
      <c r="X8067" s="2">
        <f ca="1"/>
        <v>39.732505661068565</v>
      </c>
      <c r="AG8067" s="2">
        <f ca="1"/>
        <v>0.34565694183089257</v>
      </c>
      <c r="AH8067" s="2" t="str">
        <f ca="1"/>
        <v>OK</v>
      </c>
    </row>
    <row r="8068" spans="2:34" x14ac:dyDescent="0.2">
      <c r="B8068" s="2">
        <f ca="1"/>
        <v>0.96734837749105407</v>
      </c>
      <c r="O8068" s="2">
        <f ca="1"/>
        <v>1.4882811049987681</v>
      </c>
      <c r="X8068" s="2">
        <f ca="1"/>
        <v>46.361296136711907</v>
      </c>
      <c r="AG8068" s="2">
        <f ca="1"/>
        <v>0.18091044178012572</v>
      </c>
      <c r="AH8068" s="2" t="str">
        <f ca="1"/>
        <v>OK</v>
      </c>
    </row>
    <row r="8069" spans="2:34" x14ac:dyDescent="0.2">
      <c r="B8069" s="2">
        <f ca="1"/>
        <v>0.27681661009164138</v>
      </c>
      <c r="O8069" s="2">
        <f ca="1"/>
        <v>1.4732522205300531</v>
      </c>
      <c r="X8069" s="2">
        <f ca="1"/>
        <v>62.765714410563199</v>
      </c>
      <c r="AG8069" s="2">
        <f ca="1"/>
        <v>0.87092585887124963</v>
      </c>
      <c r="AH8069" s="2" t="str">
        <f ca="1"/>
        <v>Bad</v>
      </c>
    </row>
    <row r="8070" spans="2:34" x14ac:dyDescent="0.2">
      <c r="B8070" s="2">
        <f ca="1"/>
        <v>0.70162016607636657</v>
      </c>
      <c r="O8070" s="2">
        <f ca="1"/>
        <v>0.20003074792261125</v>
      </c>
      <c r="X8070" s="2">
        <f ca="1"/>
        <v>41.227200516412019</v>
      </c>
      <c r="AG8070" s="2">
        <f ca="1"/>
        <v>0.22273535978076042</v>
      </c>
      <c r="AH8070" s="2" t="str">
        <f ca="1"/>
        <v>OK</v>
      </c>
    </row>
    <row r="8071" spans="2:34" x14ac:dyDescent="0.2">
      <c r="B8071" s="2">
        <f ca="1"/>
        <v>0.83933778855837993</v>
      </c>
      <c r="O8071" s="2">
        <f ca="1"/>
        <v>6.3096646415081378E-2</v>
      </c>
      <c r="X8071" s="2">
        <f ca="1"/>
        <v>39.500618558039442</v>
      </c>
      <c r="AG8071" s="2">
        <f ca="1"/>
        <v>0.24380743309137642</v>
      </c>
      <c r="AH8071" s="2" t="str">
        <f ca="1"/>
        <v>OK</v>
      </c>
    </row>
    <row r="8072" spans="2:34" x14ac:dyDescent="0.2">
      <c r="B8072" s="2">
        <f ca="1"/>
        <v>0.73313091617595538</v>
      </c>
      <c r="O8072" s="2">
        <f ca="1"/>
        <v>-1.0971554006546396</v>
      </c>
      <c r="X8072" s="2">
        <f ca="1"/>
        <v>52.120323925290151</v>
      </c>
      <c r="AG8072" s="2">
        <f ca="1"/>
        <v>0.40456376192453991</v>
      </c>
      <c r="AH8072" s="2" t="str">
        <f ca="1"/>
        <v>Bad</v>
      </c>
    </row>
    <row r="8073" spans="2:34" x14ac:dyDescent="0.2">
      <c r="B8073" s="2">
        <f ca="1"/>
        <v>0.57530652853388609</v>
      </c>
      <c r="O8073" s="2">
        <f ca="1"/>
        <v>-0.50579640821138216</v>
      </c>
      <c r="X8073" s="2">
        <f ca="1"/>
        <v>54.856799788438842</v>
      </c>
      <c r="AG8073" s="2">
        <f ca="1"/>
        <v>0.30064454741768132</v>
      </c>
      <c r="AH8073" s="2" t="str">
        <f ca="1"/>
        <v>OK</v>
      </c>
    </row>
    <row r="8074" spans="2:34" x14ac:dyDescent="0.2">
      <c r="B8074" s="2">
        <f ca="1"/>
        <v>0.14891001662774461</v>
      </c>
      <c r="O8074" s="2">
        <f ca="1"/>
        <v>-0.15639676650874862</v>
      </c>
      <c r="X8074" s="2">
        <f ca="1"/>
        <v>36.84501452822802</v>
      </c>
      <c r="AG8074" s="2">
        <f ca="1"/>
        <v>0.81348751731469182</v>
      </c>
      <c r="AH8074" s="2" t="str">
        <f ca="1"/>
        <v>Bad</v>
      </c>
    </row>
    <row r="8075" spans="2:34" x14ac:dyDescent="0.2">
      <c r="B8075" s="2">
        <f ca="1"/>
        <v>0.72366321105961218</v>
      </c>
      <c r="O8075" s="2">
        <f ca="1"/>
        <v>0.34507282724786026</v>
      </c>
      <c r="X8075" s="2">
        <f ca="1"/>
        <v>44.798357321568325</v>
      </c>
      <c r="AG8075" s="2">
        <f ca="1"/>
        <v>0.39085818068550027</v>
      </c>
      <c r="AH8075" s="2" t="str">
        <f ca="1"/>
        <v>OK</v>
      </c>
    </row>
    <row r="8076" spans="2:34" x14ac:dyDescent="0.2">
      <c r="B8076" s="2">
        <f ca="1"/>
        <v>0.19915826738469766</v>
      </c>
      <c r="O8076" s="2">
        <f ca="1"/>
        <v>-0.44000750457718074</v>
      </c>
      <c r="X8076" s="2">
        <f ca="1"/>
        <v>36.434285444997755</v>
      </c>
      <c r="AG8076" s="2">
        <f ca="1"/>
        <v>0.28785954093596589</v>
      </c>
      <c r="AH8076" s="2" t="str">
        <f ca="1"/>
        <v>OK</v>
      </c>
    </row>
    <row r="8077" spans="2:34" x14ac:dyDescent="0.2">
      <c r="B8077" s="2">
        <f ca="1"/>
        <v>0.91239825399219532</v>
      </c>
      <c r="O8077" s="2">
        <f ca="1"/>
        <v>-0.80549426872282515</v>
      </c>
      <c r="X8077" s="2">
        <f ca="1"/>
        <v>62.734411907225947</v>
      </c>
      <c r="AG8077" s="2">
        <f ca="1"/>
        <v>0.37850983571366936</v>
      </c>
      <c r="AH8077" s="2" t="str">
        <f ca="1"/>
        <v>OK</v>
      </c>
    </row>
    <row r="8078" spans="2:34" x14ac:dyDescent="0.2">
      <c r="B8078" s="2">
        <f ca="1"/>
        <v>0.8684621523756817</v>
      </c>
      <c r="O8078" s="2">
        <f ca="1"/>
        <v>-0.47661740910057543</v>
      </c>
      <c r="X8078" s="2">
        <f ca="1"/>
        <v>72.908896859612668</v>
      </c>
      <c r="AG8078" s="2">
        <f ca="1"/>
        <v>0.78335693978666021</v>
      </c>
      <c r="AH8078" s="2" t="str">
        <f ca="1"/>
        <v>Bad</v>
      </c>
    </row>
    <row r="8079" spans="2:34" x14ac:dyDescent="0.2">
      <c r="B8079" s="2">
        <f ca="1"/>
        <v>0.18463870097003654</v>
      </c>
      <c r="O8079" s="2">
        <f ca="1"/>
        <v>0.692828638995868</v>
      </c>
      <c r="X8079" s="2">
        <f ca="1"/>
        <v>54.784139285407136</v>
      </c>
      <c r="AG8079" s="2">
        <f ca="1"/>
        <v>0.56810696425065288</v>
      </c>
      <c r="AH8079" s="2" t="str">
        <f ca="1"/>
        <v>Bad</v>
      </c>
    </row>
    <row r="8080" spans="2:34" x14ac:dyDescent="0.2">
      <c r="B8080" s="2">
        <f ca="1"/>
        <v>0.99320355619414236</v>
      </c>
      <c r="O8080" s="2">
        <f ca="1"/>
        <v>0.27591076307683216</v>
      </c>
      <c r="X8080" s="2">
        <f ca="1"/>
        <v>35.541955472234235</v>
      </c>
      <c r="AG8080" s="2">
        <f ca="1"/>
        <v>0.44878566465753411</v>
      </c>
      <c r="AH8080" s="2" t="str">
        <f ca="1"/>
        <v>Bad</v>
      </c>
    </row>
    <row r="8081" spans="2:34" x14ac:dyDescent="0.2">
      <c r="B8081" s="2">
        <f ca="1"/>
        <v>0.12853339126377716</v>
      </c>
      <c r="O8081" s="2">
        <f ca="1"/>
        <v>-0.98317277279490556</v>
      </c>
      <c r="X8081" s="2">
        <f ca="1"/>
        <v>52.626209838955532</v>
      </c>
      <c r="AG8081" s="2">
        <f ca="1"/>
        <v>0.33212864432426947</v>
      </c>
      <c r="AH8081" s="2" t="str">
        <f ca="1"/>
        <v>OK</v>
      </c>
    </row>
    <row r="8082" spans="2:34" x14ac:dyDescent="0.2">
      <c r="B8082" s="2">
        <f ca="1"/>
        <v>0.67683636865157415</v>
      </c>
      <c r="O8082" s="2">
        <f ca="1"/>
        <v>1.7046890441188556</v>
      </c>
      <c r="X8082" s="2">
        <f ca="1"/>
        <v>25.453995134743295</v>
      </c>
      <c r="AG8082" s="2">
        <f ca="1"/>
        <v>0.41719995872293114</v>
      </c>
      <c r="AH8082" s="2" t="str">
        <f ca="1"/>
        <v>Bad</v>
      </c>
    </row>
    <row r="8083" spans="2:34" x14ac:dyDescent="0.2">
      <c r="B8083" s="2">
        <f ca="1"/>
        <v>4.3970517123701258E-2</v>
      </c>
      <c r="O8083" s="2">
        <f ca="1"/>
        <v>-0.53430217840659255</v>
      </c>
      <c r="X8083" s="2">
        <f ca="1"/>
        <v>37.116281595281755</v>
      </c>
      <c r="AG8083" s="2">
        <f ca="1"/>
        <v>0.73276549781341171</v>
      </c>
      <c r="AH8083" s="2" t="str">
        <f ca="1"/>
        <v>Bad</v>
      </c>
    </row>
    <row r="8084" spans="2:34" x14ac:dyDescent="0.2">
      <c r="B8084" s="2">
        <f ca="1"/>
        <v>0.16346437580568018</v>
      </c>
      <c r="O8084" s="2">
        <f ca="1"/>
        <v>0.69808750036476308</v>
      </c>
      <c r="X8084" s="2">
        <f ca="1"/>
        <v>46.840005931590284</v>
      </c>
      <c r="AG8084" s="2">
        <f ca="1"/>
        <v>0.40414333881939002</v>
      </c>
      <c r="AH8084" s="2" t="str">
        <f ca="1"/>
        <v>Bad</v>
      </c>
    </row>
    <row r="8085" spans="2:34" x14ac:dyDescent="0.2">
      <c r="B8085" s="2">
        <f ca="1"/>
        <v>0.90062679625474873</v>
      </c>
      <c r="O8085" s="2">
        <f ca="1"/>
        <v>0.41045298335951413</v>
      </c>
      <c r="X8085" s="2">
        <f ca="1"/>
        <v>67.773210309115342</v>
      </c>
      <c r="AG8085" s="2">
        <f ca="1"/>
        <v>0.8245794148267529</v>
      </c>
      <c r="AH8085" s="2" t="str">
        <f ca="1"/>
        <v>Bad</v>
      </c>
    </row>
    <row r="8086" spans="2:34" x14ac:dyDescent="0.2">
      <c r="B8086" s="2">
        <f ca="1"/>
        <v>0.77195656806711188</v>
      </c>
      <c r="O8086" s="2">
        <f ca="1"/>
        <v>-1.2589638854234821</v>
      </c>
      <c r="X8086" s="2">
        <f ca="1"/>
        <v>33.969629390708924</v>
      </c>
      <c r="AG8086" s="2">
        <f ca="1"/>
        <v>0.91916065877875552</v>
      </c>
      <c r="AH8086" s="2" t="str">
        <f ca="1"/>
        <v>Bad</v>
      </c>
    </row>
    <row r="8087" spans="2:34" x14ac:dyDescent="0.2">
      <c r="B8087" s="2">
        <f ca="1"/>
        <v>2.6076090878462521E-2</v>
      </c>
      <c r="O8087" s="2">
        <f ca="1"/>
        <v>-0.43266906537259886</v>
      </c>
      <c r="X8087" s="2">
        <f ca="1"/>
        <v>52.358117175684818</v>
      </c>
      <c r="AG8087" s="2">
        <f ca="1"/>
        <v>0.68080674871487679</v>
      </c>
      <c r="AH8087" s="2" t="str">
        <f ca="1"/>
        <v>Bad</v>
      </c>
    </row>
    <row r="8088" spans="2:34" x14ac:dyDescent="0.2">
      <c r="B8088" s="2">
        <f ca="1"/>
        <v>0.99012737309077425</v>
      </c>
      <c r="O8088" s="2">
        <f ca="1"/>
        <v>1.2385565764206203</v>
      </c>
      <c r="X8088" s="2">
        <f ca="1"/>
        <v>64.318296054219189</v>
      </c>
      <c r="AG8088" s="2">
        <f ca="1"/>
        <v>0.56948652264436883</v>
      </c>
      <c r="AH8088" s="2" t="str">
        <f ca="1"/>
        <v>Bad</v>
      </c>
    </row>
    <row r="8089" spans="2:34" x14ac:dyDescent="0.2">
      <c r="B8089" s="2">
        <f ca="1"/>
        <v>0.75275092071563665</v>
      </c>
      <c r="O8089" s="2">
        <f ca="1"/>
        <v>0.41564898009472845</v>
      </c>
      <c r="X8089" s="2">
        <f ca="1"/>
        <v>49.552925255765274</v>
      </c>
      <c r="AG8089" s="2">
        <f ca="1"/>
        <v>0.24766456439511919</v>
      </c>
      <c r="AH8089" s="2" t="str">
        <f ca="1"/>
        <v>OK</v>
      </c>
    </row>
    <row r="8090" spans="2:34" x14ac:dyDescent="0.2">
      <c r="B8090" s="2">
        <f ca="1"/>
        <v>0.31004273906412672</v>
      </c>
      <c r="O8090" s="2">
        <f ca="1"/>
        <v>0.77748474806495138</v>
      </c>
      <c r="X8090" s="2">
        <f ca="1"/>
        <v>18.099500233299558</v>
      </c>
      <c r="AG8090" s="2">
        <f ca="1"/>
        <v>0.90827960218645254</v>
      </c>
      <c r="AH8090" s="2" t="str">
        <f ca="1"/>
        <v>Bad</v>
      </c>
    </row>
    <row r="8091" spans="2:34" x14ac:dyDescent="0.2">
      <c r="B8091" s="2">
        <f ca="1"/>
        <v>9.1188145095395079E-2</v>
      </c>
      <c r="O8091" s="2">
        <f ca="1"/>
        <v>1.1874185929832122</v>
      </c>
      <c r="X8091" s="2">
        <f ca="1"/>
        <v>51.5302505028654</v>
      </c>
      <c r="AG8091" s="2">
        <f ca="1"/>
        <v>0.31361528679346939</v>
      </c>
      <c r="AH8091" s="2" t="str">
        <f ca="1"/>
        <v>OK</v>
      </c>
    </row>
    <row r="8092" spans="2:34" x14ac:dyDescent="0.2">
      <c r="B8092" s="2">
        <f ca="1"/>
        <v>0.12092688400727147</v>
      </c>
      <c r="O8092" s="2">
        <f ca="1"/>
        <v>-1.079474060521068</v>
      </c>
      <c r="X8092" s="2">
        <f ca="1"/>
        <v>56.986193283614739</v>
      </c>
      <c r="AG8092" s="2">
        <f ca="1"/>
        <v>0.33342199899621638</v>
      </c>
      <c r="AH8092" s="2" t="str">
        <f ca="1"/>
        <v>OK</v>
      </c>
    </row>
    <row r="8093" spans="2:34" x14ac:dyDescent="0.2">
      <c r="B8093" s="2">
        <f ca="1"/>
        <v>0.38610472156561548</v>
      </c>
      <c r="O8093" s="2">
        <f ca="1"/>
        <v>0.47535239322243644</v>
      </c>
      <c r="X8093" s="2">
        <f ca="1"/>
        <v>46.443467718935949</v>
      </c>
      <c r="AG8093" s="2">
        <f ca="1"/>
        <v>0.46502330062202035</v>
      </c>
      <c r="AH8093" s="2" t="str">
        <f ca="1"/>
        <v>Bad</v>
      </c>
    </row>
    <row r="8094" spans="2:34" x14ac:dyDescent="0.2">
      <c r="B8094" s="2">
        <f ca="1"/>
        <v>0.9659693675130443</v>
      </c>
      <c r="O8094" s="2">
        <f ca="1"/>
        <v>-0.44227786905885735</v>
      </c>
      <c r="X8094" s="2">
        <f ca="1"/>
        <v>20.096221115946186</v>
      </c>
      <c r="AG8094" s="2">
        <f ca="1"/>
        <v>0.43413659138951166</v>
      </c>
      <c r="AH8094" s="2" t="str">
        <f ca="1"/>
        <v>Bad</v>
      </c>
    </row>
    <row r="8095" spans="2:34" x14ac:dyDescent="0.2">
      <c r="B8095" s="2">
        <f ca="1"/>
        <v>0.60481099652480985</v>
      </c>
      <c r="O8095" s="2">
        <f ca="1"/>
        <v>0.87706400434504961</v>
      </c>
      <c r="X8095" s="2">
        <f ca="1"/>
        <v>28.291648074440552</v>
      </c>
      <c r="AG8095" s="2">
        <f ca="1"/>
        <v>0.31768957046914625</v>
      </c>
      <c r="AH8095" s="2" t="str">
        <f ca="1"/>
        <v>OK</v>
      </c>
    </row>
    <row r="8096" spans="2:34" x14ac:dyDescent="0.2">
      <c r="B8096" s="2">
        <f ca="1"/>
        <v>0.17391394154793538</v>
      </c>
      <c r="O8096" s="2">
        <f ca="1"/>
        <v>1.0015293350121195</v>
      </c>
      <c r="X8096" s="2">
        <f ca="1"/>
        <v>41.622657635894605</v>
      </c>
      <c r="AG8096" s="2">
        <f ca="1"/>
        <v>0.23841842311478834</v>
      </c>
      <c r="AH8096" s="2" t="str">
        <f ca="1"/>
        <v>OK</v>
      </c>
    </row>
    <row r="8097" spans="2:34" x14ac:dyDescent="0.2">
      <c r="B8097" s="2">
        <f ca="1"/>
        <v>0.96250068572815861</v>
      </c>
      <c r="O8097" s="2">
        <f ca="1"/>
        <v>0.45039373646215292</v>
      </c>
      <c r="X8097" s="2">
        <f ca="1"/>
        <v>56.75799698067722</v>
      </c>
      <c r="AG8097" s="2">
        <f ca="1"/>
        <v>0.8005627718120778</v>
      </c>
      <c r="AH8097" s="2" t="str">
        <f ca="1"/>
        <v>Bad</v>
      </c>
    </row>
    <row r="8098" spans="2:34" x14ac:dyDescent="0.2">
      <c r="B8098" s="2">
        <f ca="1"/>
        <v>0.46833943258617139</v>
      </c>
      <c r="O8098" s="2">
        <f ca="1"/>
        <v>0.749207485649653</v>
      </c>
      <c r="X8098" s="2">
        <f ca="1"/>
        <v>46.552903349580475</v>
      </c>
      <c r="AG8098" s="2">
        <f ca="1"/>
        <v>0.10289381679324294</v>
      </c>
      <c r="AH8098" s="2" t="str">
        <f ca="1"/>
        <v>OK</v>
      </c>
    </row>
    <row r="8099" spans="2:34" x14ac:dyDescent="0.2">
      <c r="B8099" s="2">
        <f ca="1"/>
        <v>0.68123470509539574</v>
      </c>
      <c r="O8099" s="2">
        <f ca="1"/>
        <v>0.45609832145672013</v>
      </c>
      <c r="X8099" s="2">
        <f ca="1"/>
        <v>43.035797747283901</v>
      </c>
      <c r="AG8099" s="2">
        <f ca="1"/>
        <v>0.42472829432612369</v>
      </c>
      <c r="AH8099" s="2" t="str">
        <f ca="1"/>
        <v>Bad</v>
      </c>
    </row>
    <row r="8100" spans="2:34" x14ac:dyDescent="0.2">
      <c r="B8100" s="2">
        <f ca="1"/>
        <v>3.949727214160359E-2</v>
      </c>
      <c r="O8100" s="2">
        <f ca="1"/>
        <v>1.7949128847765603</v>
      </c>
      <c r="X8100" s="2">
        <f ca="1"/>
        <v>68.097597479326069</v>
      </c>
      <c r="AG8100" s="2">
        <f ca="1"/>
        <v>0.76871021298148978</v>
      </c>
      <c r="AH8100" s="2" t="str">
        <f ca="1"/>
        <v>Bad</v>
      </c>
    </row>
    <row r="8101" spans="2:34" x14ac:dyDescent="0.2">
      <c r="B8101" s="2">
        <f ca="1"/>
        <v>0.57937245418640981</v>
      </c>
      <c r="O8101" s="2">
        <f ca="1"/>
        <v>1.9404310304227526</v>
      </c>
      <c r="X8101" s="2">
        <f ca="1"/>
        <v>37.410209474057659</v>
      </c>
      <c r="AG8101" s="2">
        <f ca="1"/>
        <v>0.25621510779489731</v>
      </c>
      <c r="AH8101" s="2" t="str">
        <f ca="1"/>
        <v>OK</v>
      </c>
    </row>
    <row r="8102" spans="2:34" x14ac:dyDescent="0.2">
      <c r="B8102" s="2">
        <f ca="1"/>
        <v>0.51558331073418828</v>
      </c>
      <c r="O8102" s="2">
        <f ca="1"/>
        <v>-0.35183921560374432</v>
      </c>
      <c r="X8102" s="2">
        <f ca="1"/>
        <v>61.679530453322272</v>
      </c>
      <c r="AG8102" s="2">
        <f ca="1"/>
        <v>0.64105155059665897</v>
      </c>
      <c r="AH8102" s="2" t="str">
        <f ca="1"/>
        <v>Bad</v>
      </c>
    </row>
    <row r="8103" spans="2:34" x14ac:dyDescent="0.2">
      <c r="B8103" s="2">
        <f ca="1"/>
        <v>0.94719439487369894</v>
      </c>
      <c r="O8103" s="2">
        <f ca="1"/>
        <v>-1.7741198965122506E-2</v>
      </c>
      <c r="X8103" s="2">
        <f ca="1"/>
        <v>49.069754725933016</v>
      </c>
      <c r="AG8103" s="2">
        <f ca="1"/>
        <v>0.15175381496018336</v>
      </c>
      <c r="AH8103" s="2" t="str">
        <f ca="1"/>
        <v>OK</v>
      </c>
    </row>
    <row r="8104" spans="2:34" x14ac:dyDescent="0.2">
      <c r="B8104" s="2">
        <f ca="1"/>
        <v>0.50441681989147269</v>
      </c>
      <c r="O8104" s="2">
        <f ca="1"/>
        <v>1.5499210414703259</v>
      </c>
      <c r="X8104" s="2">
        <f ca="1"/>
        <v>55.103138141415101</v>
      </c>
      <c r="AG8104" s="2">
        <f ca="1"/>
        <v>0.90378536263284803</v>
      </c>
      <c r="AH8104" s="2" t="str">
        <f ca="1"/>
        <v>Bad</v>
      </c>
    </row>
    <row r="8105" spans="2:34" x14ac:dyDescent="0.2">
      <c r="B8105" s="2">
        <f ca="1"/>
        <v>0.33726143793337071</v>
      </c>
      <c r="O8105" s="2">
        <f ca="1"/>
        <v>1.4055545205977102</v>
      </c>
      <c r="X8105" s="2">
        <f ca="1"/>
        <v>52.317136962388915</v>
      </c>
      <c r="AG8105" s="2">
        <f ca="1"/>
        <v>0.82707127732475616</v>
      </c>
      <c r="AH8105" s="2" t="str">
        <f ca="1"/>
        <v>Bad</v>
      </c>
    </row>
    <row r="8106" spans="2:34" x14ac:dyDescent="0.2">
      <c r="B8106" s="2">
        <f ca="1"/>
        <v>0.76719311645094579</v>
      </c>
      <c r="O8106" s="2">
        <f ca="1"/>
        <v>1.150875566787215</v>
      </c>
      <c r="X8106" s="2">
        <f ca="1"/>
        <v>46.209270257822659</v>
      </c>
      <c r="AG8106" s="2">
        <f ca="1"/>
        <v>0.70976260322790385</v>
      </c>
      <c r="AH8106" s="2" t="str">
        <f ca="1"/>
        <v>Bad</v>
      </c>
    </row>
    <row r="8107" spans="2:34" x14ac:dyDescent="0.2">
      <c r="B8107" s="2">
        <f ca="1"/>
        <v>0.96811507765546523</v>
      </c>
      <c r="O8107" s="2">
        <f ca="1"/>
        <v>-1.0763777228231097</v>
      </c>
      <c r="X8107" s="2">
        <f ca="1"/>
        <v>48.052691927070626</v>
      </c>
      <c r="AG8107" s="2">
        <f ca="1"/>
        <v>0.52656963603165807</v>
      </c>
      <c r="AH8107" s="2" t="str">
        <f ca="1"/>
        <v>Bad</v>
      </c>
    </row>
    <row r="8108" spans="2:34" x14ac:dyDescent="0.2">
      <c r="B8108" s="2">
        <f ca="1"/>
        <v>0.90170361218554551</v>
      </c>
      <c r="O8108" s="2">
        <f ca="1"/>
        <v>2.2570851202525692</v>
      </c>
      <c r="X8108" s="2">
        <f ca="1"/>
        <v>38.170591541131309</v>
      </c>
      <c r="AG8108" s="2">
        <f ca="1"/>
        <v>0.66276357057601043</v>
      </c>
      <c r="AH8108" s="2" t="str">
        <f ca="1"/>
        <v>Bad</v>
      </c>
    </row>
    <row r="8109" spans="2:34" x14ac:dyDescent="0.2">
      <c r="B8109" s="2">
        <f ca="1"/>
        <v>0.26281229940656536</v>
      </c>
      <c r="O8109" s="2">
        <f ca="1"/>
        <v>-1.1811118851450406</v>
      </c>
      <c r="X8109" s="2">
        <f ca="1"/>
        <v>75.070920543953946</v>
      </c>
      <c r="AG8109" s="2">
        <f ca="1"/>
        <v>0.34829983800587239</v>
      </c>
      <c r="AH8109" s="2" t="str">
        <f ca="1"/>
        <v>OK</v>
      </c>
    </row>
    <row r="8110" spans="2:34" x14ac:dyDescent="0.2">
      <c r="B8110" s="2">
        <f ca="1"/>
        <v>0.68161388969366321</v>
      </c>
      <c r="O8110" s="2">
        <f ca="1"/>
        <v>-0.39248556956918063</v>
      </c>
      <c r="X8110" s="2">
        <f ca="1"/>
        <v>72.357930880055221</v>
      </c>
      <c r="AG8110" s="2">
        <f ca="1"/>
        <v>0.20209894192408284</v>
      </c>
      <c r="AH8110" s="2" t="str">
        <f ca="1"/>
        <v>OK</v>
      </c>
    </row>
    <row r="8111" spans="2:34" x14ac:dyDescent="0.2">
      <c r="B8111" s="2">
        <f ca="1"/>
        <v>0.82241503934250071</v>
      </c>
      <c r="O8111" s="2">
        <f ca="1"/>
        <v>0.11694291326196311</v>
      </c>
      <c r="X8111" s="2">
        <f ca="1"/>
        <v>76.65353721627045</v>
      </c>
      <c r="AG8111" s="2">
        <f ca="1"/>
        <v>0.92729736178111133</v>
      </c>
      <c r="AH8111" s="2" t="str">
        <f ca="1"/>
        <v>Bad</v>
      </c>
    </row>
    <row r="8112" spans="2:34" x14ac:dyDescent="0.2">
      <c r="B8112" s="2">
        <f ca="1"/>
        <v>0.30800454500785723</v>
      </c>
      <c r="O8112" s="2">
        <f ca="1"/>
        <v>-0.88004652719115528</v>
      </c>
      <c r="X8112" s="2">
        <f ca="1"/>
        <v>54.182248150709214</v>
      </c>
      <c r="AG8112" s="2">
        <f ca="1"/>
        <v>2.3420579914490203E-2</v>
      </c>
      <c r="AH8112" s="2" t="str">
        <f ca="1"/>
        <v>Good</v>
      </c>
    </row>
    <row r="8113" spans="2:34" x14ac:dyDescent="0.2">
      <c r="B8113" s="2">
        <f ca="1"/>
        <v>0.13745811971472444</v>
      </c>
      <c r="O8113" s="2">
        <f ca="1"/>
        <v>-0.66829264913744135</v>
      </c>
      <c r="X8113" s="2">
        <f ca="1"/>
        <v>59.21700440787297</v>
      </c>
      <c r="AG8113" s="2">
        <f ca="1"/>
        <v>0.79725971775072701</v>
      </c>
      <c r="AH8113" s="2" t="str">
        <f ca="1"/>
        <v>Bad</v>
      </c>
    </row>
    <row r="8114" spans="2:34" x14ac:dyDescent="0.2">
      <c r="B8114" s="2">
        <f ca="1"/>
        <v>0.46201312570802111</v>
      </c>
      <c r="O8114" s="2">
        <f ca="1"/>
        <v>0.46160799866956415</v>
      </c>
      <c r="X8114" s="2">
        <f ca="1"/>
        <v>49.138054911961319</v>
      </c>
      <c r="AG8114" s="2">
        <f ca="1"/>
        <v>0.63437504450942783</v>
      </c>
      <c r="AH8114" s="2" t="str">
        <f ca="1"/>
        <v>Bad</v>
      </c>
    </row>
    <row r="8115" spans="2:34" x14ac:dyDescent="0.2">
      <c r="B8115" s="2">
        <f ca="1"/>
        <v>0.10853935492886824</v>
      </c>
      <c r="O8115" s="2">
        <f ca="1"/>
        <v>0.52674440982723925</v>
      </c>
      <c r="X8115" s="2">
        <f ca="1"/>
        <v>42.204738594113486</v>
      </c>
      <c r="AG8115" s="2">
        <f ca="1"/>
        <v>0.75707254443851424</v>
      </c>
      <c r="AH8115" s="2" t="str">
        <f ca="1"/>
        <v>Bad</v>
      </c>
    </row>
    <row r="8116" spans="2:34" x14ac:dyDescent="0.2">
      <c r="B8116" s="2">
        <f ca="1"/>
        <v>0.71188580671801849</v>
      </c>
      <c r="O8116" s="2">
        <f ca="1"/>
        <v>-1.0366553556745932</v>
      </c>
      <c r="X8116" s="2">
        <f ca="1"/>
        <v>64.245372475633815</v>
      </c>
      <c r="AG8116" s="2">
        <f ca="1"/>
        <v>0.46782885406066144</v>
      </c>
      <c r="AH8116" s="2" t="str">
        <f ca="1"/>
        <v>Bad</v>
      </c>
    </row>
    <row r="8117" spans="2:34" x14ac:dyDescent="0.2">
      <c r="B8117" s="2">
        <f ca="1"/>
        <v>5.5410889341503733E-2</v>
      </c>
      <c r="O8117" s="2">
        <f ca="1"/>
        <v>-0.44069703012003797</v>
      </c>
      <c r="X8117" s="2">
        <f ca="1"/>
        <v>39.014759878673132</v>
      </c>
      <c r="AG8117" s="2">
        <f ca="1"/>
        <v>0.95028456496236857</v>
      </c>
      <c r="AH8117" s="2" t="str">
        <f ca="1"/>
        <v>Bad</v>
      </c>
    </row>
    <row r="8118" spans="2:34" x14ac:dyDescent="0.2">
      <c r="B8118" s="2">
        <f ca="1"/>
        <v>0.52330053851366665</v>
      </c>
      <c r="O8118" s="2">
        <f ca="1"/>
        <v>-0.97872729156422578</v>
      </c>
      <c r="X8118" s="2">
        <f ca="1"/>
        <v>36.832073061604852</v>
      </c>
      <c r="AG8118" s="2">
        <f ca="1"/>
        <v>0.80582022910608719</v>
      </c>
      <c r="AH8118" s="2" t="str">
        <f ca="1"/>
        <v>Bad</v>
      </c>
    </row>
    <row r="8119" spans="2:34" x14ac:dyDescent="0.2">
      <c r="B8119" s="2">
        <f ca="1"/>
        <v>6.7354383188120037E-2</v>
      </c>
      <c r="O8119" s="2">
        <f ca="1"/>
        <v>1.4103623819757551</v>
      </c>
      <c r="X8119" s="2">
        <f ca="1"/>
        <v>30.278399329482305</v>
      </c>
      <c r="AG8119" s="2">
        <f ca="1"/>
        <v>0.76086381890854726</v>
      </c>
      <c r="AH8119" s="2" t="str">
        <f ca="1"/>
        <v>Bad</v>
      </c>
    </row>
    <row r="8120" spans="2:34" x14ac:dyDescent="0.2">
      <c r="B8120" s="2">
        <f ca="1"/>
        <v>0.30266034247333673</v>
      </c>
      <c r="O8120" s="2">
        <f ca="1"/>
        <v>1.3085166565229973</v>
      </c>
      <c r="X8120" s="2">
        <f ca="1"/>
        <v>31.461305331814309</v>
      </c>
      <c r="AG8120" s="2">
        <f ca="1"/>
        <v>0.6695064445255845</v>
      </c>
      <c r="AH8120" s="2" t="str">
        <f ca="1"/>
        <v>Bad</v>
      </c>
    </row>
    <row r="8121" spans="2:34" x14ac:dyDescent="0.2">
      <c r="B8121" s="2">
        <f ca="1"/>
        <v>0.50740529823346403</v>
      </c>
      <c r="O8121" s="2">
        <f ca="1"/>
        <v>0.66760813709522171</v>
      </c>
      <c r="X8121" s="2">
        <f ca="1"/>
        <v>48.557657707223242</v>
      </c>
      <c r="AG8121" s="2">
        <f ca="1"/>
        <v>0.63339204999451892</v>
      </c>
      <c r="AH8121" s="2" t="str">
        <f ca="1"/>
        <v>Bad</v>
      </c>
    </row>
    <row r="8122" spans="2:34" x14ac:dyDescent="0.2">
      <c r="B8122" s="2">
        <f ca="1"/>
        <v>0.76885663933510262</v>
      </c>
      <c r="O8122" s="2">
        <f ca="1"/>
        <v>0.60385988396972379</v>
      </c>
      <c r="X8122" s="2">
        <f ca="1"/>
        <v>59.066049732863675</v>
      </c>
      <c r="AG8122" s="2">
        <f ca="1"/>
        <v>0.35926535786832203</v>
      </c>
      <c r="AH8122" s="2" t="str">
        <f ca="1"/>
        <v>OK</v>
      </c>
    </row>
    <row r="8123" spans="2:34" x14ac:dyDescent="0.2">
      <c r="B8123" s="2">
        <f ca="1"/>
        <v>0.4965294514174059</v>
      </c>
      <c r="O8123" s="2">
        <f ca="1"/>
        <v>0.62830366425232065</v>
      </c>
      <c r="X8123" s="2">
        <f ca="1"/>
        <v>29.004443266685197</v>
      </c>
      <c r="AG8123" s="2">
        <f ca="1"/>
        <v>0.2112372889584504</v>
      </c>
      <c r="AH8123" s="2" t="str">
        <f ca="1"/>
        <v>OK</v>
      </c>
    </row>
    <row r="8124" spans="2:34" x14ac:dyDescent="0.2">
      <c r="B8124" s="2">
        <f ca="1"/>
        <v>3.0590160402266919E-2</v>
      </c>
      <c r="O8124" s="2">
        <f ca="1"/>
        <v>-0.74974293038607365</v>
      </c>
      <c r="X8124" s="2">
        <f ca="1"/>
        <v>41.366310886168847</v>
      </c>
      <c r="AG8124" s="2">
        <f ca="1"/>
        <v>0.45237505837557701</v>
      </c>
      <c r="AH8124" s="2" t="str">
        <f ca="1"/>
        <v>Bad</v>
      </c>
    </row>
    <row r="8125" spans="2:34" x14ac:dyDescent="0.2">
      <c r="B8125" s="2">
        <f ca="1"/>
        <v>0.22102247156698418</v>
      </c>
      <c r="O8125" s="2">
        <f ca="1"/>
        <v>-0.17123646924300404</v>
      </c>
      <c r="X8125" s="2">
        <f ca="1"/>
        <v>38.797526137359185</v>
      </c>
      <c r="AG8125" s="2">
        <f ca="1"/>
        <v>0.58236616423031995</v>
      </c>
      <c r="AH8125" s="2" t="str">
        <f ca="1"/>
        <v>Bad</v>
      </c>
    </row>
    <row r="8126" spans="2:34" x14ac:dyDescent="0.2">
      <c r="B8126" s="2">
        <f ca="1"/>
        <v>0.9037321649410619</v>
      </c>
      <c r="O8126" s="2">
        <f ca="1"/>
        <v>2.0915877900475897</v>
      </c>
      <c r="X8126" s="2">
        <f ca="1"/>
        <v>41.477552725057635</v>
      </c>
      <c r="AG8126" s="2">
        <f ca="1"/>
        <v>0.87325979454477065</v>
      </c>
      <c r="AH8126" s="2" t="str">
        <f ca="1"/>
        <v>Bad</v>
      </c>
    </row>
    <row r="8127" spans="2:34" x14ac:dyDescent="0.2">
      <c r="B8127" s="2">
        <f ca="1"/>
        <v>0.19170316070031634</v>
      </c>
      <c r="O8127" s="2">
        <f ca="1"/>
        <v>-0.94326449984772565</v>
      </c>
      <c r="X8127" s="2">
        <f ca="1"/>
        <v>56.480457794719968</v>
      </c>
      <c r="AG8127" s="2">
        <f ca="1"/>
        <v>0.4837859699337177</v>
      </c>
      <c r="AH8127" s="2" t="str">
        <f ca="1"/>
        <v>Bad</v>
      </c>
    </row>
    <row r="8128" spans="2:34" x14ac:dyDescent="0.2">
      <c r="B8128" s="2">
        <f ca="1"/>
        <v>0.29279203928809916</v>
      </c>
      <c r="O8128" s="2">
        <f ca="1"/>
        <v>-0.95313513590894539</v>
      </c>
      <c r="X8128" s="2">
        <f ca="1"/>
        <v>40.63932624804778</v>
      </c>
      <c r="AG8128" s="2">
        <f ca="1"/>
        <v>0.11318322675774217</v>
      </c>
      <c r="AH8128" s="2" t="str">
        <f ca="1"/>
        <v>OK</v>
      </c>
    </row>
    <row r="8129" spans="2:34" x14ac:dyDescent="0.2">
      <c r="B8129" s="2">
        <f ca="1"/>
        <v>0.4334815444728759</v>
      </c>
      <c r="O8129" s="2">
        <f ca="1"/>
        <v>-0.36663033739627399</v>
      </c>
      <c r="X8129" s="2">
        <f ca="1"/>
        <v>48.843440475469691</v>
      </c>
      <c r="AG8129" s="2">
        <f ca="1"/>
        <v>0.10430123267052527</v>
      </c>
      <c r="AH8129" s="2" t="str">
        <f ca="1"/>
        <v>OK</v>
      </c>
    </row>
    <row r="8130" spans="2:34" x14ac:dyDescent="0.2">
      <c r="B8130" s="2">
        <f ca="1"/>
        <v>0.54892600347778409</v>
      </c>
      <c r="O8130" s="2">
        <f ca="1"/>
        <v>0.63459742609580971</v>
      </c>
      <c r="X8130" s="2">
        <f ca="1"/>
        <v>78.334145159139865</v>
      </c>
      <c r="AG8130" s="2">
        <f ca="1"/>
        <v>0.74216079043229755</v>
      </c>
      <c r="AH8130" s="2" t="str">
        <f ca="1"/>
        <v>Bad</v>
      </c>
    </row>
    <row r="8131" spans="2:34" x14ac:dyDescent="0.2">
      <c r="B8131" s="2">
        <f ca="1"/>
        <v>0.99811541717937424</v>
      </c>
      <c r="O8131" s="2">
        <f ca="1"/>
        <v>0.96002668083491627</v>
      </c>
      <c r="X8131" s="2">
        <f ca="1"/>
        <v>54.825183380454298</v>
      </c>
      <c r="AG8131" s="2">
        <f ca="1"/>
        <v>0.32024164641807951</v>
      </c>
      <c r="AH8131" s="2" t="str">
        <f ca="1"/>
        <v>OK</v>
      </c>
    </row>
    <row r="8132" spans="2:34" x14ac:dyDescent="0.2">
      <c r="B8132" s="2">
        <f ca="1"/>
        <v>0.26156586061434361</v>
      </c>
      <c r="O8132" s="2">
        <f ca="1"/>
        <v>0.67557218480616077</v>
      </c>
      <c r="X8132" s="2">
        <f ca="1"/>
        <v>36.478630106541019</v>
      </c>
      <c r="AG8132" s="2">
        <f ca="1"/>
        <v>0.10549736512817098</v>
      </c>
      <c r="AH8132" s="2" t="str">
        <f ca="1"/>
        <v>OK</v>
      </c>
    </row>
    <row r="8133" spans="2:34" x14ac:dyDescent="0.2">
      <c r="B8133" s="2">
        <f ca="1"/>
        <v>0.59841899356569295</v>
      </c>
      <c r="O8133" s="2">
        <f ca="1"/>
        <v>0.34542221449200494</v>
      </c>
      <c r="X8133" s="2">
        <f ca="1"/>
        <v>33.636163301267466</v>
      </c>
      <c r="AG8133" s="2">
        <f ca="1"/>
        <v>0.43009034714580818</v>
      </c>
      <c r="AH8133" s="2" t="str">
        <f ca="1"/>
        <v>Bad</v>
      </c>
    </row>
    <row r="8134" spans="2:34" x14ac:dyDescent="0.2">
      <c r="B8134" s="2">
        <f ca="1"/>
        <v>0.92563421838292448</v>
      </c>
      <c r="O8134" s="2">
        <f ca="1"/>
        <v>0.5277109374304898</v>
      </c>
      <c r="X8134" s="2">
        <f ca="1"/>
        <v>60.977385504954349</v>
      </c>
      <c r="AG8134" s="2">
        <f ca="1"/>
        <v>0.19275923446843501</v>
      </c>
      <c r="AH8134" s="2" t="str">
        <f ca="1"/>
        <v>OK</v>
      </c>
    </row>
    <row r="8135" spans="2:34" x14ac:dyDescent="0.2">
      <c r="B8135" s="2">
        <f ca="1"/>
        <v>0.23391963548038208</v>
      </c>
      <c r="O8135" s="2">
        <f ca="1"/>
        <v>-0.55302732212652972</v>
      </c>
      <c r="X8135" s="2">
        <f ca="1"/>
        <v>78.383968993258733</v>
      </c>
      <c r="AG8135" s="2">
        <f ca="1"/>
        <v>0.88722923537370035</v>
      </c>
      <c r="AH8135" s="2" t="str">
        <f ca="1"/>
        <v>Bad</v>
      </c>
    </row>
    <row r="8136" spans="2:34" x14ac:dyDescent="0.2">
      <c r="B8136" s="2">
        <f ca="1"/>
        <v>0.28591539575229885</v>
      </c>
      <c r="O8136" s="2">
        <f ca="1"/>
        <v>-0.24024430769453561</v>
      </c>
      <c r="X8136" s="2">
        <f ca="1"/>
        <v>47.455746068344624</v>
      </c>
      <c r="AG8136" s="2">
        <f ca="1"/>
        <v>0.44029903640899448</v>
      </c>
      <c r="AH8136" s="2" t="str">
        <f ca="1"/>
        <v>Bad</v>
      </c>
    </row>
    <row r="8137" spans="2:34" x14ac:dyDescent="0.2">
      <c r="B8137" s="2">
        <f ca="1"/>
        <v>0.12332427984048588</v>
      </c>
      <c r="O8137" s="2">
        <f ca="1"/>
        <v>-0.50760023495533257</v>
      </c>
      <c r="X8137" s="2">
        <f ca="1"/>
        <v>36.267206367780524</v>
      </c>
      <c r="AG8137" s="2">
        <f ca="1"/>
        <v>0.33104415851309299</v>
      </c>
      <c r="AH8137" s="2" t="str">
        <f ca="1"/>
        <v>OK</v>
      </c>
    </row>
    <row r="8138" spans="2:34" x14ac:dyDescent="0.2">
      <c r="B8138" s="2">
        <f ca="1"/>
        <v>0.86196824881025269</v>
      </c>
      <c r="O8138" s="2">
        <f ca="1"/>
        <v>-0.59785331869036518</v>
      </c>
      <c r="X8138" s="2">
        <f ca="1"/>
        <v>51.651180383992276</v>
      </c>
      <c r="AG8138" s="2">
        <f ca="1"/>
        <v>0.60798419088999234</v>
      </c>
      <c r="AH8138" s="2" t="str">
        <f ca="1"/>
        <v>Bad</v>
      </c>
    </row>
    <row r="8139" spans="2:34" x14ac:dyDescent="0.2">
      <c r="B8139" s="2">
        <f ca="1"/>
        <v>9.3247364614190031E-2</v>
      </c>
      <c r="O8139" s="2">
        <f ca="1"/>
        <v>0.35630188758131925</v>
      </c>
      <c r="X8139" s="2">
        <f ca="1"/>
        <v>49.603404957457393</v>
      </c>
      <c r="AG8139" s="2">
        <f ca="1"/>
        <v>0.58183471169582979</v>
      </c>
      <c r="AH8139" s="2" t="str">
        <f ca="1"/>
        <v>Bad</v>
      </c>
    </row>
    <row r="8140" spans="2:34" x14ac:dyDescent="0.2">
      <c r="B8140" s="2">
        <f ca="1"/>
        <v>0.62970386217388552</v>
      </c>
      <c r="O8140" s="2">
        <f ca="1"/>
        <v>0.39333361195733729</v>
      </c>
      <c r="X8140" s="2">
        <f ca="1"/>
        <v>27.55001929927036</v>
      </c>
      <c r="AG8140" s="2">
        <f ca="1"/>
        <v>5.744309624897026E-3</v>
      </c>
      <c r="AH8140" s="2" t="str">
        <f ca="1"/>
        <v>Good</v>
      </c>
    </row>
    <row r="8141" spans="2:34" x14ac:dyDescent="0.2">
      <c r="B8141" s="2">
        <f ca="1"/>
        <v>0.67791391298053871</v>
      </c>
      <c r="O8141" s="2">
        <f ca="1"/>
        <v>-0.91807942182539737</v>
      </c>
      <c r="X8141" s="2">
        <f ca="1"/>
        <v>58.065703812968678</v>
      </c>
      <c r="AG8141" s="2">
        <f ca="1"/>
        <v>0.66857426655481023</v>
      </c>
      <c r="AH8141" s="2" t="str">
        <f ca="1"/>
        <v>Bad</v>
      </c>
    </row>
    <row r="8142" spans="2:34" x14ac:dyDescent="0.2">
      <c r="B8142" s="2">
        <f ca="1"/>
        <v>0.30936088892696501</v>
      </c>
      <c r="O8142" s="2">
        <f ca="1"/>
        <v>-0.4361118454892427</v>
      </c>
      <c r="X8142" s="2">
        <f ca="1"/>
        <v>52.987387723409668</v>
      </c>
      <c r="AG8142" s="2">
        <f ca="1"/>
        <v>0.64624196626769081</v>
      </c>
      <c r="AH8142" s="2" t="str">
        <f ca="1"/>
        <v>Bad</v>
      </c>
    </row>
    <row r="8143" spans="2:34" x14ac:dyDescent="0.2">
      <c r="B8143" s="2">
        <f ca="1"/>
        <v>0.5633928569940474</v>
      </c>
      <c r="O8143" s="2">
        <f ca="1"/>
        <v>-0.5779703172641405</v>
      </c>
      <c r="X8143" s="2">
        <f ca="1"/>
        <v>49.700988970528293</v>
      </c>
      <c r="AG8143" s="2">
        <f ca="1"/>
        <v>0.89711451906289663</v>
      </c>
      <c r="AH8143" s="2" t="str">
        <f ca="1"/>
        <v>Bad</v>
      </c>
    </row>
    <row r="8144" spans="2:34" x14ac:dyDescent="0.2">
      <c r="B8144" s="2">
        <f ca="1"/>
        <v>0.43103171411364283</v>
      </c>
      <c r="O8144" s="2">
        <f ca="1"/>
        <v>-0.7836109768144317</v>
      </c>
      <c r="X8144" s="2">
        <f ca="1"/>
        <v>79.582788233787539</v>
      </c>
      <c r="AG8144" s="2">
        <f ca="1"/>
        <v>0.3850749955482764</v>
      </c>
      <c r="AH8144" s="2" t="str">
        <f ca="1"/>
        <v>OK</v>
      </c>
    </row>
    <row r="8145" spans="2:34" x14ac:dyDescent="0.2">
      <c r="B8145" s="2">
        <f ca="1"/>
        <v>0.8215687506005882</v>
      </c>
      <c r="O8145" s="2">
        <f ca="1"/>
        <v>1.2871494643985952</v>
      </c>
      <c r="X8145" s="2">
        <f ca="1"/>
        <v>54.773407176375159</v>
      </c>
      <c r="AG8145" s="2">
        <f ca="1"/>
        <v>0.5093503544171234</v>
      </c>
      <c r="AH8145" s="2" t="str">
        <f ca="1"/>
        <v>Bad</v>
      </c>
    </row>
    <row r="8146" spans="2:34" x14ac:dyDescent="0.2">
      <c r="B8146" s="2">
        <f ca="1"/>
        <v>0.90400793168381055</v>
      </c>
      <c r="O8146" s="2">
        <f ca="1"/>
        <v>7.8182012798007988E-2</v>
      </c>
      <c r="X8146" s="2">
        <f ca="1"/>
        <v>70.840367006118313</v>
      </c>
      <c r="AG8146" s="2">
        <f ca="1"/>
        <v>0.91999557044188807</v>
      </c>
      <c r="AH8146" s="2" t="str">
        <f ca="1"/>
        <v>Bad</v>
      </c>
    </row>
    <row r="8147" spans="2:34" x14ac:dyDescent="0.2">
      <c r="B8147" s="2">
        <f ca="1"/>
        <v>0.1390491467997359</v>
      </c>
      <c r="O8147" s="2">
        <f ca="1"/>
        <v>0.51425243223414885</v>
      </c>
      <c r="X8147" s="2">
        <f ca="1"/>
        <v>63.973219105639451</v>
      </c>
      <c r="AG8147" s="2">
        <f ca="1"/>
        <v>0.4394692613149549</v>
      </c>
      <c r="AH8147" s="2" t="str">
        <f ca="1"/>
        <v>Bad</v>
      </c>
    </row>
    <row r="8148" spans="2:34" x14ac:dyDescent="0.2">
      <c r="B8148" s="2">
        <f ca="1"/>
        <v>0.55402401169073934</v>
      </c>
      <c r="O8148" s="2">
        <f ca="1"/>
        <v>-0.49813694113535806</v>
      </c>
      <c r="X8148" s="2">
        <f ca="1"/>
        <v>45.891579162894374</v>
      </c>
      <c r="AG8148" s="2">
        <f ca="1"/>
        <v>0.19728295655146644</v>
      </c>
      <c r="AH8148" s="2" t="str">
        <f ca="1"/>
        <v>OK</v>
      </c>
    </row>
    <row r="8149" spans="2:34" x14ac:dyDescent="0.2">
      <c r="B8149" s="2">
        <f ca="1"/>
        <v>0.85975029243324963</v>
      </c>
      <c r="O8149" s="2">
        <f ca="1"/>
        <v>-3.0377470031886792E-2</v>
      </c>
      <c r="X8149" s="2">
        <f ca="1"/>
        <v>51.557066729583276</v>
      </c>
      <c r="AG8149" s="2">
        <f ca="1"/>
        <v>0.36493994046754841</v>
      </c>
      <c r="AH8149" s="2" t="str">
        <f ca="1"/>
        <v>OK</v>
      </c>
    </row>
    <row r="8150" spans="2:34" x14ac:dyDescent="0.2">
      <c r="B8150" s="2">
        <f ca="1"/>
        <v>0.47167387110965597</v>
      </c>
      <c r="O8150" s="2">
        <f ca="1"/>
        <v>-0.6883386977783752</v>
      </c>
      <c r="X8150" s="2">
        <f ca="1"/>
        <v>64.098269315806661</v>
      </c>
      <c r="AG8150" s="2">
        <f ca="1"/>
        <v>0.89083251444473022</v>
      </c>
      <c r="AH8150" s="2" t="str">
        <f ca="1"/>
        <v>Bad</v>
      </c>
    </row>
    <row r="8151" spans="2:34" x14ac:dyDescent="0.2">
      <c r="B8151" s="2">
        <f ca="1"/>
        <v>0.98279216134077507</v>
      </c>
      <c r="O8151" s="2">
        <f ca="1"/>
        <v>2.8696349290195764</v>
      </c>
      <c r="X8151" s="2">
        <f ca="1"/>
        <v>52.185354138429283</v>
      </c>
      <c r="AG8151" s="2">
        <f ca="1"/>
        <v>0.40607723741180402</v>
      </c>
      <c r="AH8151" s="2" t="str">
        <f ca="1"/>
        <v>Bad</v>
      </c>
    </row>
    <row r="8152" spans="2:34" x14ac:dyDescent="0.2">
      <c r="B8152" s="2">
        <f ca="1"/>
        <v>6.780440656801523E-2</v>
      </c>
      <c r="O8152" s="2">
        <f ca="1"/>
        <v>-1.5189550720956904</v>
      </c>
      <c r="X8152" s="2">
        <f ca="1"/>
        <v>57.550856037183522</v>
      </c>
      <c r="AG8152" s="2">
        <f ca="1"/>
        <v>0.56324760021962983</v>
      </c>
      <c r="AH8152" s="2" t="str">
        <f ca="1"/>
        <v>Bad</v>
      </c>
    </row>
    <row r="8153" spans="2:34" x14ac:dyDescent="0.2">
      <c r="B8153" s="2">
        <f ca="1"/>
        <v>6.8483644266697619E-2</v>
      </c>
      <c r="O8153" s="2">
        <f ca="1"/>
        <v>-0.9933320503824119</v>
      </c>
      <c r="X8153" s="2">
        <f ca="1"/>
        <v>95.883090247775513</v>
      </c>
      <c r="AG8153" s="2">
        <f ca="1"/>
        <v>1.7956305244957171E-2</v>
      </c>
      <c r="AH8153" s="2" t="str">
        <f ca="1"/>
        <v>Good</v>
      </c>
    </row>
    <row r="8154" spans="2:34" x14ac:dyDescent="0.2">
      <c r="B8154" s="2">
        <f ca="1"/>
        <v>0.21295541976184684</v>
      </c>
      <c r="O8154" s="2">
        <f ca="1"/>
        <v>1.1696357050010115</v>
      </c>
      <c r="X8154" s="2">
        <f ca="1"/>
        <v>30.535080021908676</v>
      </c>
      <c r="AG8154" s="2">
        <f ca="1"/>
        <v>0.52026927823173263</v>
      </c>
      <c r="AH8154" s="2" t="str">
        <f ca="1"/>
        <v>Bad</v>
      </c>
    </row>
    <row r="8155" spans="2:34" x14ac:dyDescent="0.2">
      <c r="B8155" s="2">
        <f ca="1"/>
        <v>0.38711788559203408</v>
      </c>
      <c r="O8155" s="2">
        <f ca="1"/>
        <v>1.7482118338845367</v>
      </c>
      <c r="X8155" s="2">
        <f ca="1"/>
        <v>38.010661594547088</v>
      </c>
      <c r="AG8155" s="2">
        <f ca="1"/>
        <v>0.74203654327661717</v>
      </c>
      <c r="AH8155" s="2" t="str">
        <f ca="1"/>
        <v>Bad</v>
      </c>
    </row>
    <row r="8156" spans="2:34" x14ac:dyDescent="0.2">
      <c r="B8156" s="2">
        <f ca="1"/>
        <v>0.27596413665073705</v>
      </c>
      <c r="O8156" s="2">
        <f ca="1"/>
        <v>-2.0957249729616854E-2</v>
      </c>
      <c r="X8156" s="2">
        <f ca="1"/>
        <v>58.964973859098848</v>
      </c>
      <c r="AG8156" s="2">
        <f ca="1"/>
        <v>7.3275705957051462E-2</v>
      </c>
      <c r="AH8156" s="2" t="str">
        <f ca="1"/>
        <v>OK</v>
      </c>
    </row>
    <row r="8157" spans="2:34" x14ac:dyDescent="0.2">
      <c r="B8157" s="2">
        <f ca="1"/>
        <v>0.90554119157844992</v>
      </c>
      <c r="O8157" s="2">
        <f ca="1"/>
        <v>-1.8008013531232208</v>
      </c>
      <c r="X8157" s="2">
        <f ca="1"/>
        <v>71.820804248681327</v>
      </c>
      <c r="AG8157" s="2">
        <f ca="1"/>
        <v>0.66868882808980623</v>
      </c>
      <c r="AH8157" s="2" t="str">
        <f ca="1"/>
        <v>Bad</v>
      </c>
    </row>
    <row r="8158" spans="2:34" x14ac:dyDescent="0.2">
      <c r="B8158" s="2">
        <f ca="1"/>
        <v>6.6473072781985332E-2</v>
      </c>
      <c r="O8158" s="2">
        <f ca="1"/>
        <v>-5.8030455953763528E-2</v>
      </c>
      <c r="X8158" s="2">
        <f ca="1"/>
        <v>50.991159080254043</v>
      </c>
      <c r="AG8158" s="2">
        <f ca="1"/>
        <v>0.52314410923491117</v>
      </c>
      <c r="AH8158" s="2" t="str">
        <f ca="1"/>
        <v>Bad</v>
      </c>
    </row>
    <row r="8159" spans="2:34" x14ac:dyDescent="0.2">
      <c r="B8159" s="2">
        <f ca="1"/>
        <v>0.71868059896324166</v>
      </c>
      <c r="O8159" s="2">
        <f ca="1"/>
        <v>-0.25529085379913369</v>
      </c>
      <c r="X8159" s="2">
        <f ca="1"/>
        <v>56.216482953356433</v>
      </c>
      <c r="AG8159" s="2">
        <f ca="1"/>
        <v>0.20971985329528686</v>
      </c>
      <c r="AH8159" s="2" t="str">
        <f ca="1"/>
        <v>OK</v>
      </c>
    </row>
    <row r="8160" spans="2:34" x14ac:dyDescent="0.2">
      <c r="B8160" s="2">
        <f ca="1"/>
        <v>3.4288876660442558E-2</v>
      </c>
      <c r="O8160" s="2">
        <f ca="1"/>
        <v>-0.85804218994905312</v>
      </c>
      <c r="X8160" s="2">
        <f ca="1"/>
        <v>36.646973672027706</v>
      </c>
      <c r="AG8160" s="2">
        <f ca="1"/>
        <v>0.53211415168411547</v>
      </c>
      <c r="AH8160" s="2" t="str">
        <f ca="1"/>
        <v>Bad</v>
      </c>
    </row>
    <row r="8161" spans="2:34" x14ac:dyDescent="0.2">
      <c r="B8161" s="2">
        <f ca="1"/>
        <v>0.75855480016762655</v>
      </c>
      <c r="O8161" s="2">
        <f ca="1"/>
        <v>-0.21146017582173873</v>
      </c>
      <c r="X8161" s="2">
        <f ca="1"/>
        <v>71.049662964016278</v>
      </c>
      <c r="AG8161" s="2">
        <f ca="1"/>
        <v>0.99141943430327539</v>
      </c>
      <c r="AH8161" s="2" t="str">
        <f ca="1"/>
        <v>Bad</v>
      </c>
    </row>
    <row r="8162" spans="2:34" x14ac:dyDescent="0.2">
      <c r="B8162" s="2">
        <f ca="1"/>
        <v>7.3946792200349609E-2</v>
      </c>
      <c r="O8162" s="2">
        <f ca="1"/>
        <v>-1.3934122202483243</v>
      </c>
      <c r="X8162" s="2">
        <f ca="1"/>
        <v>58.617269426355811</v>
      </c>
      <c r="AG8162" s="2">
        <f ca="1"/>
        <v>0.46050488591776428</v>
      </c>
      <c r="AH8162" s="2" t="str">
        <f ca="1"/>
        <v>Bad</v>
      </c>
    </row>
    <row r="8163" spans="2:34" x14ac:dyDescent="0.2">
      <c r="B8163" s="2">
        <f ca="1"/>
        <v>0.47169422511873615</v>
      </c>
      <c r="O8163" s="2">
        <f ca="1"/>
        <v>1.2440826135340104</v>
      </c>
      <c r="X8163" s="2">
        <f ca="1"/>
        <v>52.819205396509446</v>
      </c>
      <c r="AG8163" s="2">
        <f ca="1"/>
        <v>0.75100064649470988</v>
      </c>
      <c r="AH8163" s="2" t="str">
        <f ca="1"/>
        <v>Bad</v>
      </c>
    </row>
    <row r="8164" spans="2:34" x14ac:dyDescent="0.2">
      <c r="B8164" s="2">
        <f ca="1"/>
        <v>0.30695778995190293</v>
      </c>
      <c r="O8164" s="2">
        <f ca="1"/>
        <v>2.6341404549391512</v>
      </c>
      <c r="X8164" s="2">
        <f ca="1"/>
        <v>49.005655668041364</v>
      </c>
      <c r="AG8164" s="2">
        <f ca="1"/>
        <v>0.69751402161780618</v>
      </c>
      <c r="AH8164" s="2" t="str">
        <f ca="1"/>
        <v>Bad</v>
      </c>
    </row>
    <row r="8165" spans="2:34" x14ac:dyDescent="0.2">
      <c r="B8165" s="2">
        <f ca="1"/>
        <v>0.57491274946842541</v>
      </c>
      <c r="O8165" s="2">
        <f ca="1"/>
        <v>1.7063024254340808</v>
      </c>
      <c r="X8165" s="2">
        <f ca="1"/>
        <v>46.735080139375277</v>
      </c>
      <c r="AG8165" s="2">
        <f ca="1"/>
        <v>0.34286600736761086</v>
      </c>
      <c r="AH8165" s="2" t="str">
        <f ca="1"/>
        <v>OK</v>
      </c>
    </row>
    <row r="8166" spans="2:34" x14ac:dyDescent="0.2">
      <c r="B8166" s="2">
        <f ca="1"/>
        <v>0.3680993637777521</v>
      </c>
      <c r="O8166" s="2">
        <f ca="1"/>
        <v>-0.43555626593033347</v>
      </c>
      <c r="X8166" s="2">
        <f ca="1"/>
        <v>50.731752743784611</v>
      </c>
      <c r="AG8166" s="2">
        <f ca="1"/>
        <v>0.20454359954095613</v>
      </c>
      <c r="AH8166" s="2" t="str">
        <f ca="1"/>
        <v>OK</v>
      </c>
    </row>
    <row r="8167" spans="2:34" x14ac:dyDescent="0.2">
      <c r="B8167" s="2">
        <f ca="1"/>
        <v>0.92882437489231195</v>
      </c>
      <c r="O8167" s="2">
        <f ca="1"/>
        <v>-0.76501157942025444</v>
      </c>
      <c r="X8167" s="2">
        <f ca="1"/>
        <v>26.48135789652606</v>
      </c>
      <c r="AG8167" s="2">
        <f ca="1"/>
        <v>0.66920641868456987</v>
      </c>
      <c r="AH8167" s="2" t="str">
        <f ca="1"/>
        <v>Bad</v>
      </c>
    </row>
    <row r="8168" spans="2:34" x14ac:dyDescent="0.2">
      <c r="B8168" s="2">
        <f ca="1"/>
        <v>0.6453706556003429</v>
      </c>
      <c r="O8168" s="2">
        <f ca="1"/>
        <v>-0.2738548677854154</v>
      </c>
      <c r="X8168" s="2">
        <f ca="1"/>
        <v>24.288007371244802</v>
      </c>
      <c r="AG8168" s="2">
        <f ca="1"/>
        <v>0.41910524391233217</v>
      </c>
      <c r="AH8168" s="2" t="str">
        <f ca="1"/>
        <v>Bad</v>
      </c>
    </row>
    <row r="8169" spans="2:34" x14ac:dyDescent="0.2">
      <c r="B8169" s="2">
        <f ca="1"/>
        <v>0.97452447539921438</v>
      </c>
      <c r="O8169" s="2">
        <f ca="1"/>
        <v>0.23073679368944519</v>
      </c>
      <c r="X8169" s="2">
        <f ca="1"/>
        <v>61.291088640674516</v>
      </c>
      <c r="AG8169" s="2">
        <f ca="1"/>
        <v>2.1017582158149528E-2</v>
      </c>
      <c r="AH8169" s="2" t="str">
        <f ca="1"/>
        <v>Good</v>
      </c>
    </row>
    <row r="8170" spans="2:34" x14ac:dyDescent="0.2">
      <c r="B8170" s="2">
        <f ca="1"/>
        <v>0.27769364306850597</v>
      </c>
      <c r="O8170" s="2">
        <f ca="1"/>
        <v>0.52310413856412508</v>
      </c>
      <c r="X8170" s="2">
        <f ca="1"/>
        <v>34.857026743198588</v>
      </c>
      <c r="AG8170" s="2">
        <f ca="1"/>
        <v>0.26715712193061458</v>
      </c>
      <c r="AH8170" s="2" t="str">
        <f ca="1"/>
        <v>OK</v>
      </c>
    </row>
    <row r="8171" spans="2:34" x14ac:dyDescent="0.2">
      <c r="B8171" s="2">
        <f ca="1"/>
        <v>0.20353506943140398</v>
      </c>
      <c r="O8171" s="2">
        <f ca="1"/>
        <v>-1.1752332598184108</v>
      </c>
      <c r="X8171" s="2">
        <f ca="1"/>
        <v>68.905776635692177</v>
      </c>
      <c r="AG8171" s="2">
        <f ca="1"/>
        <v>0.75448043511503804</v>
      </c>
      <c r="AH8171" s="2" t="str">
        <f ca="1"/>
        <v>Bad</v>
      </c>
    </row>
    <row r="8172" spans="2:34" x14ac:dyDescent="0.2">
      <c r="B8172" s="2">
        <f ca="1"/>
        <v>0.1874431950927935</v>
      </c>
      <c r="O8172" s="2">
        <f ca="1"/>
        <v>1.2215370369357865</v>
      </c>
      <c r="X8172" s="2">
        <f ca="1"/>
        <v>48.300112954847066</v>
      </c>
      <c r="AG8172" s="2">
        <f ca="1"/>
        <v>0.90432275448846688</v>
      </c>
      <c r="AH8172" s="2" t="str">
        <f ca="1"/>
        <v>Bad</v>
      </c>
    </row>
    <row r="8173" spans="2:34" x14ac:dyDescent="0.2">
      <c r="B8173" s="2">
        <f ca="1"/>
        <v>5.9758313149311126E-2</v>
      </c>
      <c r="O8173" s="2">
        <f ca="1"/>
        <v>0.25268085589138717</v>
      </c>
      <c r="X8173" s="2">
        <f ca="1"/>
        <v>46.996473910582814</v>
      </c>
      <c r="AG8173" s="2">
        <f ca="1"/>
        <v>0.29775237260388887</v>
      </c>
      <c r="AH8173" s="2" t="str">
        <f ca="1"/>
        <v>OK</v>
      </c>
    </row>
    <row r="8174" spans="2:34" x14ac:dyDescent="0.2">
      <c r="B8174" s="2">
        <f ca="1"/>
        <v>0.17811471883188501</v>
      </c>
      <c r="O8174" s="2">
        <f ca="1"/>
        <v>-0.23876524909643587</v>
      </c>
      <c r="X8174" s="2">
        <f ca="1"/>
        <v>34.990705924383171</v>
      </c>
      <c r="AG8174" s="2">
        <f ca="1"/>
        <v>0.38523281670223231</v>
      </c>
      <c r="AH8174" s="2" t="str">
        <f ca="1"/>
        <v>OK</v>
      </c>
    </row>
    <row r="8175" spans="2:34" x14ac:dyDescent="0.2">
      <c r="B8175" s="2">
        <f ca="1"/>
        <v>0.36708154184043851</v>
      </c>
      <c r="O8175" s="2">
        <f ca="1"/>
        <v>6.822688018917282E-2</v>
      </c>
      <c r="X8175" s="2">
        <f ca="1"/>
        <v>40.808530834872471</v>
      </c>
      <c r="AG8175" s="2">
        <f ca="1"/>
        <v>0.70176249168181815</v>
      </c>
      <c r="AH8175" s="2" t="str">
        <f ca="1"/>
        <v>Bad</v>
      </c>
    </row>
    <row r="8176" spans="2:34" x14ac:dyDescent="0.2">
      <c r="B8176" s="2">
        <f ca="1"/>
        <v>0.48947066565810804</v>
      </c>
      <c r="O8176" s="2">
        <f ca="1"/>
        <v>-0.82540639455824161</v>
      </c>
      <c r="X8176" s="2">
        <f ca="1"/>
        <v>59.354443149787663</v>
      </c>
      <c r="AG8176" s="2">
        <f ca="1"/>
        <v>0.30152940110028692</v>
      </c>
      <c r="AH8176" s="2" t="str">
        <f ca="1"/>
        <v>OK</v>
      </c>
    </row>
    <row r="8177" spans="2:34" x14ac:dyDescent="0.2">
      <c r="B8177" s="2">
        <f ca="1"/>
        <v>0.31877474156963581</v>
      </c>
      <c r="O8177" s="2">
        <f ca="1"/>
        <v>-1.5523378160987162</v>
      </c>
      <c r="X8177" s="2">
        <f ca="1"/>
        <v>51.901809494161377</v>
      </c>
      <c r="AG8177" s="2">
        <f ca="1"/>
        <v>0.50084727776200322</v>
      </c>
      <c r="AH8177" s="2" t="str">
        <f ca="1"/>
        <v>Bad</v>
      </c>
    </row>
    <row r="8178" spans="2:34" x14ac:dyDescent="0.2">
      <c r="B8178" s="2">
        <f ca="1"/>
        <v>0.41645304845911024</v>
      </c>
      <c r="O8178" s="2">
        <f ca="1"/>
        <v>-0.58551201259912355</v>
      </c>
      <c r="X8178" s="2">
        <f ca="1"/>
        <v>46.794203932121015</v>
      </c>
      <c r="AG8178" s="2">
        <f ca="1"/>
        <v>0.146090427530704</v>
      </c>
      <c r="AH8178" s="2" t="str">
        <f ca="1"/>
        <v>OK</v>
      </c>
    </row>
    <row r="8179" spans="2:34" x14ac:dyDescent="0.2">
      <c r="B8179" s="2">
        <f ca="1"/>
        <v>0.8558259440099738</v>
      </c>
      <c r="O8179" s="2">
        <f ca="1"/>
        <v>1.7252884395001715</v>
      </c>
      <c r="X8179" s="2">
        <f ca="1"/>
        <v>38.711865174565119</v>
      </c>
      <c r="AG8179" s="2">
        <f ca="1"/>
        <v>8.5945412241819064E-2</v>
      </c>
      <c r="AH8179" s="2" t="str">
        <f ca="1"/>
        <v>OK</v>
      </c>
    </row>
    <row r="8180" spans="2:34" x14ac:dyDescent="0.2">
      <c r="B8180" s="2">
        <f ca="1"/>
        <v>0.21103226058708091</v>
      </c>
      <c r="O8180" s="2">
        <f ca="1"/>
        <v>-0.50646378249638602</v>
      </c>
      <c r="X8180" s="2">
        <f ca="1"/>
        <v>48.007211313801022</v>
      </c>
      <c r="AG8180" s="2">
        <f ca="1"/>
        <v>0.53485418391625084</v>
      </c>
      <c r="AH8180" s="2" t="str">
        <f ca="1"/>
        <v>Bad</v>
      </c>
    </row>
    <row r="8181" spans="2:34" x14ac:dyDescent="0.2">
      <c r="B8181" s="2">
        <f ca="1"/>
        <v>0.29554081108055796</v>
      </c>
      <c r="O8181" s="2">
        <f ca="1"/>
        <v>-0.33270957577060389</v>
      </c>
      <c r="X8181" s="2">
        <f ca="1"/>
        <v>73.897756626456754</v>
      </c>
      <c r="AG8181" s="2">
        <f ca="1"/>
        <v>0.70608766987482996</v>
      </c>
      <c r="AH8181" s="2" t="str">
        <f ca="1"/>
        <v>Bad</v>
      </c>
    </row>
    <row r="8182" spans="2:34" x14ac:dyDescent="0.2">
      <c r="B8182" s="2">
        <f ca="1"/>
        <v>0.756827266512208</v>
      </c>
      <c r="O8182" s="2">
        <f ca="1"/>
        <v>-1.5472456762849502</v>
      </c>
      <c r="X8182" s="2">
        <f ca="1"/>
        <v>64.367503593382452</v>
      </c>
      <c r="AG8182" s="2">
        <f ca="1"/>
        <v>0.2150666820718472</v>
      </c>
      <c r="AH8182" s="2" t="str">
        <f ca="1"/>
        <v>OK</v>
      </c>
    </row>
    <row r="8183" spans="2:34" x14ac:dyDescent="0.2">
      <c r="B8183" s="2">
        <f ca="1"/>
        <v>0.46344405948979395</v>
      </c>
      <c r="O8183" s="2">
        <f ca="1"/>
        <v>0.35132581447306255</v>
      </c>
      <c r="X8183" s="2">
        <f ca="1"/>
        <v>51.61521297026848</v>
      </c>
      <c r="AG8183" s="2">
        <f ca="1"/>
        <v>0.49131324059036308</v>
      </c>
      <c r="AH8183" s="2" t="str">
        <f ca="1"/>
        <v>Bad</v>
      </c>
    </row>
    <row r="8184" spans="2:34" x14ac:dyDescent="0.2">
      <c r="B8184" s="2">
        <f ca="1"/>
        <v>0.85513182801074539</v>
      </c>
      <c r="O8184" s="2">
        <f ca="1"/>
        <v>0.89321797340528108</v>
      </c>
      <c r="X8184" s="2">
        <f ca="1"/>
        <v>46.942593557623262</v>
      </c>
      <c r="AG8184" s="2">
        <f ca="1"/>
        <v>6.0262020058924781E-2</v>
      </c>
      <c r="AH8184" s="2" t="str">
        <f ca="1"/>
        <v>OK</v>
      </c>
    </row>
    <row r="8185" spans="2:34" x14ac:dyDescent="0.2">
      <c r="B8185" s="2">
        <f ca="1"/>
        <v>0.94852990038215146</v>
      </c>
      <c r="O8185" s="2">
        <f ca="1"/>
        <v>1.0642855317210465</v>
      </c>
      <c r="X8185" s="2">
        <f ca="1"/>
        <v>41.314027375298323</v>
      </c>
      <c r="AG8185" s="2">
        <f ca="1"/>
        <v>0.62489298728714382</v>
      </c>
      <c r="AH8185" s="2" t="str">
        <f ca="1"/>
        <v>Bad</v>
      </c>
    </row>
    <row r="8186" spans="2:34" x14ac:dyDescent="0.2">
      <c r="B8186" s="2">
        <f ca="1"/>
        <v>0.94135650891017564</v>
      </c>
      <c r="O8186" s="2">
        <f ca="1"/>
        <v>-0.23015824589980666</v>
      </c>
      <c r="X8186" s="2">
        <f ca="1"/>
        <v>47.903549330235222</v>
      </c>
      <c r="AG8186" s="2">
        <f ca="1"/>
        <v>0.71333153110708603</v>
      </c>
      <c r="AH8186" s="2" t="str">
        <f ca="1"/>
        <v>Bad</v>
      </c>
    </row>
    <row r="8187" spans="2:34" x14ac:dyDescent="0.2">
      <c r="B8187" s="2">
        <f ca="1"/>
        <v>0.42236861637950174</v>
      </c>
      <c r="O8187" s="2">
        <f ca="1"/>
        <v>-0.61549648920044386</v>
      </c>
      <c r="X8187" s="2">
        <f ca="1"/>
        <v>97.379351080646259</v>
      </c>
      <c r="AG8187" s="2">
        <f ca="1"/>
        <v>0.84240786654403399</v>
      </c>
      <c r="AH8187" s="2" t="str">
        <f ca="1"/>
        <v>Bad</v>
      </c>
    </row>
    <row r="8188" spans="2:34" x14ac:dyDescent="0.2">
      <c r="B8188" s="2">
        <f ca="1"/>
        <v>0.59120336990399358</v>
      </c>
      <c r="O8188" s="2">
        <f ca="1"/>
        <v>-0.59523210179786656</v>
      </c>
      <c r="X8188" s="2">
        <f ca="1"/>
        <v>57.814916723663679</v>
      </c>
      <c r="AG8188" s="2">
        <f ca="1"/>
        <v>0.91561954719840766</v>
      </c>
      <c r="AH8188" s="2" t="str">
        <f ca="1"/>
        <v>Bad</v>
      </c>
    </row>
    <row r="8189" spans="2:34" x14ac:dyDescent="0.2">
      <c r="B8189" s="2">
        <f ca="1"/>
        <v>0.92440101724222123</v>
      </c>
      <c r="O8189" s="2">
        <f ca="1"/>
        <v>-0.75058602647486339</v>
      </c>
      <c r="X8189" s="2">
        <f ca="1"/>
        <v>56.634901034840979</v>
      </c>
      <c r="AG8189" s="2">
        <f ca="1"/>
        <v>0.88677133519863216</v>
      </c>
      <c r="AH8189" s="2" t="str">
        <f ca="1"/>
        <v>Bad</v>
      </c>
    </row>
    <row r="8190" spans="2:34" x14ac:dyDescent="0.2">
      <c r="B8190" s="2">
        <f ca="1"/>
        <v>0.2137198842119834</v>
      </c>
      <c r="O8190" s="2">
        <f ca="1"/>
        <v>-0.20042537912879343</v>
      </c>
      <c r="X8190" s="2">
        <f ca="1"/>
        <v>40.10181770547959</v>
      </c>
      <c r="AG8190" s="2">
        <f ca="1"/>
        <v>0.68158414871403061</v>
      </c>
      <c r="AH8190" s="2" t="str">
        <f ca="1"/>
        <v>Bad</v>
      </c>
    </row>
    <row r="8191" spans="2:34" x14ac:dyDescent="0.2">
      <c r="B8191" s="2">
        <f ca="1"/>
        <v>0.55438766635766146</v>
      </c>
      <c r="O8191" s="2">
        <f ca="1"/>
        <v>1.4812621473074061</v>
      </c>
      <c r="X8191" s="2">
        <f ca="1"/>
        <v>27.609288378875966</v>
      </c>
      <c r="AG8191" s="2">
        <f ca="1"/>
        <v>7.1583240143421323E-2</v>
      </c>
      <c r="AH8191" s="2" t="str">
        <f ca="1"/>
        <v>OK</v>
      </c>
    </row>
    <row r="8192" spans="2:34" x14ac:dyDescent="0.2">
      <c r="B8192" s="2">
        <f ca="1"/>
        <v>0.65400618753662387</v>
      </c>
      <c r="O8192" s="2">
        <f ca="1"/>
        <v>-0.16034912432717491</v>
      </c>
      <c r="X8192" s="2">
        <f ca="1"/>
        <v>54.629338431786998</v>
      </c>
      <c r="AG8192" s="2">
        <f ca="1"/>
        <v>0.63969262984579367</v>
      </c>
      <c r="AH8192" s="2" t="str">
        <f ca="1"/>
        <v>Bad</v>
      </c>
    </row>
    <row r="8193" spans="2:34" x14ac:dyDescent="0.2">
      <c r="B8193" s="2">
        <f ca="1"/>
        <v>0.97718746210566465</v>
      </c>
      <c r="O8193" s="2">
        <f ca="1"/>
        <v>-0.54351316243598069</v>
      </c>
      <c r="X8193" s="2">
        <f ca="1"/>
        <v>37.431494584146073</v>
      </c>
      <c r="AG8193" s="2">
        <f ca="1"/>
        <v>0.60759960417024317</v>
      </c>
      <c r="AH8193" s="2" t="str">
        <f ca="1"/>
        <v>Bad</v>
      </c>
    </row>
    <row r="8194" spans="2:34" x14ac:dyDescent="0.2">
      <c r="B8194" s="2">
        <f ca="1"/>
        <v>0.4987694832227878</v>
      </c>
      <c r="O8194" s="2">
        <f ca="1"/>
        <v>-1.0106946284701097</v>
      </c>
      <c r="X8194" s="2">
        <f ca="1"/>
        <v>32.401513167463023</v>
      </c>
      <c r="AG8194" s="2">
        <f ca="1"/>
        <v>0.45491315730097859</v>
      </c>
      <c r="AH8194" s="2" t="str">
        <f ca="1"/>
        <v>Bad</v>
      </c>
    </row>
    <row r="8195" spans="2:34" x14ac:dyDescent="0.2">
      <c r="B8195" s="2">
        <f ca="1"/>
        <v>0.89112394696652864</v>
      </c>
      <c r="O8195" s="2">
        <f ca="1"/>
        <v>0.30390576680428028</v>
      </c>
      <c r="X8195" s="2">
        <f ca="1"/>
        <v>50.757672260027284</v>
      </c>
      <c r="AG8195" s="2">
        <f ca="1"/>
        <v>0.97425191556347035</v>
      </c>
      <c r="AH8195" s="2" t="str">
        <f ca="1"/>
        <v>Bad</v>
      </c>
    </row>
    <row r="8196" spans="2:34" x14ac:dyDescent="0.2">
      <c r="B8196" s="2">
        <f ca="1"/>
        <v>0.37681404957325371</v>
      </c>
      <c r="O8196" s="2">
        <f ca="1"/>
        <v>0.80919690510427966</v>
      </c>
      <c r="X8196" s="2">
        <f ca="1"/>
        <v>48.825427075631431</v>
      </c>
      <c r="AG8196" s="2">
        <f ca="1"/>
        <v>0.70745269917760023</v>
      </c>
      <c r="AH8196" s="2" t="str">
        <f ca="1"/>
        <v>Bad</v>
      </c>
    </row>
    <row r="8197" spans="2:34" x14ac:dyDescent="0.2">
      <c r="B8197" s="2">
        <f ca="1"/>
        <v>0.22639598378960812</v>
      </c>
      <c r="O8197" s="2">
        <f ca="1"/>
        <v>-0.13667267093391666</v>
      </c>
      <c r="X8197" s="2">
        <f ca="1"/>
        <v>60.952743162343126</v>
      </c>
      <c r="AG8197" s="2">
        <f ca="1"/>
        <v>0.60558347902163101</v>
      </c>
      <c r="AH8197" s="2" t="str">
        <f ca="1"/>
        <v>Bad</v>
      </c>
    </row>
    <row r="8198" spans="2:34" x14ac:dyDescent="0.2">
      <c r="B8198" s="2">
        <f ca="1"/>
        <v>0.32226389302059721</v>
      </c>
      <c r="O8198" s="2">
        <f ca="1"/>
        <v>-0.11415438033569243</v>
      </c>
      <c r="X8198" s="2">
        <f ca="1"/>
        <v>73.867538280074015</v>
      </c>
      <c r="AG8198" s="2">
        <f ca="1"/>
        <v>0.65207281642205306</v>
      </c>
      <c r="AH8198" s="2" t="str">
        <f ca="1"/>
        <v>Bad</v>
      </c>
    </row>
    <row r="8199" spans="2:34" x14ac:dyDescent="0.2">
      <c r="B8199" s="2">
        <f ca="1"/>
        <v>0.70944055533420269</v>
      </c>
      <c r="O8199" s="2">
        <f ca="1"/>
        <v>0.3124162548397737</v>
      </c>
      <c r="X8199" s="2">
        <f ca="1"/>
        <v>42.033593960267325</v>
      </c>
      <c r="AG8199" s="2">
        <f ca="1"/>
        <v>0.14796344415677876</v>
      </c>
      <c r="AH8199" s="2" t="str">
        <f ca="1"/>
        <v>OK</v>
      </c>
    </row>
    <row r="8200" spans="2:34" x14ac:dyDescent="0.2">
      <c r="B8200" s="2">
        <f ca="1"/>
        <v>0.91128797717624765</v>
      </c>
      <c r="O8200" s="2">
        <f ca="1"/>
        <v>3.3618449987171175</v>
      </c>
      <c r="X8200" s="2">
        <f ca="1"/>
        <v>34.258475631833029</v>
      </c>
      <c r="AG8200" s="2">
        <f ca="1"/>
        <v>8.8301282247490231E-2</v>
      </c>
      <c r="AH8200" s="2" t="str">
        <f ca="1"/>
        <v>OK</v>
      </c>
    </row>
    <row r="8201" spans="2:34" x14ac:dyDescent="0.2">
      <c r="B8201" s="2">
        <f ca="1"/>
        <v>0.89198511992788099</v>
      </c>
      <c r="O8201" s="2">
        <f ca="1"/>
        <v>-0.77103496820677064</v>
      </c>
      <c r="X8201" s="2">
        <f ca="1"/>
        <v>24.468808783181618</v>
      </c>
      <c r="AG8201" s="2">
        <f ca="1"/>
        <v>0.34554973431050251</v>
      </c>
      <c r="AH8201" s="2" t="str">
        <f ca="1"/>
        <v>OK</v>
      </c>
    </row>
    <row r="8202" spans="2:34" x14ac:dyDescent="0.2">
      <c r="B8202" s="2">
        <f ca="1"/>
        <v>0.60022186535724131</v>
      </c>
      <c r="O8202" s="2">
        <f ca="1"/>
        <v>0.28785566204173785</v>
      </c>
      <c r="X8202" s="2">
        <f ca="1"/>
        <v>85.687412013973898</v>
      </c>
      <c r="AG8202" s="2">
        <f ca="1"/>
        <v>0.28851494414637036</v>
      </c>
      <c r="AH8202" s="2" t="str">
        <f ca="1"/>
        <v>OK</v>
      </c>
    </row>
    <row r="8203" spans="2:34" x14ac:dyDescent="0.2">
      <c r="B8203" s="2">
        <f ca="1"/>
        <v>0.84266249919602321</v>
      </c>
      <c r="O8203" s="2">
        <f ca="1"/>
        <v>-0.67959770299211997</v>
      </c>
      <c r="X8203" s="2">
        <f ca="1"/>
        <v>37.936840982464894</v>
      </c>
      <c r="AG8203" s="2">
        <f ca="1"/>
        <v>6.5127876094520643E-2</v>
      </c>
      <c r="AH8203" s="2" t="str">
        <f ca="1"/>
        <v>OK</v>
      </c>
    </row>
    <row r="8204" spans="2:34" x14ac:dyDescent="0.2">
      <c r="B8204" s="2">
        <f ca="1"/>
        <v>0.66017603786254209</v>
      </c>
      <c r="O8204" s="2">
        <f ca="1"/>
        <v>0.29318689551108423</v>
      </c>
      <c r="X8204" s="2">
        <f ca="1"/>
        <v>51.596463550349569</v>
      </c>
      <c r="AG8204" s="2">
        <f ca="1"/>
        <v>0.7505373370418027</v>
      </c>
      <c r="AH8204" s="2" t="str">
        <f ca="1"/>
        <v>Bad</v>
      </c>
    </row>
    <row r="8205" spans="2:34" x14ac:dyDescent="0.2">
      <c r="B8205" s="2">
        <f ca="1"/>
        <v>0.76768851868675325</v>
      </c>
      <c r="O8205" s="2">
        <f ca="1"/>
        <v>-0.86428829469719104</v>
      </c>
      <c r="X8205" s="2">
        <f ca="1"/>
        <v>38.866880089229724</v>
      </c>
      <c r="AG8205" s="2">
        <f ca="1"/>
        <v>0.73508462572063138</v>
      </c>
      <c r="AH8205" s="2" t="str">
        <f ca="1"/>
        <v>Bad</v>
      </c>
    </row>
    <row r="8206" spans="2:34" x14ac:dyDescent="0.2">
      <c r="B8206" s="2">
        <f ca="1"/>
        <v>0.56625462640299951</v>
      </c>
      <c r="O8206" s="2">
        <f ca="1"/>
        <v>-0.8060023323003821</v>
      </c>
      <c r="X8206" s="2">
        <f ca="1"/>
        <v>66.598976931673405</v>
      </c>
      <c r="AG8206" s="2">
        <f ca="1"/>
        <v>0.2223325579269908</v>
      </c>
      <c r="AH8206" s="2" t="str">
        <f ca="1"/>
        <v>OK</v>
      </c>
    </row>
    <row r="8207" spans="2:34" x14ac:dyDescent="0.2">
      <c r="B8207" s="2">
        <f ca="1"/>
        <v>0.92826317828682714</v>
      </c>
      <c r="O8207" s="2">
        <f ca="1"/>
        <v>-2.087704018169513</v>
      </c>
      <c r="X8207" s="2">
        <f ca="1"/>
        <v>58.411619138109103</v>
      </c>
      <c r="AG8207" s="2">
        <f ca="1"/>
        <v>8.837007998230284E-2</v>
      </c>
      <c r="AH8207" s="2" t="str">
        <f ca="1"/>
        <v>OK</v>
      </c>
    </row>
    <row r="8208" spans="2:34" x14ac:dyDescent="0.2">
      <c r="B8208" s="2">
        <f ca="1"/>
        <v>8.8765662143025059E-2</v>
      </c>
      <c r="O8208" s="2">
        <f ca="1"/>
        <v>-6.1422972580993267E-2</v>
      </c>
      <c r="X8208" s="2">
        <f ca="1"/>
        <v>93.920104409419466</v>
      </c>
      <c r="AG8208" s="2">
        <f ca="1"/>
        <v>0.44730441807398491</v>
      </c>
      <c r="AH8208" s="2" t="str">
        <f ca="1"/>
        <v>Bad</v>
      </c>
    </row>
    <row r="8209" spans="2:34" x14ac:dyDescent="0.2">
      <c r="B8209" s="2">
        <f ca="1"/>
        <v>0.97819100923099822</v>
      </c>
      <c r="O8209" s="2">
        <f ca="1"/>
        <v>-0.54331663950893794</v>
      </c>
      <c r="X8209" s="2">
        <f ca="1"/>
        <v>29.064092207401817</v>
      </c>
      <c r="AG8209" s="2">
        <f ca="1"/>
        <v>0.54297315950563663</v>
      </c>
      <c r="AH8209" s="2" t="str">
        <f ca="1"/>
        <v>Bad</v>
      </c>
    </row>
    <row r="8210" spans="2:34" x14ac:dyDescent="0.2">
      <c r="B8210" s="2">
        <f ca="1"/>
        <v>0.41381251409655628</v>
      </c>
      <c r="O8210" s="2">
        <f ca="1"/>
        <v>-0.11397501141754916</v>
      </c>
      <c r="X8210" s="2">
        <f ca="1"/>
        <v>35.169331938265159</v>
      </c>
      <c r="AG8210" s="2">
        <f ca="1"/>
        <v>0.96678780945714027</v>
      </c>
      <c r="AH8210" s="2" t="str">
        <f ca="1"/>
        <v>Bad</v>
      </c>
    </row>
    <row r="8211" spans="2:34" x14ac:dyDescent="0.2">
      <c r="B8211" s="2">
        <f ca="1"/>
        <v>0.10299485701626465</v>
      </c>
      <c r="O8211" s="2">
        <f ca="1"/>
        <v>0.70231430472075262</v>
      </c>
      <c r="X8211" s="2">
        <f ca="1"/>
        <v>19.122034923055651</v>
      </c>
      <c r="AG8211" s="2">
        <f ca="1"/>
        <v>5.5958977384291231E-2</v>
      </c>
      <c r="AH8211" s="2" t="str">
        <f ca="1"/>
        <v>OK</v>
      </c>
    </row>
    <row r="8212" spans="2:34" x14ac:dyDescent="0.2">
      <c r="B8212" s="2">
        <f ca="1"/>
        <v>2.6625054567845474E-2</v>
      </c>
      <c r="O8212" s="2">
        <f ca="1"/>
        <v>0.37431309117737932</v>
      </c>
      <c r="X8212" s="2">
        <f ca="1"/>
        <v>57.155177939078129</v>
      </c>
      <c r="AG8212" s="2">
        <f ca="1"/>
        <v>0.19063227873458222</v>
      </c>
      <c r="AH8212" s="2" t="str">
        <f ca="1"/>
        <v>OK</v>
      </c>
    </row>
    <row r="8213" spans="2:34" x14ac:dyDescent="0.2">
      <c r="B8213" s="2">
        <f ca="1"/>
        <v>0.37978891196394171</v>
      </c>
      <c r="O8213" s="2">
        <f ca="1"/>
        <v>-0.50859606473862151</v>
      </c>
      <c r="X8213" s="2">
        <f ca="1"/>
        <v>45.126788379377139</v>
      </c>
      <c r="AG8213" s="2">
        <f ca="1"/>
        <v>6.7873636307011376E-2</v>
      </c>
      <c r="AH8213" s="2" t="str">
        <f ca="1"/>
        <v>OK</v>
      </c>
    </row>
    <row r="8214" spans="2:34" x14ac:dyDescent="0.2">
      <c r="B8214" s="2">
        <f ca="1"/>
        <v>0.65663887709807911</v>
      </c>
      <c r="O8214" s="2">
        <f ca="1"/>
        <v>1.374204991245614</v>
      </c>
      <c r="X8214" s="2">
        <f ca="1"/>
        <v>30.170221882003204</v>
      </c>
      <c r="AG8214" s="2">
        <f ca="1"/>
        <v>0.93065805534310164</v>
      </c>
      <c r="AH8214" s="2" t="str">
        <f ca="1"/>
        <v>Bad</v>
      </c>
    </row>
    <row r="8215" spans="2:34" x14ac:dyDescent="0.2">
      <c r="B8215" s="2">
        <f ca="1"/>
        <v>0.80086825777255699</v>
      </c>
      <c r="O8215" s="2">
        <f ca="1"/>
        <v>-1.2381379623306228</v>
      </c>
      <c r="X8215" s="2">
        <f ca="1"/>
        <v>32.967224020055198</v>
      </c>
      <c r="AG8215" s="2">
        <f ca="1"/>
        <v>0.39128599940353403</v>
      </c>
      <c r="AH8215" s="2" t="str">
        <f ca="1"/>
        <v>OK</v>
      </c>
    </row>
    <row r="8216" spans="2:34" x14ac:dyDescent="0.2">
      <c r="B8216" s="2">
        <f ca="1"/>
        <v>0.60603253446461491</v>
      </c>
      <c r="O8216" s="2">
        <f ca="1"/>
        <v>1.11297291988034</v>
      </c>
      <c r="X8216" s="2">
        <f ca="1"/>
        <v>65.646690272748415</v>
      </c>
      <c r="AG8216" s="2">
        <f ca="1"/>
        <v>0.91027700189556682</v>
      </c>
      <c r="AH8216" s="2" t="str">
        <f ca="1"/>
        <v>Bad</v>
      </c>
    </row>
    <row r="8217" spans="2:34" x14ac:dyDescent="0.2">
      <c r="B8217" s="2">
        <f ca="1"/>
        <v>4.1091189050350696E-2</v>
      </c>
      <c r="O8217" s="2">
        <f ca="1"/>
        <v>-1.4069681266554328</v>
      </c>
      <c r="X8217" s="2">
        <f ca="1"/>
        <v>33.277511722437026</v>
      </c>
      <c r="AG8217" s="2">
        <f ca="1"/>
        <v>0.51959397951789832</v>
      </c>
      <c r="AH8217" s="2" t="str">
        <f ca="1"/>
        <v>Bad</v>
      </c>
    </row>
    <row r="8218" spans="2:34" x14ac:dyDescent="0.2">
      <c r="B8218" s="2">
        <f ca="1"/>
        <v>0.62117501176343515</v>
      </c>
      <c r="O8218" s="2">
        <f ca="1"/>
        <v>-0.49123441694794501</v>
      </c>
      <c r="X8218" s="2">
        <f ca="1"/>
        <v>41.487852326846792</v>
      </c>
      <c r="AG8218" s="2">
        <f ca="1"/>
        <v>0.78477467183458804</v>
      </c>
      <c r="AH8218" s="2" t="str">
        <f ca="1"/>
        <v>Bad</v>
      </c>
    </row>
    <row r="8219" spans="2:34" x14ac:dyDescent="0.2">
      <c r="B8219" s="2">
        <f ca="1"/>
        <v>0.21818797062320816</v>
      </c>
      <c r="O8219" s="2">
        <f ca="1"/>
        <v>0.96295897602720248</v>
      </c>
      <c r="X8219" s="2">
        <f ca="1"/>
        <v>32.771157357050967</v>
      </c>
      <c r="AG8219" s="2">
        <f ca="1"/>
        <v>0.67420123927710462</v>
      </c>
      <c r="AH8219" s="2" t="str">
        <f ca="1"/>
        <v>Bad</v>
      </c>
    </row>
    <row r="8220" spans="2:34" x14ac:dyDescent="0.2">
      <c r="B8220" s="2">
        <f ca="1"/>
        <v>0.82386342938996782</v>
      </c>
      <c r="O8220" s="2">
        <f ca="1"/>
        <v>-6.1100871734459064E-2</v>
      </c>
      <c r="X8220" s="2">
        <f ca="1"/>
        <v>58.125249426494776</v>
      </c>
      <c r="AG8220" s="2">
        <f ca="1"/>
        <v>0.80893967017109736</v>
      </c>
      <c r="AH8220" s="2" t="str">
        <f ca="1"/>
        <v>Bad</v>
      </c>
    </row>
    <row r="8221" spans="2:34" x14ac:dyDescent="0.2">
      <c r="B8221" s="2">
        <f ca="1"/>
        <v>0.11095578696619568</v>
      </c>
      <c r="O8221" s="2">
        <f ca="1"/>
        <v>0.8868954265314174</v>
      </c>
      <c r="X8221" s="2">
        <f ca="1"/>
        <v>57.357119494220605</v>
      </c>
      <c r="AG8221" s="2">
        <f ca="1"/>
        <v>6.1131749528603674E-2</v>
      </c>
      <c r="AH8221" s="2" t="str">
        <f ca="1"/>
        <v>OK</v>
      </c>
    </row>
    <row r="8222" spans="2:34" x14ac:dyDescent="0.2">
      <c r="B8222" s="2">
        <f ca="1"/>
        <v>0.19233443766053804</v>
      </c>
      <c r="O8222" s="2">
        <f ca="1"/>
        <v>0.60882020191258557</v>
      </c>
      <c r="X8222" s="2">
        <f ca="1"/>
        <v>35.788425475272049</v>
      </c>
      <c r="AG8222" s="2">
        <f ca="1"/>
        <v>0.32621491623630461</v>
      </c>
      <c r="AH8222" s="2" t="str">
        <f ca="1"/>
        <v>OK</v>
      </c>
    </row>
    <row r="8223" spans="2:34" x14ac:dyDescent="0.2">
      <c r="B8223" s="2">
        <f ca="1"/>
        <v>0.97191634136662586</v>
      </c>
      <c r="O8223" s="2">
        <f ca="1"/>
        <v>-0.64827895972677974</v>
      </c>
      <c r="X8223" s="2">
        <f ca="1"/>
        <v>66.30826073569726</v>
      </c>
      <c r="AG8223" s="2">
        <f ca="1"/>
        <v>0.13653687466376896</v>
      </c>
      <c r="AH8223" s="2" t="str">
        <f ca="1"/>
        <v>OK</v>
      </c>
    </row>
    <row r="8224" spans="2:34" x14ac:dyDescent="0.2">
      <c r="B8224" s="2">
        <f ca="1"/>
        <v>0.94262441623814586</v>
      </c>
      <c r="O8224" s="2">
        <f ca="1"/>
        <v>0.4235462404527357</v>
      </c>
      <c r="X8224" s="2">
        <f ca="1"/>
        <v>30.570790184605244</v>
      </c>
      <c r="AG8224" s="2">
        <f ca="1"/>
        <v>0.55342042340579711</v>
      </c>
      <c r="AH8224" s="2" t="str">
        <f ca="1"/>
        <v>Bad</v>
      </c>
    </row>
    <row r="8225" spans="2:34" x14ac:dyDescent="0.2">
      <c r="B8225" s="2">
        <f ca="1"/>
        <v>0.59397717399770733</v>
      </c>
      <c r="O8225" s="2">
        <f ca="1"/>
        <v>-0.39884730295534837</v>
      </c>
      <c r="X8225" s="2">
        <f ca="1"/>
        <v>60.632042650476649</v>
      </c>
      <c r="AG8225" s="2">
        <f ca="1"/>
        <v>0.86026419908745977</v>
      </c>
      <c r="AH8225" s="2" t="str">
        <f ca="1"/>
        <v>Bad</v>
      </c>
    </row>
    <row r="8226" spans="2:34" x14ac:dyDescent="0.2">
      <c r="B8226" s="2">
        <f ca="1"/>
        <v>0.59726635553946883</v>
      </c>
      <c r="O8226" s="2">
        <f ca="1"/>
        <v>-0.71960780630031596</v>
      </c>
      <c r="X8226" s="2">
        <f ca="1"/>
        <v>45.111687789046293</v>
      </c>
      <c r="AG8226" s="2">
        <f ca="1"/>
        <v>0.16749689611421714</v>
      </c>
      <c r="AH8226" s="2" t="str">
        <f ca="1"/>
        <v>OK</v>
      </c>
    </row>
    <row r="8227" spans="2:34" x14ac:dyDescent="0.2">
      <c r="B8227" s="2">
        <f ca="1"/>
        <v>0.69904397574051669</v>
      </c>
      <c r="O8227" s="2">
        <f ca="1"/>
        <v>0.7129084013185446</v>
      </c>
      <c r="X8227" s="2">
        <f ca="1"/>
        <v>63.601151921525492</v>
      </c>
      <c r="AG8227" s="2">
        <f ca="1"/>
        <v>0.43538371863495406</v>
      </c>
      <c r="AH8227" s="2" t="str">
        <f ca="1"/>
        <v>Bad</v>
      </c>
    </row>
    <row r="8228" spans="2:34" x14ac:dyDescent="0.2">
      <c r="B8228" s="2">
        <f ca="1"/>
        <v>0.65654849591222453</v>
      </c>
      <c r="O8228" s="2">
        <f ca="1"/>
        <v>0.23922413277104704</v>
      </c>
      <c r="X8228" s="2">
        <f ca="1"/>
        <v>39.780549428872895</v>
      </c>
      <c r="AG8228" s="2">
        <f ca="1"/>
        <v>0.87866286907874391</v>
      </c>
      <c r="AH8228" s="2" t="str">
        <f ca="1"/>
        <v>Bad</v>
      </c>
    </row>
    <row r="8229" spans="2:34" x14ac:dyDescent="0.2">
      <c r="B8229" s="2">
        <f ca="1"/>
        <v>0.41828616859371071</v>
      </c>
      <c r="O8229" s="2">
        <f ca="1"/>
        <v>-0.60869346739173036</v>
      </c>
      <c r="X8229" s="2">
        <f ca="1"/>
        <v>41.478734500789599</v>
      </c>
      <c r="AG8229" s="2">
        <f ca="1"/>
        <v>0.48083842818414446</v>
      </c>
      <c r="AH8229" s="2" t="str">
        <f ca="1"/>
        <v>Bad</v>
      </c>
    </row>
    <row r="8230" spans="2:34" x14ac:dyDescent="0.2">
      <c r="B8230" s="2">
        <f ca="1"/>
        <v>0.80016558420490869</v>
      </c>
      <c r="O8230" s="2">
        <f ca="1"/>
        <v>0.39714855186073317</v>
      </c>
      <c r="X8230" s="2">
        <f ca="1"/>
        <v>60.413570563106347</v>
      </c>
      <c r="AG8230" s="2">
        <f ca="1"/>
        <v>0.92307798492633042</v>
      </c>
      <c r="AH8230" s="2" t="str">
        <f ca="1"/>
        <v>Bad</v>
      </c>
    </row>
    <row r="8231" spans="2:34" x14ac:dyDescent="0.2">
      <c r="B8231" s="2">
        <f ca="1"/>
        <v>0.26390920206376212</v>
      </c>
      <c r="O8231" s="2">
        <f ca="1"/>
        <v>1.4373960829333807</v>
      </c>
      <c r="X8231" s="2">
        <f ca="1"/>
        <v>80.09111555643203</v>
      </c>
      <c r="AG8231" s="2">
        <f ca="1"/>
        <v>0.30895177355408943</v>
      </c>
      <c r="AH8231" s="2" t="str">
        <f ca="1"/>
        <v>OK</v>
      </c>
    </row>
    <row r="8232" spans="2:34" x14ac:dyDescent="0.2">
      <c r="B8232" s="2">
        <f ca="1"/>
        <v>9.8960821361066431E-2</v>
      </c>
      <c r="O8232" s="2">
        <f ca="1"/>
        <v>0.30253113418974464</v>
      </c>
      <c r="X8232" s="2">
        <f ca="1"/>
        <v>84.240668821060623</v>
      </c>
      <c r="AG8232" s="2">
        <f ca="1"/>
        <v>0.90026772024364488</v>
      </c>
      <c r="AH8232" s="2" t="str">
        <f ca="1"/>
        <v>Bad</v>
      </c>
    </row>
    <row r="8233" spans="2:34" x14ac:dyDescent="0.2">
      <c r="B8233" s="2">
        <f ca="1"/>
        <v>0.10595126346677963</v>
      </c>
      <c r="O8233" s="2">
        <f ca="1"/>
        <v>-1.4537767651777866</v>
      </c>
      <c r="X8233" s="2">
        <f ca="1"/>
        <v>50.019586918825176</v>
      </c>
      <c r="AG8233" s="2">
        <f ca="1"/>
        <v>0.58685383334178653</v>
      </c>
      <c r="AH8233" s="2" t="str">
        <f ca="1"/>
        <v>Bad</v>
      </c>
    </row>
    <row r="8234" spans="2:34" x14ac:dyDescent="0.2">
      <c r="B8234" s="2">
        <f ca="1"/>
        <v>0.91300990447483343</v>
      </c>
      <c r="O8234" s="2">
        <f ca="1"/>
        <v>-1.6273250850844985</v>
      </c>
      <c r="X8234" s="2">
        <f ca="1"/>
        <v>120.35652729898599</v>
      </c>
      <c r="AG8234" s="2">
        <f ca="1"/>
        <v>0.17725963603559247</v>
      </c>
      <c r="AH8234" s="2" t="str">
        <f ca="1"/>
        <v>OK</v>
      </c>
    </row>
    <row r="8235" spans="2:34" x14ac:dyDescent="0.2">
      <c r="B8235" s="2">
        <f ca="1"/>
        <v>0.82758449145839985</v>
      </c>
      <c r="O8235" s="2">
        <f ca="1"/>
        <v>0.42402067614232219</v>
      </c>
      <c r="X8235" s="2">
        <f ca="1"/>
        <v>47.835722277754272</v>
      </c>
      <c r="AG8235" s="2">
        <f ca="1"/>
        <v>0.26908578655364734</v>
      </c>
      <c r="AH8235" s="2" t="str">
        <f ca="1"/>
        <v>OK</v>
      </c>
    </row>
    <row r="8236" spans="2:34" x14ac:dyDescent="0.2">
      <c r="B8236" s="2">
        <f ca="1"/>
        <v>0.90047389337016814</v>
      </c>
      <c r="O8236" s="2">
        <f ca="1"/>
        <v>0.62175648954943952</v>
      </c>
      <c r="X8236" s="2">
        <f ca="1"/>
        <v>47.403969771937099</v>
      </c>
      <c r="AG8236" s="2">
        <f ca="1"/>
        <v>0.31618469882149758</v>
      </c>
      <c r="AH8236" s="2" t="str">
        <f ca="1"/>
        <v>OK</v>
      </c>
    </row>
    <row r="8237" spans="2:34" x14ac:dyDescent="0.2">
      <c r="B8237" s="2">
        <f ca="1"/>
        <v>0.58270106786749754</v>
      </c>
      <c r="O8237" s="2">
        <f ca="1"/>
        <v>-0.34541105737700128</v>
      </c>
      <c r="X8237" s="2">
        <f ca="1"/>
        <v>38.919464251202228</v>
      </c>
      <c r="AG8237" s="2">
        <f ca="1"/>
        <v>0.10105753192627964</v>
      </c>
      <c r="AH8237" s="2" t="str">
        <f ca="1"/>
        <v>OK</v>
      </c>
    </row>
    <row r="8238" spans="2:34" x14ac:dyDescent="0.2">
      <c r="B8238" s="2">
        <f ca="1"/>
        <v>2.1153338510440545E-2</v>
      </c>
      <c r="O8238" s="2">
        <f ca="1"/>
        <v>0.64679982168332195</v>
      </c>
      <c r="X8238" s="2">
        <f ca="1"/>
        <v>62.365507674103704</v>
      </c>
      <c r="AG8238" s="2">
        <f ca="1"/>
        <v>0.98070250883542176</v>
      </c>
      <c r="AH8238" s="2" t="str">
        <f ca="1"/>
        <v>Bad</v>
      </c>
    </row>
    <row r="8239" spans="2:34" x14ac:dyDescent="0.2">
      <c r="B8239" s="2">
        <f ca="1"/>
        <v>0.80701952619371364</v>
      </c>
      <c r="O8239" s="2">
        <f ca="1"/>
        <v>0.89506929664628865</v>
      </c>
      <c r="X8239" s="2">
        <f ca="1"/>
        <v>34.522150918588075</v>
      </c>
      <c r="AG8239" s="2">
        <f ca="1"/>
        <v>0.35652140130089194</v>
      </c>
      <c r="AH8239" s="2" t="str">
        <f ca="1"/>
        <v>OK</v>
      </c>
    </row>
    <row r="8240" spans="2:34" x14ac:dyDescent="0.2">
      <c r="B8240" s="2">
        <f ca="1"/>
        <v>0.63603268171725591</v>
      </c>
      <c r="O8240" s="2">
        <f ca="1"/>
        <v>-1.2450204559367628E-2</v>
      </c>
      <c r="X8240" s="2">
        <f ca="1"/>
        <v>61.303750819363678</v>
      </c>
      <c r="AG8240" s="2">
        <f ca="1"/>
        <v>8.270602766589108E-2</v>
      </c>
      <c r="AH8240" s="2" t="str">
        <f ca="1"/>
        <v>OK</v>
      </c>
    </row>
    <row r="8241" spans="2:34" x14ac:dyDescent="0.2">
      <c r="B8241" s="2">
        <f ca="1"/>
        <v>0.27302747485153001</v>
      </c>
      <c r="O8241" s="2">
        <f ca="1"/>
        <v>0.79681367030266381</v>
      </c>
      <c r="X8241" s="2">
        <f ca="1"/>
        <v>23.86493249266077</v>
      </c>
      <c r="AG8241" s="2">
        <f ca="1"/>
        <v>0.11772816793189844</v>
      </c>
      <c r="AH8241" s="2" t="str">
        <f ca="1"/>
        <v>OK</v>
      </c>
    </row>
    <row r="8242" spans="2:34" x14ac:dyDescent="0.2">
      <c r="B8242" s="2">
        <f ca="1"/>
        <v>0.55292130959439634</v>
      </c>
      <c r="O8242" s="2">
        <f ca="1"/>
        <v>0.31110309007528986</v>
      </c>
      <c r="X8242" s="2">
        <f ca="1"/>
        <v>49.81119270096108</v>
      </c>
      <c r="AG8242" s="2">
        <f ca="1"/>
        <v>0.32500105105921051</v>
      </c>
      <c r="AH8242" s="2" t="str">
        <f ca="1"/>
        <v>OK</v>
      </c>
    </row>
    <row r="8243" spans="2:34" x14ac:dyDescent="0.2">
      <c r="B8243" s="2">
        <f ca="1"/>
        <v>0.76116081805652724</v>
      </c>
      <c r="O8243" s="2">
        <f ca="1"/>
        <v>0.32417949661170958</v>
      </c>
      <c r="X8243" s="2">
        <f ca="1"/>
        <v>49.269126760595832</v>
      </c>
      <c r="AG8243" s="2">
        <f ca="1"/>
        <v>0.48605240651123993</v>
      </c>
      <c r="AH8243" s="2" t="str">
        <f ca="1"/>
        <v>Bad</v>
      </c>
    </row>
    <row r="8244" spans="2:34" x14ac:dyDescent="0.2">
      <c r="B8244" s="2">
        <f ca="1"/>
        <v>0.68707413904004788</v>
      </c>
      <c r="O8244" s="2">
        <f ca="1"/>
        <v>2.1656673113358796E-2</v>
      </c>
      <c r="X8244" s="2">
        <f ca="1"/>
        <v>43.374152169779876</v>
      </c>
      <c r="AG8244" s="2">
        <f ca="1"/>
        <v>0.78793195589867282</v>
      </c>
      <c r="AH8244" s="2" t="str">
        <f ca="1"/>
        <v>Bad</v>
      </c>
    </row>
    <row r="8245" spans="2:34" x14ac:dyDescent="0.2">
      <c r="B8245" s="2">
        <f ca="1"/>
        <v>0.28935899225253969</v>
      </c>
      <c r="O8245" s="2">
        <f ca="1"/>
        <v>-0.5126393040509214</v>
      </c>
      <c r="X8245" s="2">
        <f ca="1"/>
        <v>49.65757204662539</v>
      </c>
      <c r="AG8245" s="2">
        <f ca="1"/>
        <v>0.46483905628469202</v>
      </c>
      <c r="AH8245" s="2" t="str">
        <f ca="1"/>
        <v>Bad</v>
      </c>
    </row>
    <row r="8246" spans="2:34" x14ac:dyDescent="0.2">
      <c r="B8246" s="2">
        <f ca="1"/>
        <v>0.49957333483067656</v>
      </c>
      <c r="O8246" s="2">
        <f ca="1"/>
        <v>0.48427834469479281</v>
      </c>
      <c r="X8246" s="2">
        <f ca="1"/>
        <v>68.527105081740686</v>
      </c>
      <c r="AG8246" s="2">
        <f ca="1"/>
        <v>0.64529833667533598</v>
      </c>
      <c r="AH8246" s="2" t="str">
        <f ca="1"/>
        <v>Bad</v>
      </c>
    </row>
    <row r="8247" spans="2:34" x14ac:dyDescent="0.2">
      <c r="B8247" s="2">
        <f ca="1"/>
        <v>0.91939243381780944</v>
      </c>
      <c r="O8247" s="2">
        <f ca="1"/>
        <v>1.4693383635921888</v>
      </c>
      <c r="X8247" s="2">
        <f ca="1"/>
        <v>15.111538561839819</v>
      </c>
      <c r="AG8247" s="2">
        <f ca="1"/>
        <v>0.4570251075630043</v>
      </c>
      <c r="AH8247" s="2" t="str">
        <f ca="1"/>
        <v>Bad</v>
      </c>
    </row>
    <row r="8248" spans="2:34" x14ac:dyDescent="0.2">
      <c r="B8248" s="2">
        <f ca="1"/>
        <v>0.92344213183336943</v>
      </c>
      <c r="O8248" s="2">
        <f ca="1"/>
        <v>-0.19763264702826974</v>
      </c>
      <c r="X8248" s="2">
        <f ca="1"/>
        <v>62.451812767201382</v>
      </c>
      <c r="AG8248" s="2">
        <f ca="1"/>
        <v>0.25994476290270185</v>
      </c>
      <c r="AH8248" s="2" t="str">
        <f ca="1"/>
        <v>OK</v>
      </c>
    </row>
    <row r="8249" spans="2:34" x14ac:dyDescent="0.2">
      <c r="B8249" s="2">
        <f ca="1"/>
        <v>0.76938086090513824</v>
      </c>
      <c r="O8249" s="2">
        <f ca="1"/>
        <v>0.31450530253295428</v>
      </c>
      <c r="X8249" s="2">
        <f ca="1"/>
        <v>38.281194546606635</v>
      </c>
      <c r="AG8249" s="2">
        <f ca="1"/>
        <v>1.4981737136770645E-2</v>
      </c>
      <c r="AH8249" s="2" t="str">
        <f ca="1"/>
        <v>Good</v>
      </c>
    </row>
    <row r="8250" spans="2:34" x14ac:dyDescent="0.2">
      <c r="B8250" s="2">
        <f ca="1"/>
        <v>5.2895279632680925E-3</v>
      </c>
      <c r="O8250" s="2">
        <f ca="1"/>
        <v>-0.77471704092735028</v>
      </c>
      <c r="X8250" s="2">
        <f ca="1"/>
        <v>70.618297702140765</v>
      </c>
      <c r="AG8250" s="2">
        <f ca="1"/>
        <v>0.46697811430499248</v>
      </c>
      <c r="AH8250" s="2" t="str">
        <f ca="1"/>
        <v>Bad</v>
      </c>
    </row>
    <row r="8251" spans="2:34" x14ac:dyDescent="0.2">
      <c r="B8251" s="2">
        <f ca="1"/>
        <v>0.48366007785868459</v>
      </c>
      <c r="O8251" s="2">
        <f ca="1"/>
        <v>-1.035433429312939</v>
      </c>
      <c r="X8251" s="2">
        <f ca="1"/>
        <v>27.097454114805025</v>
      </c>
      <c r="AG8251" s="2">
        <f ca="1"/>
        <v>0.96582323815732596</v>
      </c>
      <c r="AH8251" s="2" t="str">
        <f ca="1"/>
        <v>Bad</v>
      </c>
    </row>
    <row r="8252" spans="2:34" x14ac:dyDescent="0.2">
      <c r="B8252" s="2">
        <f ca="1"/>
        <v>0.59514907751998769</v>
      </c>
      <c r="O8252" s="2">
        <f ca="1"/>
        <v>-0.27735289927052192</v>
      </c>
      <c r="X8252" s="2">
        <f ca="1"/>
        <v>36.170100467382937</v>
      </c>
      <c r="AG8252" s="2">
        <f ca="1"/>
        <v>0.95642816918050522</v>
      </c>
      <c r="AH8252" s="2" t="str">
        <f ca="1"/>
        <v>Bad</v>
      </c>
    </row>
    <row r="8253" spans="2:34" x14ac:dyDescent="0.2">
      <c r="B8253" s="2">
        <f ca="1"/>
        <v>0.95841621126199561</v>
      </c>
      <c r="O8253" s="2">
        <f ca="1"/>
        <v>0.29092931407467287</v>
      </c>
      <c r="X8253" s="2">
        <f ca="1"/>
        <v>38.587228127526302</v>
      </c>
      <c r="AG8253" s="2">
        <f ca="1"/>
        <v>0.33318631452332292</v>
      </c>
      <c r="AH8253" s="2" t="str">
        <f ca="1"/>
        <v>OK</v>
      </c>
    </row>
    <row r="8254" spans="2:34" x14ac:dyDescent="0.2">
      <c r="B8254" s="2">
        <f ca="1"/>
        <v>0.61154533087135854</v>
      </c>
      <c r="O8254" s="2">
        <f ca="1"/>
        <v>0.28761432847615381</v>
      </c>
      <c r="X8254" s="2">
        <f ca="1"/>
        <v>41.560610864679965</v>
      </c>
      <c r="AG8254" s="2">
        <f ca="1"/>
        <v>0.44705866210292911</v>
      </c>
      <c r="AH8254" s="2" t="str">
        <f ca="1"/>
        <v>Bad</v>
      </c>
    </row>
    <row r="8255" spans="2:34" x14ac:dyDescent="0.2">
      <c r="B8255" s="2">
        <f ca="1"/>
        <v>0.28408362466212789</v>
      </c>
      <c r="O8255" s="2">
        <f ca="1"/>
        <v>-0.65963236780396783</v>
      </c>
      <c r="X8255" s="2">
        <f ca="1"/>
        <v>46.646293897706016</v>
      </c>
      <c r="AG8255" s="2">
        <f ca="1"/>
        <v>0.46170946423519665</v>
      </c>
      <c r="AH8255" s="2" t="str">
        <f ca="1"/>
        <v>Bad</v>
      </c>
    </row>
    <row r="8256" spans="2:34" x14ac:dyDescent="0.2">
      <c r="B8256" s="2">
        <f ca="1"/>
        <v>0.69020041950752198</v>
      </c>
      <c r="O8256" s="2">
        <f ca="1"/>
        <v>-1.4282129616113128</v>
      </c>
      <c r="X8256" s="2">
        <f ca="1"/>
        <v>49.635862406843458</v>
      </c>
      <c r="AG8256" s="2">
        <f ca="1"/>
        <v>0.44239573160444134</v>
      </c>
      <c r="AH8256" s="2" t="str">
        <f ca="1"/>
        <v>Bad</v>
      </c>
    </row>
    <row r="8257" spans="2:34" x14ac:dyDescent="0.2">
      <c r="B8257" s="2">
        <f ca="1"/>
        <v>0.25098567104225866</v>
      </c>
      <c r="O8257" s="2">
        <f ca="1"/>
        <v>1.8869743583450462</v>
      </c>
      <c r="X8257" s="2">
        <f ca="1"/>
        <v>82.088121810653817</v>
      </c>
      <c r="AG8257" s="2">
        <f ca="1"/>
        <v>0.87697710803888573</v>
      </c>
      <c r="AH8257" s="2" t="str">
        <f ca="1"/>
        <v>Bad</v>
      </c>
    </row>
    <row r="8258" spans="2:34" x14ac:dyDescent="0.2">
      <c r="B8258" s="2">
        <f ca="1"/>
        <v>0.98588258202212864</v>
      </c>
      <c r="O8258" s="2">
        <f ca="1"/>
        <v>0.17714969720352169</v>
      </c>
      <c r="X8258" s="2">
        <f ca="1"/>
        <v>68.234873876683324</v>
      </c>
      <c r="AG8258" s="2">
        <f ca="1"/>
        <v>9.5984210336867326E-2</v>
      </c>
      <c r="AH8258" s="2" t="str">
        <f ca="1"/>
        <v>OK</v>
      </c>
    </row>
    <row r="8259" spans="2:34" x14ac:dyDescent="0.2">
      <c r="B8259" s="2">
        <f ca="1"/>
        <v>0.25267098546001554</v>
      </c>
      <c r="O8259" s="2">
        <f ca="1"/>
        <v>-0.88259164094457876</v>
      </c>
      <c r="X8259" s="2">
        <f ca="1"/>
        <v>77.286173493508556</v>
      </c>
      <c r="AG8259" s="2">
        <f ca="1"/>
        <v>0.21232116101628939</v>
      </c>
      <c r="AH8259" s="2" t="str">
        <f ca="1"/>
        <v>OK</v>
      </c>
    </row>
    <row r="8260" spans="2:34" x14ac:dyDescent="0.2">
      <c r="B8260" s="2">
        <f ca="1"/>
        <v>0.63244936620142922</v>
      </c>
      <c r="O8260" s="2">
        <f ca="1"/>
        <v>1.426882147544638</v>
      </c>
      <c r="X8260" s="2">
        <f ca="1"/>
        <v>24.016620538744029</v>
      </c>
      <c r="AG8260" s="2">
        <f ca="1"/>
        <v>9.2368819354327281E-2</v>
      </c>
      <c r="AH8260" s="2" t="str">
        <f ca="1"/>
        <v>OK</v>
      </c>
    </row>
    <row r="8261" spans="2:34" x14ac:dyDescent="0.2">
      <c r="B8261" s="2">
        <f ca="1"/>
        <v>6.644096248269693E-2</v>
      </c>
      <c r="O8261" s="2">
        <f ca="1"/>
        <v>0.34712744041101112</v>
      </c>
      <c r="X8261" s="2">
        <f ca="1"/>
        <v>54.25102905596134</v>
      </c>
      <c r="AG8261" s="2">
        <f ca="1"/>
        <v>0.37383805624803212</v>
      </c>
      <c r="AH8261" s="2" t="str">
        <f ca="1"/>
        <v>OK</v>
      </c>
    </row>
    <row r="8262" spans="2:34" x14ac:dyDescent="0.2">
      <c r="B8262" s="2">
        <f ca="1"/>
        <v>0.25711528136913353</v>
      </c>
      <c r="O8262" s="2">
        <f ca="1"/>
        <v>-0.19733647323861403</v>
      </c>
      <c r="X8262" s="2">
        <f ca="1"/>
        <v>45.380202451354222</v>
      </c>
      <c r="AG8262" s="2">
        <f ca="1"/>
        <v>0.2634828542331864</v>
      </c>
      <c r="AH8262" s="2" t="str">
        <f ca="1"/>
        <v>OK</v>
      </c>
    </row>
    <row r="8263" spans="2:34" x14ac:dyDescent="0.2">
      <c r="B8263" s="2">
        <f ca="1"/>
        <v>1.9244598490091525E-2</v>
      </c>
      <c r="O8263" s="2">
        <f ca="1"/>
        <v>0.2719314888801137</v>
      </c>
      <c r="X8263" s="2">
        <f ca="1"/>
        <v>70.114656746132425</v>
      </c>
      <c r="AG8263" s="2">
        <f ca="1"/>
        <v>0.70781145910657051</v>
      </c>
      <c r="AH8263" s="2" t="str">
        <f ca="1"/>
        <v>Bad</v>
      </c>
    </row>
    <row r="8264" spans="2:34" x14ac:dyDescent="0.2">
      <c r="B8264" s="2">
        <f ca="1"/>
        <v>0.20866813688091024</v>
      </c>
      <c r="O8264" s="2">
        <f ca="1"/>
        <v>-0.83623579770690937</v>
      </c>
      <c r="X8264" s="2">
        <f ca="1"/>
        <v>21.381476224667672</v>
      </c>
      <c r="AG8264" s="2">
        <f ca="1"/>
        <v>7.7846037537569801E-2</v>
      </c>
      <c r="AH8264" s="2" t="str">
        <f ca="1"/>
        <v>OK</v>
      </c>
    </row>
    <row r="8265" spans="2:34" x14ac:dyDescent="0.2">
      <c r="B8265" s="2">
        <f ca="1"/>
        <v>0.67156268626850668</v>
      </c>
      <c r="O8265" s="2">
        <f ca="1"/>
        <v>0.67073644137242538</v>
      </c>
      <c r="X8265" s="2">
        <f ca="1"/>
        <v>49.413784740077055</v>
      </c>
      <c r="AG8265" s="2">
        <f ca="1"/>
        <v>0.3278892625290184</v>
      </c>
      <c r="AH8265" s="2" t="str">
        <f ca="1"/>
        <v>OK</v>
      </c>
    </row>
    <row r="8266" spans="2:34" x14ac:dyDescent="0.2">
      <c r="B8266" s="2">
        <f ca="1"/>
        <v>6.7688635181783585E-2</v>
      </c>
      <c r="O8266" s="2">
        <f ca="1"/>
        <v>0.41331015995904291</v>
      </c>
      <c r="X8266" s="2">
        <f ca="1"/>
        <v>71.960136506871478</v>
      </c>
      <c r="AG8266" s="2">
        <f ca="1"/>
        <v>0.12859869517684253</v>
      </c>
      <c r="AH8266" s="2" t="str">
        <f ca="1"/>
        <v>OK</v>
      </c>
    </row>
    <row r="8267" spans="2:34" x14ac:dyDescent="0.2">
      <c r="B8267" s="2">
        <f ca="1"/>
        <v>0.41345753104571181</v>
      </c>
      <c r="O8267" s="2">
        <f ca="1"/>
        <v>-0.99280248255762338</v>
      </c>
      <c r="X8267" s="2">
        <f ca="1"/>
        <v>32.537376043201014</v>
      </c>
      <c r="AG8267" s="2">
        <f ca="1"/>
        <v>0.73156715309995701</v>
      </c>
      <c r="AH8267" s="2" t="str">
        <f ca="1"/>
        <v>Bad</v>
      </c>
    </row>
    <row r="8268" spans="2:34" x14ac:dyDescent="0.2">
      <c r="B8268" s="2">
        <f ca="1"/>
        <v>0.84707743340933361</v>
      </c>
      <c r="O8268" s="2">
        <f ca="1"/>
        <v>-8.643424276323465E-2</v>
      </c>
      <c r="X8268" s="2">
        <f ca="1"/>
        <v>20.647209214515119</v>
      </c>
      <c r="AG8268" s="2">
        <f ca="1"/>
        <v>0.99831583514133948</v>
      </c>
      <c r="AH8268" s="2" t="str">
        <f ca="1"/>
        <v>Bad</v>
      </c>
    </row>
    <row r="8269" spans="2:34" x14ac:dyDescent="0.2">
      <c r="B8269" s="2">
        <f ca="1"/>
        <v>0.25052198553153682</v>
      </c>
      <c r="O8269" s="2">
        <f ca="1"/>
        <v>-1.4916738806905632</v>
      </c>
      <c r="X8269" s="2">
        <f ca="1"/>
        <v>49.522767080813132</v>
      </c>
      <c r="AG8269" s="2">
        <f ca="1"/>
        <v>0.11093505234720058</v>
      </c>
      <c r="AH8269" s="2" t="str">
        <f ca="1"/>
        <v>OK</v>
      </c>
    </row>
    <row r="8270" spans="2:34" x14ac:dyDescent="0.2">
      <c r="B8270" s="2">
        <f ca="1"/>
        <v>0.99884164489517491</v>
      </c>
      <c r="O8270" s="2">
        <f ca="1"/>
        <v>0.57089172230367047</v>
      </c>
      <c r="X8270" s="2">
        <f ca="1"/>
        <v>44.13804925130993</v>
      </c>
      <c r="AG8270" s="2">
        <f ca="1"/>
        <v>3.1403237565694742E-2</v>
      </c>
      <c r="AH8270" s="2" t="str">
        <f ca="1"/>
        <v>Good</v>
      </c>
    </row>
    <row r="8271" spans="2:34" x14ac:dyDescent="0.2">
      <c r="B8271" s="2">
        <f ca="1"/>
        <v>6.4864885302559738E-2</v>
      </c>
      <c r="O8271" s="2">
        <f ca="1"/>
        <v>1.0877828166223713</v>
      </c>
      <c r="X8271" s="2">
        <f ca="1"/>
        <v>64.402809977091437</v>
      </c>
      <c r="AG8271" s="2">
        <f ca="1"/>
        <v>0.4004545990790116</v>
      </c>
      <c r="AH8271" s="2" t="str">
        <f ca="1"/>
        <v>Bad</v>
      </c>
    </row>
    <row r="8272" spans="2:34" x14ac:dyDescent="0.2">
      <c r="B8272" s="2">
        <f ca="1"/>
        <v>4.8297551081573742E-2</v>
      </c>
      <c r="O8272" s="2">
        <f ca="1"/>
        <v>0.86759883142257299</v>
      </c>
      <c r="X8272" s="2">
        <f ca="1"/>
        <v>58.749208867937867</v>
      </c>
      <c r="AG8272" s="2">
        <f ca="1"/>
        <v>0.77893796974007135</v>
      </c>
      <c r="AH8272" s="2" t="str">
        <f ca="1"/>
        <v>Bad</v>
      </c>
    </row>
    <row r="8273" spans="2:34" x14ac:dyDescent="0.2">
      <c r="B8273" s="2">
        <f ca="1"/>
        <v>0.43718606783541447</v>
      </c>
      <c r="O8273" s="2">
        <f ca="1"/>
        <v>-0.57959451479308677</v>
      </c>
      <c r="X8273" s="2">
        <f ca="1"/>
        <v>41.177841471445973</v>
      </c>
      <c r="AG8273" s="2">
        <f ca="1"/>
        <v>0.36952052633886145</v>
      </c>
      <c r="AH8273" s="2" t="str">
        <f ca="1"/>
        <v>OK</v>
      </c>
    </row>
    <row r="8274" spans="2:34" x14ac:dyDescent="0.2">
      <c r="B8274" s="2">
        <f ca="1"/>
        <v>4.2239847411865927E-2</v>
      </c>
      <c r="O8274" s="2">
        <f ca="1"/>
        <v>-1.8398004872049896</v>
      </c>
      <c r="X8274" s="2">
        <f ca="1"/>
        <v>63.697342652896261</v>
      </c>
      <c r="AG8274" s="2">
        <f ca="1"/>
        <v>0.21014366088708636</v>
      </c>
      <c r="AH8274" s="2" t="str">
        <f ca="1"/>
        <v>OK</v>
      </c>
    </row>
    <row r="8275" spans="2:34" x14ac:dyDescent="0.2">
      <c r="B8275" s="2">
        <f ca="1"/>
        <v>0.36207540095267809</v>
      </c>
      <c r="O8275" s="2">
        <f ca="1"/>
        <v>1.1976692729873932</v>
      </c>
      <c r="X8275" s="2">
        <f ca="1"/>
        <v>42.658324999574418</v>
      </c>
      <c r="AG8275" s="2">
        <f ca="1"/>
        <v>0.70001049805529592</v>
      </c>
      <c r="AH8275" s="2" t="str">
        <f ca="1"/>
        <v>Bad</v>
      </c>
    </row>
    <row r="8276" spans="2:34" x14ac:dyDescent="0.2">
      <c r="B8276" s="2">
        <f ca="1"/>
        <v>0.99156704488164715</v>
      </c>
      <c r="O8276" s="2">
        <f ca="1"/>
        <v>0.17999925953229673</v>
      </c>
      <c r="X8276" s="2">
        <f ca="1"/>
        <v>70.598985221928785</v>
      </c>
      <c r="AG8276" s="2">
        <f ca="1"/>
        <v>0.14052839559054586</v>
      </c>
      <c r="AH8276" s="2" t="str">
        <f ca="1"/>
        <v>OK</v>
      </c>
    </row>
    <row r="8277" spans="2:34" x14ac:dyDescent="0.2">
      <c r="B8277" s="2">
        <f ca="1"/>
        <v>0.29723332326092922</v>
      </c>
      <c r="O8277" s="2">
        <f ca="1"/>
        <v>0.46049921820092399</v>
      </c>
      <c r="X8277" s="2">
        <f ca="1"/>
        <v>60.741894603453403</v>
      </c>
      <c r="AG8277" s="2">
        <f ca="1"/>
        <v>0.63923605942388217</v>
      </c>
      <c r="AH8277" s="2" t="str">
        <f ca="1"/>
        <v>Bad</v>
      </c>
    </row>
    <row r="8278" spans="2:34" x14ac:dyDescent="0.2">
      <c r="B8278" s="2">
        <f ca="1"/>
        <v>0.12830221568638756</v>
      </c>
      <c r="O8278" s="2">
        <f ca="1"/>
        <v>-0.25107042529646689</v>
      </c>
      <c r="X8278" s="2">
        <f ca="1"/>
        <v>44.350879572716735</v>
      </c>
      <c r="AG8278" s="2">
        <f ca="1"/>
        <v>0.85307461773107796</v>
      </c>
      <c r="AH8278" s="2" t="str">
        <f ca="1"/>
        <v>Bad</v>
      </c>
    </row>
    <row r="8279" spans="2:34" x14ac:dyDescent="0.2">
      <c r="B8279" s="2">
        <f ca="1"/>
        <v>0.74610471721914173</v>
      </c>
      <c r="O8279" s="2">
        <f ca="1"/>
        <v>1.8169045752561029E-2</v>
      </c>
      <c r="X8279" s="2">
        <f ca="1"/>
        <v>28.907095043473202</v>
      </c>
      <c r="AG8279" s="2">
        <f ca="1"/>
        <v>0.58360328033323583</v>
      </c>
      <c r="AH8279" s="2" t="str">
        <f ca="1"/>
        <v>Bad</v>
      </c>
    </row>
    <row r="8280" spans="2:34" x14ac:dyDescent="0.2">
      <c r="B8280" s="2">
        <f ca="1"/>
        <v>3.5923346022368463E-2</v>
      </c>
      <c r="O8280" s="2">
        <f ca="1"/>
        <v>-0.50380909096965421</v>
      </c>
      <c r="X8280" s="2">
        <f ca="1"/>
        <v>49.318834260580154</v>
      </c>
      <c r="AG8280" s="2">
        <f ca="1"/>
        <v>0.41319453613116441</v>
      </c>
      <c r="AH8280" s="2" t="str">
        <f ca="1"/>
        <v>Bad</v>
      </c>
    </row>
    <row r="8281" spans="2:34" x14ac:dyDescent="0.2">
      <c r="B8281" s="2">
        <f ca="1"/>
        <v>0.40947969499574932</v>
      </c>
      <c r="O8281" s="2">
        <f ca="1"/>
        <v>-0.10095272164440003</v>
      </c>
      <c r="X8281" s="2">
        <f ca="1"/>
        <v>75.117811967130251</v>
      </c>
      <c r="AG8281" s="2">
        <f ca="1"/>
        <v>0.59062158179440716</v>
      </c>
      <c r="AH8281" s="2" t="str">
        <f ca="1"/>
        <v>Bad</v>
      </c>
    </row>
    <row r="8282" spans="2:34" x14ac:dyDescent="0.2">
      <c r="B8282" s="2">
        <f ca="1"/>
        <v>0.3061833198598185</v>
      </c>
      <c r="O8282" s="2">
        <f ca="1"/>
        <v>0.26071651647388144</v>
      </c>
      <c r="X8282" s="2">
        <f ca="1"/>
        <v>49.439226022689198</v>
      </c>
      <c r="AG8282" s="2">
        <f ca="1"/>
        <v>0.75985494225869288</v>
      </c>
      <c r="AH8282" s="2" t="str">
        <f ca="1"/>
        <v>Bad</v>
      </c>
    </row>
    <row r="8283" spans="2:34" x14ac:dyDescent="0.2">
      <c r="B8283" s="2">
        <f ca="1"/>
        <v>0.39969719854819075</v>
      </c>
      <c r="O8283" s="2">
        <f ca="1"/>
        <v>-1.1756117115099767</v>
      </c>
      <c r="X8283" s="2">
        <f ca="1"/>
        <v>41.908170480200283</v>
      </c>
      <c r="AG8283" s="2">
        <f ca="1"/>
        <v>9.6703512002960235E-3</v>
      </c>
      <c r="AH8283" s="2" t="str">
        <f ca="1"/>
        <v>Good</v>
      </c>
    </row>
    <row r="8284" spans="2:34" x14ac:dyDescent="0.2">
      <c r="B8284" s="2">
        <f ca="1"/>
        <v>0.55250189278527317</v>
      </c>
      <c r="O8284" s="2">
        <f ca="1"/>
        <v>-1.6089329618325539</v>
      </c>
      <c r="X8284" s="2">
        <f ca="1"/>
        <v>54.837667921638825</v>
      </c>
      <c r="AG8284" s="2">
        <f ca="1"/>
        <v>0.8653167583787198</v>
      </c>
      <c r="AH8284" s="2" t="str">
        <f ca="1"/>
        <v>Bad</v>
      </c>
    </row>
    <row r="8285" spans="2:34" x14ac:dyDescent="0.2">
      <c r="B8285" s="2">
        <f ca="1"/>
        <v>0.33551238202294908</v>
      </c>
      <c r="O8285" s="2">
        <f ca="1"/>
        <v>-9.7135924295124576E-2</v>
      </c>
      <c r="X8285" s="2">
        <f ca="1"/>
        <v>91.903706963523192</v>
      </c>
      <c r="AG8285" s="2">
        <f ca="1"/>
        <v>0.92621608567574887</v>
      </c>
      <c r="AH8285" s="2" t="str">
        <f ca="1"/>
        <v>Bad</v>
      </c>
    </row>
    <row r="8286" spans="2:34" x14ac:dyDescent="0.2">
      <c r="B8286" s="2">
        <f ca="1"/>
        <v>0.9024864207552461</v>
      </c>
      <c r="O8286" s="2">
        <f ca="1"/>
        <v>0.69288433898882973</v>
      </c>
      <c r="X8286" s="2">
        <f ca="1"/>
        <v>50.15905425802935</v>
      </c>
      <c r="AG8286" s="2">
        <f ca="1"/>
        <v>0.66782708474370045</v>
      </c>
      <c r="AH8286" s="2" t="str">
        <f ca="1"/>
        <v>Bad</v>
      </c>
    </row>
    <row r="8287" spans="2:34" x14ac:dyDescent="0.2">
      <c r="B8287" s="2">
        <f ca="1"/>
        <v>0.786328395823368</v>
      </c>
      <c r="O8287" s="2">
        <f ca="1"/>
        <v>-2.2758627591730213E-2</v>
      </c>
      <c r="X8287" s="2">
        <f ca="1"/>
        <v>24.000769757227761</v>
      </c>
      <c r="AG8287" s="2">
        <f ca="1"/>
        <v>0.53269252066345429</v>
      </c>
      <c r="AH8287" s="2" t="str">
        <f ca="1"/>
        <v>Bad</v>
      </c>
    </row>
    <row r="8288" spans="2:34" x14ac:dyDescent="0.2">
      <c r="B8288" s="2">
        <f ca="1"/>
        <v>0.36612855970201674</v>
      </c>
      <c r="O8288" s="2">
        <f ca="1"/>
        <v>9.7174734348321953E-2</v>
      </c>
      <c r="X8288" s="2">
        <f ca="1"/>
        <v>58.345848935695543</v>
      </c>
      <c r="AG8288" s="2">
        <f ca="1"/>
        <v>0.34671346893874921</v>
      </c>
      <c r="AH8288" s="2" t="str">
        <f ca="1"/>
        <v>OK</v>
      </c>
    </row>
    <row r="8289" spans="2:34" x14ac:dyDescent="0.2">
      <c r="B8289" s="2">
        <f ca="1"/>
        <v>0.59781991656182698</v>
      </c>
      <c r="O8289" s="2">
        <f ca="1"/>
        <v>-0.1287510192746501</v>
      </c>
      <c r="X8289" s="2">
        <f ca="1"/>
        <v>37.900998019697226</v>
      </c>
      <c r="AG8289" s="2">
        <f ca="1"/>
        <v>0.55036779631749067</v>
      </c>
      <c r="AH8289" s="2" t="str">
        <f ca="1"/>
        <v>Bad</v>
      </c>
    </row>
    <row r="8290" spans="2:34" x14ac:dyDescent="0.2">
      <c r="B8290" s="2">
        <f ca="1"/>
        <v>0.47644719275977154</v>
      </c>
      <c r="O8290" s="2">
        <f ca="1"/>
        <v>0.24135314325508114</v>
      </c>
      <c r="X8290" s="2">
        <f ca="1"/>
        <v>48.564568262323895</v>
      </c>
      <c r="AG8290" s="2">
        <f ca="1"/>
        <v>0.10782428125898069</v>
      </c>
      <c r="AH8290" s="2" t="str">
        <f ca="1"/>
        <v>OK</v>
      </c>
    </row>
    <row r="8291" spans="2:34" x14ac:dyDescent="0.2">
      <c r="B8291" s="2">
        <f ca="1"/>
        <v>0.2149402802349869</v>
      </c>
      <c r="O8291" s="2">
        <f ca="1"/>
        <v>-1.0780287355355593</v>
      </c>
      <c r="X8291" s="2">
        <f ca="1"/>
        <v>59.726664780537305</v>
      </c>
      <c r="AG8291" s="2">
        <f ca="1"/>
        <v>0.52694725794689257</v>
      </c>
      <c r="AH8291" s="2" t="str">
        <f ca="1"/>
        <v>Bad</v>
      </c>
    </row>
    <row r="8292" spans="2:34" x14ac:dyDescent="0.2">
      <c r="B8292" s="2">
        <f ca="1"/>
        <v>0.6546730647209198</v>
      </c>
      <c r="O8292" s="2">
        <f ca="1"/>
        <v>-0.3758365429756606</v>
      </c>
      <c r="X8292" s="2">
        <f ca="1"/>
        <v>60.942734927842245</v>
      </c>
      <c r="AG8292" s="2">
        <f ca="1"/>
        <v>0.74836675549098208</v>
      </c>
      <c r="AH8292" s="2" t="str">
        <f ca="1"/>
        <v>Bad</v>
      </c>
    </row>
    <row r="8293" spans="2:34" x14ac:dyDescent="0.2">
      <c r="B8293" s="2">
        <f ca="1"/>
        <v>0.70801618770155494</v>
      </c>
      <c r="O8293" s="2">
        <f ca="1"/>
        <v>-0.10405313520243455</v>
      </c>
      <c r="X8293" s="2">
        <f ca="1"/>
        <v>42.669296154475944</v>
      </c>
      <c r="AG8293" s="2">
        <f ca="1"/>
        <v>0.68844426129070002</v>
      </c>
      <c r="AH8293" s="2" t="str">
        <f ca="1"/>
        <v>Bad</v>
      </c>
    </row>
    <row r="8294" spans="2:34" x14ac:dyDescent="0.2">
      <c r="B8294" s="2">
        <f ca="1"/>
        <v>0.62180267470860229</v>
      </c>
      <c r="O8294" s="2">
        <f ca="1"/>
        <v>-1.2387462006322669</v>
      </c>
      <c r="X8294" s="2">
        <f ca="1"/>
        <v>37.976653990539276</v>
      </c>
      <c r="AG8294" s="2">
        <f ca="1"/>
        <v>0.57807822206457482</v>
      </c>
      <c r="AH8294" s="2" t="str">
        <f ca="1"/>
        <v>Bad</v>
      </c>
    </row>
    <row r="8295" spans="2:34" x14ac:dyDescent="0.2">
      <c r="B8295" s="2">
        <f ca="1"/>
        <v>0.52309574273573323</v>
      </c>
      <c r="O8295" s="2">
        <f ca="1"/>
        <v>0.96829057744522473</v>
      </c>
      <c r="X8295" s="2">
        <f ca="1"/>
        <v>51.027617475235125</v>
      </c>
      <c r="AG8295" s="2">
        <f ca="1"/>
        <v>0.97674819943358515</v>
      </c>
      <c r="AH8295" s="2" t="str">
        <f ca="1"/>
        <v>Bad</v>
      </c>
    </row>
    <row r="8296" spans="2:34" x14ac:dyDescent="0.2">
      <c r="B8296" s="2">
        <f ca="1"/>
        <v>0.67260699420621251</v>
      </c>
      <c r="O8296" s="2">
        <f ca="1"/>
        <v>1.5963259045781339</v>
      </c>
      <c r="X8296" s="2">
        <f ca="1"/>
        <v>43.393496989584577</v>
      </c>
      <c r="AG8296" s="2">
        <f ca="1"/>
        <v>0.97668195261676294</v>
      </c>
      <c r="AH8296" s="2" t="str">
        <f ca="1"/>
        <v>Bad</v>
      </c>
    </row>
    <row r="8297" spans="2:34" x14ac:dyDescent="0.2">
      <c r="B8297" s="2">
        <f ca="1"/>
        <v>0.97362171356499494</v>
      </c>
      <c r="O8297" s="2">
        <f ca="1"/>
        <v>-4.0787567933715359E-2</v>
      </c>
      <c r="X8297" s="2">
        <f ca="1"/>
        <v>39.186894362009291</v>
      </c>
      <c r="AG8297" s="2">
        <f ca="1"/>
        <v>0.47828884923341919</v>
      </c>
      <c r="AH8297" s="2" t="str">
        <f ca="1"/>
        <v>Bad</v>
      </c>
    </row>
    <row r="8298" spans="2:34" x14ac:dyDescent="0.2">
      <c r="B8298" s="2">
        <f ca="1"/>
        <v>0.73562441381738686</v>
      </c>
      <c r="O8298" s="2">
        <f ca="1"/>
        <v>-2.0967089939044019</v>
      </c>
      <c r="X8298" s="2">
        <f ca="1"/>
        <v>59.343158545453498</v>
      </c>
      <c r="AG8298" s="2">
        <f ca="1"/>
        <v>0.59783961464336133</v>
      </c>
      <c r="AH8298" s="2" t="str">
        <f ca="1"/>
        <v>Bad</v>
      </c>
    </row>
    <row r="8299" spans="2:34" x14ac:dyDescent="0.2">
      <c r="B8299" s="2">
        <f ca="1"/>
        <v>0.56532490288615223</v>
      </c>
      <c r="O8299" s="2">
        <f ca="1"/>
        <v>1.3953553728558146</v>
      </c>
      <c r="X8299" s="2">
        <f ca="1"/>
        <v>54.005729066665793</v>
      </c>
      <c r="AG8299" s="2">
        <f ca="1"/>
        <v>0.56010678771563005</v>
      </c>
      <c r="AH8299" s="2" t="str">
        <f ca="1"/>
        <v>Bad</v>
      </c>
    </row>
    <row r="8300" spans="2:34" x14ac:dyDescent="0.2">
      <c r="B8300" s="2">
        <f ca="1"/>
        <v>0.24822698855104108</v>
      </c>
      <c r="O8300" s="2">
        <f ca="1"/>
        <v>-1.0426025345142949</v>
      </c>
      <c r="X8300" s="2">
        <f ca="1"/>
        <v>59.053327703511101</v>
      </c>
      <c r="AG8300" s="2">
        <f ca="1"/>
        <v>0.38922066141049716</v>
      </c>
      <c r="AH8300" s="2" t="str">
        <f ca="1"/>
        <v>OK</v>
      </c>
    </row>
    <row r="8301" spans="2:34" x14ac:dyDescent="0.2">
      <c r="B8301" s="2">
        <f ca="1"/>
        <v>0.50249696470376715</v>
      </c>
      <c r="O8301" s="2">
        <f ca="1"/>
        <v>-1.0763446462117425</v>
      </c>
      <c r="X8301" s="2">
        <f ca="1"/>
        <v>27.876331274228011</v>
      </c>
      <c r="AG8301" s="2">
        <f ca="1"/>
        <v>6.0966652131785537E-2</v>
      </c>
      <c r="AH8301" s="2" t="str">
        <f ca="1"/>
        <v>OK</v>
      </c>
    </row>
    <row r="8302" spans="2:34" x14ac:dyDescent="0.2">
      <c r="B8302" s="2">
        <f ca="1"/>
        <v>0.83393873648878292</v>
      </c>
      <c r="O8302" s="2">
        <f ca="1"/>
        <v>-0.45996428069651701</v>
      </c>
      <c r="X8302" s="2">
        <f ca="1"/>
        <v>62.373375859267654</v>
      </c>
      <c r="AG8302" s="2">
        <f ca="1"/>
        <v>0.56928262180805667</v>
      </c>
      <c r="AH8302" s="2" t="str">
        <f ca="1"/>
        <v>Bad</v>
      </c>
    </row>
    <row r="8303" spans="2:34" x14ac:dyDescent="0.2">
      <c r="B8303" s="2">
        <f ca="1"/>
        <v>0.67821300285030306</v>
      </c>
      <c r="O8303" s="2">
        <f ca="1"/>
        <v>0.57355441288538889</v>
      </c>
      <c r="X8303" s="2">
        <f ca="1"/>
        <v>82.518560798078511</v>
      </c>
      <c r="AG8303" s="2">
        <f ca="1"/>
        <v>0.52349746703988131</v>
      </c>
      <c r="AH8303" s="2" t="str">
        <f ca="1"/>
        <v>Bad</v>
      </c>
    </row>
    <row r="8304" spans="2:34" x14ac:dyDescent="0.2">
      <c r="B8304" s="2">
        <f ca="1"/>
        <v>0.41799614551283804</v>
      </c>
      <c r="O8304" s="2">
        <f ca="1"/>
        <v>0.3087010669553899</v>
      </c>
      <c r="X8304" s="2">
        <f ca="1"/>
        <v>60.537273557915434</v>
      </c>
      <c r="AG8304" s="2">
        <f ca="1"/>
        <v>7.2943394826298968E-2</v>
      </c>
      <c r="AH8304" s="2" t="str">
        <f ca="1"/>
        <v>OK</v>
      </c>
    </row>
    <row r="8305" spans="2:34" x14ac:dyDescent="0.2">
      <c r="B8305" s="2">
        <f ca="1"/>
        <v>0.59461496691247695</v>
      </c>
      <c r="O8305" s="2">
        <f ca="1"/>
        <v>-0.65026070034847683</v>
      </c>
      <c r="X8305" s="2">
        <f ca="1"/>
        <v>74.325980026107828</v>
      </c>
      <c r="AG8305" s="2">
        <f ca="1"/>
        <v>0.9650711049472338</v>
      </c>
      <c r="AH8305" s="2" t="str">
        <f ca="1"/>
        <v>Bad</v>
      </c>
    </row>
    <row r="8306" spans="2:34" x14ac:dyDescent="0.2">
      <c r="B8306" s="2">
        <f ca="1"/>
        <v>0.8218677147335034</v>
      </c>
      <c r="O8306" s="2">
        <f ca="1"/>
        <v>2.2569016478410804</v>
      </c>
      <c r="X8306" s="2">
        <f ca="1"/>
        <v>102.39894553568439</v>
      </c>
      <c r="AG8306" s="2">
        <f ca="1"/>
        <v>0.4360683031133803</v>
      </c>
      <c r="AH8306" s="2" t="str">
        <f ca="1"/>
        <v>Bad</v>
      </c>
    </row>
    <row r="8307" spans="2:34" x14ac:dyDescent="0.2">
      <c r="B8307" s="2">
        <f ca="1"/>
        <v>0.67309362259807726</v>
      </c>
      <c r="O8307" s="2">
        <f ca="1"/>
        <v>1.3731212071329655</v>
      </c>
      <c r="X8307" s="2">
        <f ca="1"/>
        <v>63.057589078251304</v>
      </c>
      <c r="AG8307" s="2">
        <f ca="1"/>
        <v>0.49732225036165945</v>
      </c>
      <c r="AH8307" s="2" t="str">
        <f ca="1"/>
        <v>Bad</v>
      </c>
    </row>
    <row r="8308" spans="2:34" x14ac:dyDescent="0.2">
      <c r="B8308" s="2">
        <f ca="1"/>
        <v>0.64395352867611511</v>
      </c>
      <c r="O8308" s="2">
        <f ca="1"/>
        <v>-0.22024324571481851</v>
      </c>
      <c r="X8308" s="2">
        <f ca="1"/>
        <v>62.865961565496875</v>
      </c>
      <c r="AG8308" s="2">
        <f ca="1"/>
        <v>0.39731975255651508</v>
      </c>
      <c r="AH8308" s="2" t="str">
        <f ca="1"/>
        <v>OK</v>
      </c>
    </row>
    <row r="8309" spans="2:34" x14ac:dyDescent="0.2">
      <c r="B8309" s="2">
        <f ca="1"/>
        <v>1.8724928060376733E-2</v>
      </c>
      <c r="O8309" s="2">
        <f ca="1"/>
        <v>0.41217441756933798</v>
      </c>
      <c r="X8309" s="2">
        <f ca="1"/>
        <v>73.038214869155297</v>
      </c>
      <c r="AG8309" s="2">
        <f ca="1"/>
        <v>0.11782904252910775</v>
      </c>
      <c r="AH8309" s="2" t="str">
        <f ca="1"/>
        <v>OK</v>
      </c>
    </row>
    <row r="8310" spans="2:34" x14ac:dyDescent="0.2">
      <c r="B8310" s="2">
        <f ca="1"/>
        <v>0.50482333149427516</v>
      </c>
      <c r="O8310" s="2">
        <f ca="1"/>
        <v>0.34927804876442836</v>
      </c>
      <c r="X8310" s="2">
        <f ca="1"/>
        <v>68.675465723353938</v>
      </c>
      <c r="AG8310" s="2">
        <f ca="1"/>
        <v>2.2464204633811047E-2</v>
      </c>
      <c r="AH8310" s="2" t="str">
        <f ca="1"/>
        <v>Good</v>
      </c>
    </row>
    <row r="8311" spans="2:34" x14ac:dyDescent="0.2">
      <c r="B8311" s="2">
        <f ca="1"/>
        <v>0.6165303893351215</v>
      </c>
      <c r="O8311" s="2">
        <f ca="1"/>
        <v>0.6330721329899015</v>
      </c>
      <c r="X8311" s="2">
        <f ca="1"/>
        <v>64.23619454987589</v>
      </c>
      <c r="AG8311" s="2">
        <f ca="1"/>
        <v>0.80397318568494613</v>
      </c>
      <c r="AH8311" s="2" t="str">
        <f ca="1"/>
        <v>Bad</v>
      </c>
    </row>
    <row r="8312" spans="2:34" x14ac:dyDescent="0.2">
      <c r="B8312" s="2">
        <f ca="1"/>
        <v>0.3775825727582498</v>
      </c>
      <c r="O8312" s="2">
        <f ca="1"/>
        <v>1.2313168365170477</v>
      </c>
      <c r="X8312" s="2">
        <f ca="1"/>
        <v>41.869458401071768</v>
      </c>
      <c r="AG8312" s="2">
        <f ca="1"/>
        <v>0.29218584693637784</v>
      </c>
      <c r="AH8312" s="2" t="str">
        <f ca="1"/>
        <v>OK</v>
      </c>
    </row>
    <row r="8313" spans="2:34" x14ac:dyDescent="0.2">
      <c r="B8313" s="2">
        <f ca="1"/>
        <v>0.72267292767200297</v>
      </c>
      <c r="O8313" s="2">
        <f ca="1"/>
        <v>-0.33704505077790459</v>
      </c>
      <c r="X8313" s="2">
        <f ca="1"/>
        <v>42.137741799065971</v>
      </c>
      <c r="AG8313" s="2">
        <f ca="1"/>
        <v>0.82299329168626723</v>
      </c>
      <c r="AH8313" s="2" t="str">
        <f ca="1"/>
        <v>Bad</v>
      </c>
    </row>
    <row r="8314" spans="2:34" x14ac:dyDescent="0.2">
      <c r="B8314" s="2">
        <f ca="1"/>
        <v>0.88552414532103851</v>
      </c>
      <c r="O8314" s="2">
        <f ca="1"/>
        <v>-0.72187041627963755</v>
      </c>
      <c r="X8314" s="2">
        <f ca="1"/>
        <v>56.42068011988642</v>
      </c>
      <c r="AG8314" s="2">
        <f ca="1"/>
        <v>0.14265631851441807</v>
      </c>
      <c r="AH8314" s="2" t="str">
        <f ca="1"/>
        <v>OK</v>
      </c>
    </row>
    <row r="8315" spans="2:34" x14ac:dyDescent="0.2">
      <c r="B8315" s="2">
        <f ca="1"/>
        <v>0.49028243802288496</v>
      </c>
      <c r="O8315" s="2">
        <f ca="1"/>
        <v>0.96365878689132878</v>
      </c>
      <c r="X8315" s="2">
        <f ca="1"/>
        <v>31.939783513384171</v>
      </c>
      <c r="AG8315" s="2">
        <f ca="1"/>
        <v>0.55217854376316122</v>
      </c>
      <c r="AH8315" s="2" t="str">
        <f ca="1"/>
        <v>Bad</v>
      </c>
    </row>
    <row r="8316" spans="2:34" x14ac:dyDescent="0.2">
      <c r="B8316" s="2">
        <f ca="1"/>
        <v>0.78774696619800122</v>
      </c>
      <c r="O8316" s="2">
        <f ca="1"/>
        <v>0.80858228951627087</v>
      </c>
      <c r="X8316" s="2">
        <f ca="1"/>
        <v>40.274306123280255</v>
      </c>
      <c r="AG8316" s="2">
        <f ca="1"/>
        <v>0.90207435267635883</v>
      </c>
      <c r="AH8316" s="2" t="str">
        <f ca="1"/>
        <v>Bad</v>
      </c>
    </row>
    <row r="8317" spans="2:34" x14ac:dyDescent="0.2">
      <c r="B8317" s="2">
        <f ca="1"/>
        <v>0.98227474512629454</v>
      </c>
      <c r="O8317" s="2">
        <f ca="1"/>
        <v>0.12876777094056466</v>
      </c>
      <c r="X8317" s="2">
        <f ca="1"/>
        <v>60.213738571673247</v>
      </c>
      <c r="AG8317" s="2">
        <f ca="1"/>
        <v>0.32372754810603377</v>
      </c>
      <c r="AH8317" s="2" t="str">
        <f ca="1"/>
        <v>OK</v>
      </c>
    </row>
    <row r="8318" spans="2:34" x14ac:dyDescent="0.2">
      <c r="B8318" s="2">
        <f ca="1"/>
        <v>0.20275100849625338</v>
      </c>
      <c r="O8318" s="2">
        <f ca="1"/>
        <v>-2.6493799847473456</v>
      </c>
      <c r="X8318" s="2">
        <f ca="1"/>
        <v>44.087785661239138</v>
      </c>
      <c r="AG8318" s="2">
        <f ca="1"/>
        <v>0.80492749738673242</v>
      </c>
      <c r="AH8318" s="2" t="str">
        <f ca="1"/>
        <v>Bad</v>
      </c>
    </row>
    <row r="8319" spans="2:34" x14ac:dyDescent="0.2">
      <c r="B8319" s="2">
        <f ca="1"/>
        <v>0.18588527458320936</v>
      </c>
      <c r="O8319" s="2">
        <f ca="1"/>
        <v>-0.74515906257674402</v>
      </c>
      <c r="X8319" s="2">
        <f ca="1"/>
        <v>27.52925076234078</v>
      </c>
      <c r="AG8319" s="2">
        <f ca="1"/>
        <v>0.99965679272184649</v>
      </c>
      <c r="AH8319" s="2" t="str">
        <f ca="1"/>
        <v>Bad</v>
      </c>
    </row>
    <row r="8320" spans="2:34" x14ac:dyDescent="0.2">
      <c r="B8320" s="2">
        <f ca="1"/>
        <v>0.58917553286478519</v>
      </c>
      <c r="O8320" s="2">
        <f ca="1"/>
        <v>0.41213445843304669</v>
      </c>
      <c r="X8320" s="2">
        <f ca="1"/>
        <v>64.990519747522569</v>
      </c>
      <c r="AG8320" s="2">
        <f ca="1"/>
        <v>0.33769329692111616</v>
      </c>
      <c r="AH8320" s="2" t="str">
        <f ca="1"/>
        <v>OK</v>
      </c>
    </row>
    <row r="8321" spans="2:34" x14ac:dyDescent="0.2">
      <c r="B8321" s="2">
        <f ca="1"/>
        <v>0.55340278731589665</v>
      </c>
      <c r="O8321" s="2">
        <f ca="1"/>
        <v>0.38131083745221073</v>
      </c>
      <c r="X8321" s="2">
        <f ca="1"/>
        <v>29.131012298624348</v>
      </c>
      <c r="AG8321" s="2">
        <f ca="1"/>
        <v>0.30435426939110877</v>
      </c>
      <c r="AH8321" s="2" t="str">
        <f ca="1"/>
        <v>OK</v>
      </c>
    </row>
    <row r="8322" spans="2:34" x14ac:dyDescent="0.2">
      <c r="B8322" s="2">
        <f ca="1"/>
        <v>0.82661030406435021</v>
      </c>
      <c r="O8322" s="2">
        <f ca="1"/>
        <v>0.48950722394495477</v>
      </c>
      <c r="X8322" s="2">
        <f ca="1"/>
        <v>75.486639362908662</v>
      </c>
      <c r="AG8322" s="2">
        <f ca="1"/>
        <v>0.22920152234625335</v>
      </c>
      <c r="AH8322" s="2" t="str">
        <f ca="1"/>
        <v>OK</v>
      </c>
    </row>
    <row r="8323" spans="2:34" x14ac:dyDescent="0.2">
      <c r="B8323" s="2">
        <f ca="1"/>
        <v>0.17271701045136489</v>
      </c>
      <c r="O8323" s="2">
        <f ca="1"/>
        <v>-0.15872683806177471</v>
      </c>
      <c r="X8323" s="2">
        <f ca="1"/>
        <v>51.526796900876789</v>
      </c>
      <c r="AG8323" s="2">
        <f ca="1"/>
        <v>0.73061267882401171</v>
      </c>
      <c r="AH8323" s="2" t="str">
        <f ca="1"/>
        <v>Bad</v>
      </c>
    </row>
    <row r="8324" spans="2:34" x14ac:dyDescent="0.2">
      <c r="B8324" s="2">
        <f ca="1"/>
        <v>0.2699717630839793</v>
      </c>
      <c r="O8324" s="2">
        <f ca="1"/>
        <v>-0.4174441768017722</v>
      </c>
      <c r="X8324" s="2">
        <f ca="1"/>
        <v>40.192367498782311</v>
      </c>
      <c r="AG8324" s="2">
        <f ca="1"/>
        <v>0.51343138719977754</v>
      </c>
      <c r="AH8324" s="2" t="str">
        <f ca="1"/>
        <v>Bad</v>
      </c>
    </row>
    <row r="8325" spans="2:34" x14ac:dyDescent="0.2">
      <c r="B8325" s="2">
        <f ca="1"/>
        <v>0.71123882734305477</v>
      </c>
      <c r="O8325" s="2">
        <f ca="1"/>
        <v>-0.62484318099227631</v>
      </c>
      <c r="X8325" s="2">
        <f ca="1"/>
        <v>87.763740345996865</v>
      </c>
      <c r="AG8325" s="2">
        <f ca="1"/>
        <v>0.56434532646546498</v>
      </c>
      <c r="AH8325" s="2" t="str">
        <f ca="1"/>
        <v>Bad</v>
      </c>
    </row>
    <row r="8326" spans="2:34" x14ac:dyDescent="0.2">
      <c r="B8326" s="2">
        <f ca="1"/>
        <v>4.2929454835684666E-2</v>
      </c>
      <c r="O8326" s="2">
        <f ca="1"/>
        <v>-1.8373425942785275</v>
      </c>
      <c r="X8326" s="2">
        <f ca="1"/>
        <v>47.352844539776228</v>
      </c>
      <c r="AG8326" s="2">
        <f ca="1"/>
        <v>0.64331159044595476</v>
      </c>
      <c r="AH8326" s="2" t="str">
        <f ca="1"/>
        <v>Bad</v>
      </c>
    </row>
    <row r="8327" spans="2:34" x14ac:dyDescent="0.2">
      <c r="B8327" s="2">
        <f ca="1"/>
        <v>0.3667624978338182</v>
      </c>
      <c r="O8327" s="2">
        <f ca="1"/>
        <v>0.66271288179358312</v>
      </c>
      <c r="X8327" s="2">
        <f ca="1"/>
        <v>33.412156707538728</v>
      </c>
      <c r="AG8327" s="2">
        <f ca="1"/>
        <v>0.30516911197759744</v>
      </c>
      <c r="AH8327" s="2" t="str">
        <f ca="1"/>
        <v>OK</v>
      </c>
    </row>
    <row r="8328" spans="2:34" x14ac:dyDescent="0.2">
      <c r="B8328" s="2">
        <f ca="1"/>
        <v>3.0979758276397096E-3</v>
      </c>
      <c r="O8328" s="2">
        <f ca="1"/>
        <v>0.83227391239531001</v>
      </c>
      <c r="X8328" s="2">
        <f ca="1"/>
        <v>22.842425611566615</v>
      </c>
      <c r="AG8328" s="2">
        <f ca="1"/>
        <v>0.41895049959655339</v>
      </c>
      <c r="AH8328" s="2" t="str">
        <f ca="1"/>
        <v>Bad</v>
      </c>
    </row>
    <row r="8329" spans="2:34" x14ac:dyDescent="0.2">
      <c r="B8329" s="2">
        <f ca="1"/>
        <v>0.58203103670015022</v>
      </c>
      <c r="O8329" s="2">
        <f ca="1"/>
        <v>1.0715148831414551E-2</v>
      </c>
      <c r="X8329" s="2">
        <f ca="1"/>
        <v>96.238350322824118</v>
      </c>
      <c r="AG8329" s="2">
        <f ca="1"/>
        <v>0.27283865105147553</v>
      </c>
      <c r="AH8329" s="2" t="str">
        <f ca="1"/>
        <v>OK</v>
      </c>
    </row>
    <row r="8330" spans="2:34" x14ac:dyDescent="0.2">
      <c r="B8330" s="2">
        <f ca="1"/>
        <v>0.58416553517705339</v>
      </c>
      <c r="O8330" s="2">
        <f ca="1"/>
        <v>0.74998438891117469</v>
      </c>
      <c r="X8330" s="2">
        <f ca="1"/>
        <v>53.02640281545608</v>
      </c>
      <c r="AG8330" s="2">
        <f ca="1"/>
        <v>0.9344000424740333</v>
      </c>
      <c r="AH8330" s="2" t="str">
        <f ca="1"/>
        <v>Bad</v>
      </c>
    </row>
    <row r="8331" spans="2:34" x14ac:dyDescent="0.2">
      <c r="B8331" s="2">
        <f ca="1"/>
        <v>0.39493210917505905</v>
      </c>
      <c r="O8331" s="2">
        <f ca="1"/>
        <v>-0.90186400063172889</v>
      </c>
      <c r="X8331" s="2">
        <f ca="1"/>
        <v>46.417484914149384</v>
      </c>
      <c r="AG8331" s="2">
        <f ca="1"/>
        <v>0.69445567350599791</v>
      </c>
      <c r="AH8331" s="2" t="str">
        <f ca="1"/>
        <v>Bad</v>
      </c>
    </row>
    <row r="8332" spans="2:34" x14ac:dyDescent="0.2">
      <c r="B8332" s="2">
        <f ca="1"/>
        <v>0.43152161916394371</v>
      </c>
      <c r="O8332" s="2">
        <f ca="1"/>
        <v>0.29133752466574625</v>
      </c>
      <c r="X8332" s="2">
        <f ca="1"/>
        <v>53.096172083688089</v>
      </c>
      <c r="AG8332" s="2">
        <f ca="1"/>
        <v>0.55096293282206754</v>
      </c>
      <c r="AH8332" s="2" t="str">
        <f ca="1"/>
        <v>Bad</v>
      </c>
    </row>
    <row r="8333" spans="2:34" x14ac:dyDescent="0.2">
      <c r="B8333" s="2">
        <f ca="1"/>
        <v>0.46705872142851823</v>
      </c>
      <c r="O8333" s="2">
        <f ca="1"/>
        <v>0.86409357513132212</v>
      </c>
      <c r="X8333" s="2">
        <f ca="1"/>
        <v>57.569362848056578</v>
      </c>
      <c r="AG8333" s="2">
        <f ca="1"/>
        <v>0.81385752799381383</v>
      </c>
      <c r="AH8333" s="2" t="str">
        <f ca="1"/>
        <v>Bad</v>
      </c>
    </row>
    <row r="8334" spans="2:34" x14ac:dyDescent="0.2">
      <c r="B8334" s="2">
        <f ca="1"/>
        <v>0.79386777248927642</v>
      </c>
      <c r="O8334" s="2">
        <f ca="1"/>
        <v>1.5152339008568938</v>
      </c>
      <c r="X8334" s="2">
        <f ca="1"/>
        <v>42.315339613439626</v>
      </c>
      <c r="AG8334" s="2">
        <f ca="1"/>
        <v>0.46797713213661263</v>
      </c>
      <c r="AH8334" s="2" t="str">
        <f ca="1"/>
        <v>Bad</v>
      </c>
    </row>
    <row r="8335" spans="2:34" x14ac:dyDescent="0.2">
      <c r="B8335" s="2">
        <f ca="1"/>
        <v>0.17042065186382316</v>
      </c>
      <c r="O8335" s="2">
        <f ca="1"/>
        <v>-0.10398028253537343</v>
      </c>
      <c r="X8335" s="2">
        <f ca="1"/>
        <v>41.021267811768283</v>
      </c>
      <c r="AG8335" s="2">
        <f ca="1"/>
        <v>0.23268122508106059</v>
      </c>
      <c r="AH8335" s="2" t="str">
        <f ca="1"/>
        <v>OK</v>
      </c>
    </row>
    <row r="8336" spans="2:34" x14ac:dyDescent="0.2">
      <c r="B8336" s="2">
        <f ca="1"/>
        <v>3.8228694359091042E-2</v>
      </c>
      <c r="O8336" s="2">
        <f ca="1"/>
        <v>-0.52000136853961199</v>
      </c>
      <c r="X8336" s="2">
        <f ca="1"/>
        <v>43.714358828864512</v>
      </c>
      <c r="AG8336" s="2">
        <f ca="1"/>
        <v>0.58375555447887573</v>
      </c>
      <c r="AH8336" s="2" t="str">
        <f ca="1"/>
        <v>Bad</v>
      </c>
    </row>
    <row r="8337" spans="2:34" x14ac:dyDescent="0.2">
      <c r="B8337" s="2">
        <f ca="1"/>
        <v>0.28831914264790504</v>
      </c>
      <c r="O8337" s="2">
        <f ca="1"/>
        <v>-0.78189640422657269</v>
      </c>
      <c r="X8337" s="2">
        <f ca="1"/>
        <v>35.428764630592873</v>
      </c>
      <c r="AG8337" s="2">
        <f ca="1"/>
        <v>4.9801589908263111E-2</v>
      </c>
      <c r="AH8337" s="2" t="str">
        <f ca="1"/>
        <v>Good</v>
      </c>
    </row>
    <row r="8338" spans="2:34" x14ac:dyDescent="0.2">
      <c r="B8338" s="2">
        <f ca="1"/>
        <v>0.43694606887978704</v>
      </c>
      <c r="O8338" s="2">
        <f ca="1"/>
        <v>-1.0909929291216309</v>
      </c>
      <c r="X8338" s="2">
        <f ca="1"/>
        <v>56.733975816083344</v>
      </c>
      <c r="AG8338" s="2">
        <f ca="1"/>
        <v>0.7051128943103715</v>
      </c>
      <c r="AH8338" s="2" t="str">
        <f ca="1"/>
        <v>Bad</v>
      </c>
    </row>
    <row r="8339" spans="2:34" x14ac:dyDescent="0.2">
      <c r="B8339" s="2">
        <f ca="1"/>
        <v>0.16003567334708713</v>
      </c>
      <c r="O8339" s="2">
        <f ca="1"/>
        <v>1.5843478243847788</v>
      </c>
      <c r="X8339" s="2">
        <f ca="1"/>
        <v>35.912156144116786</v>
      </c>
      <c r="AG8339" s="2">
        <f ca="1"/>
        <v>0.68743728688653305</v>
      </c>
      <c r="AH8339" s="2" t="str">
        <f ca="1"/>
        <v>Bad</v>
      </c>
    </row>
    <row r="8340" spans="2:34" x14ac:dyDescent="0.2">
      <c r="B8340" s="2">
        <f ca="1"/>
        <v>0.26165809041547083</v>
      </c>
      <c r="O8340" s="2">
        <f ca="1"/>
        <v>-1.246310736762493</v>
      </c>
      <c r="X8340" s="2">
        <f ca="1"/>
        <v>64.351387371982653</v>
      </c>
      <c r="AG8340" s="2">
        <f ca="1"/>
        <v>0.68144942687761434</v>
      </c>
      <c r="AH8340" s="2" t="str">
        <f ca="1"/>
        <v>Bad</v>
      </c>
    </row>
    <row r="8341" spans="2:34" x14ac:dyDescent="0.2">
      <c r="B8341" s="2">
        <f ca="1"/>
        <v>0.70325714783029292</v>
      </c>
      <c r="O8341" s="2">
        <f ca="1"/>
        <v>0.35134315540457189</v>
      </c>
      <c r="X8341" s="2">
        <f ca="1"/>
        <v>28.800608224638236</v>
      </c>
      <c r="AG8341" s="2">
        <f ca="1"/>
        <v>0.61047827226610862</v>
      </c>
      <c r="AH8341" s="2" t="str">
        <f ca="1"/>
        <v>Bad</v>
      </c>
    </row>
    <row r="8342" spans="2:34" x14ac:dyDescent="0.2">
      <c r="B8342" s="2">
        <f ca="1"/>
        <v>8.6054378578421797E-2</v>
      </c>
      <c r="O8342" s="2">
        <f ca="1"/>
        <v>0.90446973050411261</v>
      </c>
      <c r="X8342" s="2">
        <f ca="1"/>
        <v>53.967909972772496</v>
      </c>
      <c r="AG8342" s="2">
        <f ca="1"/>
        <v>0.83268163679906082</v>
      </c>
      <c r="AH8342" s="2" t="str">
        <f ca="1"/>
        <v>Bad</v>
      </c>
    </row>
    <row r="8343" spans="2:34" x14ac:dyDescent="0.2">
      <c r="B8343" s="2">
        <f ca="1"/>
        <v>0.66615845575922616</v>
      </c>
      <c r="O8343" s="2">
        <f ca="1"/>
        <v>-0.82131116680115646</v>
      </c>
      <c r="X8343" s="2">
        <f ca="1"/>
        <v>56.258020579585839</v>
      </c>
      <c r="AG8343" s="2">
        <f ca="1"/>
        <v>0.95640516170066636</v>
      </c>
      <c r="AH8343" s="2" t="str">
        <f ca="1"/>
        <v>Bad</v>
      </c>
    </row>
    <row r="8344" spans="2:34" x14ac:dyDescent="0.2">
      <c r="B8344" s="2">
        <f ca="1"/>
        <v>0.26281975532394841</v>
      </c>
      <c r="O8344" s="2">
        <f ca="1"/>
        <v>-1.3954340006046915</v>
      </c>
      <c r="X8344" s="2">
        <f ca="1"/>
        <v>50.17410972718266</v>
      </c>
      <c r="AG8344" s="2">
        <f ca="1"/>
        <v>0.21397084334098859</v>
      </c>
      <c r="AH8344" s="2" t="str">
        <f ca="1"/>
        <v>OK</v>
      </c>
    </row>
    <row r="8345" spans="2:34" x14ac:dyDescent="0.2">
      <c r="B8345" s="2">
        <f ca="1"/>
        <v>0.60394066262850088</v>
      </c>
      <c r="O8345" s="2">
        <f ca="1"/>
        <v>-0.47739953820481129</v>
      </c>
      <c r="X8345" s="2">
        <f ca="1"/>
        <v>35.956710489078517</v>
      </c>
      <c r="AG8345" s="2">
        <f ca="1"/>
        <v>0.86783052594612431</v>
      </c>
      <c r="AH8345" s="2" t="str">
        <f ca="1"/>
        <v>Bad</v>
      </c>
    </row>
    <row r="8346" spans="2:34" x14ac:dyDescent="0.2">
      <c r="B8346" s="2">
        <f ca="1"/>
        <v>0.82550981737549689</v>
      </c>
      <c r="O8346" s="2">
        <f ca="1"/>
        <v>-1.0736001361216581</v>
      </c>
      <c r="X8346" s="2">
        <f ca="1"/>
        <v>47.810330754559956</v>
      </c>
      <c r="AG8346" s="2">
        <f ca="1"/>
        <v>0.1928507452711401</v>
      </c>
      <c r="AH8346" s="2" t="str">
        <f ca="1"/>
        <v>OK</v>
      </c>
    </row>
    <row r="8347" spans="2:34" x14ac:dyDescent="0.2">
      <c r="B8347" s="2">
        <f ca="1"/>
        <v>0.22684683338539857</v>
      </c>
      <c r="O8347" s="2">
        <f ca="1"/>
        <v>0.67877709350512727</v>
      </c>
      <c r="X8347" s="2">
        <f ca="1"/>
        <v>52.830337586980576</v>
      </c>
      <c r="AG8347" s="2">
        <f ca="1"/>
        <v>0.92301954392611529</v>
      </c>
      <c r="AH8347" s="2" t="str">
        <f ca="1"/>
        <v>Bad</v>
      </c>
    </row>
    <row r="8348" spans="2:34" x14ac:dyDescent="0.2">
      <c r="B8348" s="2">
        <f ca="1"/>
        <v>0.99385424072195661</v>
      </c>
      <c r="O8348" s="2">
        <f ca="1"/>
        <v>0.22643330483499038</v>
      </c>
      <c r="X8348" s="2">
        <f ca="1"/>
        <v>72.613288275180864</v>
      </c>
      <c r="AG8348" s="2">
        <f ca="1"/>
        <v>0.91154768158902555</v>
      </c>
      <c r="AH8348" s="2" t="str">
        <f ca="1"/>
        <v>Bad</v>
      </c>
    </row>
    <row r="8349" spans="2:34" x14ac:dyDescent="0.2">
      <c r="B8349" s="2">
        <f ca="1"/>
        <v>0.70108394278608199</v>
      </c>
      <c r="O8349" s="2">
        <f ca="1"/>
        <v>0.26424767974123986</v>
      </c>
      <c r="X8349" s="2">
        <f ca="1"/>
        <v>66.258386157906884</v>
      </c>
      <c r="AG8349" s="2">
        <f ca="1"/>
        <v>0.5082002778202761</v>
      </c>
      <c r="AH8349" s="2" t="str">
        <f ca="1"/>
        <v>Bad</v>
      </c>
    </row>
    <row r="8350" spans="2:34" x14ac:dyDescent="0.2">
      <c r="B8350" s="2">
        <f ca="1"/>
        <v>0.32124343402426403</v>
      </c>
      <c r="O8350" s="2">
        <f ca="1"/>
        <v>-2.1676350262721324E-2</v>
      </c>
      <c r="X8350" s="2">
        <f ca="1"/>
        <v>35.755528499185743</v>
      </c>
      <c r="AG8350" s="2">
        <f ca="1"/>
        <v>0.83319843228787827</v>
      </c>
      <c r="AH8350" s="2" t="str">
        <f ca="1"/>
        <v>Bad</v>
      </c>
    </row>
    <row r="8351" spans="2:34" x14ac:dyDescent="0.2">
      <c r="B8351" s="2">
        <f ca="1"/>
        <v>0.51279469661404509</v>
      </c>
      <c r="O8351" s="2">
        <f ca="1"/>
        <v>0.23982456342300357</v>
      </c>
      <c r="X8351" s="2">
        <f ca="1"/>
        <v>25.947985639734611</v>
      </c>
      <c r="AG8351" s="2">
        <f ca="1"/>
        <v>0.5907234916462647</v>
      </c>
      <c r="AH8351" s="2" t="str">
        <f ca="1"/>
        <v>Bad</v>
      </c>
    </row>
    <row r="8352" spans="2:34" x14ac:dyDescent="0.2">
      <c r="B8352" s="2">
        <f ca="1"/>
        <v>0.14354010877276679</v>
      </c>
      <c r="O8352" s="2">
        <f ca="1"/>
        <v>-1.1928200804069062</v>
      </c>
      <c r="X8352" s="2">
        <f ca="1"/>
        <v>52.270620987779886</v>
      </c>
      <c r="AG8352" s="2">
        <f ca="1"/>
        <v>0.33897503562843956</v>
      </c>
      <c r="AH8352" s="2" t="str">
        <f ca="1"/>
        <v>OK</v>
      </c>
    </row>
    <row r="8353" spans="2:34" x14ac:dyDescent="0.2">
      <c r="B8353" s="2">
        <f ca="1"/>
        <v>0.42964908462593665</v>
      </c>
      <c r="O8353" s="2">
        <f ca="1"/>
        <v>-0.21285275872043879</v>
      </c>
      <c r="X8353" s="2">
        <f ca="1"/>
        <v>48.174080855615465</v>
      </c>
      <c r="AG8353" s="2">
        <f ca="1"/>
        <v>0.20287558065433919</v>
      </c>
      <c r="AH8353" s="2" t="str">
        <f ca="1"/>
        <v>OK</v>
      </c>
    </row>
    <row r="8354" spans="2:34" x14ac:dyDescent="0.2">
      <c r="B8354" s="2">
        <f ca="1"/>
        <v>0.67073757877195739</v>
      </c>
      <c r="O8354" s="2">
        <f ca="1"/>
        <v>6.5008724494123567E-3</v>
      </c>
      <c r="X8354" s="2">
        <f ca="1"/>
        <v>61.785324540637617</v>
      </c>
      <c r="AG8354" s="2">
        <f ca="1"/>
        <v>0.88674675997751562</v>
      </c>
      <c r="AH8354" s="2" t="str">
        <f ca="1"/>
        <v>Bad</v>
      </c>
    </row>
    <row r="8355" spans="2:34" x14ac:dyDescent="0.2">
      <c r="B8355" s="2">
        <f ca="1"/>
        <v>0.103944420913469</v>
      </c>
      <c r="O8355" s="2">
        <f ca="1"/>
        <v>-0.50632176830786557</v>
      </c>
      <c r="X8355" s="2">
        <f ca="1"/>
        <v>34.671986557593776</v>
      </c>
      <c r="AG8355" s="2">
        <f ca="1"/>
        <v>0.88447693187237308</v>
      </c>
      <c r="AH8355" s="2" t="str">
        <f ca="1"/>
        <v>Bad</v>
      </c>
    </row>
    <row r="8356" spans="2:34" x14ac:dyDescent="0.2">
      <c r="B8356" s="2">
        <f ca="1"/>
        <v>0.84003679200701664</v>
      </c>
      <c r="O8356" s="2">
        <f ca="1"/>
        <v>-1.3260041448319839</v>
      </c>
      <c r="X8356" s="2">
        <f ca="1"/>
        <v>45.338597242720098</v>
      </c>
      <c r="AG8356" s="2">
        <f ca="1"/>
        <v>0.42963495961995846</v>
      </c>
      <c r="AH8356" s="2" t="str">
        <f ca="1"/>
        <v>Bad</v>
      </c>
    </row>
    <row r="8357" spans="2:34" x14ac:dyDescent="0.2">
      <c r="B8357" s="2">
        <f ca="1"/>
        <v>3.5505076894471133E-2</v>
      </c>
      <c r="O8357" s="2">
        <f ca="1"/>
        <v>-0.59371864372205196</v>
      </c>
      <c r="X8357" s="2">
        <f ca="1"/>
        <v>60.00596306567558</v>
      </c>
      <c r="AG8357" s="2">
        <f ca="1"/>
        <v>6.8566783087731453E-2</v>
      </c>
      <c r="AH8357" s="2" t="str">
        <f ca="1"/>
        <v>OK</v>
      </c>
    </row>
    <row r="8358" spans="2:34" x14ac:dyDescent="0.2">
      <c r="B8358" s="2">
        <f ca="1"/>
        <v>0.30389351720849467</v>
      </c>
      <c r="O8358" s="2">
        <f ca="1"/>
        <v>0.64221935129860219</v>
      </c>
      <c r="X8358" s="2">
        <f ca="1"/>
        <v>62.620535551962114</v>
      </c>
      <c r="AG8358" s="2">
        <f ca="1"/>
        <v>7.4580801963912258E-2</v>
      </c>
      <c r="AH8358" s="2" t="str">
        <f ca="1"/>
        <v>OK</v>
      </c>
    </row>
    <row r="8359" spans="2:34" x14ac:dyDescent="0.2">
      <c r="B8359" s="2">
        <f ca="1"/>
        <v>0.64038452472444085</v>
      </c>
      <c r="O8359" s="2">
        <f ca="1"/>
        <v>-0.5010956211305676</v>
      </c>
      <c r="X8359" s="2">
        <f ca="1"/>
        <v>45.568496860800074</v>
      </c>
      <c r="AG8359" s="2">
        <f ca="1"/>
        <v>0.27107839077618645</v>
      </c>
      <c r="AH8359" s="2" t="str">
        <f ca="1"/>
        <v>OK</v>
      </c>
    </row>
    <row r="8360" spans="2:34" x14ac:dyDescent="0.2">
      <c r="B8360" s="2">
        <f ca="1"/>
        <v>0.22981856307298498</v>
      </c>
      <c r="O8360" s="2">
        <f ca="1"/>
        <v>0.41730490631130573</v>
      </c>
      <c r="X8360" s="2">
        <f ca="1"/>
        <v>55.413957849436279</v>
      </c>
      <c r="AG8360" s="2">
        <f ca="1"/>
        <v>0.72940026583607409</v>
      </c>
      <c r="AH8360" s="2" t="str">
        <f ca="1"/>
        <v>Bad</v>
      </c>
    </row>
    <row r="8361" spans="2:34" x14ac:dyDescent="0.2">
      <c r="B8361" s="2">
        <f ca="1"/>
        <v>0.89576292580599248</v>
      </c>
      <c r="O8361" s="2">
        <f ca="1"/>
        <v>1.9812551017034041</v>
      </c>
      <c r="X8361" s="2">
        <f ca="1"/>
        <v>37.063123579885769</v>
      </c>
      <c r="AG8361" s="2">
        <f ca="1"/>
        <v>0.53465657479348283</v>
      </c>
      <c r="AH8361" s="2" t="str">
        <f ca="1"/>
        <v>Bad</v>
      </c>
    </row>
    <row r="8362" spans="2:34" x14ac:dyDescent="0.2">
      <c r="B8362" s="2">
        <f ca="1"/>
        <v>0.17187684147143933</v>
      </c>
      <c r="O8362" s="2">
        <f ca="1"/>
        <v>-1.5511287004050418</v>
      </c>
      <c r="X8362" s="2">
        <f ca="1"/>
        <v>43.480268931226085</v>
      </c>
      <c r="AG8362" s="2">
        <f ca="1"/>
        <v>0.64776610099343834</v>
      </c>
      <c r="AH8362" s="2" t="str">
        <f ca="1"/>
        <v>Bad</v>
      </c>
    </row>
    <row r="8363" spans="2:34" x14ac:dyDescent="0.2">
      <c r="B8363" s="2">
        <f ca="1"/>
        <v>0.34335582159477185</v>
      </c>
      <c r="O8363" s="2">
        <f ca="1"/>
        <v>0.67366534046785009</v>
      </c>
      <c r="X8363" s="2">
        <f ca="1"/>
        <v>64.266242922099295</v>
      </c>
      <c r="AG8363" s="2">
        <f ca="1"/>
        <v>0.63556885414631425</v>
      </c>
      <c r="AH8363" s="2" t="str">
        <f ca="1"/>
        <v>Bad</v>
      </c>
    </row>
    <row r="8364" spans="2:34" x14ac:dyDescent="0.2">
      <c r="B8364" s="2">
        <f ca="1"/>
        <v>0.45552247056706396</v>
      </c>
      <c r="O8364" s="2">
        <f ca="1"/>
        <v>-1.4621108738270738</v>
      </c>
      <c r="X8364" s="2">
        <f ca="1"/>
        <v>58.716482707208499</v>
      </c>
      <c r="AG8364" s="2">
        <f ca="1"/>
        <v>0.2171399442218398</v>
      </c>
      <c r="AH8364" s="2" t="str">
        <f ca="1"/>
        <v>OK</v>
      </c>
    </row>
    <row r="8365" spans="2:34" x14ac:dyDescent="0.2">
      <c r="B8365" s="2">
        <f ca="1"/>
        <v>0.27370659312766987</v>
      </c>
      <c r="O8365" s="2">
        <f ca="1"/>
        <v>0.29694286856031477</v>
      </c>
      <c r="X8365" s="2">
        <f ca="1"/>
        <v>25.451683370491022</v>
      </c>
      <c r="AG8365" s="2">
        <f ca="1"/>
        <v>0.95328727746796771</v>
      </c>
      <c r="AH8365" s="2" t="str">
        <f ca="1"/>
        <v>Bad</v>
      </c>
    </row>
    <row r="8366" spans="2:34" x14ac:dyDescent="0.2">
      <c r="B8366" s="2">
        <f ca="1"/>
        <v>0.68185410036549343</v>
      </c>
      <c r="O8366" s="2">
        <f ca="1"/>
        <v>-0.3945351963678001</v>
      </c>
      <c r="X8366" s="2">
        <f ca="1"/>
        <v>31.264088879203612</v>
      </c>
      <c r="AG8366" s="2">
        <f ca="1"/>
        <v>0.17432912789319088</v>
      </c>
      <c r="AH8366" s="2" t="str">
        <f ca="1"/>
        <v>OK</v>
      </c>
    </row>
    <row r="8367" spans="2:34" x14ac:dyDescent="0.2">
      <c r="B8367" s="2">
        <f ca="1"/>
        <v>0.49274379462587214</v>
      </c>
      <c r="O8367" s="2">
        <f ca="1"/>
        <v>-0.24691448185484818</v>
      </c>
      <c r="X8367" s="2">
        <f ca="1"/>
        <v>68.310890158721023</v>
      </c>
      <c r="AG8367" s="2">
        <f ca="1"/>
        <v>0.16448764975225871</v>
      </c>
      <c r="AH8367" s="2" t="str">
        <f ca="1"/>
        <v>OK</v>
      </c>
    </row>
    <row r="8368" spans="2:34" x14ac:dyDescent="0.2">
      <c r="B8368" s="2">
        <f ca="1"/>
        <v>0.75175366741262795</v>
      </c>
      <c r="O8368" s="2">
        <f ca="1"/>
        <v>0.45640027318259713</v>
      </c>
      <c r="X8368" s="2">
        <f ca="1"/>
        <v>72.758141353873967</v>
      </c>
      <c r="AG8368" s="2">
        <f ca="1"/>
        <v>0.34714026443402735</v>
      </c>
      <c r="AH8368" s="2" t="str">
        <f ca="1"/>
        <v>OK</v>
      </c>
    </row>
    <row r="8369" spans="2:34" x14ac:dyDescent="0.2">
      <c r="B8369" s="2">
        <f ca="1"/>
        <v>0.37478546177739336</v>
      </c>
      <c r="O8369" s="2">
        <f ca="1"/>
        <v>-0.4959052371101742</v>
      </c>
      <c r="X8369" s="2">
        <f ca="1"/>
        <v>50.505809643377319</v>
      </c>
      <c r="AG8369" s="2">
        <f ca="1"/>
        <v>0.75724567586796576</v>
      </c>
      <c r="AH8369" s="2" t="str">
        <f ca="1"/>
        <v>Bad</v>
      </c>
    </row>
    <row r="8370" spans="2:34" x14ac:dyDescent="0.2">
      <c r="B8370" s="2">
        <f ca="1"/>
        <v>2.7891652134212741E-2</v>
      </c>
      <c r="O8370" s="2">
        <f ca="1"/>
        <v>0.490425997386505</v>
      </c>
      <c r="X8370" s="2">
        <f ca="1"/>
        <v>35.531114250419755</v>
      </c>
      <c r="AG8370" s="2">
        <f ca="1"/>
        <v>0.60622879021117626</v>
      </c>
      <c r="AH8370" s="2" t="str">
        <f ca="1"/>
        <v>Bad</v>
      </c>
    </row>
    <row r="8371" spans="2:34" x14ac:dyDescent="0.2">
      <c r="B8371" s="2">
        <f ca="1"/>
        <v>0.23139611260822379</v>
      </c>
      <c r="O8371" s="2">
        <f ca="1"/>
        <v>-0.60471135269966669</v>
      </c>
      <c r="X8371" s="2">
        <f ca="1"/>
        <v>67.415019867948899</v>
      </c>
      <c r="AG8371" s="2">
        <f ca="1"/>
        <v>0.28763537972707032</v>
      </c>
      <c r="AH8371" s="2" t="str">
        <f ca="1"/>
        <v>OK</v>
      </c>
    </row>
    <row r="8372" spans="2:34" x14ac:dyDescent="0.2">
      <c r="B8372" s="2">
        <f ca="1"/>
        <v>0.65728761172283812</v>
      </c>
      <c r="O8372" s="2">
        <f ca="1"/>
        <v>0.25998248792275391</v>
      </c>
      <c r="X8372" s="2">
        <f ca="1"/>
        <v>49.374164845745867</v>
      </c>
      <c r="AG8372" s="2">
        <f ca="1"/>
        <v>0.5355391545634629</v>
      </c>
      <c r="AH8372" s="2" t="str">
        <f ca="1"/>
        <v>Bad</v>
      </c>
    </row>
    <row r="8373" spans="2:34" x14ac:dyDescent="0.2">
      <c r="B8373" s="2">
        <f ca="1"/>
        <v>0.79649315611304661</v>
      </c>
      <c r="O8373" s="2">
        <f ca="1"/>
        <v>-0.70088348703705716</v>
      </c>
      <c r="X8373" s="2">
        <f ca="1"/>
        <v>68.016720236995994</v>
      </c>
      <c r="AG8373" s="2">
        <f ca="1"/>
        <v>0.90364897115663689</v>
      </c>
      <c r="AH8373" s="2" t="str">
        <f ca="1"/>
        <v>Bad</v>
      </c>
    </row>
    <row r="8374" spans="2:34" x14ac:dyDescent="0.2">
      <c r="B8374" s="2">
        <f ca="1"/>
        <v>0.69989834900063252</v>
      </c>
      <c r="O8374" s="2">
        <f ca="1"/>
        <v>-1.0709494056772235</v>
      </c>
      <c r="X8374" s="2">
        <f ca="1"/>
        <v>52.436728781539195</v>
      </c>
      <c r="AG8374" s="2">
        <f ca="1"/>
        <v>0.27879742506213123</v>
      </c>
      <c r="AH8374" s="2" t="str">
        <f ca="1"/>
        <v>OK</v>
      </c>
    </row>
    <row r="8375" spans="2:34" x14ac:dyDescent="0.2">
      <c r="B8375" s="2">
        <f ca="1"/>
        <v>6.0042975915723273E-2</v>
      </c>
      <c r="O8375" s="2">
        <f ca="1"/>
        <v>-1.6725349369705722</v>
      </c>
      <c r="X8375" s="2">
        <f ca="1"/>
        <v>93.754930007399423</v>
      </c>
      <c r="AG8375" s="2">
        <f ca="1"/>
        <v>0.1011201529511343</v>
      </c>
      <c r="AH8375" s="2" t="str">
        <f ca="1"/>
        <v>OK</v>
      </c>
    </row>
    <row r="8376" spans="2:34" x14ac:dyDescent="0.2">
      <c r="B8376" s="2">
        <f ca="1"/>
        <v>5.0469935449133363E-3</v>
      </c>
      <c r="O8376" s="2">
        <f ca="1"/>
        <v>-0.30530228106765844</v>
      </c>
      <c r="X8376" s="2">
        <f ca="1"/>
        <v>39.534192422483933</v>
      </c>
      <c r="AG8376" s="2">
        <f ca="1"/>
        <v>0.17774235411968142</v>
      </c>
      <c r="AH8376" s="2" t="str">
        <f ca="1"/>
        <v>OK</v>
      </c>
    </row>
    <row r="8377" spans="2:34" x14ac:dyDescent="0.2">
      <c r="B8377" s="2">
        <f ca="1"/>
        <v>0.66081446879906713</v>
      </c>
      <c r="O8377" s="2">
        <f ca="1"/>
        <v>0.58486348119917708</v>
      </c>
      <c r="X8377" s="2">
        <f ca="1"/>
        <v>51.63222886440083</v>
      </c>
      <c r="AG8377" s="2">
        <f ca="1"/>
        <v>0.61063432763222725</v>
      </c>
      <c r="AH8377" s="2" t="str">
        <f ca="1"/>
        <v>Bad</v>
      </c>
    </row>
    <row r="8378" spans="2:34" x14ac:dyDescent="0.2">
      <c r="B8378" s="2">
        <f ca="1"/>
        <v>0.375828489363768</v>
      </c>
      <c r="O8378" s="2">
        <f ca="1"/>
        <v>6.3808227823180227E-2</v>
      </c>
      <c r="X8378" s="2">
        <f ca="1"/>
        <v>47.130468983398821</v>
      </c>
      <c r="AG8378" s="2">
        <f ca="1"/>
        <v>1.5074045924112101E-2</v>
      </c>
      <c r="AH8378" s="2" t="str">
        <f ca="1"/>
        <v>Good</v>
      </c>
    </row>
    <row r="8379" spans="2:34" x14ac:dyDescent="0.2">
      <c r="B8379" s="2">
        <f ca="1"/>
        <v>0.13318130474506162</v>
      </c>
      <c r="O8379" s="2">
        <f ca="1"/>
        <v>-0.20001328425447959</v>
      </c>
      <c r="X8379" s="2">
        <f ca="1"/>
        <v>27.738916297246156</v>
      </c>
      <c r="AG8379" s="2">
        <f ca="1"/>
        <v>0.47521189009497422</v>
      </c>
      <c r="AH8379" s="2" t="str">
        <f ca="1"/>
        <v>Bad</v>
      </c>
    </row>
    <row r="8380" spans="2:34" x14ac:dyDescent="0.2">
      <c r="B8380" s="2">
        <f ca="1"/>
        <v>0.3910362696653138</v>
      </c>
      <c r="O8380" s="2">
        <f ca="1"/>
        <v>-0.28979358188281085</v>
      </c>
      <c r="X8380" s="2">
        <f ca="1"/>
        <v>37.625474255533106</v>
      </c>
      <c r="AG8380" s="2">
        <f ca="1"/>
        <v>0.74513264426788361</v>
      </c>
      <c r="AH8380" s="2" t="str">
        <f ca="1"/>
        <v>Bad</v>
      </c>
    </row>
    <row r="8381" spans="2:34" x14ac:dyDescent="0.2">
      <c r="B8381" s="2">
        <f ca="1"/>
        <v>0.66720195261401916</v>
      </c>
      <c r="O8381" s="2">
        <f ca="1"/>
        <v>-1.0003998393793809</v>
      </c>
      <c r="X8381" s="2">
        <f ca="1"/>
        <v>35.512351009804391</v>
      </c>
      <c r="AG8381" s="2">
        <f ca="1"/>
        <v>0.12005338901470597</v>
      </c>
      <c r="AH8381" s="2" t="str">
        <f ca="1"/>
        <v>OK</v>
      </c>
    </row>
    <row r="8382" spans="2:34" x14ac:dyDescent="0.2">
      <c r="B8382" s="2">
        <f ca="1"/>
        <v>0.59788852698133721</v>
      </c>
      <c r="O8382" s="2">
        <f ca="1"/>
        <v>-1.5036101447236863</v>
      </c>
      <c r="X8382" s="2">
        <f ca="1"/>
        <v>60.505143282941617</v>
      </c>
      <c r="AG8382" s="2">
        <f ca="1"/>
        <v>0.30676493381376213</v>
      </c>
      <c r="AH8382" s="2" t="str">
        <f ca="1"/>
        <v>OK</v>
      </c>
    </row>
    <row r="8383" spans="2:34" x14ac:dyDescent="0.2">
      <c r="B8383" s="2">
        <f ca="1"/>
        <v>0.20056460333013937</v>
      </c>
      <c r="O8383" s="2">
        <f ca="1"/>
        <v>-2.319404987806474</v>
      </c>
      <c r="X8383" s="2">
        <f ca="1"/>
        <v>46.416894008010928</v>
      </c>
      <c r="AG8383" s="2">
        <f ca="1"/>
        <v>0.17603010950218856</v>
      </c>
      <c r="AH8383" s="2" t="str">
        <f ca="1"/>
        <v>OK</v>
      </c>
    </row>
    <row r="8384" spans="2:34" x14ac:dyDescent="0.2">
      <c r="B8384" s="2">
        <f ca="1"/>
        <v>0.91603637535740723</v>
      </c>
      <c r="O8384" s="2">
        <f ca="1"/>
        <v>-0.30999553674060215</v>
      </c>
      <c r="X8384" s="2">
        <f ca="1"/>
        <v>50.584153416255973</v>
      </c>
      <c r="AG8384" s="2">
        <f ca="1"/>
        <v>0.47819321403743209</v>
      </c>
      <c r="AH8384" s="2" t="str">
        <f ca="1"/>
        <v>Bad</v>
      </c>
    </row>
    <row r="8385" spans="2:34" x14ac:dyDescent="0.2">
      <c r="B8385" s="2">
        <f ca="1"/>
        <v>0.1447624852642031</v>
      </c>
      <c r="O8385" s="2">
        <f ca="1"/>
        <v>0.86685589143386943</v>
      </c>
      <c r="X8385" s="2">
        <f ca="1"/>
        <v>74.575237159476359</v>
      </c>
      <c r="AG8385" s="2">
        <f ca="1"/>
        <v>0.1541519457199807</v>
      </c>
      <c r="AH8385" s="2" t="str">
        <f ca="1"/>
        <v>OK</v>
      </c>
    </row>
    <row r="8386" spans="2:34" x14ac:dyDescent="0.2">
      <c r="B8386" s="2">
        <f ca="1"/>
        <v>0.10692300721886494</v>
      </c>
      <c r="O8386" s="2">
        <f ca="1"/>
        <v>-0.98453914063260728</v>
      </c>
      <c r="X8386" s="2">
        <f ca="1"/>
        <v>33.451062879898352</v>
      </c>
      <c r="AG8386" s="2">
        <f ca="1"/>
        <v>0.79794864279814059</v>
      </c>
      <c r="AH8386" s="2" t="str">
        <f ca="1"/>
        <v>Bad</v>
      </c>
    </row>
    <row r="8387" spans="2:34" x14ac:dyDescent="0.2">
      <c r="B8387" s="2">
        <f ca="1"/>
        <v>7.8371841956216715E-2</v>
      </c>
      <c r="O8387" s="2">
        <f ca="1"/>
        <v>1.3709308160613374</v>
      </c>
      <c r="X8387" s="2">
        <f ca="1"/>
        <v>66.284516192342537</v>
      </c>
      <c r="AG8387" s="2">
        <f ca="1"/>
        <v>0.15720411751621333</v>
      </c>
      <c r="AH8387" s="2" t="str">
        <f ca="1"/>
        <v>OK</v>
      </c>
    </row>
    <row r="8388" spans="2:34" x14ac:dyDescent="0.2">
      <c r="B8388" s="2">
        <f ca="1"/>
        <v>0.92139880250807527</v>
      </c>
      <c r="O8388" s="2">
        <f ca="1"/>
        <v>0.82404388495941028</v>
      </c>
      <c r="X8388" s="2">
        <f ca="1"/>
        <v>50.87902611184127</v>
      </c>
      <c r="AG8388" s="2">
        <f ca="1"/>
        <v>8.0805556224356812E-2</v>
      </c>
      <c r="AH8388" s="2" t="str">
        <f ca="1"/>
        <v>OK</v>
      </c>
    </row>
    <row r="8389" spans="2:34" x14ac:dyDescent="0.2">
      <c r="B8389" s="2">
        <f ca="1"/>
        <v>0.18172593777736279</v>
      </c>
      <c r="O8389" s="2">
        <f ca="1"/>
        <v>0.61606415688482119</v>
      </c>
      <c r="X8389" s="2">
        <f ca="1"/>
        <v>50.019923090579255</v>
      </c>
      <c r="AG8389" s="2">
        <f ca="1"/>
        <v>0.24898956826428065</v>
      </c>
      <c r="AH8389" s="2" t="str">
        <f ca="1"/>
        <v>OK</v>
      </c>
    </row>
    <row r="8390" spans="2:34" x14ac:dyDescent="0.2">
      <c r="B8390" s="2">
        <f ca="1"/>
        <v>0.23293955128777766</v>
      </c>
      <c r="O8390" s="2">
        <f ca="1"/>
        <v>-1.4259750471375761</v>
      </c>
      <c r="X8390" s="2">
        <f ca="1"/>
        <v>42.880011613041155</v>
      </c>
      <c r="AG8390" s="2">
        <f ca="1"/>
        <v>0.32210816930241015</v>
      </c>
      <c r="AH8390" s="2" t="str">
        <f ca="1"/>
        <v>OK</v>
      </c>
    </row>
    <row r="8391" spans="2:34" x14ac:dyDescent="0.2">
      <c r="B8391" s="2">
        <f ca="1"/>
        <v>0.49325121670768679</v>
      </c>
      <c r="O8391" s="2">
        <f ca="1"/>
        <v>-0.46231660018702808</v>
      </c>
      <c r="X8391" s="2">
        <f ca="1"/>
        <v>50.880956475875735</v>
      </c>
      <c r="AG8391" s="2">
        <f ca="1"/>
        <v>0.12499573895886296</v>
      </c>
      <c r="AH8391" s="2" t="str">
        <f ca="1"/>
        <v>OK</v>
      </c>
    </row>
    <row r="8392" spans="2:34" x14ac:dyDescent="0.2">
      <c r="B8392" s="2">
        <f ca="1"/>
        <v>0.16057092899930159</v>
      </c>
      <c r="O8392" s="2">
        <f ca="1"/>
        <v>-0.76014524872886413</v>
      </c>
      <c r="X8392" s="2">
        <f ca="1"/>
        <v>40.663067091549692</v>
      </c>
      <c r="AG8392" s="2">
        <f ca="1"/>
        <v>0.58324753112067906</v>
      </c>
      <c r="AH8392" s="2" t="str">
        <f ca="1"/>
        <v>Bad</v>
      </c>
    </row>
    <row r="8393" spans="2:34" x14ac:dyDescent="0.2">
      <c r="B8393" s="2">
        <f ca="1"/>
        <v>0.95499533228858935</v>
      </c>
      <c r="O8393" s="2">
        <f ca="1"/>
        <v>-0.18514444772903421</v>
      </c>
      <c r="X8393" s="2">
        <f ca="1"/>
        <v>23.628824760464781</v>
      </c>
      <c r="AG8393" s="2">
        <f ca="1"/>
        <v>0.22343378002042558</v>
      </c>
      <c r="AH8393" s="2" t="str">
        <f ca="1"/>
        <v>OK</v>
      </c>
    </row>
    <row r="8394" spans="2:34" x14ac:dyDescent="0.2">
      <c r="B8394" s="2">
        <f ca="1"/>
        <v>0.89552989119194404</v>
      </c>
      <c r="O8394" s="2">
        <f ca="1"/>
        <v>1.2642824730265256</v>
      </c>
      <c r="X8394" s="2">
        <f ca="1"/>
        <v>56.549839272545405</v>
      </c>
      <c r="AG8394" s="2">
        <f ca="1"/>
        <v>0.55674853852639727</v>
      </c>
      <c r="AH8394" s="2" t="str">
        <f ca="1"/>
        <v>Bad</v>
      </c>
    </row>
    <row r="8395" spans="2:34" x14ac:dyDescent="0.2">
      <c r="B8395" s="2">
        <f ca="1"/>
        <v>0.60320292183527902</v>
      </c>
      <c r="O8395" s="2">
        <f ca="1"/>
        <v>0.69203901373025001</v>
      </c>
      <c r="X8395" s="2">
        <f ca="1"/>
        <v>43.149446564366833</v>
      </c>
      <c r="AG8395" s="2">
        <f ca="1"/>
        <v>0.96425332469392355</v>
      </c>
      <c r="AH8395" s="2" t="str">
        <f ca="1"/>
        <v>Bad</v>
      </c>
    </row>
    <row r="8396" spans="2:34" x14ac:dyDescent="0.2">
      <c r="B8396" s="2">
        <f ca="1"/>
        <v>0.91860824930732643</v>
      </c>
      <c r="O8396" s="2">
        <f ca="1"/>
        <v>0.45653076288347955</v>
      </c>
      <c r="X8396" s="2">
        <f ca="1"/>
        <v>25.526918413835709</v>
      </c>
      <c r="AG8396" s="2">
        <f ca="1"/>
        <v>0.90054948806567214</v>
      </c>
      <c r="AH8396" s="2" t="str">
        <f ca="1"/>
        <v>Bad</v>
      </c>
    </row>
    <row r="8397" spans="2:34" x14ac:dyDescent="0.2">
      <c r="B8397" s="2">
        <f ca="1"/>
        <v>0.65422229976126345</v>
      </c>
      <c r="O8397" s="2">
        <f ca="1"/>
        <v>0.63293945668018459</v>
      </c>
      <c r="X8397" s="2">
        <f ca="1"/>
        <v>79.540731057783759</v>
      </c>
      <c r="AG8397" s="2">
        <f ca="1"/>
        <v>0.28529574085627951</v>
      </c>
      <c r="AH8397" s="2" t="str">
        <f ca="1"/>
        <v>OK</v>
      </c>
    </row>
    <row r="8398" spans="2:34" x14ac:dyDescent="0.2">
      <c r="B8398" s="2">
        <f ca="1"/>
        <v>0.52085246344995451</v>
      </c>
      <c r="O8398" s="2">
        <f ca="1"/>
        <v>-0.92431298336136214</v>
      </c>
      <c r="X8398" s="2">
        <f ca="1"/>
        <v>56.453704340315618</v>
      </c>
      <c r="AG8398" s="2">
        <f ca="1"/>
        <v>0.98249641964530054</v>
      </c>
      <c r="AH8398" s="2" t="str">
        <f ca="1"/>
        <v>Bad</v>
      </c>
    </row>
    <row r="8399" spans="2:34" x14ac:dyDescent="0.2">
      <c r="B8399" s="2">
        <f ca="1"/>
        <v>4.7560412844915856E-3</v>
      </c>
      <c r="O8399" s="2">
        <f ca="1"/>
        <v>2.0262992807107598</v>
      </c>
      <c r="X8399" s="2">
        <f ca="1"/>
        <v>53.409572007661517</v>
      </c>
      <c r="AG8399" s="2">
        <f ca="1"/>
        <v>0.39970649737181452</v>
      </c>
      <c r="AH8399" s="2" t="str">
        <f ca="1"/>
        <v>OK</v>
      </c>
    </row>
    <row r="8400" spans="2:34" x14ac:dyDescent="0.2">
      <c r="B8400" s="2">
        <f ca="1"/>
        <v>0.38927041315458832</v>
      </c>
      <c r="O8400" s="2">
        <f ca="1"/>
        <v>-0.4495609193233811</v>
      </c>
      <c r="X8400" s="2">
        <f ca="1"/>
        <v>45.798904812284782</v>
      </c>
      <c r="AG8400" s="2">
        <f ca="1"/>
        <v>0.12949099250715457</v>
      </c>
      <c r="AH8400" s="2" t="str">
        <f ca="1"/>
        <v>OK</v>
      </c>
    </row>
    <row r="8401" spans="2:34" x14ac:dyDescent="0.2">
      <c r="B8401" s="2">
        <f ca="1"/>
        <v>0.87691147391196567</v>
      </c>
      <c r="O8401" s="2">
        <f ca="1"/>
        <v>1.1885934356534862</v>
      </c>
      <c r="X8401" s="2">
        <f ca="1"/>
        <v>68.577409886321078</v>
      </c>
      <c r="AG8401" s="2">
        <f ca="1"/>
        <v>0.49447406798732763</v>
      </c>
      <c r="AH8401" s="2" t="str">
        <f ca="1"/>
        <v>Bad</v>
      </c>
    </row>
    <row r="8402" spans="2:34" x14ac:dyDescent="0.2">
      <c r="B8402" s="2">
        <f ca="1"/>
        <v>0.34229293494356061</v>
      </c>
      <c r="O8402" s="2">
        <f ca="1"/>
        <v>4.1908805847116259E-2</v>
      </c>
      <c r="X8402" s="2">
        <f ca="1"/>
        <v>69.514664234937598</v>
      </c>
      <c r="AG8402" s="2">
        <f ca="1"/>
        <v>0.4316172593389187</v>
      </c>
      <c r="AH8402" s="2" t="str">
        <f ca="1"/>
        <v>Bad</v>
      </c>
    </row>
    <row r="8403" spans="2:34" x14ac:dyDescent="0.2">
      <c r="B8403" s="2">
        <f ca="1"/>
        <v>0.86860153363101689</v>
      </c>
      <c r="O8403" s="2">
        <f ca="1"/>
        <v>0.17542359410246341</v>
      </c>
      <c r="X8403" s="2">
        <f ca="1"/>
        <v>27.654975247910269</v>
      </c>
      <c r="AG8403" s="2">
        <f ca="1"/>
        <v>0.10893558117747792</v>
      </c>
      <c r="AH8403" s="2" t="str">
        <f ca="1"/>
        <v>OK</v>
      </c>
    </row>
    <row r="8404" spans="2:34" x14ac:dyDescent="0.2">
      <c r="B8404" s="2">
        <f ca="1"/>
        <v>0.28856682762540409</v>
      </c>
      <c r="O8404" s="2">
        <f ca="1"/>
        <v>-0.90981849065899079</v>
      </c>
      <c r="X8404" s="2">
        <f ca="1"/>
        <v>48.010250138759886</v>
      </c>
      <c r="AG8404" s="2">
        <f ca="1"/>
        <v>0.22952277183201941</v>
      </c>
      <c r="AH8404" s="2" t="str">
        <f ca="1"/>
        <v>OK</v>
      </c>
    </row>
    <row r="8405" spans="2:34" x14ac:dyDescent="0.2">
      <c r="B8405" s="2">
        <f ca="1"/>
        <v>0.9176339404292797</v>
      </c>
      <c r="O8405" s="2">
        <f ca="1"/>
        <v>0.38722358118844746</v>
      </c>
      <c r="X8405" s="2">
        <f ca="1"/>
        <v>77.08369855186217</v>
      </c>
      <c r="AG8405" s="2">
        <f ca="1"/>
        <v>0.41942622255590978</v>
      </c>
      <c r="AH8405" s="2" t="str">
        <f ca="1"/>
        <v>Bad</v>
      </c>
    </row>
    <row r="8406" spans="2:34" x14ac:dyDescent="0.2">
      <c r="B8406" s="2">
        <f ca="1"/>
        <v>0.52875304952799795</v>
      </c>
      <c r="O8406" s="2">
        <f ca="1"/>
        <v>-0.74303349070432501</v>
      </c>
      <c r="X8406" s="2">
        <f ca="1"/>
        <v>94.442878393767813</v>
      </c>
      <c r="AG8406" s="2">
        <f ca="1"/>
        <v>0.62977060807564533</v>
      </c>
      <c r="AH8406" s="2" t="str">
        <f ca="1"/>
        <v>Bad</v>
      </c>
    </row>
    <row r="8407" spans="2:34" x14ac:dyDescent="0.2">
      <c r="B8407" s="2">
        <f ca="1"/>
        <v>0.35776614370319004</v>
      </c>
      <c r="O8407" s="2">
        <f ca="1"/>
        <v>2.0098465024085725</v>
      </c>
      <c r="X8407" s="2">
        <f ca="1"/>
        <v>38.396151169816847</v>
      </c>
      <c r="AG8407" s="2">
        <f ca="1"/>
        <v>2.1146188246738085E-2</v>
      </c>
      <c r="AH8407" s="2" t="str">
        <f ca="1"/>
        <v>Good</v>
      </c>
    </row>
    <row r="8408" spans="2:34" x14ac:dyDescent="0.2">
      <c r="B8408" s="2">
        <f ca="1"/>
        <v>0.551216610028888</v>
      </c>
      <c r="O8408" s="2">
        <f ca="1"/>
        <v>-6.4514674713040066E-2</v>
      </c>
      <c r="X8408" s="2">
        <f ca="1"/>
        <v>38.227782473244872</v>
      </c>
      <c r="AG8408" s="2">
        <f ca="1"/>
        <v>0.3130031683347736</v>
      </c>
      <c r="AH8408" s="2" t="str">
        <f ca="1"/>
        <v>OK</v>
      </c>
    </row>
    <row r="8409" spans="2:34" x14ac:dyDescent="0.2">
      <c r="B8409" s="2">
        <f ca="1"/>
        <v>0.54480086840678865</v>
      </c>
      <c r="O8409" s="2">
        <f ca="1"/>
        <v>1.3074226414515357</v>
      </c>
      <c r="X8409" s="2">
        <f ca="1"/>
        <v>46.660368442672265</v>
      </c>
      <c r="AG8409" s="2">
        <f ca="1"/>
        <v>0.27223413476370895</v>
      </c>
      <c r="AH8409" s="2" t="str">
        <f ca="1"/>
        <v>OK</v>
      </c>
    </row>
    <row r="8410" spans="2:34" x14ac:dyDescent="0.2">
      <c r="B8410" s="2">
        <f ca="1"/>
        <v>0.72800820000205535</v>
      </c>
      <c r="O8410" s="2">
        <f ca="1"/>
        <v>1.3192174284144309</v>
      </c>
      <c r="X8410" s="2">
        <f ca="1"/>
        <v>51.022333902508024</v>
      </c>
      <c r="AG8410" s="2">
        <f ca="1"/>
        <v>6.1602664172331956E-2</v>
      </c>
      <c r="AH8410" s="2" t="str">
        <f ca="1"/>
        <v>OK</v>
      </c>
    </row>
    <row r="8411" spans="2:34" x14ac:dyDescent="0.2">
      <c r="B8411" s="2">
        <f ca="1"/>
        <v>0.89688745802216752</v>
      </c>
      <c r="O8411" s="2">
        <f ca="1"/>
        <v>1.3911944065885018</v>
      </c>
      <c r="X8411" s="2">
        <f ca="1"/>
        <v>32.704740219817189</v>
      </c>
      <c r="AG8411" s="2">
        <f ca="1"/>
        <v>0.15149856361133818</v>
      </c>
      <c r="AH8411" s="2" t="str">
        <f ca="1"/>
        <v>OK</v>
      </c>
    </row>
    <row r="8412" spans="2:34" x14ac:dyDescent="0.2">
      <c r="B8412" s="2">
        <f ca="1"/>
        <v>0.60798938558313886</v>
      </c>
      <c r="O8412" s="2">
        <f ca="1"/>
        <v>0.43744980156410096</v>
      </c>
      <c r="X8412" s="2">
        <f ca="1"/>
        <v>77.866991320290168</v>
      </c>
      <c r="AG8412" s="2">
        <f ca="1"/>
        <v>0.54194625433054489</v>
      </c>
      <c r="AH8412" s="2" t="str">
        <f ca="1"/>
        <v>Bad</v>
      </c>
    </row>
    <row r="8413" spans="2:34" x14ac:dyDescent="0.2">
      <c r="B8413" s="2">
        <f ca="1"/>
        <v>0.36724245551663959</v>
      </c>
      <c r="O8413" s="2">
        <f ca="1"/>
        <v>0.32358639611646983</v>
      </c>
      <c r="X8413" s="2">
        <f ca="1"/>
        <v>38.061139047890329</v>
      </c>
      <c r="AG8413" s="2">
        <f ca="1"/>
        <v>0.63645604992094551</v>
      </c>
      <c r="AH8413" s="2" t="str">
        <f ca="1"/>
        <v>Bad</v>
      </c>
    </row>
    <row r="8414" spans="2:34" x14ac:dyDescent="0.2">
      <c r="B8414" s="2">
        <f ca="1"/>
        <v>0.2604503811704868</v>
      </c>
      <c r="O8414" s="2">
        <f ca="1"/>
        <v>-0.9797547646689625</v>
      </c>
      <c r="X8414" s="2">
        <f ca="1"/>
        <v>81.330879723163662</v>
      </c>
      <c r="AG8414" s="2">
        <f ca="1"/>
        <v>0.88745556434401207</v>
      </c>
      <c r="AH8414" s="2" t="str">
        <f ca="1"/>
        <v>Bad</v>
      </c>
    </row>
    <row r="8415" spans="2:34" x14ac:dyDescent="0.2">
      <c r="B8415" s="2">
        <f ca="1"/>
        <v>0.27901446320951329</v>
      </c>
      <c r="O8415" s="2">
        <f ca="1"/>
        <v>-0.87416212440780428</v>
      </c>
      <c r="X8415" s="2">
        <f ca="1"/>
        <v>69.261188914146999</v>
      </c>
      <c r="AG8415" s="2">
        <f ca="1"/>
        <v>0.48523257866199976</v>
      </c>
      <c r="AH8415" s="2" t="str">
        <f ca="1"/>
        <v>Bad</v>
      </c>
    </row>
    <row r="8416" spans="2:34" x14ac:dyDescent="0.2">
      <c r="B8416" s="2">
        <f ca="1"/>
        <v>0.17103534562464451</v>
      </c>
      <c r="O8416" s="2">
        <f ca="1"/>
        <v>1.309008034162964</v>
      </c>
      <c r="X8416" s="2">
        <f ca="1"/>
        <v>47.625785983402587</v>
      </c>
      <c r="AG8416" s="2">
        <f ca="1"/>
        <v>0.5572354504825503</v>
      </c>
      <c r="AH8416" s="2" t="str">
        <f ca="1"/>
        <v>Bad</v>
      </c>
    </row>
    <row r="8417" spans="2:34" x14ac:dyDescent="0.2">
      <c r="B8417" s="2">
        <f ca="1"/>
        <v>0.85335924259688123</v>
      </c>
      <c r="O8417" s="2">
        <f ca="1"/>
        <v>-0.17559831653471522</v>
      </c>
      <c r="X8417" s="2">
        <f ca="1"/>
        <v>62.399668750826116</v>
      </c>
      <c r="AG8417" s="2">
        <f ca="1"/>
        <v>0.58462092534585497</v>
      </c>
      <c r="AH8417" s="2" t="str">
        <f ca="1"/>
        <v>Bad</v>
      </c>
    </row>
    <row r="8418" spans="2:34" x14ac:dyDescent="0.2">
      <c r="B8418" s="2">
        <f ca="1"/>
        <v>0.94963583519918715</v>
      </c>
      <c r="O8418" s="2">
        <f ca="1"/>
        <v>0.55428227880939063</v>
      </c>
      <c r="X8418" s="2">
        <f ca="1"/>
        <v>50.701709718311363</v>
      </c>
      <c r="AG8418" s="2">
        <f ca="1"/>
        <v>0.30679810844252953</v>
      </c>
      <c r="AH8418" s="2" t="str">
        <f ca="1"/>
        <v>OK</v>
      </c>
    </row>
    <row r="8419" spans="2:34" x14ac:dyDescent="0.2">
      <c r="B8419" s="2">
        <f ca="1"/>
        <v>0.94406526774583299</v>
      </c>
      <c r="O8419" s="2">
        <f ca="1"/>
        <v>1.251020072443271</v>
      </c>
      <c r="X8419" s="2">
        <f ca="1"/>
        <v>44.707029977950761</v>
      </c>
      <c r="AG8419" s="2">
        <f ca="1"/>
        <v>0.93700681849086886</v>
      </c>
      <c r="AH8419" s="2" t="str">
        <f ca="1"/>
        <v>Bad</v>
      </c>
    </row>
    <row r="8420" spans="2:34" x14ac:dyDescent="0.2">
      <c r="B8420" s="2">
        <f ca="1"/>
        <v>0.77735377477389234</v>
      </c>
      <c r="O8420" s="2">
        <f ca="1"/>
        <v>-0.5139081725316027</v>
      </c>
      <c r="X8420" s="2">
        <f ca="1"/>
        <v>91.060117782872084</v>
      </c>
      <c r="AG8420" s="2">
        <f ca="1"/>
        <v>0.64060637158422185</v>
      </c>
      <c r="AH8420" s="2" t="str">
        <f ca="1"/>
        <v>Bad</v>
      </c>
    </row>
    <row r="8421" spans="2:34" x14ac:dyDescent="0.2">
      <c r="B8421" s="2">
        <f ca="1"/>
        <v>0.91334216635691678</v>
      </c>
      <c r="O8421" s="2">
        <f ca="1"/>
        <v>0.7658767972919075</v>
      </c>
      <c r="X8421" s="2">
        <f ca="1"/>
        <v>31.707906128001198</v>
      </c>
      <c r="AG8421" s="2">
        <f ca="1"/>
        <v>0.71517522013065582</v>
      </c>
      <c r="AH8421" s="2" t="str">
        <f ca="1"/>
        <v>Bad</v>
      </c>
    </row>
    <row r="8422" spans="2:34" x14ac:dyDescent="0.2">
      <c r="B8422" s="2">
        <f ca="1"/>
        <v>0.32447434402211939</v>
      </c>
      <c r="O8422" s="2">
        <f ca="1"/>
        <v>-1.3085636423943774</v>
      </c>
      <c r="X8422" s="2">
        <f ca="1"/>
        <v>47.297617932479696</v>
      </c>
      <c r="AG8422" s="2">
        <f ca="1"/>
        <v>0.15658340400495541</v>
      </c>
      <c r="AH8422" s="2" t="str">
        <f ca="1"/>
        <v>OK</v>
      </c>
    </row>
    <row r="8423" spans="2:34" x14ac:dyDescent="0.2">
      <c r="B8423" s="2">
        <f ca="1"/>
        <v>0.18238033138607945</v>
      </c>
      <c r="O8423" s="2">
        <f ca="1"/>
        <v>1.1159914542292078</v>
      </c>
      <c r="X8423" s="2">
        <f ca="1"/>
        <v>54.260322594843359</v>
      </c>
      <c r="AG8423" s="2">
        <f ca="1"/>
        <v>0.10118697598952853</v>
      </c>
      <c r="AH8423" s="2" t="str">
        <f ca="1"/>
        <v>OK</v>
      </c>
    </row>
    <row r="8424" spans="2:34" x14ac:dyDescent="0.2">
      <c r="B8424" s="2">
        <f ca="1"/>
        <v>0.65673040361393165</v>
      </c>
      <c r="O8424" s="2">
        <f ca="1"/>
        <v>0.49582872891047469</v>
      </c>
      <c r="X8424" s="2">
        <f ca="1"/>
        <v>42.45268376983843</v>
      </c>
      <c r="AG8424" s="2">
        <f ca="1"/>
        <v>8.9282715809964941E-2</v>
      </c>
      <c r="AH8424" s="2" t="str">
        <f ca="1"/>
        <v>OK</v>
      </c>
    </row>
    <row r="8425" spans="2:34" x14ac:dyDescent="0.2">
      <c r="B8425" s="2">
        <f ca="1"/>
        <v>0.12883982849396469</v>
      </c>
      <c r="O8425" s="2">
        <f ca="1"/>
        <v>0.52202581501853018</v>
      </c>
      <c r="X8425" s="2">
        <f ca="1"/>
        <v>30.695366197584196</v>
      </c>
      <c r="AG8425" s="2">
        <f ca="1"/>
        <v>0.20739090380763359</v>
      </c>
      <c r="AH8425" s="2" t="str">
        <f ca="1"/>
        <v>OK</v>
      </c>
    </row>
    <row r="8426" spans="2:34" x14ac:dyDescent="0.2">
      <c r="B8426" s="2">
        <f ca="1"/>
        <v>0.46663545804483375</v>
      </c>
      <c r="O8426" s="2">
        <f ca="1"/>
        <v>-0.52507814548158793</v>
      </c>
      <c r="X8426" s="2">
        <f ca="1"/>
        <v>34.780602811558182</v>
      </c>
      <c r="AG8426" s="2">
        <f ca="1"/>
        <v>0.67433119566994848</v>
      </c>
      <c r="AH8426" s="2" t="str">
        <f ca="1"/>
        <v>Bad</v>
      </c>
    </row>
    <row r="8427" spans="2:34" x14ac:dyDescent="0.2">
      <c r="B8427" s="2">
        <f ca="1"/>
        <v>0.7722594190884724</v>
      </c>
      <c r="O8427" s="2">
        <f ca="1"/>
        <v>1.0160030541550573</v>
      </c>
      <c r="X8427" s="2">
        <f ca="1"/>
        <v>49.66460070918167</v>
      </c>
      <c r="AG8427" s="2">
        <f ca="1"/>
        <v>0.89714126418012041</v>
      </c>
      <c r="AH8427" s="2" t="str">
        <f ca="1"/>
        <v>Bad</v>
      </c>
    </row>
    <row r="8428" spans="2:34" x14ac:dyDescent="0.2">
      <c r="B8428" s="2">
        <f ca="1"/>
        <v>0.50135289697148533</v>
      </c>
      <c r="O8428" s="2">
        <f ca="1"/>
        <v>-0.94941400012005861</v>
      </c>
      <c r="X8428" s="2">
        <f ca="1"/>
        <v>47.963422857634953</v>
      </c>
      <c r="AG8428" s="2">
        <f ca="1"/>
        <v>0.21298301365156291</v>
      </c>
      <c r="AH8428" s="2" t="str">
        <f ca="1"/>
        <v>OK</v>
      </c>
    </row>
    <row r="8429" spans="2:34" x14ac:dyDescent="0.2">
      <c r="B8429" s="2">
        <f ca="1"/>
        <v>0.49838032236364271</v>
      </c>
      <c r="O8429" s="2">
        <f ca="1"/>
        <v>0.10116067407490889</v>
      </c>
      <c r="X8429" s="2">
        <f ca="1"/>
        <v>77.115115968963494</v>
      </c>
      <c r="AG8429" s="2">
        <f ca="1"/>
        <v>0.3562368611737563</v>
      </c>
      <c r="AH8429" s="2" t="str">
        <f ca="1"/>
        <v>OK</v>
      </c>
    </row>
    <row r="8430" spans="2:34" x14ac:dyDescent="0.2">
      <c r="B8430" s="2">
        <f ca="1"/>
        <v>0.21165346329950463</v>
      </c>
      <c r="O8430" s="2">
        <f ca="1"/>
        <v>0.30706957383754191</v>
      </c>
      <c r="X8430" s="2">
        <f ca="1"/>
        <v>33.552161397560667</v>
      </c>
      <c r="AG8430" s="2">
        <f ca="1"/>
        <v>0.10867025692809906</v>
      </c>
      <c r="AH8430" s="2" t="str">
        <f ca="1"/>
        <v>OK</v>
      </c>
    </row>
    <row r="8431" spans="2:34" x14ac:dyDescent="0.2">
      <c r="B8431" s="2">
        <f ca="1"/>
        <v>0.15433627652241633</v>
      </c>
      <c r="O8431" s="2">
        <f ca="1"/>
        <v>0.83247114527553179</v>
      </c>
      <c r="X8431" s="2">
        <f ca="1"/>
        <v>29.903403421202214</v>
      </c>
      <c r="AG8431" s="2">
        <f ca="1"/>
        <v>0.87687033380227342</v>
      </c>
      <c r="AH8431" s="2" t="str">
        <f ca="1"/>
        <v>Bad</v>
      </c>
    </row>
    <row r="8432" spans="2:34" x14ac:dyDescent="0.2">
      <c r="B8432" s="2">
        <f ca="1"/>
        <v>0.89862776844109393</v>
      </c>
      <c r="O8432" s="2">
        <f ca="1"/>
        <v>0.89063087725909129</v>
      </c>
      <c r="X8432" s="2">
        <f ca="1"/>
        <v>67.914639191098928</v>
      </c>
      <c r="AG8432" s="2">
        <f ca="1"/>
        <v>0.75828790960547288</v>
      </c>
      <c r="AH8432" s="2" t="str">
        <f ca="1"/>
        <v>Bad</v>
      </c>
    </row>
    <row r="8433" spans="2:34" x14ac:dyDescent="0.2">
      <c r="B8433" s="2">
        <f ca="1"/>
        <v>0.51079100745672368</v>
      </c>
      <c r="O8433" s="2">
        <f ca="1"/>
        <v>-1.5604565948031528</v>
      </c>
      <c r="X8433" s="2">
        <f ca="1"/>
        <v>63.896165034803673</v>
      </c>
      <c r="AG8433" s="2">
        <f ca="1"/>
        <v>0.13090427476166067</v>
      </c>
      <c r="AH8433" s="2" t="str">
        <f ca="1"/>
        <v>OK</v>
      </c>
    </row>
    <row r="8434" spans="2:34" x14ac:dyDescent="0.2">
      <c r="B8434" s="2">
        <f ca="1"/>
        <v>0.16338350259705026</v>
      </c>
      <c r="O8434" s="2">
        <f ca="1"/>
        <v>1.3244830625620903</v>
      </c>
      <c r="X8434" s="2">
        <f ca="1"/>
        <v>61.213744665229626</v>
      </c>
      <c r="AG8434" s="2">
        <f ca="1"/>
        <v>0.66460675952430104</v>
      </c>
      <c r="AH8434" s="2" t="str">
        <f ca="1"/>
        <v>Bad</v>
      </c>
    </row>
    <row r="8435" spans="2:34" x14ac:dyDescent="0.2">
      <c r="B8435" s="2">
        <f ca="1"/>
        <v>0.71032114122713286</v>
      </c>
      <c r="O8435" s="2">
        <f ca="1"/>
        <v>-0.39193607622445276</v>
      </c>
      <c r="X8435" s="2">
        <f ca="1"/>
        <v>39.323255482742063</v>
      </c>
      <c r="AG8435" s="2">
        <f ca="1"/>
        <v>0.40100632312511086</v>
      </c>
      <c r="AH8435" s="2" t="str">
        <f ca="1"/>
        <v>Bad</v>
      </c>
    </row>
    <row r="8436" spans="2:34" x14ac:dyDescent="0.2">
      <c r="B8436" s="2">
        <f ca="1"/>
        <v>0.83469400912720682</v>
      </c>
      <c r="O8436" s="2">
        <f ca="1"/>
        <v>1.7197385874763929</v>
      </c>
      <c r="X8436" s="2">
        <f ca="1"/>
        <v>46.198244368632295</v>
      </c>
      <c r="AG8436" s="2">
        <f ca="1"/>
        <v>0.72099903002772536</v>
      </c>
      <c r="AH8436" s="2" t="str">
        <f ca="1"/>
        <v>Bad</v>
      </c>
    </row>
    <row r="8437" spans="2:34" x14ac:dyDescent="0.2">
      <c r="B8437" s="2">
        <f ca="1"/>
        <v>0.78163881451055817</v>
      </c>
      <c r="O8437" s="2">
        <f ca="1"/>
        <v>0.30921612051912312</v>
      </c>
      <c r="X8437" s="2">
        <f ca="1"/>
        <v>45.87690194692938</v>
      </c>
      <c r="AG8437" s="2">
        <f ca="1"/>
        <v>0.25514656027610094</v>
      </c>
      <c r="AH8437" s="2" t="str">
        <f ca="1"/>
        <v>OK</v>
      </c>
    </row>
    <row r="8438" spans="2:34" x14ac:dyDescent="0.2">
      <c r="B8438" s="2">
        <f ca="1"/>
        <v>0.87860720520216473</v>
      </c>
      <c r="O8438" s="2">
        <f ca="1"/>
        <v>-0.56598632796303472</v>
      </c>
      <c r="X8438" s="2">
        <f ca="1"/>
        <v>50.571105433666766</v>
      </c>
      <c r="AG8438" s="2">
        <f ca="1"/>
        <v>0.23937576566404584</v>
      </c>
      <c r="AH8438" s="2" t="str">
        <f ca="1"/>
        <v>OK</v>
      </c>
    </row>
    <row r="8439" spans="2:34" x14ac:dyDescent="0.2">
      <c r="B8439" s="2">
        <f ca="1"/>
        <v>0.97887240918224316</v>
      </c>
      <c r="O8439" s="2">
        <f ca="1"/>
        <v>-1.4816165154427574</v>
      </c>
      <c r="X8439" s="2">
        <f ca="1"/>
        <v>35.584372823470964</v>
      </c>
      <c r="AG8439" s="2">
        <f ca="1"/>
        <v>3.5116680443576742E-2</v>
      </c>
      <c r="AH8439" s="2" t="str">
        <f ca="1"/>
        <v>Good</v>
      </c>
    </row>
    <row r="8440" spans="2:34" x14ac:dyDescent="0.2">
      <c r="B8440" s="2">
        <f ca="1"/>
        <v>0.27044694942049086</v>
      </c>
      <c r="O8440" s="2">
        <f ca="1"/>
        <v>0.99963450888243255</v>
      </c>
      <c r="X8440" s="2">
        <f ca="1"/>
        <v>46.367838239656116</v>
      </c>
      <c r="AG8440" s="2">
        <f ca="1"/>
        <v>5.2149581473843298E-2</v>
      </c>
      <c r="AH8440" s="2" t="str">
        <f ca="1"/>
        <v>OK</v>
      </c>
    </row>
    <row r="8441" spans="2:34" x14ac:dyDescent="0.2">
      <c r="B8441" s="2">
        <f ca="1"/>
        <v>0.51516697034371051</v>
      </c>
      <c r="O8441" s="2">
        <f ca="1"/>
        <v>-0.24155941785576177</v>
      </c>
      <c r="X8441" s="2">
        <f ca="1"/>
        <v>38.534851489601557</v>
      </c>
      <c r="AG8441" s="2">
        <f ca="1"/>
        <v>0.3931568045160998</v>
      </c>
      <c r="AH8441" s="2" t="str">
        <f ca="1"/>
        <v>OK</v>
      </c>
    </row>
    <row r="8442" spans="2:34" x14ac:dyDescent="0.2">
      <c r="B8442" s="2">
        <f ca="1"/>
        <v>0.4097129366966743</v>
      </c>
      <c r="O8442" s="2">
        <f ca="1"/>
        <v>8.4889951166752325E-2</v>
      </c>
      <c r="X8442" s="2">
        <f ca="1"/>
        <v>52.878967045321218</v>
      </c>
      <c r="AG8442" s="2">
        <f ca="1"/>
        <v>0.71661051525425901</v>
      </c>
      <c r="AH8442" s="2" t="str">
        <f ca="1"/>
        <v>Bad</v>
      </c>
    </row>
    <row r="8443" spans="2:34" x14ac:dyDescent="0.2">
      <c r="B8443" s="2">
        <f ca="1"/>
        <v>0.32518683267705151</v>
      </c>
      <c r="O8443" s="2">
        <f ca="1"/>
        <v>-0.95752437345906261</v>
      </c>
      <c r="X8443" s="2">
        <f ca="1"/>
        <v>55.409538434863812</v>
      </c>
      <c r="AG8443" s="2">
        <f ca="1"/>
        <v>0.65147593713817065</v>
      </c>
      <c r="AH8443" s="2" t="str">
        <f ca="1"/>
        <v>Bad</v>
      </c>
    </row>
    <row r="8444" spans="2:34" x14ac:dyDescent="0.2">
      <c r="B8444" s="2">
        <f ca="1"/>
        <v>0.13205907895192159</v>
      </c>
      <c r="O8444" s="2">
        <f ca="1"/>
        <v>0.55270227824598939</v>
      </c>
      <c r="X8444" s="2">
        <f ca="1"/>
        <v>25.507109587112765</v>
      </c>
      <c r="AG8444" s="2">
        <f ca="1"/>
        <v>0.9426809561221865</v>
      </c>
      <c r="AH8444" s="2" t="str">
        <f ca="1"/>
        <v>Bad</v>
      </c>
    </row>
    <row r="8445" spans="2:34" x14ac:dyDescent="0.2">
      <c r="B8445" s="2">
        <f ca="1"/>
        <v>0.97918376862328893</v>
      </c>
      <c r="O8445" s="2">
        <f ca="1"/>
        <v>-0.22490101527031403</v>
      </c>
      <c r="X8445" s="2">
        <f ca="1"/>
        <v>47.004563936594856</v>
      </c>
      <c r="AG8445" s="2">
        <f ca="1"/>
        <v>0.38757327627155891</v>
      </c>
      <c r="AH8445" s="2" t="str">
        <f ca="1"/>
        <v>OK</v>
      </c>
    </row>
    <row r="8446" spans="2:34" x14ac:dyDescent="0.2">
      <c r="B8446" s="2">
        <f ca="1"/>
        <v>0.62041769791408874</v>
      </c>
      <c r="O8446" s="2">
        <f ca="1"/>
        <v>0.36024117940408057</v>
      </c>
      <c r="X8446" s="2">
        <f ca="1"/>
        <v>68.142872867841774</v>
      </c>
      <c r="AG8446" s="2">
        <f ca="1"/>
        <v>0.81656517561236197</v>
      </c>
      <c r="AH8446" s="2" t="str">
        <f ca="1"/>
        <v>Bad</v>
      </c>
    </row>
    <row r="8447" spans="2:34" x14ac:dyDescent="0.2">
      <c r="B8447" s="2">
        <f ca="1"/>
        <v>0.58856108920234806</v>
      </c>
      <c r="O8447" s="2">
        <f ca="1"/>
        <v>0.79151923131201507</v>
      </c>
      <c r="X8447" s="2">
        <f ca="1"/>
        <v>100.71109546177809</v>
      </c>
      <c r="AG8447" s="2">
        <f ca="1"/>
        <v>0.79501740262911524</v>
      </c>
      <c r="AH8447" s="2" t="str">
        <f ca="1"/>
        <v>Bad</v>
      </c>
    </row>
    <row r="8448" spans="2:34" x14ac:dyDescent="0.2">
      <c r="B8448" s="2">
        <f ca="1"/>
        <v>0.55733934542923058</v>
      </c>
      <c r="O8448" s="2">
        <f ca="1"/>
        <v>0.3208558444147056</v>
      </c>
      <c r="X8448" s="2">
        <f ca="1"/>
        <v>25.303671453290853</v>
      </c>
      <c r="AG8448" s="2">
        <f ca="1"/>
        <v>0.18041811894396842</v>
      </c>
      <c r="AH8448" s="2" t="str">
        <f ca="1"/>
        <v>OK</v>
      </c>
    </row>
    <row r="8449" spans="2:34" x14ac:dyDescent="0.2">
      <c r="B8449" s="2">
        <f ca="1"/>
        <v>0.1907503614985171</v>
      </c>
      <c r="O8449" s="2">
        <f ca="1"/>
        <v>1.064019358614271</v>
      </c>
      <c r="X8449" s="2">
        <f ca="1"/>
        <v>27.846935403430287</v>
      </c>
      <c r="AG8449" s="2">
        <f ca="1"/>
        <v>0.28310218069016924</v>
      </c>
      <c r="AH8449" s="2" t="str">
        <f ca="1"/>
        <v>OK</v>
      </c>
    </row>
    <row r="8450" spans="2:34" x14ac:dyDescent="0.2">
      <c r="B8450" s="2">
        <f ca="1"/>
        <v>0.31412275831319514</v>
      </c>
      <c r="O8450" s="2">
        <f ca="1"/>
        <v>-1.7893775131879566</v>
      </c>
      <c r="X8450" s="2">
        <f ca="1"/>
        <v>48.545979450150945</v>
      </c>
      <c r="AG8450" s="2">
        <f ca="1"/>
        <v>0.96698291231678102</v>
      </c>
      <c r="AH8450" s="2" t="str">
        <f ca="1"/>
        <v>Bad</v>
      </c>
    </row>
    <row r="8451" spans="2:34" x14ac:dyDescent="0.2">
      <c r="B8451" s="2">
        <f ca="1"/>
        <v>0.55856471812401276</v>
      </c>
      <c r="O8451" s="2">
        <f ca="1"/>
        <v>-0.15679666835586331</v>
      </c>
      <c r="X8451" s="2">
        <f ca="1"/>
        <v>45.600507354259364</v>
      </c>
      <c r="AG8451" s="2">
        <f ca="1"/>
        <v>0.14169609112042059</v>
      </c>
      <c r="AH8451" s="2" t="str">
        <f ca="1"/>
        <v>OK</v>
      </c>
    </row>
    <row r="8452" spans="2:34" x14ac:dyDescent="0.2">
      <c r="B8452" s="2">
        <f ca="1"/>
        <v>0.37559639379493071</v>
      </c>
      <c r="O8452" s="2">
        <f ca="1"/>
        <v>-0.91759419695644129</v>
      </c>
      <c r="X8452" s="2">
        <f ca="1"/>
        <v>41.685768795107577</v>
      </c>
      <c r="AG8452" s="2">
        <f ca="1"/>
        <v>0.55906235648788893</v>
      </c>
      <c r="AH8452" s="2" t="str">
        <f ca="1"/>
        <v>Bad</v>
      </c>
    </row>
    <row r="8453" spans="2:34" x14ac:dyDescent="0.2">
      <c r="B8453" s="2">
        <f ca="1"/>
        <v>0.93470594250124939</v>
      </c>
      <c r="O8453" s="2">
        <f ca="1"/>
        <v>-2.0110381948184797</v>
      </c>
      <c r="X8453" s="2">
        <f ca="1"/>
        <v>55.05191168436204</v>
      </c>
      <c r="AG8453" s="2">
        <f ca="1"/>
        <v>0.79616128941327191</v>
      </c>
      <c r="AH8453" s="2" t="str">
        <f ca="1"/>
        <v>Bad</v>
      </c>
    </row>
    <row r="8454" spans="2:34" x14ac:dyDescent="0.2">
      <c r="B8454" s="2">
        <f ca="1"/>
        <v>0.67740654922480315</v>
      </c>
      <c r="O8454" s="2">
        <f ca="1"/>
        <v>-1.4037166455256453</v>
      </c>
      <c r="X8454" s="2">
        <f ca="1"/>
        <v>58.378365726002798</v>
      </c>
      <c r="AG8454" s="2">
        <f ca="1"/>
        <v>0.14946984547528297</v>
      </c>
      <c r="AH8454" s="2" t="str">
        <f ca="1"/>
        <v>OK</v>
      </c>
    </row>
    <row r="8455" spans="2:34" x14ac:dyDescent="0.2">
      <c r="B8455" s="2">
        <f ca="1"/>
        <v>0.22432235815109447</v>
      </c>
      <c r="O8455" s="2">
        <f ca="1"/>
        <v>-1.070661424044393</v>
      </c>
      <c r="X8455" s="2">
        <f ca="1"/>
        <v>43.060068576954471</v>
      </c>
      <c r="AG8455" s="2">
        <f ca="1"/>
        <v>0.15231035214781197</v>
      </c>
      <c r="AH8455" s="2" t="str">
        <f ca="1"/>
        <v>OK</v>
      </c>
    </row>
    <row r="8456" spans="2:34" x14ac:dyDescent="0.2">
      <c r="B8456" s="2">
        <f ca="1"/>
        <v>4.8154777489918255E-2</v>
      </c>
      <c r="O8456" s="2">
        <f ca="1"/>
        <v>-1.4115398653406379</v>
      </c>
      <c r="X8456" s="2">
        <f ca="1"/>
        <v>44.209589247813113</v>
      </c>
      <c r="AG8456" s="2">
        <f ca="1"/>
        <v>0.4502197601667608</v>
      </c>
      <c r="AH8456" s="2" t="str">
        <f ca="1"/>
        <v>Bad</v>
      </c>
    </row>
    <row r="8457" spans="2:34" x14ac:dyDescent="0.2">
      <c r="B8457" s="2">
        <f ca="1"/>
        <v>0.43701293969399879</v>
      </c>
      <c r="O8457" s="2">
        <f ca="1"/>
        <v>-0.91706761672242398</v>
      </c>
      <c r="X8457" s="2">
        <f ca="1"/>
        <v>48.437861597251697</v>
      </c>
      <c r="AG8457" s="2">
        <f ca="1"/>
        <v>0.15347699108416668</v>
      </c>
      <c r="AH8457" s="2" t="str">
        <f ca="1"/>
        <v>OK</v>
      </c>
    </row>
    <row r="8458" spans="2:34" x14ac:dyDescent="0.2">
      <c r="B8458" s="2">
        <f ca="1"/>
        <v>0.48527852004573879</v>
      </c>
      <c r="O8458" s="2">
        <f ca="1"/>
        <v>-0.58395687333604618</v>
      </c>
      <c r="X8458" s="2">
        <f ca="1"/>
        <v>39.146201337544191</v>
      </c>
      <c r="AG8458" s="2">
        <f ca="1"/>
        <v>0.93095445578441982</v>
      </c>
      <c r="AH8458" s="2" t="str">
        <f ca="1"/>
        <v>Bad</v>
      </c>
    </row>
    <row r="8459" spans="2:34" x14ac:dyDescent="0.2">
      <c r="B8459" s="2">
        <f ca="1"/>
        <v>0.27836408327634432</v>
      </c>
      <c r="O8459" s="2">
        <f ca="1"/>
        <v>-1.3561464785583333</v>
      </c>
      <c r="X8459" s="2">
        <f ca="1"/>
        <v>30.133704611800933</v>
      </c>
      <c r="AG8459" s="2">
        <f ca="1"/>
        <v>0.971800721634964</v>
      </c>
      <c r="AH8459" s="2" t="str">
        <f ca="1"/>
        <v>Bad</v>
      </c>
    </row>
    <row r="8460" spans="2:34" x14ac:dyDescent="0.2">
      <c r="B8460" s="2">
        <f ca="1"/>
        <v>0.55909937881909055</v>
      </c>
      <c r="O8460" s="2">
        <f ca="1"/>
        <v>2.1675913291225788</v>
      </c>
      <c r="X8460" s="2">
        <f ca="1"/>
        <v>40.618667888292109</v>
      </c>
      <c r="AG8460" s="2">
        <f ca="1"/>
        <v>0.22264577987930756</v>
      </c>
      <c r="AH8460" s="2" t="str">
        <f ca="1"/>
        <v>OK</v>
      </c>
    </row>
    <row r="8461" spans="2:34" x14ac:dyDescent="0.2">
      <c r="B8461" s="2">
        <f ca="1"/>
        <v>0.96142751420784811</v>
      </c>
      <c r="O8461" s="2">
        <f ca="1"/>
        <v>0.12845720910396988</v>
      </c>
      <c r="X8461" s="2">
        <f ca="1"/>
        <v>49.419287140895776</v>
      </c>
      <c r="AG8461" s="2">
        <f ca="1"/>
        <v>0.22726904818682181</v>
      </c>
      <c r="AH8461" s="2" t="str">
        <f ca="1"/>
        <v>OK</v>
      </c>
    </row>
    <row r="8462" spans="2:34" x14ac:dyDescent="0.2">
      <c r="B8462" s="2">
        <f ca="1"/>
        <v>0.13469370816714243</v>
      </c>
      <c r="O8462" s="2">
        <f ca="1"/>
        <v>0.1126991862344016</v>
      </c>
      <c r="X8462" s="2">
        <f ca="1"/>
        <v>63.927209057541731</v>
      </c>
      <c r="AG8462" s="2">
        <f ca="1"/>
        <v>0.14886727258793764</v>
      </c>
      <c r="AH8462" s="2" t="str">
        <f ca="1"/>
        <v>OK</v>
      </c>
    </row>
    <row r="8463" spans="2:34" x14ac:dyDescent="0.2">
      <c r="B8463" s="2">
        <f ca="1"/>
        <v>0.15593111076620758</v>
      </c>
      <c r="O8463" s="2">
        <f ca="1"/>
        <v>0.77282639277303999</v>
      </c>
      <c r="X8463" s="2">
        <f ca="1"/>
        <v>49.043260172772548</v>
      </c>
      <c r="AG8463" s="2">
        <f ca="1"/>
        <v>0.36088292908152675</v>
      </c>
      <c r="AH8463" s="2" t="str">
        <f ca="1"/>
        <v>OK</v>
      </c>
    </row>
    <row r="8464" spans="2:34" x14ac:dyDescent="0.2">
      <c r="B8464" s="2">
        <f ca="1"/>
        <v>0.43042639532059823</v>
      </c>
      <c r="O8464" s="2">
        <f ca="1"/>
        <v>-1.2869134184029352</v>
      </c>
      <c r="X8464" s="2">
        <f ca="1"/>
        <v>36.910448452338571</v>
      </c>
      <c r="AG8464" s="2">
        <f ca="1"/>
        <v>0.86474664940107959</v>
      </c>
      <c r="AH8464" s="2" t="str">
        <f ca="1"/>
        <v>Bad</v>
      </c>
    </row>
    <row r="8465" spans="2:34" x14ac:dyDescent="0.2">
      <c r="B8465" s="2">
        <f ca="1"/>
        <v>0.49083955782760458</v>
      </c>
      <c r="O8465" s="2">
        <f ca="1"/>
        <v>1.7481691787248093</v>
      </c>
      <c r="X8465" s="2">
        <f ca="1"/>
        <v>57.260634657130836</v>
      </c>
      <c r="AG8465" s="2">
        <f ca="1"/>
        <v>0.74950241664063566</v>
      </c>
      <c r="AH8465" s="2" t="str">
        <f ca="1"/>
        <v>Bad</v>
      </c>
    </row>
    <row r="8466" spans="2:34" x14ac:dyDescent="0.2">
      <c r="B8466" s="2">
        <f ca="1"/>
        <v>0.20394761804337236</v>
      </c>
      <c r="O8466" s="2">
        <f ca="1"/>
        <v>0.35692724573728285</v>
      </c>
      <c r="X8466" s="2">
        <f ca="1"/>
        <v>48.057174273063403</v>
      </c>
      <c r="AG8466" s="2">
        <f ca="1"/>
        <v>0.7697367740004355</v>
      </c>
      <c r="AH8466" s="2" t="str">
        <f ca="1"/>
        <v>Bad</v>
      </c>
    </row>
    <row r="8467" spans="2:34" x14ac:dyDescent="0.2">
      <c r="B8467" s="2">
        <f ca="1"/>
        <v>8.454806312355978E-2</v>
      </c>
      <c r="O8467" s="2">
        <f ca="1"/>
        <v>3.333243337678899E-2</v>
      </c>
      <c r="X8467" s="2">
        <f ca="1"/>
        <v>15.576879094656926</v>
      </c>
      <c r="AG8467" s="2">
        <f ca="1"/>
        <v>0.79828687258841224</v>
      </c>
      <c r="AH8467" s="2" t="str">
        <f ca="1"/>
        <v>Bad</v>
      </c>
    </row>
    <row r="8468" spans="2:34" x14ac:dyDescent="0.2">
      <c r="B8468" s="2">
        <f ca="1"/>
        <v>0.54909487134295154</v>
      </c>
      <c r="O8468" s="2">
        <f ca="1"/>
        <v>0.21263528188943406</v>
      </c>
      <c r="X8468" s="2">
        <f ca="1"/>
        <v>34.698415655068423</v>
      </c>
      <c r="AG8468" s="2">
        <f ca="1"/>
        <v>0.56946080781246611</v>
      </c>
      <c r="AH8468" s="2" t="str">
        <f ca="1"/>
        <v>Bad</v>
      </c>
    </row>
    <row r="8469" spans="2:34" x14ac:dyDescent="0.2">
      <c r="B8469" s="2">
        <f ca="1"/>
        <v>0.25081306708351248</v>
      </c>
      <c r="O8469" s="2">
        <f ca="1"/>
        <v>-1.0349194612984929</v>
      </c>
      <c r="X8469" s="2">
        <f ca="1"/>
        <v>65.303871173578358</v>
      </c>
      <c r="AG8469" s="2">
        <f ca="1"/>
        <v>0.33696056013344955</v>
      </c>
      <c r="AH8469" s="2" t="str">
        <f ca="1"/>
        <v>OK</v>
      </c>
    </row>
    <row r="8470" spans="2:34" x14ac:dyDescent="0.2">
      <c r="B8470" s="2">
        <f ca="1"/>
        <v>0.4713083033747183</v>
      </c>
      <c r="O8470" s="2">
        <f ca="1"/>
        <v>0.42717974895641103</v>
      </c>
      <c r="X8470" s="2">
        <f ca="1"/>
        <v>50.554084127273818</v>
      </c>
      <c r="AG8470" s="2">
        <f ca="1"/>
        <v>0.98876555349343542</v>
      </c>
      <c r="AH8470" s="2" t="str">
        <f ca="1"/>
        <v>Bad</v>
      </c>
    </row>
    <row r="8471" spans="2:34" x14ac:dyDescent="0.2">
      <c r="B8471" s="2">
        <f ca="1"/>
        <v>0.89816813207439483</v>
      </c>
      <c r="O8471" s="2">
        <f ca="1"/>
        <v>1.3657799225720511</v>
      </c>
      <c r="X8471" s="2">
        <f ca="1"/>
        <v>50.175660341636352</v>
      </c>
      <c r="AG8471" s="2">
        <f ca="1"/>
        <v>0.5121068567620688</v>
      </c>
      <c r="AH8471" s="2" t="str">
        <f ca="1"/>
        <v>Bad</v>
      </c>
    </row>
    <row r="8472" spans="2:34" x14ac:dyDescent="0.2">
      <c r="B8472" s="2">
        <f ca="1"/>
        <v>7.5721251940120027E-2</v>
      </c>
      <c r="O8472" s="2">
        <f ca="1"/>
        <v>-0.88744219610134567</v>
      </c>
      <c r="X8472" s="2">
        <f ca="1"/>
        <v>42.502714695225151</v>
      </c>
      <c r="AG8472" s="2">
        <f ca="1"/>
        <v>0.58740334585580301</v>
      </c>
      <c r="AH8472" s="2" t="str">
        <f ca="1"/>
        <v>Bad</v>
      </c>
    </row>
    <row r="8473" spans="2:34" x14ac:dyDescent="0.2">
      <c r="B8473" s="2">
        <f ca="1"/>
        <v>0.50683351543358035</v>
      </c>
      <c r="O8473" s="2">
        <f ca="1"/>
        <v>-0.83844142766672991</v>
      </c>
      <c r="X8473" s="2">
        <f ca="1"/>
        <v>61.959792456275402</v>
      </c>
      <c r="AG8473" s="2">
        <f ca="1"/>
        <v>0.63293275945667116</v>
      </c>
      <c r="AH8473" s="2" t="str">
        <f ca="1"/>
        <v>Bad</v>
      </c>
    </row>
    <row r="8474" spans="2:34" x14ac:dyDescent="0.2">
      <c r="B8474" s="2">
        <f ca="1"/>
        <v>0.99688174382209849</v>
      </c>
      <c r="O8474" s="2">
        <f ca="1"/>
        <v>0.53018206389734879</v>
      </c>
      <c r="X8474" s="2">
        <f ca="1"/>
        <v>43.92389876567772</v>
      </c>
      <c r="AG8474" s="2">
        <f ca="1"/>
        <v>0.4943358286614481</v>
      </c>
      <c r="AH8474" s="2" t="str">
        <f ca="1"/>
        <v>Bad</v>
      </c>
    </row>
    <row r="8475" spans="2:34" x14ac:dyDescent="0.2">
      <c r="B8475" s="2">
        <f ca="1"/>
        <v>0.61733545544360613</v>
      </c>
      <c r="O8475" s="2">
        <f ca="1"/>
        <v>-0.83065078187067309</v>
      </c>
      <c r="X8475" s="2">
        <f ca="1"/>
        <v>42.432118159975488</v>
      </c>
      <c r="AG8475" s="2">
        <f ca="1"/>
        <v>0.2202218270661771</v>
      </c>
      <c r="AH8475" s="2" t="str">
        <f ca="1"/>
        <v>OK</v>
      </c>
    </row>
    <row r="8476" spans="2:34" x14ac:dyDescent="0.2">
      <c r="B8476" s="2">
        <f ca="1"/>
        <v>2.1700937429522282E-2</v>
      </c>
      <c r="O8476" s="2">
        <f ca="1"/>
        <v>6.6449487707240851E-2</v>
      </c>
      <c r="X8476" s="2">
        <f ca="1"/>
        <v>65.829489503715038</v>
      </c>
      <c r="AG8476" s="2">
        <f ca="1"/>
        <v>0.64786939108385888</v>
      </c>
      <c r="AH8476" s="2" t="str">
        <f ca="1"/>
        <v>Bad</v>
      </c>
    </row>
    <row r="8477" spans="2:34" x14ac:dyDescent="0.2">
      <c r="B8477" s="2">
        <f ca="1"/>
        <v>0.7961114437961454</v>
      </c>
      <c r="O8477" s="2">
        <f ca="1"/>
        <v>2.2908636245411884</v>
      </c>
      <c r="X8477" s="2">
        <f ca="1"/>
        <v>56.801342747971773</v>
      </c>
      <c r="AG8477" s="2">
        <f ca="1"/>
        <v>0.56819614585325406</v>
      </c>
      <c r="AH8477" s="2" t="str">
        <f ca="1"/>
        <v>Bad</v>
      </c>
    </row>
    <row r="8478" spans="2:34" x14ac:dyDescent="0.2">
      <c r="B8478" s="2">
        <f ca="1"/>
        <v>0.95460395405331311</v>
      </c>
      <c r="O8478" s="2">
        <f ca="1"/>
        <v>0.13045398290411023</v>
      </c>
      <c r="X8478" s="2">
        <f ca="1"/>
        <v>57.219494403314954</v>
      </c>
      <c r="AG8478" s="2">
        <f ca="1"/>
        <v>0.72600451600306992</v>
      </c>
      <c r="AH8478" s="2" t="str">
        <f ca="1"/>
        <v>Bad</v>
      </c>
    </row>
    <row r="8479" spans="2:34" x14ac:dyDescent="0.2">
      <c r="B8479" s="2">
        <f ca="1"/>
        <v>0.77395640729150261</v>
      </c>
      <c r="O8479" s="2">
        <f ca="1"/>
        <v>-0.55136824797281458</v>
      </c>
      <c r="X8479" s="2">
        <f ca="1"/>
        <v>67.332307126228955</v>
      </c>
      <c r="AG8479" s="2">
        <f ca="1"/>
        <v>0.61380011697828873</v>
      </c>
      <c r="AH8479" s="2" t="str">
        <f ca="1"/>
        <v>Bad</v>
      </c>
    </row>
    <row r="8480" spans="2:34" x14ac:dyDescent="0.2">
      <c r="B8480" s="2">
        <f ca="1"/>
        <v>0.98941115021372594</v>
      </c>
      <c r="O8480" s="2">
        <f ca="1"/>
        <v>-0.37263380998825257</v>
      </c>
      <c r="X8480" s="2">
        <f ca="1"/>
        <v>53.509676085937841</v>
      </c>
      <c r="AG8480" s="2">
        <f ca="1"/>
        <v>0.99745994499528656</v>
      </c>
      <c r="AH8480" s="2" t="str">
        <f ca="1"/>
        <v>Bad</v>
      </c>
    </row>
    <row r="8481" spans="2:34" x14ac:dyDescent="0.2">
      <c r="B8481" s="2">
        <f ca="1"/>
        <v>0.33140061174587587</v>
      </c>
      <c r="O8481" s="2">
        <f ca="1"/>
        <v>-1.5663721100348644</v>
      </c>
      <c r="X8481" s="2">
        <f ca="1"/>
        <v>65.533696997626464</v>
      </c>
      <c r="AG8481" s="2">
        <f ca="1"/>
        <v>0.35529006055358137</v>
      </c>
      <c r="AH8481" s="2" t="str">
        <f ca="1"/>
        <v>OK</v>
      </c>
    </row>
    <row r="8482" spans="2:34" x14ac:dyDescent="0.2">
      <c r="B8482" s="2">
        <f ca="1"/>
        <v>0.90413652268446199</v>
      </c>
      <c r="O8482" s="2">
        <f ca="1"/>
        <v>0.4303813133419051</v>
      </c>
      <c r="X8482" s="2">
        <f ca="1"/>
        <v>53.651731593060468</v>
      </c>
      <c r="AG8482" s="2">
        <f ca="1"/>
        <v>0.82562798066680565</v>
      </c>
      <c r="AH8482" s="2" t="str">
        <f ca="1"/>
        <v>Bad</v>
      </c>
    </row>
    <row r="8483" spans="2:34" x14ac:dyDescent="0.2">
      <c r="B8483" s="2">
        <f ca="1"/>
        <v>0.75966007143430603</v>
      </c>
      <c r="O8483" s="2">
        <f ca="1"/>
        <v>-0.67751429511871342</v>
      </c>
      <c r="X8483" s="2">
        <f ca="1"/>
        <v>68.364176751554311</v>
      </c>
      <c r="AG8483" s="2">
        <f ca="1"/>
        <v>0.15977483290839878</v>
      </c>
      <c r="AH8483" s="2" t="str">
        <f ca="1"/>
        <v>OK</v>
      </c>
    </row>
    <row r="8484" spans="2:34" x14ac:dyDescent="0.2">
      <c r="B8484" s="2">
        <f ca="1"/>
        <v>0.34154632645334693</v>
      </c>
      <c r="O8484" s="2">
        <f ca="1"/>
        <v>-0.48915705381082702</v>
      </c>
      <c r="X8484" s="2">
        <f ca="1"/>
        <v>106.23485608747328</v>
      </c>
      <c r="AG8484" s="2">
        <f ca="1"/>
        <v>0.45969576586728667</v>
      </c>
      <c r="AH8484" s="2" t="str">
        <f ca="1"/>
        <v>Bad</v>
      </c>
    </row>
    <row r="8485" spans="2:34" x14ac:dyDescent="0.2">
      <c r="B8485" s="2">
        <f ca="1"/>
        <v>4.0617026998711392E-2</v>
      </c>
      <c r="O8485" s="2">
        <f ca="1"/>
        <v>-1.2614620260537417</v>
      </c>
      <c r="X8485" s="2">
        <f ca="1"/>
        <v>57.955344882788687</v>
      </c>
      <c r="AG8485" s="2">
        <f ca="1"/>
        <v>0.77749450074139004</v>
      </c>
      <c r="AH8485" s="2" t="str">
        <f ca="1"/>
        <v>Bad</v>
      </c>
    </row>
    <row r="8486" spans="2:34" x14ac:dyDescent="0.2">
      <c r="B8486" s="2">
        <f ca="1"/>
        <v>0.24804298163287597</v>
      </c>
      <c r="O8486" s="2">
        <f ca="1"/>
        <v>6.6316510064120898E-2</v>
      </c>
      <c r="X8486" s="2">
        <f ca="1"/>
        <v>37.644331206565774</v>
      </c>
      <c r="AG8486" s="2">
        <f ca="1"/>
        <v>9.3335941757639374E-2</v>
      </c>
      <c r="AH8486" s="2" t="str">
        <f ca="1"/>
        <v>OK</v>
      </c>
    </row>
    <row r="8487" spans="2:34" x14ac:dyDescent="0.2">
      <c r="B8487" s="2">
        <f ca="1"/>
        <v>0.95243890559958144</v>
      </c>
      <c r="O8487" s="2">
        <f ca="1"/>
        <v>-0.9764278077580083</v>
      </c>
      <c r="X8487" s="2">
        <f ca="1"/>
        <v>70.101645535167364</v>
      </c>
      <c r="AG8487" s="2">
        <f ca="1"/>
        <v>0.33607937920278874</v>
      </c>
      <c r="AH8487" s="2" t="str">
        <f ca="1"/>
        <v>OK</v>
      </c>
    </row>
    <row r="8488" spans="2:34" x14ac:dyDescent="0.2">
      <c r="B8488" s="2">
        <f ca="1"/>
        <v>0.92167731480623627</v>
      </c>
      <c r="O8488" s="2">
        <f ca="1"/>
        <v>0.7938189649946874</v>
      </c>
      <c r="X8488" s="2">
        <f ca="1"/>
        <v>39.813990955813793</v>
      </c>
      <c r="AG8488" s="2">
        <f ca="1"/>
        <v>4.7413621280432361E-2</v>
      </c>
      <c r="AH8488" s="2" t="str">
        <f ca="1"/>
        <v>Good</v>
      </c>
    </row>
    <row r="8489" spans="2:34" x14ac:dyDescent="0.2">
      <c r="B8489" s="2">
        <f ca="1"/>
        <v>0.55429027250183904</v>
      </c>
      <c r="O8489" s="2">
        <f ca="1"/>
        <v>-1.9201375487595949</v>
      </c>
      <c r="X8489" s="2">
        <f ca="1"/>
        <v>29.324832329062289</v>
      </c>
      <c r="AG8489" s="2">
        <f ca="1"/>
        <v>0.31221557989263649</v>
      </c>
      <c r="AH8489" s="2" t="str">
        <f ca="1"/>
        <v>OK</v>
      </c>
    </row>
    <row r="8490" spans="2:34" x14ac:dyDescent="0.2">
      <c r="B8490" s="2">
        <f ca="1"/>
        <v>0.46904743655891523</v>
      </c>
      <c r="O8490" s="2">
        <f ca="1"/>
        <v>-0.22613688430298748</v>
      </c>
      <c r="X8490" s="2">
        <f ca="1"/>
        <v>53.270598713357927</v>
      </c>
      <c r="AG8490" s="2">
        <f ca="1"/>
        <v>0.14302099369395216</v>
      </c>
      <c r="AH8490" s="2" t="str">
        <f ca="1"/>
        <v>OK</v>
      </c>
    </row>
    <row r="8491" spans="2:34" x14ac:dyDescent="0.2">
      <c r="B8491" s="2">
        <f ca="1"/>
        <v>0.64476068369732187</v>
      </c>
      <c r="O8491" s="2">
        <f ca="1"/>
        <v>1.9937548404252234</v>
      </c>
      <c r="X8491" s="2">
        <f ca="1"/>
        <v>36.470494776526266</v>
      </c>
      <c r="AG8491" s="2">
        <f ca="1"/>
        <v>0.3997613462178804</v>
      </c>
      <c r="AH8491" s="2" t="str">
        <f ca="1"/>
        <v>OK</v>
      </c>
    </row>
    <row r="8492" spans="2:34" x14ac:dyDescent="0.2">
      <c r="B8492" s="2">
        <f ca="1"/>
        <v>0.38258178551424837</v>
      </c>
      <c r="O8492" s="2">
        <f ca="1"/>
        <v>0.41619022261789229</v>
      </c>
      <c r="X8492" s="2">
        <f ca="1"/>
        <v>49.880346135311967</v>
      </c>
      <c r="AG8492" s="2">
        <f ca="1"/>
        <v>0.65615002547079349</v>
      </c>
      <c r="AH8492" s="2" t="str">
        <f ca="1"/>
        <v>Bad</v>
      </c>
    </row>
    <row r="8493" spans="2:34" x14ac:dyDescent="0.2">
      <c r="B8493" s="2">
        <f ca="1"/>
        <v>0.16967719978747531</v>
      </c>
      <c r="O8493" s="2">
        <f ca="1"/>
        <v>0.82549853989749855</v>
      </c>
      <c r="X8493" s="2">
        <f ca="1"/>
        <v>46.372230013304261</v>
      </c>
      <c r="AG8493" s="2">
        <f ca="1"/>
        <v>0.81934653182195016</v>
      </c>
      <c r="AH8493" s="2" t="str">
        <f ca="1"/>
        <v>Bad</v>
      </c>
    </row>
    <row r="8494" spans="2:34" x14ac:dyDescent="0.2">
      <c r="B8494" s="2">
        <f ca="1"/>
        <v>5.893397777775089E-3</v>
      </c>
      <c r="O8494" s="2">
        <f ca="1"/>
        <v>-2.0307238619159125</v>
      </c>
      <c r="X8494" s="2">
        <f ca="1"/>
        <v>65.031254379832404</v>
      </c>
      <c r="AG8494" s="2">
        <f ca="1"/>
        <v>0.28901142393223878</v>
      </c>
      <c r="AH8494" s="2" t="str">
        <f ca="1"/>
        <v>OK</v>
      </c>
    </row>
    <row r="8495" spans="2:34" x14ac:dyDescent="0.2">
      <c r="B8495" s="2">
        <f ca="1"/>
        <v>0.10232609254287905</v>
      </c>
      <c r="O8495" s="2">
        <f ca="1"/>
        <v>-0.8619378372365698</v>
      </c>
      <c r="X8495" s="2">
        <f ca="1"/>
        <v>23.463390317307855</v>
      </c>
      <c r="AG8495" s="2">
        <f ca="1"/>
        <v>0.86783671775354598</v>
      </c>
      <c r="AH8495" s="2" t="str">
        <f ca="1"/>
        <v>Bad</v>
      </c>
    </row>
    <row r="8496" spans="2:34" x14ac:dyDescent="0.2">
      <c r="B8496" s="2">
        <f ca="1"/>
        <v>0.87063714600506525</v>
      </c>
      <c r="O8496" s="2">
        <f ca="1"/>
        <v>0.54341978285670889</v>
      </c>
      <c r="X8496" s="2">
        <f ca="1"/>
        <v>63.609204261470829</v>
      </c>
      <c r="AG8496" s="2">
        <f ca="1"/>
        <v>0.17595136339863426</v>
      </c>
      <c r="AH8496" s="2" t="str">
        <f ca="1"/>
        <v>OK</v>
      </c>
    </row>
    <row r="8497" spans="2:34" x14ac:dyDescent="0.2">
      <c r="B8497" s="2">
        <f ca="1"/>
        <v>0.85705041150707695</v>
      </c>
      <c r="O8497" s="2">
        <f ca="1"/>
        <v>-0.91960998310163367</v>
      </c>
      <c r="X8497" s="2">
        <f ca="1"/>
        <v>70.844555293275192</v>
      </c>
      <c r="AG8497" s="2">
        <f ca="1"/>
        <v>0.76772581694060604</v>
      </c>
      <c r="AH8497" s="2" t="str">
        <f ca="1"/>
        <v>Bad</v>
      </c>
    </row>
    <row r="8498" spans="2:34" x14ac:dyDescent="0.2">
      <c r="B8498" s="2">
        <f ca="1"/>
        <v>0.80387702829895269</v>
      </c>
      <c r="O8498" s="2">
        <f ca="1"/>
        <v>0.20373109419444924</v>
      </c>
      <c r="X8498" s="2">
        <f ca="1"/>
        <v>35.670829278890977</v>
      </c>
      <c r="AG8498" s="2">
        <f ca="1"/>
        <v>0.42334472478543073</v>
      </c>
      <c r="AH8498" s="2" t="str">
        <f ca="1"/>
        <v>Bad</v>
      </c>
    </row>
    <row r="8499" spans="2:34" x14ac:dyDescent="0.2">
      <c r="B8499" s="2">
        <f ca="1"/>
        <v>5.5013411535859591E-2</v>
      </c>
      <c r="O8499" s="2">
        <f ca="1"/>
        <v>-9.4489642985680744E-2</v>
      </c>
      <c r="X8499" s="2">
        <f ca="1"/>
        <v>61.09263475597335</v>
      </c>
      <c r="AG8499" s="2">
        <f ca="1"/>
        <v>0.9176970541672036</v>
      </c>
      <c r="AH8499" s="2" t="str">
        <f ca="1"/>
        <v>Bad</v>
      </c>
    </row>
    <row r="8500" spans="2:34" x14ac:dyDescent="0.2">
      <c r="B8500" s="2">
        <f ca="1"/>
        <v>0.40484712315170723</v>
      </c>
      <c r="O8500" s="2">
        <f ca="1"/>
        <v>-0.27872353898400237</v>
      </c>
      <c r="X8500" s="2">
        <f ca="1"/>
        <v>39.912997885782914</v>
      </c>
      <c r="AG8500" s="2">
        <f ca="1"/>
        <v>0.47089091577051168</v>
      </c>
      <c r="AH8500" s="2" t="str">
        <f ca="1"/>
        <v>Bad</v>
      </c>
    </row>
    <row r="8501" spans="2:34" x14ac:dyDescent="0.2">
      <c r="B8501" s="2">
        <f ca="1"/>
        <v>0.18307335654308821</v>
      </c>
      <c r="O8501" s="2">
        <f ca="1"/>
        <v>1.0159832673219094</v>
      </c>
      <c r="X8501" s="2">
        <f ca="1"/>
        <v>37.911022797558864</v>
      </c>
      <c r="AG8501" s="2">
        <f ca="1"/>
        <v>0.17977723280369817</v>
      </c>
      <c r="AH8501" s="2" t="str">
        <f ca="1"/>
        <v>OK</v>
      </c>
    </row>
    <row r="8502" spans="2:34" x14ac:dyDescent="0.2">
      <c r="B8502" s="2">
        <f ca="1"/>
        <v>0.16178468034966542</v>
      </c>
      <c r="O8502" s="2">
        <f ca="1"/>
        <v>-0.14389481096277631</v>
      </c>
      <c r="X8502" s="2">
        <f ca="1"/>
        <v>36.59340687805355</v>
      </c>
      <c r="AG8502" s="2">
        <f ca="1"/>
        <v>0.92436935347093185</v>
      </c>
      <c r="AH8502" s="2" t="str">
        <f ca="1"/>
        <v>Bad</v>
      </c>
    </row>
    <row r="8503" spans="2:34" x14ac:dyDescent="0.2">
      <c r="B8503" s="2">
        <f ca="1"/>
        <v>0.31979170227964504</v>
      </c>
      <c r="O8503" s="2">
        <f ca="1"/>
        <v>-1.3135609960328425</v>
      </c>
      <c r="X8503" s="2">
        <f ca="1"/>
        <v>46.025052255264967</v>
      </c>
      <c r="AG8503" s="2">
        <f ca="1"/>
        <v>0.74700888959933032</v>
      </c>
      <c r="AH8503" s="2" t="str">
        <f ca="1"/>
        <v>Bad</v>
      </c>
    </row>
    <row r="8504" spans="2:34" x14ac:dyDescent="0.2">
      <c r="B8504" s="2">
        <f ca="1"/>
        <v>0.95785403059988861</v>
      </c>
      <c r="O8504" s="2">
        <f ca="1"/>
        <v>-9.7926940354831307E-2</v>
      </c>
      <c r="X8504" s="2">
        <f ca="1"/>
        <v>63.660108171766431</v>
      </c>
      <c r="AG8504" s="2">
        <f ca="1"/>
        <v>6.2154355912507508E-2</v>
      </c>
      <c r="AH8504" s="2" t="str">
        <f ca="1"/>
        <v>OK</v>
      </c>
    </row>
    <row r="8505" spans="2:34" x14ac:dyDescent="0.2">
      <c r="B8505" s="2">
        <f ca="1"/>
        <v>0.80897201308691313</v>
      </c>
      <c r="O8505" s="2">
        <f ca="1"/>
        <v>-3.2044863320591745</v>
      </c>
      <c r="X8505" s="2">
        <f ca="1"/>
        <v>35.887670703086407</v>
      </c>
      <c r="AG8505" s="2">
        <f ca="1"/>
        <v>0.92331796420401324</v>
      </c>
      <c r="AH8505" s="2" t="str">
        <f ca="1"/>
        <v>Bad</v>
      </c>
    </row>
    <row r="8506" spans="2:34" x14ac:dyDescent="0.2">
      <c r="B8506" s="2">
        <f ca="1"/>
        <v>0.92927649798880996</v>
      </c>
      <c r="O8506" s="2">
        <f ca="1"/>
        <v>0.74785323547851545</v>
      </c>
      <c r="X8506" s="2">
        <f ca="1"/>
        <v>41.13521934631148</v>
      </c>
      <c r="AG8506" s="2">
        <f ca="1"/>
        <v>0.66690961650619784</v>
      </c>
      <c r="AH8506" s="2" t="str">
        <f ca="1"/>
        <v>Bad</v>
      </c>
    </row>
    <row r="8507" spans="2:34" x14ac:dyDescent="0.2">
      <c r="B8507" s="2">
        <f ca="1"/>
        <v>0.52441535012098317</v>
      </c>
      <c r="O8507" s="2">
        <f ca="1"/>
        <v>-0.50724004148026269</v>
      </c>
      <c r="X8507" s="2">
        <f ca="1"/>
        <v>74.87375109499196</v>
      </c>
      <c r="AG8507" s="2">
        <f ca="1"/>
        <v>0.42074318897982432</v>
      </c>
      <c r="AH8507" s="2" t="str">
        <f ca="1"/>
        <v>Bad</v>
      </c>
    </row>
    <row r="8508" spans="2:34" x14ac:dyDescent="0.2">
      <c r="B8508" s="2">
        <f ca="1"/>
        <v>0.16704719873010032</v>
      </c>
      <c r="O8508" s="2">
        <f ca="1"/>
        <v>0.55432300321881856</v>
      </c>
      <c r="X8508" s="2">
        <f ca="1"/>
        <v>88.968988803720265</v>
      </c>
      <c r="AG8508" s="2">
        <f ca="1"/>
        <v>0.24090724293377952</v>
      </c>
      <c r="AH8508" s="2" t="str">
        <f ca="1"/>
        <v>OK</v>
      </c>
    </row>
    <row r="8509" spans="2:34" x14ac:dyDescent="0.2">
      <c r="B8509" s="2">
        <f ca="1"/>
        <v>0.76536850380041344</v>
      </c>
      <c r="O8509" s="2">
        <f ca="1"/>
        <v>1.5927414693786637</v>
      </c>
      <c r="X8509" s="2">
        <f ca="1"/>
        <v>60.558628645667476</v>
      </c>
      <c r="AG8509" s="2">
        <f ca="1"/>
        <v>0.22833855096907696</v>
      </c>
      <c r="AH8509" s="2" t="str">
        <f ca="1"/>
        <v>OK</v>
      </c>
    </row>
    <row r="8510" spans="2:34" x14ac:dyDescent="0.2">
      <c r="B8510" s="2">
        <f ca="1"/>
        <v>0.71845729081617327</v>
      </c>
      <c r="O8510" s="2">
        <f ca="1"/>
        <v>-0.79342127918744987</v>
      </c>
      <c r="X8510" s="2">
        <f ca="1"/>
        <v>46.191095986687678</v>
      </c>
      <c r="AG8510" s="2">
        <f ca="1"/>
        <v>0.37553595717452515</v>
      </c>
      <c r="AH8510" s="2" t="str">
        <f ca="1"/>
        <v>OK</v>
      </c>
    </row>
    <row r="8511" spans="2:34" x14ac:dyDescent="0.2">
      <c r="B8511" s="2">
        <f ca="1"/>
        <v>0.72836569202394785</v>
      </c>
      <c r="O8511" s="2">
        <f ca="1"/>
        <v>-0.51067652547850162</v>
      </c>
      <c r="X8511" s="2">
        <f ca="1"/>
        <v>56.466172311027861</v>
      </c>
      <c r="AG8511" s="2">
        <f ca="1"/>
        <v>0.29557606085813171</v>
      </c>
      <c r="AH8511" s="2" t="str">
        <f ca="1"/>
        <v>OK</v>
      </c>
    </row>
    <row r="8512" spans="2:34" x14ac:dyDescent="0.2">
      <c r="B8512" s="2">
        <f ca="1"/>
        <v>0.70728141544969847</v>
      </c>
      <c r="O8512" s="2">
        <f ca="1"/>
        <v>0.12497762324200626</v>
      </c>
      <c r="X8512" s="2">
        <f ca="1"/>
        <v>34.786444956623342</v>
      </c>
      <c r="AG8512" s="2">
        <f ca="1"/>
        <v>0.90863092883541752</v>
      </c>
      <c r="AH8512" s="2" t="str">
        <f ca="1"/>
        <v>Bad</v>
      </c>
    </row>
    <row r="8513" spans="2:34" x14ac:dyDescent="0.2">
      <c r="B8513" s="2">
        <f ca="1"/>
        <v>0.71426338250810462</v>
      </c>
      <c r="O8513" s="2">
        <f ca="1"/>
        <v>0.58210687772969094</v>
      </c>
      <c r="X8513" s="2">
        <f ca="1"/>
        <v>86.889184705765686</v>
      </c>
      <c r="AG8513" s="2">
        <f ca="1"/>
        <v>0.53456200061045211</v>
      </c>
      <c r="AH8513" s="2" t="str">
        <f ca="1"/>
        <v>Bad</v>
      </c>
    </row>
    <row r="8514" spans="2:34" x14ac:dyDescent="0.2">
      <c r="B8514" s="2">
        <f ca="1"/>
        <v>0.97007769151347278</v>
      </c>
      <c r="O8514" s="2">
        <f ca="1"/>
        <v>0.32329847056419403</v>
      </c>
      <c r="X8514" s="2">
        <f ca="1"/>
        <v>45.877882401319226</v>
      </c>
      <c r="AG8514" s="2">
        <f ca="1"/>
        <v>0.87627436450329621</v>
      </c>
      <c r="AH8514" s="2" t="str">
        <f ca="1"/>
        <v>Bad</v>
      </c>
    </row>
    <row r="8515" spans="2:34" x14ac:dyDescent="0.2">
      <c r="B8515" s="2">
        <f ca="1"/>
        <v>0.61790780586060134</v>
      </c>
      <c r="O8515" s="2">
        <f ca="1"/>
        <v>-3.136380399817993E-2</v>
      </c>
      <c r="X8515" s="2">
        <f ca="1"/>
        <v>59.64477231034941</v>
      </c>
      <c r="AG8515" s="2">
        <f ca="1"/>
        <v>4.3902102905997831E-2</v>
      </c>
      <c r="AH8515" s="2" t="str">
        <f ca="1"/>
        <v>Good</v>
      </c>
    </row>
    <row r="8516" spans="2:34" x14ac:dyDescent="0.2">
      <c r="B8516" s="2">
        <f ca="1"/>
        <v>0.6578173744156488</v>
      </c>
      <c r="O8516" s="2">
        <f ca="1"/>
        <v>1.4656365758285936</v>
      </c>
      <c r="X8516" s="2">
        <f ca="1"/>
        <v>77.694135305358444</v>
      </c>
      <c r="AG8516" s="2">
        <f ca="1"/>
        <v>0.30879108634088159</v>
      </c>
      <c r="AH8516" s="2" t="str">
        <f ca="1"/>
        <v>OK</v>
      </c>
    </row>
    <row r="8517" spans="2:34" x14ac:dyDescent="0.2">
      <c r="B8517" s="2">
        <f ca="1"/>
        <v>0.98665265025904425</v>
      </c>
      <c r="O8517" s="2">
        <f ca="1"/>
        <v>0.28476621512409744</v>
      </c>
      <c r="X8517" s="2">
        <f ca="1"/>
        <v>37.1733069400521</v>
      </c>
      <c r="AG8517" s="2">
        <f ca="1"/>
        <v>0.49106665061720434</v>
      </c>
      <c r="AH8517" s="2" t="str">
        <f ca="1"/>
        <v>Bad</v>
      </c>
    </row>
    <row r="8518" spans="2:34" x14ac:dyDescent="0.2">
      <c r="B8518" s="2">
        <f ca="1"/>
        <v>0.76738142290021116</v>
      </c>
      <c r="O8518" s="2">
        <f ca="1"/>
        <v>-1.3272479651315063</v>
      </c>
      <c r="X8518" s="2">
        <f ca="1"/>
        <v>37.607155068079777</v>
      </c>
      <c r="AG8518" s="2">
        <f ca="1"/>
        <v>0.73829765548025605</v>
      </c>
      <c r="AH8518" s="2" t="str">
        <f ca="1"/>
        <v>Bad</v>
      </c>
    </row>
    <row r="8519" spans="2:34" x14ac:dyDescent="0.2">
      <c r="B8519" s="2">
        <f ca="1"/>
        <v>0.43071075177889329</v>
      </c>
      <c r="O8519" s="2">
        <f ca="1"/>
        <v>-0.88733609308267603</v>
      </c>
      <c r="X8519" s="2">
        <f ca="1"/>
        <v>62.762165952070546</v>
      </c>
      <c r="AG8519" s="2">
        <f ca="1"/>
        <v>1.3789376526835095E-2</v>
      </c>
      <c r="AH8519" s="2" t="str">
        <f ca="1"/>
        <v>Good</v>
      </c>
    </row>
    <row r="8520" spans="2:34" x14ac:dyDescent="0.2">
      <c r="B8520" s="2">
        <f ca="1"/>
        <v>0.8452701806374876</v>
      </c>
      <c r="O8520" s="2">
        <f ca="1"/>
        <v>0.90556952237192367</v>
      </c>
      <c r="X8520" s="2">
        <f ca="1"/>
        <v>32.694682341990763</v>
      </c>
      <c r="AG8520" s="2">
        <f ca="1"/>
        <v>0.4235507372967553</v>
      </c>
      <c r="AH8520" s="2" t="str">
        <f ca="1"/>
        <v>Bad</v>
      </c>
    </row>
    <row r="8521" spans="2:34" x14ac:dyDescent="0.2">
      <c r="B8521" s="2">
        <f ca="1"/>
        <v>0.94332775884433828</v>
      </c>
      <c r="O8521" s="2">
        <f ca="1"/>
        <v>7.5628779630265638E-3</v>
      </c>
      <c r="X8521" s="2">
        <f ca="1"/>
        <v>51.000261757139626</v>
      </c>
      <c r="AG8521" s="2">
        <f ca="1"/>
        <v>0.88174560698154125</v>
      </c>
      <c r="AH8521" s="2" t="str">
        <f ca="1"/>
        <v>Bad</v>
      </c>
    </row>
    <row r="8522" spans="2:34" x14ac:dyDescent="0.2">
      <c r="B8522" s="2">
        <f ca="1"/>
        <v>0.30135792216140023</v>
      </c>
      <c r="O8522" s="2">
        <f ca="1"/>
        <v>0.59998957320886703</v>
      </c>
      <c r="X8522" s="2">
        <f ca="1"/>
        <v>26.888369466751143</v>
      </c>
      <c r="AG8522" s="2">
        <f ca="1"/>
        <v>0.7598672359462999</v>
      </c>
      <c r="AH8522" s="2" t="str">
        <f ca="1"/>
        <v>Bad</v>
      </c>
    </row>
    <row r="8523" spans="2:34" x14ac:dyDescent="0.2">
      <c r="B8523" s="2">
        <f ca="1"/>
        <v>0.38315977463993844</v>
      </c>
      <c r="O8523" s="2">
        <f ca="1"/>
        <v>-0.59818149836535572</v>
      </c>
      <c r="X8523" s="2">
        <f ca="1"/>
        <v>30.015789552290467</v>
      </c>
      <c r="AG8523" s="2">
        <f ca="1"/>
        <v>0.85198521751343304</v>
      </c>
      <c r="AH8523" s="2" t="str">
        <f ca="1"/>
        <v>Bad</v>
      </c>
    </row>
    <row r="8524" spans="2:34" x14ac:dyDescent="0.2">
      <c r="B8524" s="2">
        <f ca="1"/>
        <v>0.94316170933113397</v>
      </c>
      <c r="O8524" s="2">
        <f ca="1"/>
        <v>0.8078805727919357</v>
      </c>
      <c r="X8524" s="2">
        <f ca="1"/>
        <v>54.104891672557862</v>
      </c>
      <c r="AG8524" s="2">
        <f ca="1"/>
        <v>0.71942450354846521</v>
      </c>
      <c r="AH8524" s="2" t="str">
        <f ca="1"/>
        <v>Bad</v>
      </c>
    </row>
    <row r="8525" spans="2:34" x14ac:dyDescent="0.2">
      <c r="B8525" s="2">
        <f ca="1"/>
        <v>0.67607701283232458</v>
      </c>
      <c r="O8525" s="2">
        <f ca="1"/>
        <v>-1.201251846273222</v>
      </c>
      <c r="X8525" s="2">
        <f ca="1"/>
        <v>51.306613945009602</v>
      </c>
      <c r="AG8525" s="2">
        <f ca="1"/>
        <v>0.93337999246925341</v>
      </c>
      <c r="AH8525" s="2" t="str">
        <f ca="1"/>
        <v>Bad</v>
      </c>
    </row>
    <row r="8526" spans="2:34" x14ac:dyDescent="0.2">
      <c r="B8526" s="2">
        <f ca="1"/>
        <v>0.68803432263666564</v>
      </c>
      <c r="O8526" s="2">
        <f ca="1"/>
        <v>1.1776131278063879</v>
      </c>
      <c r="X8526" s="2">
        <f ca="1"/>
        <v>43.451899634528928</v>
      </c>
      <c r="AG8526" s="2">
        <f ca="1"/>
        <v>0.41183819369428276</v>
      </c>
      <c r="AH8526" s="2" t="str">
        <f ca="1"/>
        <v>Bad</v>
      </c>
    </row>
    <row r="8527" spans="2:34" x14ac:dyDescent="0.2">
      <c r="B8527" s="2">
        <f ca="1"/>
        <v>0.82388995412815391</v>
      </c>
      <c r="O8527" s="2">
        <f ca="1"/>
        <v>0.79593458873745715</v>
      </c>
      <c r="X8527" s="2">
        <f ca="1"/>
        <v>36.401459910429359</v>
      </c>
      <c r="AG8527" s="2">
        <f ca="1"/>
        <v>0.75845288224185126</v>
      </c>
      <c r="AH8527" s="2" t="str">
        <f ca="1"/>
        <v>Bad</v>
      </c>
    </row>
    <row r="8528" spans="2:34" x14ac:dyDescent="0.2">
      <c r="B8528" s="2">
        <f ca="1"/>
        <v>0.75262887933789901</v>
      </c>
      <c r="O8528" s="2">
        <f ca="1"/>
        <v>1.0093024007247797</v>
      </c>
      <c r="X8528" s="2">
        <f ca="1"/>
        <v>40.763621965875075</v>
      </c>
      <c r="AG8528" s="2">
        <f ca="1"/>
        <v>0.25398814897701327</v>
      </c>
      <c r="AH8528" s="2" t="str">
        <f ca="1"/>
        <v>OK</v>
      </c>
    </row>
    <row r="8529" spans="2:34" x14ac:dyDescent="0.2">
      <c r="B8529" s="2">
        <f ca="1"/>
        <v>0.80859621463779119</v>
      </c>
      <c r="O8529" s="2">
        <f ca="1"/>
        <v>-2.0541279458652522</v>
      </c>
      <c r="X8529" s="2">
        <f ca="1"/>
        <v>87.353170935127508</v>
      </c>
      <c r="AG8529" s="2">
        <f ca="1"/>
        <v>8.7476052212704047E-2</v>
      </c>
      <c r="AH8529" s="2" t="str">
        <f ca="1"/>
        <v>OK</v>
      </c>
    </row>
    <row r="8530" spans="2:34" x14ac:dyDescent="0.2">
      <c r="B8530" s="2">
        <f ca="1"/>
        <v>0.86496808909022982</v>
      </c>
      <c r="O8530" s="2">
        <f ca="1"/>
        <v>-0.73366165615091605</v>
      </c>
      <c r="X8530" s="2">
        <f ca="1"/>
        <v>31.414043364405352</v>
      </c>
      <c r="AG8530" s="2">
        <f ca="1"/>
        <v>0.98933672541866424</v>
      </c>
      <c r="AH8530" s="2" t="str">
        <f ca="1"/>
        <v>Bad</v>
      </c>
    </row>
    <row r="8531" spans="2:34" x14ac:dyDescent="0.2">
      <c r="B8531" s="2">
        <f ca="1"/>
        <v>0.73301670307117628</v>
      </c>
      <c r="O8531" s="2">
        <f ca="1"/>
        <v>-2.2694022253866946</v>
      </c>
      <c r="X8531" s="2">
        <f ca="1"/>
        <v>41.355660702670136</v>
      </c>
      <c r="AG8531" s="2">
        <f ca="1"/>
        <v>0.21785921913708206</v>
      </c>
      <c r="AH8531" s="2" t="str">
        <f ca="1"/>
        <v>OK</v>
      </c>
    </row>
    <row r="8532" spans="2:34" x14ac:dyDescent="0.2">
      <c r="B8532" s="2">
        <f ca="1"/>
        <v>0.25606519691576013</v>
      </c>
      <c r="O8532" s="2">
        <f ca="1"/>
        <v>0.13313711761008742</v>
      </c>
      <c r="X8532" s="2">
        <f ca="1"/>
        <v>47.216774022944541</v>
      </c>
      <c r="AG8532" s="2">
        <f ca="1"/>
        <v>0.97395835211837212</v>
      </c>
      <c r="AH8532" s="2" t="str">
        <f ca="1"/>
        <v>Bad</v>
      </c>
    </row>
    <row r="8533" spans="2:34" x14ac:dyDescent="0.2">
      <c r="B8533" s="2">
        <f ca="1"/>
        <v>0.46607229910608061</v>
      </c>
      <c r="O8533" s="2">
        <f ca="1"/>
        <v>7.0093566029172202E-2</v>
      </c>
      <c r="X8533" s="2">
        <f ca="1"/>
        <v>54.121096556127803</v>
      </c>
      <c r="AG8533" s="2">
        <f ca="1"/>
        <v>0.39520193251226066</v>
      </c>
      <c r="AH8533" s="2" t="str">
        <f ca="1"/>
        <v>OK</v>
      </c>
    </row>
    <row r="8534" spans="2:34" x14ac:dyDescent="0.2">
      <c r="B8534" s="2">
        <f ca="1"/>
        <v>0.88510158125627303</v>
      </c>
      <c r="O8534" s="2">
        <f ca="1"/>
        <v>-0.40156268852082377</v>
      </c>
      <c r="X8534" s="2">
        <f ca="1"/>
        <v>64.89151883889771</v>
      </c>
      <c r="AG8534" s="2">
        <f ca="1"/>
        <v>0.99090884885754127</v>
      </c>
      <c r="AH8534" s="2" t="str">
        <f ca="1"/>
        <v>Bad</v>
      </c>
    </row>
    <row r="8535" spans="2:34" x14ac:dyDescent="0.2">
      <c r="B8535" s="2">
        <f ca="1"/>
        <v>0.70139003924703802</v>
      </c>
      <c r="O8535" s="2">
        <f ca="1"/>
        <v>1.3462543517195191</v>
      </c>
      <c r="X8535" s="2">
        <f ca="1"/>
        <v>40.105679564136871</v>
      </c>
      <c r="AG8535" s="2">
        <f ca="1"/>
        <v>0.8817109218408099</v>
      </c>
      <c r="AH8535" s="2" t="str">
        <f ca="1"/>
        <v>Bad</v>
      </c>
    </row>
    <row r="8536" spans="2:34" x14ac:dyDescent="0.2">
      <c r="B8536" s="2">
        <f ca="1"/>
        <v>0.27810956450548074</v>
      </c>
      <c r="O8536" s="2">
        <f ca="1"/>
        <v>1.6196372645440094E-2</v>
      </c>
      <c r="X8536" s="2">
        <f ca="1"/>
        <v>64.233698597524892</v>
      </c>
      <c r="AG8536" s="2">
        <f ca="1"/>
        <v>0.72114994533383148</v>
      </c>
      <c r="AH8536" s="2" t="str">
        <f ca="1"/>
        <v>Bad</v>
      </c>
    </row>
    <row r="8537" spans="2:34" x14ac:dyDescent="0.2">
      <c r="B8537" s="2">
        <f ca="1"/>
        <v>0.52156621754178012</v>
      </c>
      <c r="O8537" s="2">
        <f ca="1"/>
        <v>0.28576559926882555</v>
      </c>
      <c r="X8537" s="2">
        <f ca="1"/>
        <v>69.258993289386794</v>
      </c>
      <c r="AG8537" s="2">
        <f ca="1"/>
        <v>9.013152381953593E-2</v>
      </c>
      <c r="AH8537" s="2" t="str">
        <f ca="1"/>
        <v>OK</v>
      </c>
    </row>
    <row r="8538" spans="2:34" x14ac:dyDescent="0.2">
      <c r="B8538" s="2">
        <f ca="1"/>
        <v>0.11598179019554955</v>
      </c>
      <c r="O8538" s="2">
        <f ca="1"/>
        <v>-0.43923865690781666</v>
      </c>
      <c r="X8538" s="2">
        <f ca="1"/>
        <v>61.302293358312944</v>
      </c>
      <c r="AG8538" s="2">
        <f ca="1"/>
        <v>0.81916776070637631</v>
      </c>
      <c r="AH8538" s="2" t="str">
        <f ca="1"/>
        <v>Bad</v>
      </c>
    </row>
    <row r="8539" spans="2:34" x14ac:dyDescent="0.2">
      <c r="B8539" s="2">
        <f ca="1"/>
        <v>0.74885338220413455</v>
      </c>
      <c r="O8539" s="2">
        <f ca="1"/>
        <v>0.30648136782382529</v>
      </c>
      <c r="X8539" s="2">
        <f ca="1"/>
        <v>42.852170730304323</v>
      </c>
      <c r="AG8539" s="2">
        <f ca="1"/>
        <v>0.9047457552392455</v>
      </c>
      <c r="AH8539" s="2" t="str">
        <f ca="1"/>
        <v>Bad</v>
      </c>
    </row>
    <row r="8540" spans="2:34" x14ac:dyDescent="0.2">
      <c r="B8540" s="2">
        <f ca="1"/>
        <v>0.71155683748521148</v>
      </c>
      <c r="O8540" s="2">
        <f ca="1"/>
        <v>0.49069698511614018</v>
      </c>
      <c r="X8540" s="2">
        <f ca="1"/>
        <v>42.444591367247845</v>
      </c>
      <c r="AG8540" s="2">
        <f ca="1"/>
        <v>0.37591783366291609</v>
      </c>
      <c r="AH8540" s="2" t="str">
        <f ca="1"/>
        <v>OK</v>
      </c>
    </row>
    <row r="8541" spans="2:34" x14ac:dyDescent="0.2">
      <c r="B8541" s="2">
        <f ca="1"/>
        <v>0.71214039592188683</v>
      </c>
      <c r="O8541" s="2">
        <f ca="1"/>
        <v>-1.0884727762934774</v>
      </c>
      <c r="X8541" s="2">
        <f ca="1"/>
        <v>57.266866157538814</v>
      </c>
      <c r="AG8541" s="2">
        <f ca="1"/>
        <v>0.54646126343110657</v>
      </c>
      <c r="AH8541" s="2" t="str">
        <f ca="1"/>
        <v>Bad</v>
      </c>
    </row>
    <row r="8542" spans="2:34" x14ac:dyDescent="0.2">
      <c r="B8542" s="2">
        <f ca="1"/>
        <v>4.6838024413955459E-3</v>
      </c>
      <c r="O8542" s="2">
        <f ca="1"/>
        <v>-1.1355892199938336</v>
      </c>
      <c r="X8542" s="2">
        <f ca="1"/>
        <v>36.401612596366036</v>
      </c>
      <c r="AG8542" s="2">
        <f ca="1"/>
        <v>0.19552084496747035</v>
      </c>
      <c r="AH8542" s="2" t="str">
        <f ca="1"/>
        <v>OK</v>
      </c>
    </row>
    <row r="8543" spans="2:34" x14ac:dyDescent="0.2">
      <c r="B8543" s="2">
        <f ca="1"/>
        <v>0.55336729005821383</v>
      </c>
      <c r="O8543" s="2">
        <f ca="1"/>
        <v>3.9994586823025202E-2</v>
      </c>
      <c r="X8543" s="2">
        <f ca="1"/>
        <v>44.962712669098728</v>
      </c>
      <c r="AG8543" s="2">
        <f ca="1"/>
        <v>0.45682010607924251</v>
      </c>
      <c r="AH8543" s="2" t="str">
        <f ca="1"/>
        <v>Bad</v>
      </c>
    </row>
    <row r="8544" spans="2:34" x14ac:dyDescent="0.2">
      <c r="B8544" s="2">
        <f ca="1"/>
        <v>0.35508152086869926</v>
      </c>
      <c r="O8544" s="2">
        <f ca="1"/>
        <v>1.2976002339704547</v>
      </c>
      <c r="X8544" s="2">
        <f ca="1"/>
        <v>54.964900848923264</v>
      </c>
      <c r="AG8544" s="2">
        <f ca="1"/>
        <v>3.5839275715818131E-2</v>
      </c>
      <c r="AH8544" s="2" t="str">
        <f ca="1"/>
        <v>Good</v>
      </c>
    </row>
    <row r="8545" spans="2:34" x14ac:dyDescent="0.2">
      <c r="B8545" s="2">
        <f ca="1"/>
        <v>0.21847633971959124</v>
      </c>
      <c r="O8545" s="2">
        <f ca="1"/>
        <v>0.24818078822471856</v>
      </c>
      <c r="X8545" s="2">
        <f ca="1"/>
        <v>41.228697960583986</v>
      </c>
      <c r="AG8545" s="2">
        <f ca="1"/>
        <v>0.96877004476840933</v>
      </c>
      <c r="AH8545" s="2" t="str">
        <f ca="1"/>
        <v>Bad</v>
      </c>
    </row>
    <row r="8546" spans="2:34" x14ac:dyDescent="0.2">
      <c r="B8546" s="2">
        <f ca="1"/>
        <v>0.18991720918271726</v>
      </c>
      <c r="O8546" s="2">
        <f ca="1"/>
        <v>-1.2870473985505206</v>
      </c>
      <c r="X8546" s="2">
        <f ca="1"/>
        <v>93.667038730276161</v>
      </c>
      <c r="AG8546" s="2">
        <f ca="1"/>
        <v>0.71561678875655788</v>
      </c>
      <c r="AH8546" s="2" t="str">
        <f ca="1"/>
        <v>Bad</v>
      </c>
    </row>
    <row r="8547" spans="2:34" x14ac:dyDescent="0.2">
      <c r="B8547" s="2">
        <f ca="1"/>
        <v>7.1881067755097394E-3</v>
      </c>
      <c r="O8547" s="2">
        <f ca="1"/>
        <v>-2.1184385858038284</v>
      </c>
      <c r="X8547" s="2">
        <f ca="1"/>
        <v>59.079765901540846</v>
      </c>
      <c r="AG8547" s="2">
        <f ca="1"/>
        <v>0.13814777726150029</v>
      </c>
      <c r="AH8547" s="2" t="str">
        <f ca="1"/>
        <v>OK</v>
      </c>
    </row>
    <row r="8548" spans="2:34" x14ac:dyDescent="0.2">
      <c r="B8548" s="2">
        <f ca="1"/>
        <v>0.31025741557223618</v>
      </c>
      <c r="O8548" s="2">
        <f ca="1"/>
        <v>-1.4311022733784526</v>
      </c>
      <c r="X8548" s="2">
        <f ca="1"/>
        <v>52.798465351072672</v>
      </c>
      <c r="AG8548" s="2">
        <f ca="1"/>
        <v>0.80444527625394646</v>
      </c>
      <c r="AH8548" s="2" t="str">
        <f ca="1"/>
        <v>Bad</v>
      </c>
    </row>
    <row r="8549" spans="2:34" x14ac:dyDescent="0.2">
      <c r="B8549" s="2">
        <f ca="1"/>
        <v>0.67734328711874547</v>
      </c>
      <c r="O8549" s="2">
        <f ca="1"/>
        <v>-0.4163685954571742</v>
      </c>
      <c r="X8549" s="2">
        <f ca="1"/>
        <v>67.201657322576409</v>
      </c>
      <c r="AG8549" s="2">
        <f ca="1"/>
        <v>0.39878437093077768</v>
      </c>
      <c r="AH8549" s="2" t="str">
        <f ca="1"/>
        <v>OK</v>
      </c>
    </row>
    <row r="8550" spans="2:34" x14ac:dyDescent="0.2">
      <c r="B8550" s="2">
        <f ca="1"/>
        <v>0.50960488783796554</v>
      </c>
      <c r="O8550" s="2">
        <f ca="1"/>
        <v>9.8998129586148741E-3</v>
      </c>
      <c r="X8550" s="2">
        <f ca="1"/>
        <v>44.530573523384092</v>
      </c>
      <c r="AG8550" s="2">
        <f ca="1"/>
        <v>0.87820265334261749</v>
      </c>
      <c r="AH8550" s="2" t="str">
        <f ca="1"/>
        <v>Bad</v>
      </c>
    </row>
    <row r="8551" spans="2:34" x14ac:dyDescent="0.2">
      <c r="B8551" s="2">
        <f ca="1"/>
        <v>0.27524654846625651</v>
      </c>
      <c r="O8551" s="2">
        <f ca="1"/>
        <v>-1.6986802350875081</v>
      </c>
      <c r="X8551" s="2">
        <f ca="1"/>
        <v>33.185047137067485</v>
      </c>
      <c r="AG8551" s="2">
        <f ca="1"/>
        <v>0.63445335645342893</v>
      </c>
      <c r="AH8551" s="2" t="str">
        <f ca="1"/>
        <v>Bad</v>
      </c>
    </row>
    <row r="8552" spans="2:34" x14ac:dyDescent="0.2">
      <c r="B8552" s="2">
        <f ca="1"/>
        <v>0.35478630212078666</v>
      </c>
      <c r="O8552" s="2">
        <f ca="1"/>
        <v>-0.85228178829732582</v>
      </c>
      <c r="X8552" s="2">
        <f ca="1"/>
        <v>65.990492764840866</v>
      </c>
      <c r="AG8552" s="2">
        <f ca="1"/>
        <v>0.48725644239586918</v>
      </c>
      <c r="AH8552" s="2" t="str">
        <f ca="1"/>
        <v>Bad</v>
      </c>
    </row>
    <row r="8553" spans="2:34" x14ac:dyDescent="0.2">
      <c r="B8553" s="2">
        <f ca="1"/>
        <v>0.73822661951580293</v>
      </c>
      <c r="O8553" s="2">
        <f ca="1"/>
        <v>-1.5711272353572585</v>
      </c>
      <c r="X8553" s="2">
        <f ca="1"/>
        <v>50.082789099232684</v>
      </c>
      <c r="AG8553" s="2">
        <f ca="1"/>
        <v>0.51473557104386813</v>
      </c>
      <c r="AH8553" s="2" t="str">
        <f ca="1"/>
        <v>Bad</v>
      </c>
    </row>
    <row r="8554" spans="2:34" x14ac:dyDescent="0.2">
      <c r="B8554" s="2">
        <f ca="1"/>
        <v>0.53889862258258292</v>
      </c>
      <c r="O8554" s="2">
        <f ca="1"/>
        <v>-0.70690710830606907</v>
      </c>
      <c r="X8554" s="2">
        <f ca="1"/>
        <v>55.725964985893761</v>
      </c>
      <c r="AG8554" s="2">
        <f ca="1"/>
        <v>0.56541709941102392</v>
      </c>
      <c r="AH8554" s="2" t="str">
        <f ca="1"/>
        <v>Bad</v>
      </c>
    </row>
    <row r="8555" spans="2:34" x14ac:dyDescent="0.2">
      <c r="B8555" s="2">
        <f ca="1"/>
        <v>0.27260476483488394</v>
      </c>
      <c r="O8555" s="2">
        <f ca="1"/>
        <v>1.7682863776643458</v>
      </c>
      <c r="X8555" s="2">
        <f ca="1"/>
        <v>57.268724478205655</v>
      </c>
      <c r="AG8555" s="2">
        <f ca="1"/>
        <v>0.39315737685834296</v>
      </c>
      <c r="AH8555" s="2" t="str">
        <f ca="1"/>
        <v>OK</v>
      </c>
    </row>
    <row r="8556" spans="2:34" x14ac:dyDescent="0.2">
      <c r="B8556" s="2">
        <f ca="1"/>
        <v>0.42965479202260148</v>
      </c>
      <c r="O8556" s="2">
        <f ca="1"/>
        <v>-1.6500177801436333</v>
      </c>
      <c r="X8556" s="2">
        <f ca="1"/>
        <v>33.139739618171561</v>
      </c>
      <c r="AG8556" s="2">
        <f ca="1"/>
        <v>0.19953477382460649</v>
      </c>
      <c r="AH8556" s="2" t="str">
        <f ca="1"/>
        <v>OK</v>
      </c>
    </row>
    <row r="8557" spans="2:34" x14ac:dyDescent="0.2">
      <c r="B8557" s="2">
        <f ca="1"/>
        <v>0.22283560595613139</v>
      </c>
      <c r="O8557" s="2">
        <f ca="1"/>
        <v>-1.7815884858726463</v>
      </c>
      <c r="X8557" s="2">
        <f ca="1"/>
        <v>68.727363128800192</v>
      </c>
      <c r="AG8557" s="2">
        <f ca="1"/>
        <v>0.10950896885316852</v>
      </c>
      <c r="AH8557" s="2" t="str">
        <f ca="1"/>
        <v>OK</v>
      </c>
    </row>
    <row r="8558" spans="2:34" x14ac:dyDescent="0.2">
      <c r="B8558" s="2">
        <f ca="1"/>
        <v>0.17130625820672285</v>
      </c>
      <c r="O8558" s="2">
        <f ca="1"/>
        <v>0.128937789335095</v>
      </c>
      <c r="X8558" s="2">
        <f ca="1"/>
        <v>88.31429978690187</v>
      </c>
      <c r="AG8558" s="2">
        <f ca="1"/>
        <v>0.58353537864682847</v>
      </c>
      <c r="AH8558" s="2" t="str">
        <f ca="1"/>
        <v>Bad</v>
      </c>
    </row>
    <row r="8559" spans="2:34" x14ac:dyDescent="0.2">
      <c r="B8559" s="2">
        <f ca="1"/>
        <v>0.96637614579710007</v>
      </c>
      <c r="O8559" s="2">
        <f ca="1"/>
        <v>0.21724697990801764</v>
      </c>
      <c r="X8559" s="2">
        <f ca="1"/>
        <v>43.286022969166041</v>
      </c>
      <c r="AG8559" s="2">
        <f ca="1"/>
        <v>0.21200087007428881</v>
      </c>
      <c r="AH8559" s="2" t="str">
        <f ca="1"/>
        <v>OK</v>
      </c>
    </row>
    <row r="8560" spans="2:34" x14ac:dyDescent="0.2">
      <c r="B8560" s="2">
        <f ca="1"/>
        <v>0.9154515787400499</v>
      </c>
      <c r="O8560" s="2">
        <f ca="1"/>
        <v>0.11419639607426112</v>
      </c>
      <c r="X8560" s="2">
        <f ca="1"/>
        <v>52.285023727383184</v>
      </c>
      <c r="AG8560" s="2">
        <f ca="1"/>
        <v>0.22841739130712657</v>
      </c>
      <c r="AH8560" s="2" t="str">
        <f ca="1"/>
        <v>OK</v>
      </c>
    </row>
    <row r="8561" spans="2:34" x14ac:dyDescent="0.2">
      <c r="B8561" s="2">
        <f ca="1"/>
        <v>0.46039902408748001</v>
      </c>
      <c r="O8561" s="2">
        <f ca="1"/>
        <v>-0.75209150089759502</v>
      </c>
      <c r="X8561" s="2">
        <f ca="1"/>
        <v>55.210191128518488</v>
      </c>
      <c r="AG8561" s="2">
        <f ca="1"/>
        <v>0.3739181616336118</v>
      </c>
      <c r="AH8561" s="2" t="str">
        <f ca="1"/>
        <v>OK</v>
      </c>
    </row>
    <row r="8562" spans="2:34" x14ac:dyDescent="0.2">
      <c r="B8562" s="2">
        <f ca="1"/>
        <v>0.75165617298902743</v>
      </c>
      <c r="O8562" s="2">
        <f ca="1"/>
        <v>-0.27747624325295167</v>
      </c>
      <c r="X8562" s="2">
        <f ca="1"/>
        <v>42.792297344911759</v>
      </c>
      <c r="AG8562" s="2">
        <f ca="1"/>
        <v>0.85187187071799642</v>
      </c>
      <c r="AH8562" s="2" t="str">
        <f ca="1"/>
        <v>Bad</v>
      </c>
    </row>
    <row r="8563" spans="2:34" x14ac:dyDescent="0.2">
      <c r="B8563" s="2">
        <f ca="1"/>
        <v>0.41808315780692817</v>
      </c>
      <c r="O8563" s="2">
        <f ca="1"/>
        <v>-1.4676917516287333</v>
      </c>
      <c r="X8563" s="2">
        <f ca="1"/>
        <v>40.93262547441276</v>
      </c>
      <c r="AG8563" s="2">
        <f ca="1"/>
        <v>6.5222175352764644E-2</v>
      </c>
      <c r="AH8563" s="2" t="str">
        <f ca="1"/>
        <v>OK</v>
      </c>
    </row>
    <row r="8564" spans="2:34" x14ac:dyDescent="0.2">
      <c r="B8564" s="2">
        <f ca="1"/>
        <v>0.11510724461324728</v>
      </c>
      <c r="O8564" s="2">
        <f ca="1"/>
        <v>0.12324620658830904</v>
      </c>
      <c r="X8564" s="2">
        <f ca="1"/>
        <v>40.111132356660534</v>
      </c>
      <c r="AG8564" s="2">
        <f ca="1"/>
        <v>0.8456206820176686</v>
      </c>
      <c r="AH8564" s="2" t="str">
        <f ca="1"/>
        <v>Bad</v>
      </c>
    </row>
    <row r="8565" spans="2:34" x14ac:dyDescent="0.2">
      <c r="B8565" s="2">
        <f ca="1"/>
        <v>0.91124098594914438</v>
      </c>
      <c r="O8565" s="2">
        <f ca="1"/>
        <v>0.89438424947340334</v>
      </c>
      <c r="X8565" s="2">
        <f ca="1"/>
        <v>52.391224070320028</v>
      </c>
      <c r="AG8565" s="2">
        <f ca="1"/>
        <v>0.84293572709389619</v>
      </c>
      <c r="AH8565" s="2" t="str">
        <f ca="1"/>
        <v>Bad</v>
      </c>
    </row>
    <row r="8566" spans="2:34" x14ac:dyDescent="0.2">
      <c r="B8566" s="2">
        <f ca="1"/>
        <v>0.49771586486908692</v>
      </c>
      <c r="O8566" s="2">
        <f ca="1"/>
        <v>0.58364307500849555</v>
      </c>
      <c r="X8566" s="2">
        <f ca="1"/>
        <v>76.506603485094359</v>
      </c>
      <c r="AG8566" s="2">
        <f ca="1"/>
        <v>0.54737828959748258</v>
      </c>
      <c r="AH8566" s="2" t="str">
        <f ca="1"/>
        <v>Bad</v>
      </c>
    </row>
    <row r="8567" spans="2:34" x14ac:dyDescent="0.2">
      <c r="B8567" s="2">
        <f ca="1"/>
        <v>0.47054677989816973</v>
      </c>
      <c r="O8567" s="2">
        <f ca="1"/>
        <v>-0.22042557186236178</v>
      </c>
      <c r="X8567" s="2">
        <f ca="1"/>
        <v>48.174842633608144</v>
      </c>
      <c r="AG8567" s="2">
        <f ca="1"/>
        <v>0.74152079293438855</v>
      </c>
      <c r="AH8567" s="2" t="str">
        <f ca="1"/>
        <v>Bad</v>
      </c>
    </row>
    <row r="8568" spans="2:34" x14ac:dyDescent="0.2">
      <c r="B8568" s="2">
        <f ca="1"/>
        <v>0.5477023457743202</v>
      </c>
      <c r="O8568" s="2">
        <f ca="1"/>
        <v>-0.71101067492514591</v>
      </c>
      <c r="X8568" s="2">
        <f ca="1"/>
        <v>42.046982918794519</v>
      </c>
      <c r="AG8568" s="2">
        <f ca="1"/>
        <v>0.69134850399504866</v>
      </c>
      <c r="AH8568" s="2" t="str">
        <f ca="1"/>
        <v>Bad</v>
      </c>
    </row>
    <row r="8569" spans="2:34" x14ac:dyDescent="0.2">
      <c r="B8569" s="2">
        <f ca="1"/>
        <v>0.60912765330311691</v>
      </c>
      <c r="O8569" s="2">
        <f ca="1"/>
        <v>1.5965164577063685E-2</v>
      </c>
      <c r="X8569" s="2">
        <f ca="1"/>
        <v>32.932757379619872</v>
      </c>
      <c r="AG8569" s="2">
        <f ca="1"/>
        <v>0.3046171699539526</v>
      </c>
      <c r="AH8569" s="2" t="str">
        <f ca="1"/>
        <v>OK</v>
      </c>
    </row>
    <row r="8570" spans="2:34" x14ac:dyDescent="0.2">
      <c r="B8570" s="2">
        <f ca="1"/>
        <v>0.44635876851601997</v>
      </c>
      <c r="O8570" s="2">
        <f ca="1"/>
        <v>-0.14270860215278983</v>
      </c>
      <c r="X8570" s="2">
        <f ca="1"/>
        <v>56.504422053235672</v>
      </c>
      <c r="AG8570" s="2">
        <f ca="1"/>
        <v>0.71663091658840439</v>
      </c>
      <c r="AH8570" s="2" t="str">
        <f ca="1"/>
        <v>Bad</v>
      </c>
    </row>
    <row r="8571" spans="2:34" x14ac:dyDescent="0.2">
      <c r="B8571" s="2">
        <f ca="1"/>
        <v>0.6417369968461808</v>
      </c>
      <c r="O8571" s="2">
        <f ca="1"/>
        <v>-1.4586009588759994</v>
      </c>
      <c r="X8571" s="2">
        <f ca="1"/>
        <v>55.31063185856943</v>
      </c>
      <c r="AG8571" s="2">
        <f ca="1"/>
        <v>0.17294539926654662</v>
      </c>
      <c r="AH8571" s="2" t="str">
        <f ca="1"/>
        <v>OK</v>
      </c>
    </row>
    <row r="8572" spans="2:34" x14ac:dyDescent="0.2">
      <c r="B8572" s="2">
        <f ca="1"/>
        <v>0.67848360153503284</v>
      </c>
      <c r="O8572" s="2">
        <f ca="1"/>
        <v>-0.93997613130136681</v>
      </c>
      <c r="X8572" s="2">
        <f ca="1"/>
        <v>34.998434539136539</v>
      </c>
      <c r="AG8572" s="2">
        <f ca="1"/>
        <v>0.46713693821604596</v>
      </c>
      <c r="AH8572" s="2" t="str">
        <f ca="1"/>
        <v>Bad</v>
      </c>
    </row>
    <row r="8573" spans="2:34" x14ac:dyDescent="0.2">
      <c r="B8573" s="2">
        <f ca="1"/>
        <v>0.27921370197734485</v>
      </c>
      <c r="O8573" s="2">
        <f ca="1"/>
        <v>-0.90072990053289215</v>
      </c>
      <c r="X8573" s="2">
        <f ca="1"/>
        <v>46.750351525815447</v>
      </c>
      <c r="AG8573" s="2">
        <f ca="1"/>
        <v>0.69227999907231985</v>
      </c>
      <c r="AH8573" s="2" t="str">
        <f ca="1"/>
        <v>Bad</v>
      </c>
    </row>
    <row r="8574" spans="2:34" x14ac:dyDescent="0.2">
      <c r="B8574" s="2">
        <f ca="1"/>
        <v>0.42706693169246046</v>
      </c>
      <c r="O8574" s="2">
        <f ca="1"/>
        <v>-0.40122548721200307</v>
      </c>
      <c r="X8574" s="2">
        <f ca="1"/>
        <v>56.247891797235994</v>
      </c>
      <c r="AG8574" s="2">
        <f ca="1"/>
        <v>0.35825465298796133</v>
      </c>
      <c r="AH8574" s="2" t="str">
        <f ca="1"/>
        <v>OK</v>
      </c>
    </row>
    <row r="8575" spans="2:34" x14ac:dyDescent="0.2">
      <c r="B8575" s="2">
        <f ca="1"/>
        <v>7.8366845733241375E-2</v>
      </c>
      <c r="O8575" s="2">
        <f ca="1"/>
        <v>0.19885701165839159</v>
      </c>
      <c r="X8575" s="2">
        <f ca="1"/>
        <v>36.771173971026002</v>
      </c>
      <c r="AG8575" s="2">
        <f ca="1"/>
        <v>0.39737170884031614</v>
      </c>
      <c r="AH8575" s="2" t="str">
        <f ca="1"/>
        <v>OK</v>
      </c>
    </row>
    <row r="8576" spans="2:34" x14ac:dyDescent="0.2">
      <c r="B8576" s="2">
        <f ca="1"/>
        <v>0.67557027760946853</v>
      </c>
      <c r="O8576" s="2">
        <f ca="1"/>
        <v>9.3697871801858734E-2</v>
      </c>
      <c r="X8576" s="2">
        <f ca="1"/>
        <v>56.493789625823894</v>
      </c>
      <c r="AG8576" s="2">
        <f ca="1"/>
        <v>0.76556110756674434</v>
      </c>
      <c r="AH8576" s="2" t="str">
        <f ca="1"/>
        <v>Bad</v>
      </c>
    </row>
    <row r="8577" spans="2:34" x14ac:dyDescent="0.2">
      <c r="B8577" s="2">
        <f ca="1"/>
        <v>5.6921003225963496E-2</v>
      </c>
      <c r="O8577" s="2">
        <f ca="1"/>
        <v>-0.65346122728872758</v>
      </c>
      <c r="X8577" s="2">
        <f ca="1"/>
        <v>41.044557683012179</v>
      </c>
      <c r="AG8577" s="2">
        <f ca="1"/>
        <v>0.4096605331513703</v>
      </c>
      <c r="AH8577" s="2" t="str">
        <f ca="1"/>
        <v>Bad</v>
      </c>
    </row>
    <row r="8578" spans="2:34" x14ac:dyDescent="0.2">
      <c r="B8578" s="2">
        <f ca="1"/>
        <v>0.24819490681951573</v>
      </c>
      <c r="O8578" s="2">
        <f ca="1"/>
        <v>-0.49310576637398701</v>
      </c>
      <c r="X8578" s="2">
        <f ca="1"/>
        <v>32.74358483425361</v>
      </c>
      <c r="AG8578" s="2">
        <f ca="1"/>
        <v>5.1764695227836111E-2</v>
      </c>
      <c r="AH8578" s="2" t="str">
        <f ca="1"/>
        <v>OK</v>
      </c>
    </row>
    <row r="8579" spans="2:34" x14ac:dyDescent="0.2">
      <c r="B8579" s="2">
        <f ca="1"/>
        <v>0.21892457028700485</v>
      </c>
      <c r="O8579" s="2">
        <f ca="1"/>
        <v>-1.1181224252251614</v>
      </c>
      <c r="X8579" s="2">
        <f ca="1"/>
        <v>26.667553791526366</v>
      </c>
      <c r="AG8579" s="2">
        <f ca="1"/>
        <v>0.91953904591753299</v>
      </c>
      <c r="AH8579" s="2" t="str">
        <f ca="1"/>
        <v>Bad</v>
      </c>
    </row>
    <row r="8580" spans="2:34" x14ac:dyDescent="0.2">
      <c r="B8580" s="2">
        <f ca="1"/>
        <v>0.84008322888958809</v>
      </c>
      <c r="O8580" s="2">
        <f ca="1"/>
        <v>-0.30983074054427628</v>
      </c>
      <c r="X8580" s="2">
        <f ca="1"/>
        <v>58.588962167751014</v>
      </c>
      <c r="AG8580" s="2">
        <f ca="1"/>
        <v>0.72181658526423553</v>
      </c>
      <c r="AH8580" s="2" t="str">
        <f ca="1"/>
        <v>Bad</v>
      </c>
    </row>
    <row r="8581" spans="2:34" x14ac:dyDescent="0.2">
      <c r="B8581" s="2">
        <f ca="1"/>
        <v>8.3653510544160259E-2</v>
      </c>
      <c r="O8581" s="2">
        <f ca="1"/>
        <v>-0.33332707563969027</v>
      </c>
      <c r="X8581" s="2">
        <f ca="1"/>
        <v>33.808137468092738</v>
      </c>
      <c r="AG8581" s="2">
        <f ca="1"/>
        <v>0.10826463342310699</v>
      </c>
      <c r="AH8581" s="2" t="str">
        <f ca="1"/>
        <v>OK</v>
      </c>
    </row>
    <row r="8582" spans="2:34" x14ac:dyDescent="0.2">
      <c r="B8582" s="2">
        <f ca="1"/>
        <v>0.42193622903219952</v>
      </c>
      <c r="O8582" s="2">
        <f ca="1"/>
        <v>0.33081172417262045</v>
      </c>
      <c r="X8582" s="2">
        <f ca="1"/>
        <v>62.557172007054589</v>
      </c>
      <c r="AG8582" s="2">
        <f ca="1"/>
        <v>0.33107816308653626</v>
      </c>
      <c r="AH8582" s="2" t="str">
        <f ca="1"/>
        <v>OK</v>
      </c>
    </row>
    <row r="8583" spans="2:34" x14ac:dyDescent="0.2">
      <c r="B8583" s="2">
        <f ca="1"/>
        <v>0.90544536576866208</v>
      </c>
      <c r="O8583" s="2">
        <f ca="1"/>
        <v>1.4983839118651374</v>
      </c>
      <c r="X8583" s="2">
        <f ca="1"/>
        <v>63.276112359842045</v>
      </c>
      <c r="AG8583" s="2">
        <f ca="1"/>
        <v>0.63962017317411801</v>
      </c>
      <c r="AH8583" s="2" t="str">
        <f ca="1"/>
        <v>Bad</v>
      </c>
    </row>
    <row r="8584" spans="2:34" x14ac:dyDescent="0.2">
      <c r="B8584" s="2">
        <f ca="1"/>
        <v>0.34180686768056168</v>
      </c>
      <c r="O8584" s="2">
        <f ca="1"/>
        <v>0.52315850636116279</v>
      </c>
      <c r="X8584" s="2">
        <f ca="1"/>
        <v>40.528041702411031</v>
      </c>
      <c r="AG8584" s="2">
        <f ca="1"/>
        <v>0.95734970058346747</v>
      </c>
      <c r="AH8584" s="2" t="str">
        <f ca="1"/>
        <v>Bad</v>
      </c>
    </row>
    <row r="8585" spans="2:34" x14ac:dyDescent="0.2">
      <c r="B8585" s="2">
        <f ca="1"/>
        <v>0.72074866236205026</v>
      </c>
      <c r="O8585" s="2">
        <f ca="1"/>
        <v>-2.1403030751534757</v>
      </c>
      <c r="X8585" s="2">
        <f ca="1"/>
        <v>47.479803347918342</v>
      </c>
      <c r="AG8585" s="2">
        <f ca="1"/>
        <v>0.8791805542165827</v>
      </c>
      <c r="AH8585" s="2" t="str">
        <f ca="1"/>
        <v>Bad</v>
      </c>
    </row>
    <row r="8586" spans="2:34" x14ac:dyDescent="0.2">
      <c r="B8586" s="2">
        <f ca="1"/>
        <v>1.4976732894884659E-2</v>
      </c>
      <c r="O8586" s="2">
        <f ca="1"/>
        <v>0.64162545492516443</v>
      </c>
      <c r="X8586" s="2">
        <f ca="1"/>
        <v>58.201575174069767</v>
      </c>
      <c r="AG8586" s="2">
        <f ca="1"/>
        <v>0.8009101193695547</v>
      </c>
      <c r="AH8586" s="2" t="str">
        <f ca="1"/>
        <v>Bad</v>
      </c>
    </row>
    <row r="8587" spans="2:34" x14ac:dyDescent="0.2">
      <c r="B8587" s="2">
        <f ca="1"/>
        <v>0.10065477159295133</v>
      </c>
      <c r="O8587" s="2">
        <f ca="1"/>
        <v>-1.2098585645229551</v>
      </c>
      <c r="X8587" s="2">
        <f ca="1"/>
        <v>36.261389338412734</v>
      </c>
      <c r="AG8587" s="2">
        <f ca="1"/>
        <v>4.1029559718822828E-2</v>
      </c>
      <c r="AH8587" s="2" t="str">
        <f ca="1"/>
        <v>Good</v>
      </c>
    </row>
    <row r="8588" spans="2:34" x14ac:dyDescent="0.2">
      <c r="B8588" s="2">
        <f ca="1"/>
        <v>0.5585854556963803</v>
      </c>
      <c r="O8588" s="2">
        <f ca="1"/>
        <v>-0.20737287576962318</v>
      </c>
      <c r="X8588" s="2">
        <f ca="1"/>
        <v>41.087429488248588</v>
      </c>
      <c r="AG8588" s="2">
        <f ca="1"/>
        <v>0.21602365463250517</v>
      </c>
      <c r="AH8588" s="2" t="str">
        <f ca="1"/>
        <v>OK</v>
      </c>
    </row>
    <row r="8589" spans="2:34" x14ac:dyDescent="0.2">
      <c r="B8589" s="2">
        <f ca="1"/>
        <v>0.38976073233763908</v>
      </c>
      <c r="O8589" s="2">
        <f ca="1"/>
        <v>6.8088327715708399E-2</v>
      </c>
      <c r="X8589" s="2">
        <f ca="1"/>
        <v>37.387269946762174</v>
      </c>
      <c r="AG8589" s="2">
        <f ca="1"/>
        <v>0.11468597818457016</v>
      </c>
      <c r="AH8589" s="2" t="str">
        <f ca="1"/>
        <v>OK</v>
      </c>
    </row>
    <row r="8590" spans="2:34" x14ac:dyDescent="0.2">
      <c r="B8590" s="2">
        <f ca="1"/>
        <v>0.17827570526510694</v>
      </c>
      <c r="O8590" s="2">
        <f ca="1"/>
        <v>-0.59369525272427714</v>
      </c>
      <c r="X8590" s="2">
        <f ca="1"/>
        <v>30.36076564642379</v>
      </c>
      <c r="AG8590" s="2">
        <f ca="1"/>
        <v>0.28470527769387388</v>
      </c>
      <c r="AH8590" s="2" t="str">
        <f ca="1"/>
        <v>OK</v>
      </c>
    </row>
    <row r="8591" spans="2:34" x14ac:dyDescent="0.2">
      <c r="B8591" s="2">
        <f ca="1"/>
        <v>0.10909963887755847</v>
      </c>
      <c r="O8591" s="2">
        <f ca="1"/>
        <v>-0.48908918093512638</v>
      </c>
      <c r="X8591" s="2">
        <f ca="1"/>
        <v>49.571800323014472</v>
      </c>
      <c r="AG8591" s="2">
        <f ca="1"/>
        <v>0.81760626476449016</v>
      </c>
      <c r="AH8591" s="2" t="str">
        <f ca="1"/>
        <v>Bad</v>
      </c>
    </row>
    <row r="8592" spans="2:34" x14ac:dyDescent="0.2">
      <c r="B8592" s="2">
        <f ca="1"/>
        <v>3.6251427717258755E-2</v>
      </c>
      <c r="O8592" s="2">
        <f ca="1"/>
        <v>-0.62946450973817347</v>
      </c>
      <c r="X8592" s="2">
        <f ca="1"/>
        <v>42.344632407331211</v>
      </c>
      <c r="AG8592" s="2">
        <f ca="1"/>
        <v>0.52326009250479366</v>
      </c>
      <c r="AH8592" s="2" t="str">
        <f ca="1"/>
        <v>Bad</v>
      </c>
    </row>
    <row r="8593" spans="2:34" x14ac:dyDescent="0.2">
      <c r="B8593" s="2">
        <f ca="1"/>
        <v>0.47939656960477639</v>
      </c>
      <c r="O8593" s="2">
        <f ca="1"/>
        <v>-0.92112487466160431</v>
      </c>
      <c r="X8593" s="2">
        <f ca="1"/>
        <v>48.464794652630154</v>
      </c>
      <c r="AG8593" s="2">
        <f ca="1"/>
        <v>2.2571748292952831E-2</v>
      </c>
      <c r="AH8593" s="2" t="str">
        <f ca="1"/>
        <v>Good</v>
      </c>
    </row>
    <row r="8594" spans="2:34" x14ac:dyDescent="0.2">
      <c r="B8594" s="2">
        <f ca="1"/>
        <v>0.32460368535386874</v>
      </c>
      <c r="O8594" s="2">
        <f ca="1"/>
        <v>0.20888152739177626</v>
      </c>
      <c r="X8594" s="2">
        <f ca="1"/>
        <v>62.590982689123209</v>
      </c>
      <c r="AG8594" s="2">
        <f ca="1"/>
        <v>0.52894086991916955</v>
      </c>
      <c r="AH8594" s="2" t="str">
        <f ca="1"/>
        <v>Bad</v>
      </c>
    </row>
    <row r="8595" spans="2:34" x14ac:dyDescent="0.2">
      <c r="B8595" s="2">
        <f ca="1"/>
        <v>0.69911235616269041</v>
      </c>
      <c r="O8595" s="2">
        <f ca="1"/>
        <v>-0.38210519089160883</v>
      </c>
      <c r="X8595" s="2">
        <f ca="1"/>
        <v>53.849099535073286</v>
      </c>
      <c r="AG8595" s="2">
        <f ca="1"/>
        <v>0.75359340597341262</v>
      </c>
      <c r="AH8595" s="2" t="str">
        <f ca="1"/>
        <v>Bad</v>
      </c>
    </row>
    <row r="8596" spans="2:34" x14ac:dyDescent="0.2">
      <c r="B8596" s="2">
        <f ca="1"/>
        <v>0.46327296957447617</v>
      </c>
      <c r="O8596" s="2">
        <f ca="1"/>
        <v>0.46009786181469498</v>
      </c>
      <c r="X8596" s="2">
        <f ca="1"/>
        <v>44.084338076499861</v>
      </c>
      <c r="AG8596" s="2">
        <f ca="1"/>
        <v>0.83113728358066119</v>
      </c>
      <c r="AH8596" s="2" t="str">
        <f ca="1"/>
        <v>Bad</v>
      </c>
    </row>
    <row r="8597" spans="2:34" x14ac:dyDescent="0.2">
      <c r="B8597" s="2">
        <f ca="1"/>
        <v>0.96132068242196622</v>
      </c>
      <c r="O8597" s="2">
        <f ca="1"/>
        <v>0.56584595607930344</v>
      </c>
      <c r="X8597" s="2">
        <f ca="1"/>
        <v>79.424581449291026</v>
      </c>
      <c r="AG8597" s="2">
        <f ca="1"/>
        <v>0.12264115345072191</v>
      </c>
      <c r="AH8597" s="2" t="str">
        <f ca="1"/>
        <v>OK</v>
      </c>
    </row>
    <row r="8598" spans="2:34" x14ac:dyDescent="0.2">
      <c r="B8598" s="2">
        <f ca="1"/>
        <v>0.30665131503177401</v>
      </c>
      <c r="O8598" s="2">
        <f ca="1"/>
        <v>0.24502945247216698</v>
      </c>
      <c r="X8598" s="2">
        <f ca="1"/>
        <v>60.506698010807291</v>
      </c>
      <c r="AG8598" s="2">
        <f ca="1"/>
        <v>0.81295304921908595</v>
      </c>
      <c r="AH8598" s="2" t="str">
        <f ca="1"/>
        <v>Bad</v>
      </c>
    </row>
    <row r="8599" spans="2:34" x14ac:dyDescent="0.2">
      <c r="B8599" s="2">
        <f ca="1"/>
        <v>9.8104762581566529E-2</v>
      </c>
      <c r="O8599" s="2">
        <f ca="1"/>
        <v>1.6543471582164511</v>
      </c>
      <c r="X8599" s="2">
        <f ca="1"/>
        <v>33.892293897543254</v>
      </c>
      <c r="AG8599" s="2">
        <f ca="1"/>
        <v>0.78999852239676827</v>
      </c>
      <c r="AH8599" s="2" t="str">
        <f ca="1"/>
        <v>Bad</v>
      </c>
    </row>
    <row r="8600" spans="2:34" x14ac:dyDescent="0.2">
      <c r="B8600" s="2">
        <f ca="1"/>
        <v>0.85782533486042967</v>
      </c>
      <c r="O8600" s="2">
        <f ca="1"/>
        <v>1.0357131390140788</v>
      </c>
      <c r="X8600" s="2">
        <f ca="1"/>
        <v>46.27853326884447</v>
      </c>
      <c r="AG8600" s="2">
        <f ca="1"/>
        <v>0.71740601520196012</v>
      </c>
      <c r="AH8600" s="2" t="str">
        <f ca="1"/>
        <v>Bad</v>
      </c>
    </row>
    <row r="8601" spans="2:34" x14ac:dyDescent="0.2">
      <c r="B8601" s="2">
        <f ca="1"/>
        <v>0.91173849842476229</v>
      </c>
      <c r="O8601" s="2">
        <f ca="1"/>
        <v>0.65764107385149195</v>
      </c>
      <c r="X8601" s="2">
        <f ca="1"/>
        <v>50.878130554825667</v>
      </c>
      <c r="AG8601" s="2">
        <f ca="1"/>
        <v>0.91644033647961698</v>
      </c>
      <c r="AH8601" s="2" t="str">
        <f ca="1"/>
        <v>Bad</v>
      </c>
    </row>
    <row r="8602" spans="2:34" x14ac:dyDescent="0.2">
      <c r="B8602" s="2">
        <f ca="1"/>
        <v>0.91526366071053067</v>
      </c>
      <c r="O8602" s="2">
        <f ca="1"/>
        <v>-1.165854379573303</v>
      </c>
      <c r="X8602" s="2">
        <f ca="1"/>
        <v>51.549327140323882</v>
      </c>
      <c r="AG8602" s="2">
        <f ca="1"/>
        <v>0.53722593827259302</v>
      </c>
      <c r="AH8602" s="2" t="str">
        <f ca="1"/>
        <v>Bad</v>
      </c>
    </row>
    <row r="8603" spans="2:34" x14ac:dyDescent="0.2">
      <c r="B8603" s="2">
        <f ca="1"/>
        <v>0.82861960958199909</v>
      </c>
      <c r="O8603" s="2">
        <f ca="1"/>
        <v>-0.2343081953602365</v>
      </c>
      <c r="X8603" s="2">
        <f ca="1"/>
        <v>54.510810300194514</v>
      </c>
      <c r="AG8603" s="2">
        <f ca="1"/>
        <v>0.34935401733275673</v>
      </c>
      <c r="AH8603" s="2" t="str">
        <f ca="1"/>
        <v>OK</v>
      </c>
    </row>
    <row r="8604" spans="2:34" x14ac:dyDescent="0.2">
      <c r="B8604" s="2">
        <f ca="1"/>
        <v>0.293463567291538</v>
      </c>
      <c r="O8604" s="2">
        <f ca="1"/>
        <v>0.42189623534729809</v>
      </c>
      <c r="X8604" s="2">
        <f ca="1"/>
        <v>82.84414302434412</v>
      </c>
      <c r="AG8604" s="2">
        <f ca="1"/>
        <v>0.9611341397602895</v>
      </c>
      <c r="AH8604" s="2" t="str">
        <f ca="1"/>
        <v>Bad</v>
      </c>
    </row>
    <row r="8605" spans="2:34" x14ac:dyDescent="0.2">
      <c r="B8605" s="2">
        <f ca="1"/>
        <v>0.73948563839202142</v>
      </c>
      <c r="O8605" s="2">
        <f ca="1"/>
        <v>1.7695053578677595</v>
      </c>
      <c r="X8605" s="2">
        <f ca="1"/>
        <v>64.771574340170602</v>
      </c>
      <c r="AG8605" s="2">
        <f ca="1"/>
        <v>0.59090762741353142</v>
      </c>
      <c r="AH8605" s="2" t="str">
        <f ca="1"/>
        <v>Bad</v>
      </c>
    </row>
    <row r="8606" spans="2:34" x14ac:dyDescent="0.2">
      <c r="B8606" s="2">
        <f ca="1"/>
        <v>0.69639433337827716</v>
      </c>
      <c r="O8606" s="2">
        <f ca="1"/>
        <v>0.69873550688104802</v>
      </c>
      <c r="X8606" s="2">
        <f ca="1"/>
        <v>33.383472642648513</v>
      </c>
      <c r="AG8606" s="2">
        <f ca="1"/>
        <v>0.87820530977870681</v>
      </c>
      <c r="AH8606" s="2" t="str">
        <f ca="1"/>
        <v>Bad</v>
      </c>
    </row>
    <row r="8607" spans="2:34" x14ac:dyDescent="0.2">
      <c r="B8607" s="2">
        <f ca="1"/>
        <v>0.18960830194092226</v>
      </c>
      <c r="O8607" s="2">
        <f ca="1"/>
        <v>2.1114484437810321</v>
      </c>
      <c r="X8607" s="2">
        <f ca="1"/>
        <v>43.893462382657063</v>
      </c>
      <c r="AG8607" s="2">
        <f ca="1"/>
        <v>0.47652126413247431</v>
      </c>
      <c r="AH8607" s="2" t="str">
        <f ca="1"/>
        <v>Bad</v>
      </c>
    </row>
    <row r="8608" spans="2:34" x14ac:dyDescent="0.2">
      <c r="B8608" s="2">
        <f ca="1"/>
        <v>0.2618654014588957</v>
      </c>
      <c r="O8608" s="2">
        <f ca="1"/>
        <v>0.40948218072056147</v>
      </c>
      <c r="X8608" s="2">
        <f ca="1"/>
        <v>44.293483472699116</v>
      </c>
      <c r="AG8608" s="2">
        <f ca="1"/>
        <v>0.34133526088004706</v>
      </c>
      <c r="AH8608" s="2" t="str">
        <f ca="1"/>
        <v>OK</v>
      </c>
    </row>
    <row r="8609" spans="2:34" x14ac:dyDescent="0.2">
      <c r="B8609" s="2">
        <f ca="1"/>
        <v>0.25393172143248122</v>
      </c>
      <c r="O8609" s="2">
        <f ca="1"/>
        <v>-0.63597253877103488</v>
      </c>
      <c r="X8609" s="2">
        <f ca="1"/>
        <v>56.145877512233653</v>
      </c>
      <c r="AG8609" s="2">
        <f ca="1"/>
        <v>0.22721748630701577</v>
      </c>
      <c r="AH8609" s="2" t="str">
        <f ca="1"/>
        <v>OK</v>
      </c>
    </row>
    <row r="8610" spans="2:34" x14ac:dyDescent="0.2">
      <c r="B8610" s="2">
        <f ca="1"/>
        <v>0.38015490106929217</v>
      </c>
      <c r="O8610" s="2">
        <f ca="1"/>
        <v>-0.21115860844030454</v>
      </c>
      <c r="X8610" s="2">
        <f ca="1"/>
        <v>62.613351559040865</v>
      </c>
      <c r="AG8610" s="2">
        <f ca="1"/>
        <v>0.91771504148624095</v>
      </c>
      <c r="AH8610" s="2" t="str">
        <f ca="1"/>
        <v>Bad</v>
      </c>
    </row>
    <row r="8611" spans="2:34" x14ac:dyDescent="0.2">
      <c r="B8611" s="2">
        <f ca="1"/>
        <v>0.10416488518276568</v>
      </c>
      <c r="O8611" s="2">
        <f ca="1"/>
        <v>-0.16744696740700096</v>
      </c>
      <c r="X8611" s="2">
        <f ca="1"/>
        <v>42.541229818456294</v>
      </c>
      <c r="AG8611" s="2">
        <f ca="1"/>
        <v>3.4660439080315353E-2</v>
      </c>
      <c r="AH8611" s="2" t="str">
        <f ca="1"/>
        <v>Good</v>
      </c>
    </row>
    <row r="8612" spans="2:34" x14ac:dyDescent="0.2">
      <c r="B8612" s="2">
        <f ca="1"/>
        <v>0.21633517634125776</v>
      </c>
      <c r="O8612" s="2">
        <f ca="1"/>
        <v>-2.587263308012358E-2</v>
      </c>
      <c r="X8612" s="2">
        <f ca="1"/>
        <v>24.031387891032065</v>
      </c>
      <c r="AG8612" s="2">
        <f ca="1"/>
        <v>0.2740780927888431</v>
      </c>
      <c r="AH8612" s="2" t="str">
        <f ca="1"/>
        <v>OK</v>
      </c>
    </row>
    <row r="8613" spans="2:34" x14ac:dyDescent="0.2">
      <c r="B8613" s="2">
        <f ca="1"/>
        <v>0.51928573053947491</v>
      </c>
      <c r="O8613" s="2">
        <f ca="1"/>
        <v>0.35323005322634438</v>
      </c>
      <c r="X8613" s="2">
        <f ca="1"/>
        <v>52.222786816031245</v>
      </c>
      <c r="AG8613" s="2">
        <f ca="1"/>
        <v>0.83916922129198612</v>
      </c>
      <c r="AH8613" s="2" t="str">
        <f ca="1"/>
        <v>Bad</v>
      </c>
    </row>
    <row r="8614" spans="2:34" x14ac:dyDescent="0.2">
      <c r="B8614" s="2">
        <f ca="1"/>
        <v>0.14711264287883652</v>
      </c>
      <c r="O8614" s="2">
        <f ca="1"/>
        <v>0.32996284975982015</v>
      </c>
      <c r="X8614" s="2">
        <f ca="1"/>
        <v>38.888442210425872</v>
      </c>
      <c r="AG8614" s="2">
        <f ca="1"/>
        <v>0.53632917871003305</v>
      </c>
      <c r="AH8614" s="2" t="str">
        <f ca="1"/>
        <v>Bad</v>
      </c>
    </row>
    <row r="8615" spans="2:34" x14ac:dyDescent="0.2">
      <c r="B8615" s="2">
        <f ca="1"/>
        <v>0.19176669830352888</v>
      </c>
      <c r="O8615" s="2">
        <f ca="1"/>
        <v>0.84266707275566932</v>
      </c>
      <c r="X8615" s="2">
        <f ca="1"/>
        <v>26.937514921628637</v>
      </c>
      <c r="AG8615" s="2">
        <f ca="1"/>
        <v>0.12999662498372766</v>
      </c>
      <c r="AH8615" s="2" t="str">
        <f ca="1"/>
        <v>OK</v>
      </c>
    </row>
    <row r="8616" spans="2:34" x14ac:dyDescent="0.2">
      <c r="B8616" s="2">
        <f ca="1"/>
        <v>0.30366003786488815</v>
      </c>
      <c r="O8616" s="2">
        <f ca="1"/>
        <v>-1.1754175790698351</v>
      </c>
      <c r="X8616" s="2">
        <f ca="1"/>
        <v>49.231424708240361</v>
      </c>
      <c r="AG8616" s="2">
        <f ca="1"/>
        <v>0.3084585478135875</v>
      </c>
      <c r="AH8616" s="2" t="str">
        <f ca="1"/>
        <v>OK</v>
      </c>
    </row>
    <row r="8617" spans="2:34" x14ac:dyDescent="0.2">
      <c r="B8617" s="2">
        <f ca="1"/>
        <v>0.36005599213308059</v>
      </c>
      <c r="O8617" s="2">
        <f ca="1"/>
        <v>-1.1183315426370879</v>
      </c>
      <c r="X8617" s="2">
        <f ca="1"/>
        <v>38.45254784816602</v>
      </c>
      <c r="AG8617" s="2">
        <f ca="1"/>
        <v>0.80027725954880879</v>
      </c>
      <c r="AH8617" s="2" t="str">
        <f ca="1"/>
        <v>Bad</v>
      </c>
    </row>
    <row r="8618" spans="2:34" x14ac:dyDescent="0.2">
      <c r="B8618" s="2">
        <f ca="1"/>
        <v>0.59836360136563149</v>
      </c>
      <c r="O8618" s="2">
        <f ca="1"/>
        <v>1.7397959669076695</v>
      </c>
      <c r="X8618" s="2">
        <f ca="1"/>
        <v>61.728617789551173</v>
      </c>
      <c r="AG8618" s="2">
        <f ca="1"/>
        <v>0.49940827766228257</v>
      </c>
      <c r="AH8618" s="2" t="str">
        <f ca="1"/>
        <v>Bad</v>
      </c>
    </row>
    <row r="8619" spans="2:34" x14ac:dyDescent="0.2">
      <c r="B8619" s="2">
        <f ca="1"/>
        <v>0.67947415747649975</v>
      </c>
      <c r="O8619" s="2">
        <f ca="1"/>
        <v>0.48464045208928769</v>
      </c>
      <c r="X8619" s="2">
        <f ca="1"/>
        <v>58.906438234931258</v>
      </c>
      <c r="AG8619" s="2">
        <f ca="1"/>
        <v>0.23699485814672427</v>
      </c>
      <c r="AH8619" s="2" t="str">
        <f ca="1"/>
        <v>OK</v>
      </c>
    </row>
    <row r="8620" spans="2:34" x14ac:dyDescent="0.2">
      <c r="B8620" s="2">
        <f ca="1"/>
        <v>0.47598378565547383</v>
      </c>
      <c r="O8620" s="2">
        <f ca="1"/>
        <v>-1.1692527168273013</v>
      </c>
      <c r="X8620" s="2">
        <f ca="1"/>
        <v>53.258090231700209</v>
      </c>
      <c r="AG8620" s="2">
        <f ca="1"/>
        <v>0.60458725504508437</v>
      </c>
      <c r="AH8620" s="2" t="str">
        <f ca="1"/>
        <v>Bad</v>
      </c>
    </row>
    <row r="8621" spans="2:34" x14ac:dyDescent="0.2">
      <c r="B8621" s="2">
        <f ca="1"/>
        <v>0.90672958404069282</v>
      </c>
      <c r="O8621" s="2">
        <f ca="1"/>
        <v>1.2115612030277592</v>
      </c>
      <c r="X8621" s="2">
        <f ca="1"/>
        <v>54.181773818742442</v>
      </c>
      <c r="AG8621" s="2">
        <f ca="1"/>
        <v>0.45493995899076412</v>
      </c>
      <c r="AH8621" s="2" t="str">
        <f ca="1"/>
        <v>Bad</v>
      </c>
    </row>
    <row r="8622" spans="2:34" x14ac:dyDescent="0.2">
      <c r="B8622" s="2">
        <f ca="1"/>
        <v>0.8351535590006165</v>
      </c>
      <c r="O8622" s="2">
        <f ca="1"/>
        <v>-0.13795758721059137</v>
      </c>
      <c r="X8622" s="2">
        <f ca="1"/>
        <v>42.832202302611137</v>
      </c>
      <c r="AG8622" s="2">
        <f ca="1"/>
        <v>4.2838642935809856E-2</v>
      </c>
      <c r="AH8622" s="2" t="str">
        <f ca="1"/>
        <v>Good</v>
      </c>
    </row>
    <row r="8623" spans="2:34" x14ac:dyDescent="0.2">
      <c r="B8623" s="2">
        <f ca="1"/>
        <v>0.13222517376779841</v>
      </c>
      <c r="O8623" s="2">
        <f ca="1"/>
        <v>-0.57791351402735203</v>
      </c>
      <c r="X8623" s="2">
        <f ca="1"/>
        <v>46.592740033393909</v>
      </c>
      <c r="AG8623" s="2">
        <f ca="1"/>
        <v>0.62055605194010099</v>
      </c>
      <c r="AH8623" s="2" t="str">
        <f ca="1"/>
        <v>Bad</v>
      </c>
    </row>
    <row r="8624" spans="2:34" x14ac:dyDescent="0.2">
      <c r="B8624" s="2">
        <f ca="1"/>
        <v>0.85264717949237268</v>
      </c>
      <c r="O8624" s="2">
        <f ca="1"/>
        <v>-1.7013877208872676</v>
      </c>
      <c r="X8624" s="2">
        <f ca="1"/>
        <v>47.008424483086102</v>
      </c>
      <c r="AG8624" s="2">
        <f ca="1"/>
        <v>0.79225942721531606</v>
      </c>
      <c r="AH8624" s="2" t="str">
        <f ca="1"/>
        <v>Bad</v>
      </c>
    </row>
    <row r="8625" spans="2:34" x14ac:dyDescent="0.2">
      <c r="B8625" s="2">
        <f ca="1"/>
        <v>0.70739828652192105</v>
      </c>
      <c r="O8625" s="2">
        <f ca="1"/>
        <v>0.46017903749376121</v>
      </c>
      <c r="X8625" s="2">
        <f ca="1"/>
        <v>76.474200508643492</v>
      </c>
      <c r="AG8625" s="2">
        <f ca="1"/>
        <v>0.51537199131285072</v>
      </c>
      <c r="AH8625" s="2" t="str">
        <f ca="1"/>
        <v>Bad</v>
      </c>
    </row>
    <row r="8626" spans="2:34" x14ac:dyDescent="0.2">
      <c r="B8626" s="2">
        <f ca="1"/>
        <v>0.50587564807381979</v>
      </c>
      <c r="O8626" s="2">
        <f ca="1"/>
        <v>-0.72620393956526408</v>
      </c>
      <c r="X8626" s="2">
        <f ca="1"/>
        <v>81.008495936640642</v>
      </c>
      <c r="AG8626" s="2">
        <f ca="1"/>
        <v>0.67800560436797652</v>
      </c>
      <c r="AH8626" s="2" t="str">
        <f ca="1"/>
        <v>Bad</v>
      </c>
    </row>
    <row r="8627" spans="2:34" x14ac:dyDescent="0.2">
      <c r="B8627" s="2">
        <f ca="1"/>
        <v>0.67305331022946913</v>
      </c>
      <c r="O8627" s="2">
        <f ca="1"/>
        <v>-0.21213516280023786</v>
      </c>
      <c r="X8627" s="2">
        <f ca="1"/>
        <v>28.213855259674844</v>
      </c>
      <c r="AG8627" s="2">
        <f ca="1"/>
        <v>6.5870576682448556E-2</v>
      </c>
      <c r="AH8627" s="2" t="str">
        <f ca="1"/>
        <v>OK</v>
      </c>
    </row>
    <row r="8628" spans="2:34" x14ac:dyDescent="0.2">
      <c r="B8628" s="2">
        <f ca="1"/>
        <v>0.41414846026642538</v>
      </c>
      <c r="O8628" s="2">
        <f ca="1"/>
        <v>1.6649275637823544</v>
      </c>
      <c r="X8628" s="2">
        <f ca="1"/>
        <v>55.491524113556387</v>
      </c>
      <c r="AG8628" s="2">
        <f ca="1"/>
        <v>0.81304627571263377</v>
      </c>
      <c r="AH8628" s="2" t="str">
        <f ca="1"/>
        <v>Bad</v>
      </c>
    </row>
    <row r="8629" spans="2:34" x14ac:dyDescent="0.2">
      <c r="B8629" s="2">
        <f ca="1"/>
        <v>0.45397809910183695</v>
      </c>
      <c r="O8629" s="2">
        <f ca="1"/>
        <v>-0.45948306022658558</v>
      </c>
      <c r="X8629" s="2">
        <f ca="1"/>
        <v>42.420325124282371</v>
      </c>
      <c r="AG8629" s="2">
        <f ca="1"/>
        <v>0.5351128325921426</v>
      </c>
      <c r="AH8629" s="2" t="str">
        <f ca="1"/>
        <v>Bad</v>
      </c>
    </row>
    <row r="8630" spans="2:34" x14ac:dyDescent="0.2">
      <c r="B8630" s="2">
        <f ca="1"/>
        <v>0.82657919547588921</v>
      </c>
      <c r="O8630" s="2">
        <f ca="1"/>
        <v>0.14826883200251653</v>
      </c>
      <c r="X8630" s="2">
        <f ca="1"/>
        <v>47.853632821948267</v>
      </c>
      <c r="AG8630" s="2">
        <f ca="1"/>
        <v>6.2702846827689562E-2</v>
      </c>
      <c r="AH8630" s="2" t="str">
        <f ca="1"/>
        <v>OK</v>
      </c>
    </row>
    <row r="8631" spans="2:34" x14ac:dyDescent="0.2">
      <c r="B8631" s="2">
        <f ca="1"/>
        <v>0.42740505415479424</v>
      </c>
      <c r="O8631" s="2">
        <f ca="1"/>
        <v>-0.11626357685154658</v>
      </c>
      <c r="X8631" s="2">
        <f ca="1"/>
        <v>66.558680025414247</v>
      </c>
      <c r="AG8631" s="2">
        <f ca="1"/>
        <v>0.3525196563417381</v>
      </c>
      <c r="AH8631" s="2" t="str">
        <f ca="1"/>
        <v>OK</v>
      </c>
    </row>
    <row r="8632" spans="2:34" x14ac:dyDescent="0.2">
      <c r="B8632" s="2">
        <f ca="1"/>
        <v>0.87270144960312446</v>
      </c>
      <c r="O8632" s="2">
        <f ca="1"/>
        <v>0.61165246868884005</v>
      </c>
      <c r="X8632" s="2">
        <f ca="1"/>
        <v>41.802441252562673</v>
      </c>
      <c r="AG8632" s="2">
        <f ca="1"/>
        <v>0.46531442033398496</v>
      </c>
      <c r="AH8632" s="2" t="str">
        <f ca="1"/>
        <v>Bad</v>
      </c>
    </row>
    <row r="8633" spans="2:34" x14ac:dyDescent="0.2">
      <c r="B8633" s="2">
        <f ca="1"/>
        <v>0.41995576413682922</v>
      </c>
      <c r="O8633" s="2">
        <f ca="1"/>
        <v>-0.36700015788300566</v>
      </c>
      <c r="X8633" s="2">
        <f ca="1"/>
        <v>41.2286862997016</v>
      </c>
      <c r="AG8633" s="2">
        <f ca="1"/>
        <v>0.79927273179262581</v>
      </c>
      <c r="AH8633" s="2" t="str">
        <f ca="1"/>
        <v>Bad</v>
      </c>
    </row>
    <row r="8634" spans="2:34" x14ac:dyDescent="0.2">
      <c r="B8634" s="2">
        <f ca="1"/>
        <v>0.87205546334078554</v>
      </c>
      <c r="O8634" s="2">
        <f ca="1"/>
        <v>-0.52524023262014841</v>
      </c>
      <c r="X8634" s="2">
        <f ca="1"/>
        <v>47.412476535025476</v>
      </c>
      <c r="AG8634" s="2">
        <f ca="1"/>
        <v>0.24605035814887288</v>
      </c>
      <c r="AH8634" s="2" t="str">
        <f ca="1"/>
        <v>OK</v>
      </c>
    </row>
    <row r="8635" spans="2:34" x14ac:dyDescent="0.2">
      <c r="B8635" s="2">
        <f ca="1"/>
        <v>8.7915065473920029E-2</v>
      </c>
      <c r="O8635" s="2">
        <f ca="1"/>
        <v>-1.091178492260684</v>
      </c>
      <c r="X8635" s="2">
        <f ca="1"/>
        <v>25.62297050374427</v>
      </c>
      <c r="AG8635" s="2">
        <f ca="1"/>
        <v>6.4758293640333697E-2</v>
      </c>
      <c r="AH8635" s="2" t="str">
        <f ca="1"/>
        <v>OK</v>
      </c>
    </row>
    <row r="8636" spans="2:34" x14ac:dyDescent="0.2">
      <c r="B8636" s="2">
        <f ca="1"/>
        <v>0.7428875004861375</v>
      </c>
      <c r="O8636" s="2">
        <f ca="1"/>
        <v>-1.720789986199204</v>
      </c>
      <c r="X8636" s="2">
        <f ca="1"/>
        <v>36.676532775616728</v>
      </c>
      <c r="AG8636" s="2">
        <f ca="1"/>
        <v>0.37797249906693775</v>
      </c>
      <c r="AH8636" s="2" t="str">
        <f ca="1"/>
        <v>OK</v>
      </c>
    </row>
    <row r="8637" spans="2:34" x14ac:dyDescent="0.2">
      <c r="B8637" s="2">
        <f ca="1"/>
        <v>5.1993619579189243E-2</v>
      </c>
      <c r="O8637" s="2">
        <f ca="1"/>
        <v>-1.1118180875051042</v>
      </c>
      <c r="X8637" s="2">
        <f ca="1"/>
        <v>50.316360168314844</v>
      </c>
      <c r="AG8637" s="2">
        <f ca="1"/>
        <v>0.87352864190587076</v>
      </c>
      <c r="AH8637" s="2" t="str">
        <f ca="1"/>
        <v>Bad</v>
      </c>
    </row>
    <row r="8638" spans="2:34" x14ac:dyDescent="0.2">
      <c r="B8638" s="2">
        <f ca="1"/>
        <v>0.66770935712734603</v>
      </c>
      <c r="O8638" s="2">
        <f ca="1"/>
        <v>1.0317460649639556</v>
      </c>
      <c r="X8638" s="2">
        <f ca="1"/>
        <v>31.876567556696699</v>
      </c>
      <c r="AG8638" s="2">
        <f ca="1"/>
        <v>0.51956342218906548</v>
      </c>
      <c r="AH8638" s="2" t="str">
        <f ca="1"/>
        <v>Bad</v>
      </c>
    </row>
    <row r="8639" spans="2:34" x14ac:dyDescent="0.2">
      <c r="B8639" s="2">
        <f ca="1"/>
        <v>0.79467485895256407</v>
      </c>
      <c r="O8639" s="2">
        <f ca="1"/>
        <v>1.0362508396616277</v>
      </c>
      <c r="X8639" s="2">
        <f ca="1"/>
        <v>62.42761856380546</v>
      </c>
      <c r="AG8639" s="2">
        <f ca="1"/>
        <v>0.10086675676730628</v>
      </c>
      <c r="AH8639" s="2" t="str">
        <f ca="1"/>
        <v>OK</v>
      </c>
    </row>
    <row r="8640" spans="2:34" x14ac:dyDescent="0.2">
      <c r="B8640" s="2">
        <f ca="1"/>
        <v>0.28608349038631165</v>
      </c>
      <c r="O8640" s="2">
        <f ca="1"/>
        <v>-0.19415212762130069</v>
      </c>
      <c r="X8640" s="2">
        <f ca="1"/>
        <v>65.199011649250224</v>
      </c>
      <c r="AG8640" s="2">
        <f ca="1"/>
        <v>0.22889326999768556</v>
      </c>
      <c r="AH8640" s="2" t="str">
        <f ca="1"/>
        <v>OK</v>
      </c>
    </row>
    <row r="8641" spans="2:34" x14ac:dyDescent="0.2">
      <c r="B8641" s="2">
        <f ca="1"/>
        <v>0.51654685653930454</v>
      </c>
      <c r="O8641" s="2">
        <f ca="1"/>
        <v>-0.49989108003765953</v>
      </c>
      <c r="X8641" s="2">
        <f ca="1"/>
        <v>27.43947940093808</v>
      </c>
      <c r="AG8641" s="2">
        <f ca="1"/>
        <v>0.84847512870224606</v>
      </c>
      <c r="AH8641" s="2" t="str">
        <f ca="1"/>
        <v>Bad</v>
      </c>
    </row>
    <row r="8642" spans="2:34" x14ac:dyDescent="0.2">
      <c r="B8642" s="2">
        <f ca="1"/>
        <v>0.62775973621654768</v>
      </c>
      <c r="O8642" s="2">
        <f ca="1"/>
        <v>-1.0828688405169831</v>
      </c>
      <c r="X8642" s="2">
        <f ca="1"/>
        <v>62.281846473194335</v>
      </c>
      <c r="AG8642" s="2">
        <f ca="1"/>
        <v>0.32058442076214799</v>
      </c>
      <c r="AH8642" s="2" t="str">
        <f ca="1"/>
        <v>OK</v>
      </c>
    </row>
    <row r="8643" spans="2:34" x14ac:dyDescent="0.2">
      <c r="B8643" s="2">
        <f ca="1"/>
        <v>0.63331212726649677</v>
      </c>
      <c r="O8643" s="2">
        <f ca="1"/>
        <v>0.70113149192155555</v>
      </c>
      <c r="X8643" s="2">
        <f ca="1"/>
        <v>72.95862002086696</v>
      </c>
      <c r="AG8643" s="2">
        <f ca="1"/>
        <v>0.59369557056514721</v>
      </c>
      <c r="AH8643" s="2" t="str">
        <f ca="1"/>
        <v>Bad</v>
      </c>
    </row>
    <row r="8644" spans="2:34" x14ac:dyDescent="0.2">
      <c r="B8644" s="2">
        <f ca="1"/>
        <v>0.9117406036966631</v>
      </c>
      <c r="O8644" s="2">
        <f ca="1"/>
        <v>-1.2494133338836617</v>
      </c>
      <c r="X8644" s="2">
        <f ca="1"/>
        <v>45.811794399443997</v>
      </c>
      <c r="AG8644" s="2">
        <f ca="1"/>
        <v>0.30807543331656273</v>
      </c>
      <c r="AH8644" s="2" t="str">
        <f ca="1"/>
        <v>OK</v>
      </c>
    </row>
    <row r="8645" spans="2:34" x14ac:dyDescent="0.2">
      <c r="B8645" s="2">
        <f ca="1"/>
        <v>0.34233128803061863</v>
      </c>
      <c r="O8645" s="2">
        <f ca="1"/>
        <v>4.456993435877684E-2</v>
      </c>
      <c r="X8645" s="2">
        <f ca="1"/>
        <v>57.227258921861178</v>
      </c>
      <c r="AG8645" s="2">
        <f ca="1"/>
        <v>0.21843492158052769</v>
      </c>
      <c r="AH8645" s="2" t="str">
        <f ca="1"/>
        <v>OK</v>
      </c>
    </row>
    <row r="8646" spans="2:34" x14ac:dyDescent="0.2">
      <c r="B8646" s="2">
        <f ca="1"/>
        <v>0.72195786286949803</v>
      </c>
      <c r="O8646" s="2">
        <f ca="1"/>
        <v>-0.61873599839519955</v>
      </c>
      <c r="X8646" s="2">
        <f ca="1"/>
        <v>44.401051860411236</v>
      </c>
      <c r="AG8646" s="2">
        <f ca="1"/>
        <v>0.15732545555232313</v>
      </c>
      <c r="AH8646" s="2" t="str">
        <f ca="1"/>
        <v>OK</v>
      </c>
    </row>
    <row r="8647" spans="2:34" x14ac:dyDescent="0.2">
      <c r="B8647" s="2">
        <f ca="1"/>
        <v>0.54352651190766821</v>
      </c>
      <c r="O8647" s="2">
        <f ca="1"/>
        <v>-0.38630047675163609</v>
      </c>
      <c r="X8647" s="2">
        <f ca="1"/>
        <v>40.867883610428407</v>
      </c>
      <c r="AG8647" s="2">
        <f ca="1"/>
        <v>0.42560345884900541</v>
      </c>
      <c r="AH8647" s="2" t="str">
        <f ca="1"/>
        <v>Bad</v>
      </c>
    </row>
    <row r="8648" spans="2:34" x14ac:dyDescent="0.2">
      <c r="B8648" s="2">
        <f ca="1"/>
        <v>1.5598721391742121E-2</v>
      </c>
      <c r="O8648" s="2">
        <f ca="1"/>
        <v>0.72125119647725011</v>
      </c>
      <c r="X8648" s="2">
        <f ca="1"/>
        <v>25.949463368662492</v>
      </c>
      <c r="AG8648" s="2">
        <f ca="1"/>
        <v>0.35811731993478135</v>
      </c>
      <c r="AH8648" s="2" t="str">
        <f ca="1"/>
        <v>OK</v>
      </c>
    </row>
    <row r="8649" spans="2:34" x14ac:dyDescent="0.2">
      <c r="B8649" s="2">
        <f ca="1"/>
        <v>0.60953585188056891</v>
      </c>
      <c r="O8649" s="2">
        <f ca="1"/>
        <v>-0.19762729614260399</v>
      </c>
      <c r="X8649" s="2">
        <f ca="1"/>
        <v>63.994233224243928</v>
      </c>
      <c r="AG8649" s="2">
        <f ca="1"/>
        <v>4.4904462199284678E-2</v>
      </c>
      <c r="AH8649" s="2" t="str">
        <f ca="1"/>
        <v>Good</v>
      </c>
    </row>
    <row r="8650" spans="2:34" x14ac:dyDescent="0.2">
      <c r="B8650" s="2">
        <f ca="1"/>
        <v>0.4989492521661949</v>
      </c>
      <c r="O8650" s="2">
        <f ca="1"/>
        <v>-0.64633148188751599</v>
      </c>
      <c r="X8650" s="2">
        <f ca="1"/>
        <v>51.797391341354427</v>
      </c>
      <c r="AG8650" s="2">
        <f ca="1"/>
        <v>0.50643152260617752</v>
      </c>
      <c r="AH8650" s="2" t="str">
        <f ca="1"/>
        <v>Bad</v>
      </c>
    </row>
    <row r="8651" spans="2:34" x14ac:dyDescent="0.2">
      <c r="B8651" s="2">
        <f ca="1"/>
        <v>2.2693385852645909E-2</v>
      </c>
      <c r="O8651" s="2">
        <f ca="1"/>
        <v>-0.21813650767419801</v>
      </c>
      <c r="X8651" s="2">
        <f ca="1"/>
        <v>53.252304546141723</v>
      </c>
      <c r="AG8651" s="2">
        <f ca="1"/>
        <v>0.91902311430967742</v>
      </c>
      <c r="AH8651" s="2" t="str">
        <f ca="1"/>
        <v>Bad</v>
      </c>
    </row>
    <row r="8652" spans="2:34" x14ac:dyDescent="0.2">
      <c r="B8652" s="2">
        <f ca="1"/>
        <v>3.0517967095287313E-2</v>
      </c>
      <c r="O8652" s="2">
        <f ca="1"/>
        <v>-0.42885680294485801</v>
      </c>
      <c r="X8652" s="2">
        <f ca="1"/>
        <v>32.967749648837028</v>
      </c>
      <c r="AG8652" s="2">
        <f ca="1"/>
        <v>0.98023418769670823</v>
      </c>
      <c r="AH8652" s="2" t="str">
        <f ca="1"/>
        <v>Bad</v>
      </c>
    </row>
    <row r="8653" spans="2:34" x14ac:dyDescent="0.2">
      <c r="B8653" s="2">
        <f ca="1"/>
        <v>0.43352434093281289</v>
      </c>
      <c r="O8653" s="2">
        <f ca="1"/>
        <v>9.8236425281910164E-2</v>
      </c>
      <c r="X8653" s="2">
        <f ca="1"/>
        <v>69.158548848258192</v>
      </c>
      <c r="AG8653" s="2">
        <f ca="1"/>
        <v>4.9269198215953658E-2</v>
      </c>
      <c r="AH8653" s="2" t="str">
        <f ca="1"/>
        <v>Good</v>
      </c>
    </row>
    <row r="8654" spans="2:34" x14ac:dyDescent="0.2">
      <c r="B8654" s="2">
        <f ca="1"/>
        <v>0.51116445787589271</v>
      </c>
      <c r="O8654" s="2">
        <f ca="1"/>
        <v>-0.47857954395064289</v>
      </c>
      <c r="X8654" s="2">
        <f ca="1"/>
        <v>91.574229969750704</v>
      </c>
      <c r="AG8654" s="2">
        <f ca="1"/>
        <v>0.41790449739097402</v>
      </c>
      <c r="AH8654" s="2" t="str">
        <f ca="1"/>
        <v>Bad</v>
      </c>
    </row>
    <row r="8655" spans="2:34" x14ac:dyDescent="0.2">
      <c r="B8655" s="2">
        <f ca="1"/>
        <v>0.46574461162884773</v>
      </c>
      <c r="O8655" s="2">
        <f ca="1"/>
        <v>1.2739524022991859</v>
      </c>
      <c r="X8655" s="2">
        <f ca="1"/>
        <v>72.637727105741675</v>
      </c>
      <c r="AG8655" s="2">
        <f ca="1"/>
        <v>0.54821076815561276</v>
      </c>
      <c r="AH8655" s="2" t="str">
        <f ca="1"/>
        <v>Bad</v>
      </c>
    </row>
    <row r="8656" spans="2:34" x14ac:dyDescent="0.2">
      <c r="B8656" s="2">
        <f ca="1"/>
        <v>0.96825958989255145</v>
      </c>
      <c r="O8656" s="2">
        <f ca="1"/>
        <v>-1.2636829028929257</v>
      </c>
      <c r="X8656" s="2">
        <f ca="1"/>
        <v>49.495453373361656</v>
      </c>
      <c r="AG8656" s="2">
        <f ca="1"/>
        <v>0.25356105309318733</v>
      </c>
      <c r="AH8656" s="2" t="str">
        <f ca="1"/>
        <v>OK</v>
      </c>
    </row>
    <row r="8657" spans="2:34" x14ac:dyDescent="0.2">
      <c r="B8657" s="2">
        <f ca="1"/>
        <v>0.81733354766892119</v>
      </c>
      <c r="O8657" s="2">
        <f ca="1"/>
        <v>-0.89324794359058457</v>
      </c>
      <c r="X8657" s="2">
        <f ca="1"/>
        <v>52.411181578881255</v>
      </c>
      <c r="AG8657" s="2">
        <f ca="1"/>
        <v>0.39787257415416888</v>
      </c>
      <c r="AH8657" s="2" t="str">
        <f ca="1"/>
        <v>OK</v>
      </c>
    </row>
    <row r="8658" spans="2:34" x14ac:dyDescent="0.2">
      <c r="B8658" s="2">
        <f ca="1"/>
        <v>0.14375786282491676</v>
      </c>
      <c r="O8658" s="2">
        <f ca="1"/>
        <v>-0.23159658716664938</v>
      </c>
      <c r="X8658" s="2">
        <f ca="1"/>
        <v>52.6218560190093</v>
      </c>
      <c r="AG8658" s="2">
        <f ca="1"/>
        <v>0.34974052894767271</v>
      </c>
      <c r="AH8658" s="2" t="str">
        <f ca="1"/>
        <v>OK</v>
      </c>
    </row>
    <row r="8659" spans="2:34" x14ac:dyDescent="0.2">
      <c r="B8659" s="2">
        <f ca="1"/>
        <v>0.14495611912137485</v>
      </c>
      <c r="O8659" s="2">
        <f ca="1"/>
        <v>0.12555754265557359</v>
      </c>
      <c r="X8659" s="2">
        <f ca="1"/>
        <v>64.810666190780239</v>
      </c>
      <c r="AG8659" s="2">
        <f ca="1"/>
        <v>0.50510020241112596</v>
      </c>
      <c r="AH8659" s="2" t="str">
        <f ca="1"/>
        <v>Bad</v>
      </c>
    </row>
    <row r="8660" spans="2:34" x14ac:dyDescent="0.2">
      <c r="B8660" s="2">
        <f ca="1"/>
        <v>0.43023424005298572</v>
      </c>
      <c r="O8660" s="2">
        <f ca="1"/>
        <v>2.2458541255602794E-2</v>
      </c>
      <c r="X8660" s="2">
        <f ca="1"/>
        <v>24.747936419417556</v>
      </c>
      <c r="AG8660" s="2">
        <f ca="1"/>
        <v>0.21000692837700341</v>
      </c>
      <c r="AH8660" s="2" t="str">
        <f ca="1"/>
        <v>OK</v>
      </c>
    </row>
    <row r="8661" spans="2:34" x14ac:dyDescent="0.2">
      <c r="B8661" s="2">
        <f ca="1"/>
        <v>0.99183942498927502</v>
      </c>
      <c r="O8661" s="2">
        <f ca="1"/>
        <v>1.3856849179396127</v>
      </c>
      <c r="X8661" s="2">
        <f ca="1"/>
        <v>68.904466457407167</v>
      </c>
      <c r="AG8661" s="2">
        <f ca="1"/>
        <v>0.98926522898146607</v>
      </c>
      <c r="AH8661" s="2" t="str">
        <f ca="1"/>
        <v>Bad</v>
      </c>
    </row>
    <row r="8662" spans="2:34" x14ac:dyDescent="0.2">
      <c r="B8662" s="2">
        <f ca="1"/>
        <v>0.19757948505338518</v>
      </c>
      <c r="O8662" s="2">
        <f ca="1"/>
        <v>1.7745689195635435</v>
      </c>
      <c r="X8662" s="2">
        <f ca="1"/>
        <v>40.593220222825821</v>
      </c>
      <c r="AG8662" s="2">
        <f ca="1"/>
        <v>0.98501416881357184</v>
      </c>
      <c r="AH8662" s="2" t="str">
        <f ca="1"/>
        <v>Bad</v>
      </c>
    </row>
    <row r="8663" spans="2:34" x14ac:dyDescent="0.2">
      <c r="B8663" s="2">
        <f ca="1"/>
        <v>0.46016327108091559</v>
      </c>
      <c r="O8663" s="2">
        <f ca="1"/>
        <v>0.52445898058535179</v>
      </c>
      <c r="X8663" s="2">
        <f ca="1"/>
        <v>36.752905555084439</v>
      </c>
      <c r="AG8663" s="2">
        <f ca="1"/>
        <v>0.8839913421529888</v>
      </c>
      <c r="AH8663" s="2" t="str">
        <f ca="1"/>
        <v>Bad</v>
      </c>
    </row>
    <row r="8664" spans="2:34" x14ac:dyDescent="0.2">
      <c r="B8664" s="2">
        <f ca="1"/>
        <v>0.20330472798795762</v>
      </c>
      <c r="O8664" s="2">
        <f ca="1"/>
        <v>1.0143270201201515</v>
      </c>
      <c r="X8664" s="2">
        <f ca="1"/>
        <v>45.053956025399984</v>
      </c>
      <c r="AG8664" s="2">
        <f ca="1"/>
        <v>5.0497751012323233E-2</v>
      </c>
      <c r="AH8664" s="2" t="str">
        <f ca="1"/>
        <v>OK</v>
      </c>
    </row>
    <row r="8665" spans="2:34" x14ac:dyDescent="0.2">
      <c r="B8665" s="2">
        <f ca="1"/>
        <v>0.48382393476553864</v>
      </c>
      <c r="O8665" s="2">
        <f ca="1"/>
        <v>0.16788384122209013</v>
      </c>
      <c r="X8665" s="2">
        <f ca="1"/>
        <v>45.658175516640583</v>
      </c>
      <c r="AG8665" s="2">
        <f ca="1"/>
        <v>0.19040316623693099</v>
      </c>
      <c r="AH8665" s="2" t="str">
        <f ca="1"/>
        <v>OK</v>
      </c>
    </row>
    <row r="8666" spans="2:34" x14ac:dyDescent="0.2">
      <c r="B8666" s="2">
        <f ca="1"/>
        <v>0.26151516863591651</v>
      </c>
      <c r="O8666" s="2">
        <f ca="1"/>
        <v>0.22150467000489218</v>
      </c>
      <c r="X8666" s="2">
        <f ca="1"/>
        <v>24.396574891071616</v>
      </c>
      <c r="AG8666" s="2">
        <f ca="1"/>
        <v>2.8507083813420264E-2</v>
      </c>
      <c r="AH8666" s="2" t="str">
        <f ca="1"/>
        <v>Good</v>
      </c>
    </row>
    <row r="8667" spans="2:34" x14ac:dyDescent="0.2">
      <c r="B8667" s="2">
        <f ca="1"/>
        <v>0.11689340879655163</v>
      </c>
      <c r="O8667" s="2">
        <f ca="1"/>
        <v>1.6128371716588052</v>
      </c>
      <c r="X8667" s="2">
        <f ca="1"/>
        <v>66.008021968354043</v>
      </c>
      <c r="AG8667" s="2">
        <f ca="1"/>
        <v>0.2620805939326587</v>
      </c>
      <c r="AH8667" s="2" t="str">
        <f ca="1"/>
        <v>OK</v>
      </c>
    </row>
    <row r="8668" spans="2:34" x14ac:dyDescent="0.2">
      <c r="B8668" s="2">
        <f ca="1"/>
        <v>0.71473214321124301</v>
      </c>
      <c r="O8668" s="2">
        <f ca="1"/>
        <v>1.4153313757664949</v>
      </c>
      <c r="X8668" s="2">
        <f ca="1"/>
        <v>38.843793745561797</v>
      </c>
      <c r="AG8668" s="2">
        <f ca="1"/>
        <v>0.75355190923858029</v>
      </c>
      <c r="AH8668" s="2" t="str">
        <f ca="1"/>
        <v>Bad</v>
      </c>
    </row>
    <row r="8669" spans="2:34" x14ac:dyDescent="0.2">
      <c r="B8669" s="2">
        <f ca="1"/>
        <v>0.14918567347094913</v>
      </c>
      <c r="O8669" s="2">
        <f ca="1"/>
        <v>-1.247336380746664</v>
      </c>
      <c r="X8669" s="2">
        <f ca="1"/>
        <v>53.263838394981384</v>
      </c>
      <c r="AG8669" s="2">
        <f ca="1"/>
        <v>0.44111323849341355</v>
      </c>
      <c r="AH8669" s="2" t="str">
        <f ca="1"/>
        <v>Bad</v>
      </c>
    </row>
    <row r="8670" spans="2:34" x14ac:dyDescent="0.2">
      <c r="B8670" s="2">
        <f ca="1"/>
        <v>0.44098619135633399</v>
      </c>
      <c r="O8670" s="2">
        <f ca="1"/>
        <v>-0.69500724969515892</v>
      </c>
      <c r="X8670" s="2">
        <f ca="1"/>
        <v>50.587348719145915</v>
      </c>
      <c r="AG8670" s="2">
        <f ca="1"/>
        <v>0.77204788985260842</v>
      </c>
      <c r="AH8670" s="2" t="str">
        <f ca="1"/>
        <v>Bad</v>
      </c>
    </row>
    <row r="8671" spans="2:34" x14ac:dyDescent="0.2">
      <c r="B8671" s="2">
        <f ca="1"/>
        <v>9.9708461518008829E-3</v>
      </c>
      <c r="O8671" s="2">
        <f ca="1"/>
        <v>1.4492502999572736</v>
      </c>
      <c r="X8671" s="2">
        <f ca="1"/>
        <v>29.27659019708819</v>
      </c>
      <c r="AG8671" s="2">
        <f ca="1"/>
        <v>0.28083283457526864</v>
      </c>
      <c r="AH8671" s="2" t="str">
        <f ca="1"/>
        <v>OK</v>
      </c>
    </row>
    <row r="8672" spans="2:34" x14ac:dyDescent="0.2">
      <c r="B8672" s="2">
        <f ca="1"/>
        <v>0.7910929551196213</v>
      </c>
      <c r="O8672" s="2">
        <f ca="1"/>
        <v>0.22291866351984596</v>
      </c>
      <c r="X8672" s="2">
        <f ca="1"/>
        <v>37.521212985161839</v>
      </c>
      <c r="AG8672" s="2">
        <f ca="1"/>
        <v>0.20760353921590435</v>
      </c>
      <c r="AH8672" s="2" t="str">
        <f ca="1"/>
        <v>OK</v>
      </c>
    </row>
    <row r="8673" spans="2:34" x14ac:dyDescent="0.2">
      <c r="B8673" s="2">
        <f ca="1"/>
        <v>0.31096342719162484</v>
      </c>
      <c r="O8673" s="2">
        <f ca="1"/>
        <v>0.41344823741905345</v>
      </c>
      <c r="X8673" s="2">
        <f ca="1"/>
        <v>32.864058203902829</v>
      </c>
      <c r="AG8673" s="2">
        <f ca="1"/>
        <v>0.17078083263694777</v>
      </c>
      <c r="AH8673" s="2" t="str">
        <f ca="1"/>
        <v>OK</v>
      </c>
    </row>
    <row r="8674" spans="2:34" x14ac:dyDescent="0.2">
      <c r="B8674" s="2">
        <f ca="1"/>
        <v>0.60713916366004139</v>
      </c>
      <c r="O8674" s="2">
        <f ca="1"/>
        <v>3.9746663621252433E-2</v>
      </c>
      <c r="X8674" s="2">
        <f ca="1"/>
        <v>21.628378093725576</v>
      </c>
      <c r="AG8674" s="2">
        <f ca="1"/>
        <v>0.20945384358330643</v>
      </c>
      <c r="AH8674" s="2" t="str">
        <f ca="1"/>
        <v>OK</v>
      </c>
    </row>
    <row r="8675" spans="2:34" x14ac:dyDescent="0.2">
      <c r="B8675" s="2">
        <f ca="1"/>
        <v>0.97351565025759834</v>
      </c>
      <c r="O8675" s="2">
        <f ca="1"/>
        <v>0.22829876363343668</v>
      </c>
      <c r="X8675" s="2">
        <f ca="1"/>
        <v>61.551718392580568</v>
      </c>
      <c r="AG8675" s="2">
        <f ca="1"/>
        <v>0.97803204058656767</v>
      </c>
      <c r="AH8675" s="2" t="str">
        <f ca="1"/>
        <v>Bad</v>
      </c>
    </row>
    <row r="8676" spans="2:34" x14ac:dyDescent="0.2">
      <c r="B8676" s="2">
        <f ca="1"/>
        <v>0.45572876584382405</v>
      </c>
      <c r="O8676" s="2">
        <f ca="1"/>
        <v>9.7161051647526017E-2</v>
      </c>
      <c r="X8676" s="2">
        <f ca="1"/>
        <v>25.737706979837537</v>
      </c>
      <c r="AG8676" s="2">
        <f ca="1"/>
        <v>0.76316165939781899</v>
      </c>
      <c r="AH8676" s="2" t="str">
        <f ca="1"/>
        <v>Bad</v>
      </c>
    </row>
    <row r="8677" spans="2:34" x14ac:dyDescent="0.2">
      <c r="B8677" s="2">
        <f ca="1"/>
        <v>3.4532572339254219E-2</v>
      </c>
      <c r="O8677" s="2">
        <f ca="1"/>
        <v>-0.20609576982291769</v>
      </c>
      <c r="X8677" s="2">
        <f ca="1"/>
        <v>31.271639671411194</v>
      </c>
      <c r="AG8677" s="2">
        <f ca="1"/>
        <v>0.44762545063982295</v>
      </c>
      <c r="AH8677" s="2" t="str">
        <f ca="1"/>
        <v>Bad</v>
      </c>
    </row>
    <row r="8678" spans="2:34" x14ac:dyDescent="0.2">
      <c r="B8678" s="2">
        <f ca="1"/>
        <v>0.51756556619530092</v>
      </c>
      <c r="O8678" s="2">
        <f ca="1"/>
        <v>1.2278593989998952</v>
      </c>
      <c r="X8678" s="2">
        <f ca="1"/>
        <v>53.506458059057742</v>
      </c>
      <c r="AG8678" s="2">
        <f ca="1"/>
        <v>0.62603670784861509</v>
      </c>
      <c r="AH8678" s="2" t="str">
        <f ca="1"/>
        <v>Bad</v>
      </c>
    </row>
    <row r="8679" spans="2:34" x14ac:dyDescent="0.2">
      <c r="B8679" s="2">
        <f ca="1"/>
        <v>0.97675971937367079</v>
      </c>
      <c r="O8679" s="2">
        <f ca="1"/>
        <v>-0.88730316348801619</v>
      </c>
      <c r="X8679" s="2">
        <f ca="1"/>
        <v>46.122417975802577</v>
      </c>
      <c r="AG8679" s="2">
        <f ca="1"/>
        <v>2.1641270380234223E-2</v>
      </c>
      <c r="AH8679" s="2" t="str">
        <f ca="1"/>
        <v>Good</v>
      </c>
    </row>
    <row r="8680" spans="2:34" x14ac:dyDescent="0.2">
      <c r="B8680" s="2">
        <f ca="1"/>
        <v>0.16067036903479592</v>
      </c>
      <c r="O8680" s="2">
        <f ca="1"/>
        <v>-0.48340620416283342</v>
      </c>
      <c r="X8680" s="2">
        <f ca="1"/>
        <v>64.057184072034048</v>
      </c>
      <c r="AG8680" s="2">
        <f ca="1"/>
        <v>0.24481357161069472</v>
      </c>
      <c r="AH8680" s="2" t="str">
        <f ca="1"/>
        <v>OK</v>
      </c>
    </row>
    <row r="8681" spans="2:34" x14ac:dyDescent="0.2">
      <c r="B8681" s="2">
        <f ca="1"/>
        <v>0.17033378401131238</v>
      </c>
      <c r="O8681" s="2">
        <f ca="1"/>
        <v>-0.80587100566984438</v>
      </c>
      <c r="X8681" s="2">
        <f ca="1"/>
        <v>39.718077931406846</v>
      </c>
      <c r="AG8681" s="2">
        <f ca="1"/>
        <v>0.79089458574014082</v>
      </c>
      <c r="AH8681" s="2" t="str">
        <f ca="1"/>
        <v>Bad</v>
      </c>
    </row>
    <row r="8682" spans="2:34" x14ac:dyDescent="0.2">
      <c r="B8682" s="2">
        <f ca="1"/>
        <v>0.43805679938555175</v>
      </c>
      <c r="O8682" s="2">
        <f ca="1"/>
        <v>-0.74331585702933178</v>
      </c>
      <c r="X8682" s="2">
        <f ca="1"/>
        <v>69.851548327848874</v>
      </c>
      <c r="AG8682" s="2">
        <f ca="1"/>
        <v>8.6703200238295475E-2</v>
      </c>
      <c r="AH8682" s="2" t="str">
        <f ca="1"/>
        <v>OK</v>
      </c>
    </row>
    <row r="8683" spans="2:34" x14ac:dyDescent="0.2">
      <c r="B8683" s="2">
        <f ca="1"/>
        <v>0.9795211498800751</v>
      </c>
      <c r="O8683" s="2">
        <f ca="1"/>
        <v>0.81203388210496441</v>
      </c>
      <c r="X8683" s="2">
        <f ca="1"/>
        <v>52.058684415122315</v>
      </c>
      <c r="AG8683" s="2">
        <f ca="1"/>
        <v>0.13043929742932581</v>
      </c>
      <c r="AH8683" s="2" t="str">
        <f ca="1"/>
        <v>OK</v>
      </c>
    </row>
    <row r="8684" spans="2:34" x14ac:dyDescent="0.2">
      <c r="B8684" s="2">
        <f ca="1"/>
        <v>0.91225654751898255</v>
      </c>
      <c r="O8684" s="2">
        <f ca="1"/>
        <v>2.774979930931663</v>
      </c>
      <c r="X8684" s="2">
        <f ca="1"/>
        <v>52.566357474913303</v>
      </c>
      <c r="AG8684" s="2">
        <f ca="1"/>
        <v>0.10147336315078981</v>
      </c>
      <c r="AH8684" s="2" t="str">
        <f ca="1"/>
        <v>OK</v>
      </c>
    </row>
    <row r="8685" spans="2:34" x14ac:dyDescent="0.2">
      <c r="B8685" s="2">
        <f ca="1"/>
        <v>0.12932342788813789</v>
      </c>
      <c r="O8685" s="2">
        <f ca="1"/>
        <v>0.36236690612066352</v>
      </c>
      <c r="X8685" s="2">
        <f ca="1"/>
        <v>40.174830277912683</v>
      </c>
      <c r="AG8685" s="2">
        <f ca="1"/>
        <v>0.50718128955460107</v>
      </c>
      <c r="AH8685" s="2" t="str">
        <f ca="1"/>
        <v>Bad</v>
      </c>
    </row>
    <row r="8686" spans="2:34" x14ac:dyDescent="0.2">
      <c r="B8686" s="2">
        <f ca="1"/>
        <v>0.17833189781687619</v>
      </c>
      <c r="O8686" s="2">
        <f ca="1"/>
        <v>-0.36788551894021965</v>
      </c>
      <c r="X8686" s="2">
        <f ca="1"/>
        <v>66.172183084365372</v>
      </c>
      <c r="AG8686" s="2">
        <f ca="1"/>
        <v>0.69709032354706957</v>
      </c>
      <c r="AH8686" s="2" t="str">
        <f ca="1"/>
        <v>Bad</v>
      </c>
    </row>
    <row r="8687" spans="2:34" x14ac:dyDescent="0.2">
      <c r="B8687" s="2">
        <f ca="1"/>
        <v>0.88493134859380396</v>
      </c>
      <c r="O8687" s="2">
        <f ca="1"/>
        <v>0.41853516434279014</v>
      </c>
      <c r="X8687" s="2">
        <f ca="1"/>
        <v>57.707315513088105</v>
      </c>
      <c r="AG8687" s="2">
        <f ca="1"/>
        <v>0.63664447297188942</v>
      </c>
      <c r="AH8687" s="2" t="str">
        <f ca="1"/>
        <v>Bad</v>
      </c>
    </row>
    <row r="8688" spans="2:34" x14ac:dyDescent="0.2">
      <c r="B8688" s="2">
        <f ca="1"/>
        <v>0.82181632402719318</v>
      </c>
      <c r="O8688" s="2">
        <f ca="1"/>
        <v>-0.55367352452678864</v>
      </c>
      <c r="X8688" s="2">
        <f ca="1"/>
        <v>59.472136095919204</v>
      </c>
      <c r="AG8688" s="2">
        <f ca="1"/>
        <v>9.9824105465593505E-2</v>
      </c>
      <c r="AH8688" s="2" t="str">
        <f ca="1"/>
        <v>OK</v>
      </c>
    </row>
    <row r="8689" spans="2:34" x14ac:dyDescent="0.2">
      <c r="B8689" s="2">
        <f ca="1"/>
        <v>0.13127213512262159</v>
      </c>
      <c r="O8689" s="2">
        <f ca="1"/>
        <v>-0.90345717564489203</v>
      </c>
      <c r="X8689" s="2">
        <f ca="1"/>
        <v>49.476375737124805</v>
      </c>
      <c r="AG8689" s="2">
        <f ca="1"/>
        <v>0.61816349062489628</v>
      </c>
      <c r="AH8689" s="2" t="str">
        <f ca="1"/>
        <v>Bad</v>
      </c>
    </row>
    <row r="8690" spans="2:34" x14ac:dyDescent="0.2">
      <c r="B8690" s="2">
        <f ca="1"/>
        <v>0.38755062149583153</v>
      </c>
      <c r="O8690" s="2">
        <f ca="1"/>
        <v>0.83737250925595397</v>
      </c>
      <c r="X8690" s="2">
        <f ca="1"/>
        <v>85.256569235421281</v>
      </c>
      <c r="AG8690" s="2">
        <f ca="1"/>
        <v>0.31565393908074602</v>
      </c>
      <c r="AH8690" s="2" t="str">
        <f ca="1"/>
        <v>OK</v>
      </c>
    </row>
    <row r="8691" spans="2:34" x14ac:dyDescent="0.2">
      <c r="B8691" s="2">
        <f ca="1"/>
        <v>0.72216909448793598</v>
      </c>
      <c r="O8691" s="2">
        <f ca="1"/>
        <v>1.6192472203604369</v>
      </c>
      <c r="X8691" s="2">
        <f ca="1"/>
        <v>53.085128086536137</v>
      </c>
      <c r="AG8691" s="2">
        <f ca="1"/>
        <v>0.90407590420292383</v>
      </c>
      <c r="AH8691" s="2" t="str">
        <f ca="1"/>
        <v>Bad</v>
      </c>
    </row>
    <row r="8692" spans="2:34" x14ac:dyDescent="0.2">
      <c r="B8692" s="2">
        <f ca="1"/>
        <v>0.10586733797641079</v>
      </c>
      <c r="O8692" s="2">
        <f ca="1"/>
        <v>0.37788729061200987</v>
      </c>
      <c r="X8692" s="2">
        <f ca="1"/>
        <v>36.199182279524337</v>
      </c>
      <c r="AG8692" s="2">
        <f ca="1"/>
        <v>0.87055376377290306</v>
      </c>
      <c r="AH8692" s="2" t="str">
        <f ca="1"/>
        <v>Bad</v>
      </c>
    </row>
    <row r="8693" spans="2:34" x14ac:dyDescent="0.2">
      <c r="B8693" s="2">
        <f ca="1"/>
        <v>0.95684420367933742</v>
      </c>
      <c r="O8693" s="2">
        <f ca="1"/>
        <v>-0.82924156847376318</v>
      </c>
      <c r="X8693" s="2">
        <f ca="1"/>
        <v>38.806525803135081</v>
      </c>
      <c r="AG8693" s="2">
        <f ca="1"/>
        <v>0.94637089518330453</v>
      </c>
      <c r="AH8693" s="2" t="str">
        <f ca="1"/>
        <v>Bad</v>
      </c>
    </row>
    <row r="8694" spans="2:34" x14ac:dyDescent="0.2">
      <c r="B8694" s="2">
        <f ca="1"/>
        <v>0.81340832721546974</v>
      </c>
      <c r="O8694" s="2">
        <f ca="1"/>
        <v>0.35744832951894895</v>
      </c>
      <c r="X8694" s="2">
        <f ca="1"/>
        <v>37.948475802338365</v>
      </c>
      <c r="AG8694" s="2">
        <f ca="1"/>
        <v>0.69371072383356625</v>
      </c>
      <c r="AH8694" s="2" t="str">
        <f ca="1"/>
        <v>Bad</v>
      </c>
    </row>
    <row r="8695" spans="2:34" x14ac:dyDescent="0.2">
      <c r="B8695" s="2">
        <f ca="1"/>
        <v>8.4238064913093602E-2</v>
      </c>
      <c r="O8695" s="2">
        <f ca="1"/>
        <v>0.85411756318405729</v>
      </c>
      <c r="X8695" s="2">
        <f ca="1"/>
        <v>40.896947575401867</v>
      </c>
      <c r="AG8695" s="2">
        <f ca="1"/>
        <v>0.35265946294514761</v>
      </c>
      <c r="AH8695" s="2" t="str">
        <f ca="1"/>
        <v>OK</v>
      </c>
    </row>
    <row r="8696" spans="2:34" x14ac:dyDescent="0.2">
      <c r="B8696" s="2">
        <f ca="1"/>
        <v>0.78026508573399367</v>
      </c>
      <c r="O8696" s="2">
        <f ca="1"/>
        <v>0.80490198547598957</v>
      </c>
      <c r="X8696" s="2">
        <f ca="1"/>
        <v>91.886635899655403</v>
      </c>
      <c r="AG8696" s="2">
        <f ca="1"/>
        <v>0.61281929572636873</v>
      </c>
      <c r="AH8696" s="2" t="str">
        <f ca="1"/>
        <v>Bad</v>
      </c>
    </row>
    <row r="8697" spans="2:34" x14ac:dyDescent="0.2">
      <c r="B8697" s="2">
        <f ca="1"/>
        <v>0.62209064005970882</v>
      </c>
      <c r="O8697" s="2">
        <f ca="1"/>
        <v>1.5140845488783685</v>
      </c>
      <c r="X8697" s="2">
        <f ca="1"/>
        <v>39.09703724457421</v>
      </c>
      <c r="AG8697" s="2">
        <f ca="1"/>
        <v>0.4228353078133118</v>
      </c>
      <c r="AH8697" s="2" t="str">
        <f ca="1"/>
        <v>Bad</v>
      </c>
    </row>
    <row r="8698" spans="2:34" x14ac:dyDescent="0.2">
      <c r="B8698" s="2">
        <f ca="1"/>
        <v>0.76679273348729771</v>
      </c>
      <c r="O8698" s="2">
        <f ca="1"/>
        <v>0.46362587901221763</v>
      </c>
      <c r="X8698" s="2">
        <f ca="1"/>
        <v>36.072762565363433</v>
      </c>
      <c r="AG8698" s="2">
        <f ca="1"/>
        <v>0.74956615918986835</v>
      </c>
      <c r="AH8698" s="2" t="str">
        <f ca="1"/>
        <v>Bad</v>
      </c>
    </row>
    <row r="8699" spans="2:34" x14ac:dyDescent="0.2">
      <c r="B8699" s="2">
        <f ca="1"/>
        <v>0.18259474446456392</v>
      </c>
      <c r="O8699" s="2">
        <f ca="1"/>
        <v>1.3586073298619339</v>
      </c>
      <c r="X8699" s="2">
        <f ca="1"/>
        <v>46.134983797600668</v>
      </c>
      <c r="AG8699" s="2">
        <f ca="1"/>
        <v>0.44543520413445115</v>
      </c>
      <c r="AH8699" s="2" t="str">
        <f ca="1"/>
        <v>Bad</v>
      </c>
    </row>
    <row r="8700" spans="2:34" x14ac:dyDescent="0.2">
      <c r="B8700" s="2">
        <f ca="1"/>
        <v>0.3998704573552232</v>
      </c>
      <c r="O8700" s="2">
        <f ca="1"/>
        <v>-1.1039628585459418</v>
      </c>
      <c r="X8700" s="2">
        <f ca="1"/>
        <v>57.264437139595955</v>
      </c>
      <c r="AG8700" s="2">
        <f ca="1"/>
        <v>0.68925117523437529</v>
      </c>
      <c r="AH8700" s="2" t="str">
        <f ca="1"/>
        <v>Bad</v>
      </c>
    </row>
    <row r="8701" spans="2:34" x14ac:dyDescent="0.2">
      <c r="B8701" s="2">
        <f ca="1"/>
        <v>0.58345515140426185</v>
      </c>
      <c r="O8701" s="2">
        <f ca="1"/>
        <v>-1.6551993313558724</v>
      </c>
      <c r="X8701" s="2">
        <f ca="1"/>
        <v>48.146381841589381</v>
      </c>
      <c r="AG8701" s="2">
        <f ca="1"/>
        <v>0.32188317153634283</v>
      </c>
      <c r="AH8701" s="2" t="str">
        <f ca="1"/>
        <v>OK</v>
      </c>
    </row>
    <row r="8702" spans="2:34" x14ac:dyDescent="0.2">
      <c r="B8702" s="2">
        <f ca="1"/>
        <v>0.70925311557852933</v>
      </c>
      <c r="O8702" s="2">
        <f ca="1"/>
        <v>-0.2483327671810909</v>
      </c>
      <c r="X8702" s="2">
        <f ca="1"/>
        <v>39.897631430427708</v>
      </c>
      <c r="AG8702" s="2">
        <f ca="1"/>
        <v>1.4871302497305505E-2</v>
      </c>
      <c r="AH8702" s="2" t="str">
        <f ca="1"/>
        <v>Good</v>
      </c>
    </row>
    <row r="8703" spans="2:34" x14ac:dyDescent="0.2">
      <c r="B8703" s="2">
        <f ca="1"/>
        <v>0.34974743276483</v>
      </c>
      <c r="O8703" s="2">
        <f ca="1"/>
        <v>-0.93238383622108512</v>
      </c>
      <c r="X8703" s="2">
        <f ca="1"/>
        <v>58.849703619535674</v>
      </c>
      <c r="AG8703" s="2">
        <f ca="1"/>
        <v>9.6661705542271381E-3</v>
      </c>
      <c r="AH8703" s="2" t="str">
        <f ca="1"/>
        <v>Good</v>
      </c>
    </row>
    <row r="8704" spans="2:34" x14ac:dyDescent="0.2">
      <c r="B8704" s="2">
        <f ca="1"/>
        <v>0.45098504935730443</v>
      </c>
      <c r="O8704" s="2">
        <f ca="1"/>
        <v>-1.1035751307665098</v>
      </c>
      <c r="X8704" s="2">
        <f ca="1"/>
        <v>41.216525363978384</v>
      </c>
      <c r="AG8704" s="2">
        <f ca="1"/>
        <v>0.42532123137401201</v>
      </c>
      <c r="AH8704" s="2" t="str">
        <f ca="1"/>
        <v>Bad</v>
      </c>
    </row>
    <row r="8705" spans="2:34" x14ac:dyDescent="0.2">
      <c r="B8705" s="2">
        <f ca="1"/>
        <v>0.86550314321439403</v>
      </c>
      <c r="O8705" s="2">
        <f ca="1"/>
        <v>1.2046205918817268</v>
      </c>
      <c r="X8705" s="2">
        <f ca="1"/>
        <v>49.761684427484028</v>
      </c>
      <c r="AG8705" s="2">
        <f ca="1"/>
        <v>0.71502028051562028</v>
      </c>
      <c r="AH8705" s="2" t="str">
        <f ca="1"/>
        <v>Bad</v>
      </c>
    </row>
    <row r="8706" spans="2:34" x14ac:dyDescent="0.2">
      <c r="B8706" s="2">
        <f ca="1"/>
        <v>6.8798919997983266E-3</v>
      </c>
      <c r="O8706" s="2">
        <f ca="1"/>
        <v>-0.2526765799491833</v>
      </c>
      <c r="X8706" s="2">
        <f ca="1"/>
        <v>82.412617193475896</v>
      </c>
      <c r="AG8706" s="2">
        <f ca="1"/>
        <v>0.86126392972012544</v>
      </c>
      <c r="AH8706" s="2" t="str">
        <f ca="1"/>
        <v>Bad</v>
      </c>
    </row>
    <row r="8707" spans="2:34" x14ac:dyDescent="0.2">
      <c r="B8707" s="2">
        <f ca="1"/>
        <v>0.70925690457734403</v>
      </c>
      <c r="O8707" s="2">
        <f ca="1"/>
        <v>0.93304427952231772</v>
      </c>
      <c r="X8707" s="2">
        <f ca="1"/>
        <v>54.293981476327467</v>
      </c>
      <c r="AG8707" s="2">
        <f ca="1"/>
        <v>0.61387620457302061</v>
      </c>
      <c r="AH8707" s="2" t="str">
        <f ca="1"/>
        <v>Bad</v>
      </c>
    </row>
    <row r="8708" spans="2:34" x14ac:dyDescent="0.2">
      <c r="B8708" s="2">
        <f ca="1"/>
        <v>0.78383166756408351</v>
      </c>
      <c r="O8708" s="2">
        <f ca="1"/>
        <v>-0.3736130079587705</v>
      </c>
      <c r="X8708" s="2">
        <f ca="1"/>
        <v>83.835424104983844</v>
      </c>
      <c r="AG8708" s="2">
        <f ca="1"/>
        <v>0.78209563433705287</v>
      </c>
      <c r="AH8708" s="2" t="str">
        <f ca="1"/>
        <v>Bad</v>
      </c>
    </row>
    <row r="8709" spans="2:34" x14ac:dyDescent="0.2">
      <c r="B8709" s="2">
        <f ca="1"/>
        <v>0.60913444048921139</v>
      </c>
      <c r="O8709" s="2">
        <f ca="1"/>
        <v>-0.85576942665273992</v>
      </c>
      <c r="X8709" s="2">
        <f ca="1"/>
        <v>41.303232104343664</v>
      </c>
      <c r="AG8709" s="2">
        <f ca="1"/>
        <v>0.31774816792093241</v>
      </c>
      <c r="AH8709" s="2" t="str">
        <f ca="1"/>
        <v>OK</v>
      </c>
    </row>
    <row r="8710" spans="2:34" x14ac:dyDescent="0.2">
      <c r="B8710" s="2">
        <f ca="1"/>
        <v>0.30668871332056669</v>
      </c>
      <c r="O8710" s="2">
        <f ca="1"/>
        <v>0.95861950121671169</v>
      </c>
      <c r="X8710" s="2">
        <f ca="1"/>
        <v>48.939570411418728</v>
      </c>
      <c r="AG8710" s="2">
        <f ca="1"/>
        <v>0.75822312197097785</v>
      </c>
      <c r="AH8710" s="2" t="str">
        <f ca="1"/>
        <v>Bad</v>
      </c>
    </row>
    <row r="8711" spans="2:34" x14ac:dyDescent="0.2">
      <c r="B8711" s="2">
        <f ca="1"/>
        <v>2.2794182307015021E-2</v>
      </c>
      <c r="O8711" s="2">
        <f ca="1"/>
        <v>-0.83778693835308438</v>
      </c>
      <c r="X8711" s="2">
        <f ca="1"/>
        <v>73.525774499423889</v>
      </c>
      <c r="AG8711" s="2">
        <f ca="1"/>
        <v>0.26174346882741539</v>
      </c>
      <c r="AH8711" s="2" t="str">
        <f ca="1"/>
        <v>OK</v>
      </c>
    </row>
    <row r="8712" spans="2:34" x14ac:dyDescent="0.2">
      <c r="B8712" s="2">
        <f ca="1"/>
        <v>0.71722068205977085</v>
      </c>
      <c r="O8712" s="2">
        <f ca="1"/>
        <v>-3.5535593781809871E-2</v>
      </c>
      <c r="X8712" s="2">
        <f ca="1"/>
        <v>50.621764914632799</v>
      </c>
      <c r="AG8712" s="2">
        <f ca="1"/>
        <v>0.60570420788867363</v>
      </c>
      <c r="AH8712" s="2" t="str">
        <f ca="1"/>
        <v>Bad</v>
      </c>
    </row>
    <row r="8713" spans="2:34" x14ac:dyDescent="0.2">
      <c r="B8713" s="2">
        <f ca="1"/>
        <v>0.8499590988905521</v>
      </c>
      <c r="O8713" s="2">
        <f ca="1"/>
        <v>2.0927575127288267</v>
      </c>
      <c r="X8713" s="2">
        <f ca="1"/>
        <v>53.616575966182396</v>
      </c>
      <c r="AG8713" s="2">
        <f ca="1"/>
        <v>0.37135698470320366</v>
      </c>
      <c r="AH8713" s="2" t="str">
        <f ca="1"/>
        <v>OK</v>
      </c>
    </row>
    <row r="8714" spans="2:34" x14ac:dyDescent="0.2">
      <c r="B8714" s="2">
        <f ca="1"/>
        <v>0.26281232146533351</v>
      </c>
      <c r="O8714" s="2">
        <f ca="1"/>
        <v>1.0166856025330449</v>
      </c>
      <c r="X8714" s="2">
        <f ca="1"/>
        <v>67.938619647102612</v>
      </c>
      <c r="AG8714" s="2">
        <f ca="1"/>
        <v>0.13247277675956259</v>
      </c>
      <c r="AH8714" s="2" t="str">
        <f ca="1"/>
        <v>OK</v>
      </c>
    </row>
    <row r="8715" spans="2:34" x14ac:dyDescent="0.2">
      <c r="B8715" s="2">
        <f ca="1"/>
        <v>0.98182054714269507</v>
      </c>
      <c r="O8715" s="2">
        <f ca="1"/>
        <v>-0.91997591199483653</v>
      </c>
      <c r="X8715" s="2">
        <f ca="1"/>
        <v>55.598826932000698</v>
      </c>
      <c r="AG8715" s="2">
        <f ca="1"/>
        <v>0.64223468390674032</v>
      </c>
      <c r="AH8715" s="2" t="str">
        <f ca="1"/>
        <v>Bad</v>
      </c>
    </row>
    <row r="8716" spans="2:34" x14ac:dyDescent="0.2">
      <c r="B8716" s="2">
        <f ca="1"/>
        <v>0.22568140868972209</v>
      </c>
      <c r="O8716" s="2">
        <f ca="1"/>
        <v>-1.6324387685693336</v>
      </c>
      <c r="X8716" s="2">
        <f ca="1"/>
        <v>69.100387023474681</v>
      </c>
      <c r="AG8716" s="2">
        <f ca="1"/>
        <v>0.83869050767231856</v>
      </c>
      <c r="AH8716" s="2" t="str">
        <f ca="1"/>
        <v>Bad</v>
      </c>
    </row>
    <row r="8717" spans="2:34" x14ac:dyDescent="0.2">
      <c r="B8717" s="2">
        <f ca="1"/>
        <v>0.21184637929374017</v>
      </c>
      <c r="O8717" s="2">
        <f ca="1"/>
        <v>-1.2334372896980732</v>
      </c>
      <c r="X8717" s="2">
        <f ca="1"/>
        <v>59.037349510243267</v>
      </c>
      <c r="AG8717" s="2">
        <f ca="1"/>
        <v>0.15051643982616403</v>
      </c>
      <c r="AH8717" s="2" t="str">
        <f ca="1"/>
        <v>OK</v>
      </c>
    </row>
    <row r="8718" spans="2:34" x14ac:dyDescent="0.2">
      <c r="B8718" s="2">
        <f ca="1"/>
        <v>0.79553321818892742</v>
      </c>
      <c r="O8718" s="2">
        <f ca="1"/>
        <v>1.467920804838954</v>
      </c>
      <c r="X8718" s="2">
        <f ca="1"/>
        <v>36.4877706455732</v>
      </c>
      <c r="AG8718" s="2">
        <f ca="1"/>
        <v>0.23140073837612496</v>
      </c>
      <c r="AH8718" s="2" t="str">
        <f ca="1"/>
        <v>OK</v>
      </c>
    </row>
    <row r="8719" spans="2:34" x14ac:dyDescent="0.2">
      <c r="B8719" s="2">
        <f ca="1"/>
        <v>0.3786496579485199</v>
      </c>
      <c r="O8719" s="2">
        <f ca="1"/>
        <v>0.4826829537922786</v>
      </c>
      <c r="X8719" s="2">
        <f ca="1"/>
        <v>40.848127484109078</v>
      </c>
      <c r="AG8719" s="2">
        <f ca="1"/>
        <v>0.947982594104259</v>
      </c>
      <c r="AH8719" s="2" t="str">
        <f ca="1"/>
        <v>Bad</v>
      </c>
    </row>
    <row r="8720" spans="2:34" x14ac:dyDescent="0.2">
      <c r="B8720" s="2">
        <f ca="1"/>
        <v>6.4373344774833807E-2</v>
      </c>
      <c r="O8720" s="2">
        <f ca="1"/>
        <v>-0.58112096314888717</v>
      </c>
      <c r="X8720" s="2">
        <f ca="1"/>
        <v>70.700771877405771</v>
      </c>
      <c r="AG8720" s="2">
        <f ca="1"/>
        <v>0.66096652964447422</v>
      </c>
      <c r="AH8720" s="2" t="str">
        <f ca="1"/>
        <v>Bad</v>
      </c>
    </row>
    <row r="8721" spans="2:34" x14ac:dyDescent="0.2">
      <c r="B8721" s="2">
        <f ca="1"/>
        <v>0.61762083710729532</v>
      </c>
      <c r="O8721" s="2">
        <f ca="1"/>
        <v>1.2758287356794857</v>
      </c>
      <c r="X8721" s="2">
        <f ca="1"/>
        <v>52.221709176753073</v>
      </c>
      <c r="AG8721" s="2">
        <f ca="1"/>
        <v>0.3705110292413778</v>
      </c>
      <c r="AH8721" s="2" t="str">
        <f ca="1"/>
        <v>OK</v>
      </c>
    </row>
    <row r="8722" spans="2:34" x14ac:dyDescent="0.2">
      <c r="B8722" s="2">
        <f ca="1"/>
        <v>0.19241833564941446</v>
      </c>
      <c r="O8722" s="2">
        <f ca="1"/>
        <v>0.60948081764434869</v>
      </c>
      <c r="X8722" s="2">
        <f ca="1"/>
        <v>55.034276788325002</v>
      </c>
      <c r="AG8722" s="2">
        <f ca="1"/>
        <v>0.39276128526664622</v>
      </c>
      <c r="AH8722" s="2" t="str">
        <f ca="1"/>
        <v>OK</v>
      </c>
    </row>
    <row r="8723" spans="2:34" x14ac:dyDescent="0.2">
      <c r="B8723" s="2">
        <f ca="1"/>
        <v>0.61441727938597746</v>
      </c>
      <c r="O8723" s="2">
        <f ca="1"/>
        <v>-3.6060709398122301E-3</v>
      </c>
      <c r="X8723" s="2">
        <f ca="1"/>
        <v>25.34830491988124</v>
      </c>
      <c r="AG8723" s="2">
        <f ca="1"/>
        <v>6.4065688353900363E-2</v>
      </c>
      <c r="AH8723" s="2" t="str">
        <f ca="1"/>
        <v>OK</v>
      </c>
    </row>
    <row r="8724" spans="2:34" x14ac:dyDescent="0.2">
      <c r="B8724" s="2">
        <f ca="1"/>
        <v>0.74823613587831361</v>
      </c>
      <c r="O8724" s="2">
        <f ca="1"/>
        <v>-0.51407028154240009</v>
      </c>
      <c r="X8724" s="2">
        <f ca="1"/>
        <v>40.53074917227989</v>
      </c>
      <c r="AG8724" s="2">
        <f ca="1"/>
        <v>0.45786603016133332</v>
      </c>
      <c r="AH8724" s="2" t="str">
        <f ca="1"/>
        <v>Bad</v>
      </c>
    </row>
    <row r="8725" spans="2:34" x14ac:dyDescent="0.2">
      <c r="B8725" s="2">
        <f ca="1"/>
        <v>0.90770053494869285</v>
      </c>
      <c r="O8725" s="2">
        <f ca="1"/>
        <v>-9.6759755557148844E-2</v>
      </c>
      <c r="X8725" s="2">
        <f ca="1"/>
        <v>55.123583700235699</v>
      </c>
      <c r="AG8725" s="2">
        <f ca="1"/>
        <v>0.45740125638976514</v>
      </c>
      <c r="AH8725" s="2" t="str">
        <f ca="1"/>
        <v>Bad</v>
      </c>
    </row>
    <row r="8726" spans="2:34" x14ac:dyDescent="0.2">
      <c r="B8726" s="2">
        <f ca="1"/>
        <v>0.29069081402681807</v>
      </c>
      <c r="O8726" s="2">
        <f ca="1"/>
        <v>-0.44388727707653092</v>
      </c>
      <c r="X8726" s="2">
        <f ca="1"/>
        <v>60.041182620428472</v>
      </c>
      <c r="AG8726" s="2">
        <f ca="1"/>
        <v>0.28268450522853295</v>
      </c>
      <c r="AH8726" s="2" t="str">
        <f ca="1"/>
        <v>OK</v>
      </c>
    </row>
    <row r="8727" spans="2:34" x14ac:dyDescent="0.2">
      <c r="B8727" s="2">
        <f ca="1"/>
        <v>0.15670709166957719</v>
      </c>
      <c r="O8727" s="2">
        <f ca="1"/>
        <v>0.27583391224896026</v>
      </c>
      <c r="X8727" s="2">
        <f ca="1"/>
        <v>46.683478105937553</v>
      </c>
      <c r="AG8727" s="2">
        <f ca="1"/>
        <v>0.80296913324454589</v>
      </c>
      <c r="AH8727" s="2" t="str">
        <f ca="1"/>
        <v>Bad</v>
      </c>
    </row>
    <row r="8728" spans="2:34" x14ac:dyDescent="0.2">
      <c r="B8728" s="2">
        <f ca="1"/>
        <v>0.7022933138218217</v>
      </c>
      <c r="O8728" s="2">
        <f ca="1"/>
        <v>-1.8205184661808043</v>
      </c>
      <c r="X8728" s="2">
        <f ca="1"/>
        <v>34.167967976537533</v>
      </c>
      <c r="AG8728" s="2">
        <f ca="1"/>
        <v>0.93630161299785541</v>
      </c>
      <c r="AH8728" s="2" t="str">
        <f ca="1"/>
        <v>Bad</v>
      </c>
    </row>
    <row r="8729" spans="2:34" x14ac:dyDescent="0.2">
      <c r="B8729" s="2">
        <f ca="1"/>
        <v>0.44534096807905987</v>
      </c>
      <c r="O8729" s="2">
        <f ca="1"/>
        <v>-0.97416086085731968</v>
      </c>
      <c r="X8729" s="2">
        <f ca="1"/>
        <v>36.758621401361502</v>
      </c>
      <c r="AG8729" s="2">
        <f ca="1"/>
        <v>0.67410067225745096</v>
      </c>
      <c r="AH8729" s="2" t="str">
        <f ca="1"/>
        <v>Bad</v>
      </c>
    </row>
    <row r="8730" spans="2:34" x14ac:dyDescent="0.2">
      <c r="B8730" s="2">
        <f ca="1"/>
        <v>0.2053103793526847</v>
      </c>
      <c r="O8730" s="2">
        <f ca="1"/>
        <v>-0.13488530962528816</v>
      </c>
      <c r="X8730" s="2">
        <f ca="1"/>
        <v>25.532941068915804</v>
      </c>
      <c r="AG8730" s="2">
        <f ca="1"/>
        <v>0.40944590297829175</v>
      </c>
      <c r="AH8730" s="2" t="str">
        <f ca="1"/>
        <v>Bad</v>
      </c>
    </row>
    <row r="8731" spans="2:34" x14ac:dyDescent="0.2">
      <c r="B8731" s="2">
        <f ca="1"/>
        <v>0.85117381871863107</v>
      </c>
      <c r="O8731" s="2">
        <f ca="1"/>
        <v>1.3423520011119983</v>
      </c>
      <c r="X8731" s="2">
        <f ca="1"/>
        <v>28.139465733732585</v>
      </c>
      <c r="AG8731" s="2">
        <f ca="1"/>
        <v>0.6850920709355941</v>
      </c>
      <c r="AH8731" s="2" t="str">
        <f ca="1"/>
        <v>Bad</v>
      </c>
    </row>
    <row r="8732" spans="2:34" x14ac:dyDescent="0.2">
      <c r="B8732" s="2">
        <f ca="1"/>
        <v>0.51595722544216027</v>
      </c>
      <c r="O8732" s="2">
        <f ca="1"/>
        <v>0.31224703155249128</v>
      </c>
      <c r="X8732" s="2">
        <f ca="1"/>
        <v>24.045514092023254</v>
      </c>
      <c r="AG8732" s="2">
        <f ca="1"/>
        <v>0.17749526953312267</v>
      </c>
      <c r="AH8732" s="2" t="str">
        <f ca="1"/>
        <v>OK</v>
      </c>
    </row>
    <row r="8733" spans="2:34" x14ac:dyDescent="0.2">
      <c r="B8733" s="2">
        <f ca="1"/>
        <v>0.83830999039560594</v>
      </c>
      <c r="O8733" s="2">
        <f ca="1"/>
        <v>0.81983311571299933</v>
      </c>
      <c r="X8733" s="2">
        <f ca="1"/>
        <v>47.165806880285245</v>
      </c>
      <c r="AG8733" s="2">
        <f ca="1"/>
        <v>0.94838971673161732</v>
      </c>
      <c r="AH8733" s="2" t="str">
        <f ca="1"/>
        <v>Bad</v>
      </c>
    </row>
    <row r="8734" spans="2:34" x14ac:dyDescent="0.2">
      <c r="B8734" s="2">
        <f ca="1"/>
        <v>0.21205660054635067</v>
      </c>
      <c r="O8734" s="2">
        <f ca="1"/>
        <v>-1.0552040606581948E-2</v>
      </c>
      <c r="X8734" s="2">
        <f ca="1"/>
        <v>52.471622314165529</v>
      </c>
      <c r="AG8734" s="2">
        <f ca="1"/>
        <v>0.736942503484038</v>
      </c>
      <c r="AH8734" s="2" t="str">
        <f ca="1"/>
        <v>Bad</v>
      </c>
    </row>
    <row r="8735" spans="2:34" x14ac:dyDescent="0.2">
      <c r="B8735" s="2">
        <f ca="1"/>
        <v>0.5261705975929476</v>
      </c>
      <c r="O8735" s="2">
        <f ca="1"/>
        <v>1.6153550771941401</v>
      </c>
      <c r="X8735" s="2">
        <f ca="1"/>
        <v>78.151462241816475</v>
      </c>
      <c r="AG8735" s="2">
        <f ca="1"/>
        <v>0.46374430744339468</v>
      </c>
      <c r="AH8735" s="2" t="str">
        <f ca="1"/>
        <v>Bad</v>
      </c>
    </row>
    <row r="8736" spans="2:34" x14ac:dyDescent="0.2">
      <c r="B8736" s="2">
        <f ca="1"/>
        <v>0.88966050248894768</v>
      </c>
      <c r="O8736" s="2">
        <f ca="1"/>
        <v>-0.56957584627790514</v>
      </c>
      <c r="X8736" s="2">
        <f ca="1"/>
        <v>47.774310550624371</v>
      </c>
      <c r="AG8736" s="2">
        <f ca="1"/>
        <v>0.32488970141016127</v>
      </c>
      <c r="AH8736" s="2" t="str">
        <f ca="1"/>
        <v>OK</v>
      </c>
    </row>
    <row r="8737" spans="2:34" x14ac:dyDescent="0.2">
      <c r="B8737" s="2">
        <f ca="1"/>
        <v>0.20698342658312652</v>
      </c>
      <c r="O8737" s="2">
        <f ca="1"/>
        <v>-2.1694024171165442E-2</v>
      </c>
      <c r="X8737" s="2">
        <f ca="1"/>
        <v>61.89098351382026</v>
      </c>
      <c r="AG8737" s="2">
        <f ca="1"/>
        <v>0.10140532056859941</v>
      </c>
      <c r="AH8737" s="2" t="str">
        <f ca="1"/>
        <v>OK</v>
      </c>
    </row>
    <row r="8738" spans="2:34" x14ac:dyDescent="0.2">
      <c r="B8738" s="2">
        <f ca="1"/>
        <v>0.17852627555116585</v>
      </c>
      <c r="O8738" s="2">
        <f ca="1"/>
        <v>0.7051943472136033</v>
      </c>
      <c r="X8738" s="2">
        <f ca="1"/>
        <v>39.813832058911814</v>
      </c>
      <c r="AG8738" s="2">
        <f ca="1"/>
        <v>0.57257508574371241</v>
      </c>
      <c r="AH8738" s="2" t="str">
        <f ca="1"/>
        <v>Bad</v>
      </c>
    </row>
    <row r="8739" spans="2:34" x14ac:dyDescent="0.2">
      <c r="B8739" s="2">
        <f ca="1"/>
        <v>0.87351982424568408</v>
      </c>
      <c r="O8739" s="2">
        <f ca="1"/>
        <v>0.43085257881267663</v>
      </c>
      <c r="X8739" s="2">
        <f ca="1"/>
        <v>55.24434426332553</v>
      </c>
      <c r="AG8739" s="2">
        <f ca="1"/>
        <v>0.86428614791878</v>
      </c>
      <c r="AH8739" s="2" t="str">
        <f ca="1"/>
        <v>Bad</v>
      </c>
    </row>
    <row r="8740" spans="2:34" x14ac:dyDescent="0.2">
      <c r="B8740" s="2">
        <f ca="1"/>
        <v>0.54498245864414674</v>
      </c>
      <c r="O8740" s="2">
        <f ca="1"/>
        <v>-0.53951114817091284</v>
      </c>
      <c r="X8740" s="2">
        <f ca="1"/>
        <v>36.983603425533957</v>
      </c>
      <c r="AG8740" s="2">
        <f ca="1"/>
        <v>0.11833388783559173</v>
      </c>
      <c r="AH8740" s="2" t="str">
        <f ca="1"/>
        <v>OK</v>
      </c>
    </row>
    <row r="8741" spans="2:34" x14ac:dyDescent="0.2">
      <c r="B8741" s="2">
        <f ca="1"/>
        <v>0.11080758383549139</v>
      </c>
      <c r="O8741" s="2">
        <f ca="1"/>
        <v>-1.1269061707568464</v>
      </c>
      <c r="X8741" s="2">
        <f ca="1"/>
        <v>70.923808353422942</v>
      </c>
      <c r="AG8741" s="2">
        <f ca="1"/>
        <v>0.64464783080014332</v>
      </c>
      <c r="AH8741" s="2" t="str">
        <f ca="1"/>
        <v>Bad</v>
      </c>
    </row>
    <row r="8742" spans="2:34" x14ac:dyDescent="0.2">
      <c r="B8742" s="2">
        <f ca="1"/>
        <v>0.63783920295964447</v>
      </c>
      <c r="O8742" s="2">
        <f ca="1"/>
        <v>0.21950135272046004</v>
      </c>
      <c r="X8742" s="2">
        <f ca="1"/>
        <v>42.843909010616059</v>
      </c>
      <c r="AG8742" s="2">
        <f ca="1"/>
        <v>0.99223439147411296</v>
      </c>
      <c r="AH8742" s="2" t="str">
        <f ca="1"/>
        <v>Bad</v>
      </c>
    </row>
    <row r="8743" spans="2:34" x14ac:dyDescent="0.2">
      <c r="B8743" s="2">
        <f ca="1"/>
        <v>0.24604235004361841</v>
      </c>
      <c r="O8743" s="2">
        <f ca="1"/>
        <v>-0.45802112872404199</v>
      </c>
      <c r="X8743" s="2">
        <f ca="1"/>
        <v>52.459688180834753</v>
      </c>
      <c r="AG8743" s="2">
        <f ca="1"/>
        <v>0.40493874963371224</v>
      </c>
      <c r="AH8743" s="2" t="str">
        <f ca="1"/>
        <v>Bad</v>
      </c>
    </row>
    <row r="8744" spans="2:34" x14ac:dyDescent="0.2">
      <c r="B8744" s="2">
        <f ca="1"/>
        <v>0.26897045849852508</v>
      </c>
      <c r="O8744" s="2">
        <f ca="1"/>
        <v>-1.3276701738632071</v>
      </c>
      <c r="X8744" s="2">
        <f ca="1"/>
        <v>62.323417423241082</v>
      </c>
      <c r="AG8744" s="2">
        <f ca="1"/>
        <v>0.41255038516581677</v>
      </c>
      <c r="AH8744" s="2" t="str">
        <f ca="1"/>
        <v>Bad</v>
      </c>
    </row>
    <row r="8745" spans="2:34" x14ac:dyDescent="0.2">
      <c r="B8745" s="2">
        <f ca="1"/>
        <v>9.4595253864261153E-2</v>
      </c>
      <c r="O8745" s="2">
        <f ca="1"/>
        <v>-0.61333227904467069</v>
      </c>
      <c r="X8745" s="2">
        <f ca="1"/>
        <v>33.449380189479065</v>
      </c>
      <c r="AG8745" s="2">
        <f ca="1"/>
        <v>0.76918174918258098</v>
      </c>
      <c r="AH8745" s="2" t="str">
        <f ca="1"/>
        <v>Bad</v>
      </c>
    </row>
    <row r="8746" spans="2:34" x14ac:dyDescent="0.2">
      <c r="B8746" s="2">
        <f ca="1"/>
        <v>0.99437002969718957</v>
      </c>
      <c r="O8746" s="2">
        <f ca="1"/>
        <v>0.77217112863512216</v>
      </c>
      <c r="X8746" s="2">
        <f ca="1"/>
        <v>44.011676270277825</v>
      </c>
      <c r="AG8746" s="2">
        <f ca="1"/>
        <v>0.8501181280684138</v>
      </c>
      <c r="AH8746" s="2" t="str">
        <f ca="1"/>
        <v>Bad</v>
      </c>
    </row>
    <row r="8747" spans="2:34" x14ac:dyDescent="0.2">
      <c r="B8747" s="2">
        <f ca="1"/>
        <v>0.86465806518507882</v>
      </c>
      <c r="O8747" s="2">
        <f ca="1"/>
        <v>-1.9327544148889666</v>
      </c>
      <c r="X8747" s="2">
        <f ca="1"/>
        <v>31.357415400086257</v>
      </c>
      <c r="AG8747" s="2">
        <f ca="1"/>
        <v>0.5089108148230379</v>
      </c>
      <c r="AH8747" s="2" t="str">
        <f ca="1"/>
        <v>Bad</v>
      </c>
    </row>
    <row r="8748" spans="2:34" x14ac:dyDescent="0.2">
      <c r="B8748" s="2">
        <f ca="1"/>
        <v>0.54280338238686943</v>
      </c>
      <c r="O8748" s="2">
        <f ca="1"/>
        <v>-2.908104503613858</v>
      </c>
      <c r="X8748" s="2">
        <f ca="1"/>
        <v>45.263681661692907</v>
      </c>
      <c r="AG8748" s="2">
        <f ca="1"/>
        <v>0.49971034646552304</v>
      </c>
      <c r="AH8748" s="2" t="str">
        <f ca="1"/>
        <v>Bad</v>
      </c>
    </row>
    <row r="8749" spans="2:34" x14ac:dyDescent="0.2">
      <c r="B8749" s="2">
        <f ca="1"/>
        <v>0.46448450039435474</v>
      </c>
      <c r="O8749" s="2">
        <f ca="1"/>
        <v>2.2122841555065897</v>
      </c>
      <c r="X8749" s="2">
        <f ca="1"/>
        <v>30.327964251080314</v>
      </c>
      <c r="AG8749" s="2">
        <f ca="1"/>
        <v>0.31211421336907774</v>
      </c>
      <c r="AH8749" s="2" t="str">
        <f ca="1"/>
        <v>OK</v>
      </c>
    </row>
    <row r="8750" spans="2:34" x14ac:dyDescent="0.2">
      <c r="B8750" s="2">
        <f ca="1"/>
        <v>0.12444885071310585</v>
      </c>
      <c r="O8750" s="2">
        <f ca="1"/>
        <v>1.1882252157289068</v>
      </c>
      <c r="X8750" s="2">
        <f ca="1"/>
        <v>47.296250203337237</v>
      </c>
      <c r="AG8750" s="2">
        <f ca="1"/>
        <v>0.41639407616705348</v>
      </c>
      <c r="AH8750" s="2" t="str">
        <f ca="1"/>
        <v>Bad</v>
      </c>
    </row>
    <row r="8751" spans="2:34" x14ac:dyDescent="0.2">
      <c r="B8751" s="2">
        <f ca="1"/>
        <v>0.64732750434441044</v>
      </c>
      <c r="O8751" s="2">
        <f ca="1"/>
        <v>8.705909066269199E-2</v>
      </c>
      <c r="X8751" s="2">
        <f ca="1"/>
        <v>30.218321582999774</v>
      </c>
      <c r="AG8751" s="2">
        <f ca="1"/>
        <v>0.94984213694021413</v>
      </c>
      <c r="AH8751" s="2" t="str">
        <f ca="1"/>
        <v>Bad</v>
      </c>
    </row>
    <row r="8752" spans="2:34" x14ac:dyDescent="0.2">
      <c r="B8752" s="2">
        <f ca="1"/>
        <v>9.7918875300066821E-2</v>
      </c>
      <c r="O8752" s="2">
        <f ca="1"/>
        <v>-0.26450803061002631</v>
      </c>
      <c r="X8752" s="2">
        <f ca="1"/>
        <v>50.274549177218006</v>
      </c>
      <c r="AG8752" s="2">
        <f ca="1"/>
        <v>0.66970931063324368</v>
      </c>
      <c r="AH8752" s="2" t="str">
        <f ca="1"/>
        <v>Bad</v>
      </c>
    </row>
    <row r="8753" spans="2:34" x14ac:dyDescent="0.2">
      <c r="B8753" s="2">
        <f ca="1"/>
        <v>0.3270760598544673</v>
      </c>
      <c r="O8753" s="2">
        <f ca="1"/>
        <v>1.7219381759521837</v>
      </c>
      <c r="X8753" s="2">
        <f ca="1"/>
        <v>39.253062286815506</v>
      </c>
      <c r="AG8753" s="2">
        <f ca="1"/>
        <v>0.84956074651781521</v>
      </c>
      <c r="AH8753" s="2" t="str">
        <f ca="1"/>
        <v>Bad</v>
      </c>
    </row>
    <row r="8754" spans="2:34" x14ac:dyDescent="0.2">
      <c r="B8754" s="2">
        <f ca="1"/>
        <v>0.13134473732054253</v>
      </c>
      <c r="O8754" s="2">
        <f ca="1"/>
        <v>-0.4300766212880644</v>
      </c>
      <c r="X8754" s="2">
        <f ca="1"/>
        <v>41.431793615105015</v>
      </c>
      <c r="AG8754" s="2">
        <f ca="1"/>
        <v>0.8835000241420734</v>
      </c>
      <c r="AH8754" s="2" t="str">
        <f ca="1"/>
        <v>Bad</v>
      </c>
    </row>
    <row r="8755" spans="2:34" x14ac:dyDescent="0.2">
      <c r="B8755" s="2">
        <f ca="1"/>
        <v>3.5945120591097668E-2</v>
      </c>
      <c r="O8755" s="2">
        <f ca="1"/>
        <v>0.93167782684295664</v>
      </c>
      <c r="X8755" s="2">
        <f ca="1"/>
        <v>47.074960850444903</v>
      </c>
      <c r="AG8755" s="2">
        <f ca="1"/>
        <v>0.92222319512562634</v>
      </c>
      <c r="AH8755" s="2" t="str">
        <f ca="1"/>
        <v>Bad</v>
      </c>
    </row>
    <row r="8756" spans="2:34" x14ac:dyDescent="0.2">
      <c r="B8756" s="2">
        <f ca="1"/>
        <v>0.20285789217058392</v>
      </c>
      <c r="O8756" s="2">
        <f ca="1"/>
        <v>0.48443979410381932</v>
      </c>
      <c r="X8756" s="2">
        <f ca="1"/>
        <v>56.090511047403247</v>
      </c>
      <c r="AG8756" s="2">
        <f ca="1"/>
        <v>0.9411822436654933</v>
      </c>
      <c r="AH8756" s="2" t="str">
        <f ca="1"/>
        <v>Bad</v>
      </c>
    </row>
    <row r="8757" spans="2:34" x14ac:dyDescent="0.2">
      <c r="B8757" s="2">
        <f ca="1"/>
        <v>0.69701251206901738</v>
      </c>
      <c r="O8757" s="2">
        <f ca="1"/>
        <v>-6.2568771232889411E-2</v>
      </c>
      <c r="X8757" s="2">
        <f ca="1"/>
        <v>52.92649515302444</v>
      </c>
      <c r="AG8757" s="2">
        <f ca="1"/>
        <v>0.23626466191463202</v>
      </c>
      <c r="AH8757" s="2" t="str">
        <f ca="1"/>
        <v>OK</v>
      </c>
    </row>
    <row r="8758" spans="2:34" x14ac:dyDescent="0.2">
      <c r="B8758" s="2">
        <f ca="1"/>
        <v>0.92264769551077008</v>
      </c>
      <c r="O8758" s="2">
        <f ca="1"/>
        <v>-1.7802240993224359</v>
      </c>
      <c r="X8758" s="2">
        <f ca="1"/>
        <v>64.73123913955169</v>
      </c>
      <c r="AG8758" s="2">
        <f ca="1"/>
        <v>6.3907094251453467E-2</v>
      </c>
      <c r="AH8758" s="2" t="str">
        <f ca="1"/>
        <v>OK</v>
      </c>
    </row>
    <row r="8759" spans="2:34" x14ac:dyDescent="0.2">
      <c r="B8759" s="2">
        <f ca="1"/>
        <v>0.5739605820544782</v>
      </c>
      <c r="O8759" s="2">
        <f ca="1"/>
        <v>-0.43544445847673641</v>
      </c>
      <c r="X8759" s="2">
        <f ca="1"/>
        <v>42.233234493249334</v>
      </c>
      <c r="AG8759" s="2">
        <f ca="1"/>
        <v>3.7598288603799546E-3</v>
      </c>
      <c r="AH8759" s="2" t="str">
        <f ca="1"/>
        <v>Good</v>
      </c>
    </row>
    <row r="8760" spans="2:34" x14ac:dyDescent="0.2">
      <c r="B8760" s="2">
        <f ca="1"/>
        <v>0.85051845845232443</v>
      </c>
      <c r="O8760" s="2">
        <f ca="1"/>
        <v>0.32830012532129693</v>
      </c>
      <c r="X8760" s="2">
        <f ca="1"/>
        <v>54.713802515681678</v>
      </c>
      <c r="AG8760" s="2">
        <f ca="1"/>
        <v>0.42997529280629254</v>
      </c>
      <c r="AH8760" s="2" t="str">
        <f ca="1"/>
        <v>Bad</v>
      </c>
    </row>
    <row r="8761" spans="2:34" x14ac:dyDescent="0.2">
      <c r="B8761" s="2">
        <f ca="1"/>
        <v>0.65317127893735782</v>
      </c>
      <c r="O8761" s="2">
        <f ca="1"/>
        <v>0.23083539272962628</v>
      </c>
      <c r="X8761" s="2">
        <f ca="1"/>
        <v>44.686497664319525</v>
      </c>
      <c r="AG8761" s="2">
        <f ca="1"/>
        <v>0.70704859718450974</v>
      </c>
      <c r="AH8761" s="2" t="str">
        <f ca="1"/>
        <v>Bad</v>
      </c>
    </row>
    <row r="8762" spans="2:34" x14ac:dyDescent="0.2">
      <c r="B8762" s="2">
        <f ca="1"/>
        <v>0.12191418374781771</v>
      </c>
      <c r="O8762" s="2">
        <f ca="1"/>
        <v>-1.2371585048504141</v>
      </c>
      <c r="X8762" s="2">
        <f ca="1"/>
        <v>86.692832230723354</v>
      </c>
      <c r="AG8762" s="2">
        <f ca="1"/>
        <v>0.2231831989976234</v>
      </c>
      <c r="AH8762" s="2" t="str">
        <f ca="1"/>
        <v>OK</v>
      </c>
    </row>
    <row r="8763" spans="2:34" x14ac:dyDescent="0.2">
      <c r="B8763" s="2">
        <f ca="1"/>
        <v>0.92359467001841766</v>
      </c>
      <c r="O8763" s="2">
        <f ca="1"/>
        <v>1.3753711334600056</v>
      </c>
      <c r="X8763" s="2">
        <f ca="1"/>
        <v>55.778998153655564</v>
      </c>
      <c r="AG8763" s="2">
        <f ca="1"/>
        <v>0.31455782603195881</v>
      </c>
      <c r="AH8763" s="2" t="str">
        <f ca="1"/>
        <v>OK</v>
      </c>
    </row>
    <row r="8764" spans="2:34" x14ac:dyDescent="0.2">
      <c r="B8764" s="2">
        <f ca="1"/>
        <v>0.163262589445752</v>
      </c>
      <c r="O8764" s="2">
        <f ca="1"/>
        <v>-0.73073735220215552</v>
      </c>
      <c r="X8764" s="2">
        <f ca="1"/>
        <v>66.939681813688082</v>
      </c>
      <c r="AG8764" s="2">
        <f ca="1"/>
        <v>0.82160115398916522</v>
      </c>
      <c r="AH8764" s="2" t="str">
        <f ca="1"/>
        <v>Bad</v>
      </c>
    </row>
    <row r="8765" spans="2:34" x14ac:dyDescent="0.2">
      <c r="B8765" s="2">
        <f ca="1"/>
        <v>0.26924069634247516</v>
      </c>
      <c r="O8765" s="2">
        <f ca="1"/>
        <v>0.29566806506691179</v>
      </c>
      <c r="X8765" s="2">
        <f ca="1"/>
        <v>41.093224585775722</v>
      </c>
      <c r="AG8765" s="2">
        <f ca="1"/>
        <v>0.92740393121173215</v>
      </c>
      <c r="AH8765" s="2" t="str">
        <f ca="1"/>
        <v>Bad</v>
      </c>
    </row>
    <row r="8766" spans="2:34" x14ac:dyDescent="0.2">
      <c r="B8766" s="2">
        <f ca="1"/>
        <v>0.74433955733673773</v>
      </c>
      <c r="O8766" s="2">
        <f ca="1"/>
        <v>-0.22447989735979174</v>
      </c>
      <c r="X8766" s="2">
        <f ca="1"/>
        <v>48.257831782470319</v>
      </c>
      <c r="AG8766" s="2">
        <f ca="1"/>
        <v>0.57378927848450001</v>
      </c>
      <c r="AH8766" s="2" t="str">
        <f ca="1"/>
        <v>Bad</v>
      </c>
    </row>
    <row r="8767" spans="2:34" x14ac:dyDescent="0.2">
      <c r="B8767" s="2">
        <f ca="1"/>
        <v>0.31958562052991413</v>
      </c>
      <c r="O8767" s="2">
        <f ca="1"/>
        <v>-1.2784606988183993</v>
      </c>
      <c r="X8767" s="2">
        <f ca="1"/>
        <v>64.56133875444533</v>
      </c>
      <c r="AG8767" s="2">
        <f ca="1"/>
        <v>0.76184863675822578</v>
      </c>
      <c r="AH8767" s="2" t="str">
        <f ca="1"/>
        <v>Bad</v>
      </c>
    </row>
    <row r="8768" spans="2:34" x14ac:dyDescent="0.2">
      <c r="B8768" s="2">
        <f ca="1"/>
        <v>0.379708489475306</v>
      </c>
      <c r="O8768" s="2">
        <f ca="1"/>
        <v>1.7458884240490953</v>
      </c>
      <c r="X8768" s="2">
        <f ca="1"/>
        <v>72.18440279036767</v>
      </c>
      <c r="AG8768" s="2">
        <f ca="1"/>
        <v>0.50599264516018772</v>
      </c>
      <c r="AH8768" s="2" t="str">
        <f ca="1"/>
        <v>Bad</v>
      </c>
    </row>
    <row r="8769" spans="2:34" x14ac:dyDescent="0.2">
      <c r="B8769" s="2">
        <f ca="1"/>
        <v>0.49774102948577048</v>
      </c>
      <c r="O8769" s="2">
        <f ca="1"/>
        <v>1.9838488797901355</v>
      </c>
      <c r="X8769" s="2">
        <f ca="1"/>
        <v>51.158491328084359</v>
      </c>
      <c r="AG8769" s="2">
        <f ca="1"/>
        <v>0.16491061008437247</v>
      </c>
      <c r="AH8769" s="2" t="str">
        <f ca="1"/>
        <v>OK</v>
      </c>
    </row>
    <row r="8770" spans="2:34" x14ac:dyDescent="0.2">
      <c r="B8770" s="2">
        <f ca="1"/>
        <v>0.34055532944425582</v>
      </c>
      <c r="O8770" s="2">
        <f ca="1"/>
        <v>0.66043291241112556</v>
      </c>
      <c r="X8770" s="2">
        <f ca="1"/>
        <v>46.799311169961584</v>
      </c>
      <c r="AG8770" s="2">
        <f ca="1"/>
        <v>0.9540300835158233</v>
      </c>
      <c r="AH8770" s="2" t="str">
        <f ca="1"/>
        <v>Bad</v>
      </c>
    </row>
    <row r="8771" spans="2:34" x14ac:dyDescent="0.2">
      <c r="B8771" s="2">
        <f ca="1"/>
        <v>0.25212420646493849</v>
      </c>
      <c r="O8771" s="2">
        <f ca="1"/>
        <v>-1.2642851917787421</v>
      </c>
      <c r="X8771" s="2">
        <f ca="1"/>
        <v>45.232566513167001</v>
      </c>
      <c r="AG8771" s="2">
        <f ca="1"/>
        <v>0.35527064440670797</v>
      </c>
      <c r="AH8771" s="2" t="str">
        <f ca="1"/>
        <v>OK</v>
      </c>
    </row>
    <row r="8772" spans="2:34" x14ac:dyDescent="0.2">
      <c r="B8772" s="2">
        <f ca="1"/>
        <v>0.66165519448976706</v>
      </c>
      <c r="O8772" s="2">
        <f ca="1"/>
        <v>-0.44702147013022081</v>
      </c>
      <c r="X8772" s="2">
        <f ca="1"/>
        <v>39.747530623312876</v>
      </c>
      <c r="AG8772" s="2">
        <f ca="1"/>
        <v>0.56771748065396088</v>
      </c>
      <c r="AH8772" s="2" t="str">
        <f ca="1"/>
        <v>Bad</v>
      </c>
    </row>
    <row r="8773" spans="2:34" x14ac:dyDescent="0.2">
      <c r="B8773" s="2">
        <f ca="1"/>
        <v>0.14227728882680535</v>
      </c>
      <c r="O8773" s="2">
        <f ca="1"/>
        <v>0.28867361074617731</v>
      </c>
      <c r="X8773" s="2">
        <f ca="1"/>
        <v>32.119805642111089</v>
      </c>
      <c r="AG8773" s="2">
        <f ca="1"/>
        <v>0.34576823105370824</v>
      </c>
      <c r="AH8773" s="2" t="str">
        <f ca="1"/>
        <v>OK</v>
      </c>
    </row>
    <row r="8774" spans="2:34" x14ac:dyDescent="0.2">
      <c r="B8774" s="2">
        <f ca="1"/>
        <v>0.81076634115333412</v>
      </c>
      <c r="O8774" s="2">
        <f ca="1"/>
        <v>2.2624504380668022</v>
      </c>
      <c r="X8774" s="2">
        <f ca="1"/>
        <v>63.783002031073259</v>
      </c>
      <c r="AG8774" s="2">
        <f ca="1"/>
        <v>0.15356192604125685</v>
      </c>
      <c r="AH8774" s="2" t="str">
        <f ca="1"/>
        <v>OK</v>
      </c>
    </row>
    <row r="8775" spans="2:34" x14ac:dyDescent="0.2">
      <c r="B8775" s="2">
        <f ca="1"/>
        <v>0.24608720467159872</v>
      </c>
      <c r="O8775" s="2">
        <f ca="1"/>
        <v>0.17330194642991797</v>
      </c>
      <c r="X8775" s="2">
        <f ca="1"/>
        <v>70.598303575506137</v>
      </c>
      <c r="AG8775" s="2">
        <f ca="1"/>
        <v>0.27068031185112673</v>
      </c>
      <c r="AH8775" s="2" t="str">
        <f ca="1"/>
        <v>OK</v>
      </c>
    </row>
    <row r="8776" spans="2:34" x14ac:dyDescent="0.2">
      <c r="B8776" s="2">
        <f ca="1"/>
        <v>0.73805446207847014</v>
      </c>
      <c r="O8776" s="2">
        <f ca="1"/>
        <v>1.5061219529616363</v>
      </c>
      <c r="X8776" s="2">
        <f ca="1"/>
        <v>52.309494243390077</v>
      </c>
      <c r="AG8776" s="2">
        <f ca="1"/>
        <v>0.35986438310664171</v>
      </c>
      <c r="AH8776" s="2" t="str">
        <f ca="1"/>
        <v>OK</v>
      </c>
    </row>
    <row r="8777" spans="2:34" x14ac:dyDescent="0.2">
      <c r="B8777" s="2">
        <f ca="1"/>
        <v>0.93191278031160962</v>
      </c>
      <c r="O8777" s="2">
        <f ca="1"/>
        <v>-5.1558876781890785E-2</v>
      </c>
      <c r="X8777" s="2">
        <f ca="1"/>
        <v>59.35730857285462</v>
      </c>
      <c r="AG8777" s="2">
        <f ca="1"/>
        <v>0.80436799588761954</v>
      </c>
      <c r="AH8777" s="2" t="str">
        <f ca="1"/>
        <v>Bad</v>
      </c>
    </row>
    <row r="8778" spans="2:34" x14ac:dyDescent="0.2">
      <c r="B8778" s="2">
        <f ca="1"/>
        <v>0.18262978524585938</v>
      </c>
      <c r="O8778" s="2">
        <f ca="1"/>
        <v>0.71244898053945205</v>
      </c>
      <c r="X8778" s="2">
        <f ca="1"/>
        <v>42.50592313700259</v>
      </c>
      <c r="AG8778" s="2">
        <f ca="1"/>
        <v>0.58662091066191158</v>
      </c>
      <c r="AH8778" s="2" t="str">
        <f ca="1"/>
        <v>Bad</v>
      </c>
    </row>
    <row r="8779" spans="2:34" x14ac:dyDescent="0.2">
      <c r="B8779" s="2">
        <f ca="1"/>
        <v>0.46705866804461582</v>
      </c>
      <c r="O8779" s="2">
        <f ca="1"/>
        <v>-0.86935897345004276</v>
      </c>
      <c r="X8779" s="2">
        <f ca="1"/>
        <v>59.436105024025061</v>
      </c>
      <c r="AG8779" s="2">
        <f ca="1"/>
        <v>0.12009497548497317</v>
      </c>
      <c r="AH8779" s="2" t="str">
        <f ca="1"/>
        <v>OK</v>
      </c>
    </row>
    <row r="8780" spans="2:34" x14ac:dyDescent="0.2">
      <c r="B8780" s="2">
        <f ca="1"/>
        <v>3.3475541031516176E-2</v>
      </c>
      <c r="O8780" s="2">
        <f ca="1"/>
        <v>-0.80847840270898486</v>
      </c>
      <c r="X8780" s="2">
        <f ca="1"/>
        <v>27.291802485270026</v>
      </c>
      <c r="AG8780" s="2">
        <f ca="1"/>
        <v>0.92644916503476815</v>
      </c>
      <c r="AH8780" s="2" t="str">
        <f ca="1"/>
        <v>Bad</v>
      </c>
    </row>
    <row r="8781" spans="2:34" x14ac:dyDescent="0.2">
      <c r="B8781" s="2">
        <f ca="1"/>
        <v>0.90534570786104651</v>
      </c>
      <c r="O8781" s="2">
        <f ca="1"/>
        <v>-0.40607849238531335</v>
      </c>
      <c r="X8781" s="2">
        <f ca="1"/>
        <v>51.24824577363669</v>
      </c>
      <c r="AG8781" s="2">
        <f ca="1"/>
        <v>1.9022160805498345E-2</v>
      </c>
      <c r="AH8781" s="2" t="str">
        <f ca="1"/>
        <v>Good</v>
      </c>
    </row>
    <row r="8782" spans="2:34" x14ac:dyDescent="0.2">
      <c r="B8782" s="2">
        <f ca="1"/>
        <v>0.66760777103728342</v>
      </c>
      <c r="O8782" s="2">
        <f ca="1"/>
        <v>0.77792252661572647</v>
      </c>
      <c r="X8782" s="2">
        <f ca="1"/>
        <v>44.418648671845212</v>
      </c>
      <c r="AG8782" s="2">
        <f ca="1"/>
        <v>0.83431138156263485</v>
      </c>
      <c r="AH8782" s="2" t="str">
        <f ca="1"/>
        <v>Bad</v>
      </c>
    </row>
    <row r="8783" spans="2:34" x14ac:dyDescent="0.2">
      <c r="B8783" s="2">
        <f ca="1"/>
        <v>2.3104405925928884E-3</v>
      </c>
      <c r="O8783" s="2">
        <f ca="1"/>
        <v>-0.95327623094398717</v>
      </c>
      <c r="X8783" s="2">
        <f ca="1"/>
        <v>39.362044310207409</v>
      </c>
      <c r="AG8783" s="2">
        <f ca="1"/>
        <v>0.75209869664111384</v>
      </c>
      <c r="AH8783" s="2" t="str">
        <f ca="1"/>
        <v>Bad</v>
      </c>
    </row>
    <row r="8784" spans="2:34" x14ac:dyDescent="0.2">
      <c r="B8784" s="2">
        <f ca="1"/>
        <v>0.26119934321028704</v>
      </c>
      <c r="O8784" s="2">
        <f ca="1"/>
        <v>1.2346921922525544</v>
      </c>
      <c r="X8784" s="2">
        <f ca="1"/>
        <v>46.501673026503013</v>
      </c>
      <c r="AG8784" s="2">
        <f ca="1"/>
        <v>0.3560774673988325</v>
      </c>
      <c r="AH8784" s="2" t="str">
        <f ca="1"/>
        <v>OK</v>
      </c>
    </row>
    <row r="8785" spans="2:34" x14ac:dyDescent="0.2">
      <c r="B8785" s="2">
        <f ca="1"/>
        <v>0.53493596308443281</v>
      </c>
      <c r="O8785" s="2">
        <f ca="1"/>
        <v>-2.3084964605709088</v>
      </c>
      <c r="X8785" s="2">
        <f ca="1"/>
        <v>66.339456947619141</v>
      </c>
      <c r="AG8785" s="2">
        <f ca="1"/>
        <v>0.10221819720542991</v>
      </c>
      <c r="AH8785" s="2" t="str">
        <f ca="1"/>
        <v>OK</v>
      </c>
    </row>
    <row r="8786" spans="2:34" x14ac:dyDescent="0.2">
      <c r="B8786" s="2">
        <f ca="1"/>
        <v>0.40783898380780848</v>
      </c>
      <c r="O8786" s="2">
        <f ca="1"/>
        <v>0.42812134691030218</v>
      </c>
      <c r="X8786" s="2">
        <f ca="1"/>
        <v>42.351720986074383</v>
      </c>
      <c r="AG8786" s="2">
        <f ca="1"/>
        <v>0.99035741972988789</v>
      </c>
      <c r="AH8786" s="2" t="str">
        <f ca="1"/>
        <v>Bad</v>
      </c>
    </row>
    <row r="8787" spans="2:34" x14ac:dyDescent="0.2">
      <c r="B8787" s="2">
        <f ca="1"/>
        <v>0.20373615504354725</v>
      </c>
      <c r="O8787" s="2">
        <f ca="1"/>
        <v>-0.20456727878062314</v>
      </c>
      <c r="X8787" s="2">
        <f ca="1"/>
        <v>36.061669353194908</v>
      </c>
      <c r="AG8787" s="2">
        <f ca="1"/>
        <v>0.7178212982670884</v>
      </c>
      <c r="AH8787" s="2" t="str">
        <f ca="1"/>
        <v>Bad</v>
      </c>
    </row>
    <row r="8788" spans="2:34" x14ac:dyDescent="0.2">
      <c r="B8788" s="2">
        <f ca="1"/>
        <v>0.28233683472690396</v>
      </c>
      <c r="O8788" s="2">
        <f ca="1"/>
        <v>0.61287094778990647</v>
      </c>
      <c r="X8788" s="2">
        <f ca="1"/>
        <v>70.143138313648947</v>
      </c>
      <c r="AG8788" s="2">
        <f ca="1"/>
        <v>0.41599872311057862</v>
      </c>
      <c r="AH8788" s="2" t="str">
        <f ca="1"/>
        <v>Bad</v>
      </c>
    </row>
    <row r="8789" spans="2:34" x14ac:dyDescent="0.2">
      <c r="B8789" s="2">
        <f ca="1"/>
        <v>0.64647075745768801</v>
      </c>
      <c r="O8789" s="2">
        <f ca="1"/>
        <v>-0.95867593454758915</v>
      </c>
      <c r="X8789" s="2">
        <f ca="1"/>
        <v>67.704748450528101</v>
      </c>
      <c r="AG8789" s="2">
        <f ca="1"/>
        <v>0.94497196986315801</v>
      </c>
      <c r="AH8789" s="2" t="str">
        <f ca="1"/>
        <v>Bad</v>
      </c>
    </row>
    <row r="8790" spans="2:34" x14ac:dyDescent="0.2">
      <c r="B8790" s="2">
        <f ca="1"/>
        <v>0.52950462672228893</v>
      </c>
      <c r="O8790" s="2">
        <f ca="1"/>
        <v>-3.8410102197361913E-2</v>
      </c>
      <c r="X8790" s="2">
        <f ca="1"/>
        <v>51.975672363048062</v>
      </c>
      <c r="AG8790" s="2">
        <f ca="1"/>
        <v>0.2993614179623294</v>
      </c>
      <c r="AH8790" s="2" t="str">
        <f ca="1"/>
        <v>OK</v>
      </c>
    </row>
    <row r="8791" spans="2:34" x14ac:dyDescent="0.2">
      <c r="B8791" s="2">
        <f ca="1"/>
        <v>0.95994620194937541</v>
      </c>
      <c r="O8791" s="2">
        <f ca="1"/>
        <v>-8.9984195103548992E-2</v>
      </c>
      <c r="X8791" s="2">
        <f ca="1"/>
        <v>56.685633378789156</v>
      </c>
      <c r="AG8791" s="2">
        <f ca="1"/>
        <v>0.62599676825886386</v>
      </c>
      <c r="AH8791" s="2" t="str">
        <f ca="1"/>
        <v>Bad</v>
      </c>
    </row>
    <row r="8792" spans="2:34" x14ac:dyDescent="0.2">
      <c r="B8792" s="2">
        <f ca="1"/>
        <v>2.5908460000420463E-2</v>
      </c>
      <c r="O8792" s="2">
        <f ca="1"/>
        <v>0.27604870634257139</v>
      </c>
      <c r="X8792" s="2">
        <f ca="1"/>
        <v>51.485079062751623</v>
      </c>
      <c r="AG8792" s="2">
        <f ca="1"/>
        <v>0.49277426575584338</v>
      </c>
      <c r="AH8792" s="2" t="str">
        <f ca="1"/>
        <v>Bad</v>
      </c>
    </row>
    <row r="8793" spans="2:34" x14ac:dyDescent="0.2">
      <c r="B8793" s="2">
        <f ca="1"/>
        <v>1.8490993076073492E-2</v>
      </c>
      <c r="O8793" s="2">
        <f ca="1"/>
        <v>-1.0892593105980168</v>
      </c>
      <c r="X8793" s="2">
        <f ca="1"/>
        <v>104.2753787913834</v>
      </c>
      <c r="AG8793" s="2">
        <f ca="1"/>
        <v>0.19596580097098237</v>
      </c>
      <c r="AH8793" s="2" t="str">
        <f ca="1"/>
        <v>OK</v>
      </c>
    </row>
    <row r="8794" spans="2:34" x14ac:dyDescent="0.2">
      <c r="B8794" s="2">
        <f ca="1"/>
        <v>0.71841961678972188</v>
      </c>
      <c r="O8794" s="2">
        <f ca="1"/>
        <v>0.2702777693598063</v>
      </c>
      <c r="X8794" s="2">
        <f ca="1"/>
        <v>51.527511533656053</v>
      </c>
      <c r="AG8794" s="2">
        <f ca="1"/>
        <v>0.97233153217847201</v>
      </c>
      <c r="AH8794" s="2" t="str">
        <f ca="1"/>
        <v>Bad</v>
      </c>
    </row>
    <row r="8795" spans="2:34" x14ac:dyDescent="0.2">
      <c r="B8795" s="2">
        <f ca="1"/>
        <v>2.8366645195829099E-2</v>
      </c>
      <c r="O8795" s="2">
        <f ca="1"/>
        <v>-1.0114606315441173</v>
      </c>
      <c r="X8795" s="2">
        <f ca="1"/>
        <v>71.080699231348163</v>
      </c>
      <c r="AG8795" s="2">
        <f ca="1"/>
        <v>0.37129308361045243</v>
      </c>
      <c r="AH8795" s="2" t="str">
        <f ca="1"/>
        <v>OK</v>
      </c>
    </row>
    <row r="8796" spans="2:34" x14ac:dyDescent="0.2">
      <c r="B8796" s="2">
        <f ca="1"/>
        <v>2.4812271028735289E-2</v>
      </c>
      <c r="O8796" s="2">
        <f ca="1"/>
        <v>-0.96423737174311719</v>
      </c>
      <c r="X8796" s="2">
        <f ca="1"/>
        <v>60.626590527314832</v>
      </c>
      <c r="AG8796" s="2">
        <f ca="1"/>
        <v>0.67477051794838117</v>
      </c>
      <c r="AH8796" s="2" t="str">
        <f ca="1"/>
        <v>Bad</v>
      </c>
    </row>
    <row r="8797" spans="2:34" x14ac:dyDescent="0.2">
      <c r="B8797" s="2">
        <f ca="1"/>
        <v>0.76353532197063845</v>
      </c>
      <c r="O8797" s="2">
        <f ca="1"/>
        <v>-1.3889327646874763</v>
      </c>
      <c r="X8797" s="2">
        <f ca="1"/>
        <v>40.009929888102761</v>
      </c>
      <c r="AG8797" s="2">
        <f ca="1"/>
        <v>0.85553091432549344</v>
      </c>
      <c r="AH8797" s="2" t="str">
        <f ca="1"/>
        <v>Bad</v>
      </c>
    </row>
    <row r="8798" spans="2:34" x14ac:dyDescent="0.2">
      <c r="B8798" s="2">
        <f ca="1"/>
        <v>9.1644022718021079E-2</v>
      </c>
      <c r="O8798" s="2">
        <f ca="1"/>
        <v>1.0343787473754706</v>
      </c>
      <c r="X8798" s="2">
        <f ca="1"/>
        <v>56.577072384897455</v>
      </c>
      <c r="AG8798" s="2">
        <f ca="1"/>
        <v>0.75041753418575152</v>
      </c>
      <c r="AH8798" s="2" t="str">
        <f ca="1"/>
        <v>Bad</v>
      </c>
    </row>
    <row r="8799" spans="2:34" x14ac:dyDescent="0.2">
      <c r="B8799" s="2">
        <f ca="1"/>
        <v>0.86559265172051014</v>
      </c>
      <c r="O8799" s="2">
        <f ca="1"/>
        <v>-0.39320836180980123</v>
      </c>
      <c r="X8799" s="2">
        <f ca="1"/>
        <v>28.666441915508649</v>
      </c>
      <c r="AG8799" s="2">
        <f ca="1"/>
        <v>0.47803733369395807</v>
      </c>
      <c r="AH8799" s="2" t="str">
        <f ca="1"/>
        <v>Bad</v>
      </c>
    </row>
    <row r="8800" spans="2:34" x14ac:dyDescent="0.2">
      <c r="B8800" s="2">
        <f ca="1"/>
        <v>0.95496259833668984</v>
      </c>
      <c r="O8800" s="2">
        <f ca="1"/>
        <v>0.71580422773064256</v>
      </c>
      <c r="X8800" s="2">
        <f ca="1"/>
        <v>44.792860119674572</v>
      </c>
      <c r="AG8800" s="2">
        <f ca="1"/>
        <v>0.61594023341400472</v>
      </c>
      <c r="AH8800" s="2" t="str">
        <f ca="1"/>
        <v>Bad</v>
      </c>
    </row>
    <row r="8801" spans="2:34" x14ac:dyDescent="0.2">
      <c r="B8801" s="2">
        <f ca="1"/>
        <v>0.23772733104793708</v>
      </c>
      <c r="O8801" s="2">
        <f ca="1"/>
        <v>0.47174946320225936</v>
      </c>
      <c r="X8801" s="2">
        <f ca="1"/>
        <v>54.472413424200631</v>
      </c>
      <c r="AG8801" s="2">
        <f ca="1"/>
        <v>0.42296311670986353</v>
      </c>
      <c r="AH8801" s="2" t="str">
        <f ca="1"/>
        <v>Bad</v>
      </c>
    </row>
    <row r="8802" spans="2:34" x14ac:dyDescent="0.2">
      <c r="B8802" s="2">
        <f ca="1"/>
        <v>0.80070528948422193</v>
      </c>
      <c r="O8802" s="2">
        <f ca="1"/>
        <v>-1.0774842225587309</v>
      </c>
      <c r="X8802" s="2">
        <f ca="1"/>
        <v>49.375373900992912</v>
      </c>
      <c r="AG8802" s="2">
        <f ca="1"/>
        <v>9.7259833512626681E-2</v>
      </c>
      <c r="AH8802" s="2" t="str">
        <f ca="1"/>
        <v>OK</v>
      </c>
    </row>
    <row r="8803" spans="2:34" x14ac:dyDescent="0.2">
      <c r="B8803" s="2">
        <f ca="1"/>
        <v>0.14609853641600168</v>
      </c>
      <c r="O8803" s="2">
        <f ca="1"/>
        <v>-0.20654467461247492</v>
      </c>
      <c r="X8803" s="2">
        <f ca="1"/>
        <v>59.280259708111856</v>
      </c>
      <c r="AG8803" s="2">
        <f ca="1"/>
        <v>0.55000009999916077</v>
      </c>
      <c r="AH8803" s="2" t="str">
        <f ca="1"/>
        <v>Bad</v>
      </c>
    </row>
    <row r="8804" spans="2:34" x14ac:dyDescent="0.2">
      <c r="B8804" s="2">
        <f ca="1"/>
        <v>0.22893687200499246</v>
      </c>
      <c r="O8804" s="2">
        <f ca="1"/>
        <v>-3.3298492191001193E-2</v>
      </c>
      <c r="X8804" s="2">
        <f ca="1"/>
        <v>38.835149399618757</v>
      </c>
      <c r="AG8804" s="2">
        <f ca="1"/>
        <v>0.23155105586254887</v>
      </c>
      <c r="AH8804" s="2" t="str">
        <f ca="1"/>
        <v>OK</v>
      </c>
    </row>
    <row r="8805" spans="2:34" x14ac:dyDescent="0.2">
      <c r="B8805" s="2">
        <f ca="1"/>
        <v>0.381455629851853</v>
      </c>
      <c r="O8805" s="2">
        <f ca="1"/>
        <v>0.2713612409173537</v>
      </c>
      <c r="X8805" s="2">
        <f ca="1"/>
        <v>48.194607509710522</v>
      </c>
      <c r="AG8805" s="2">
        <f ca="1"/>
        <v>0.4262309096136192</v>
      </c>
      <c r="AH8805" s="2" t="str">
        <f ca="1"/>
        <v>Bad</v>
      </c>
    </row>
    <row r="8806" spans="2:34" x14ac:dyDescent="0.2">
      <c r="B8806" s="2">
        <f ca="1"/>
        <v>0.2611552293382231</v>
      </c>
      <c r="O8806" s="2">
        <f ca="1"/>
        <v>-0.47408141189333219</v>
      </c>
      <c r="X8806" s="2">
        <f ca="1"/>
        <v>46.845094984536374</v>
      </c>
      <c r="AG8806" s="2">
        <f ca="1"/>
        <v>0.7769489779402643</v>
      </c>
      <c r="AH8806" s="2" t="str">
        <f ca="1"/>
        <v>Bad</v>
      </c>
    </row>
    <row r="8807" spans="2:34" x14ac:dyDescent="0.2">
      <c r="B8807" s="2">
        <f ca="1"/>
        <v>0.97421548485780418</v>
      </c>
      <c r="O8807" s="2">
        <f ca="1"/>
        <v>-0.95623088014991209</v>
      </c>
      <c r="X8807" s="2">
        <f ca="1"/>
        <v>46.571502936456817</v>
      </c>
      <c r="AG8807" s="2">
        <f ca="1"/>
        <v>0.26954434612507772</v>
      </c>
      <c r="AH8807" s="2" t="str">
        <f ca="1"/>
        <v>OK</v>
      </c>
    </row>
    <row r="8808" spans="2:34" x14ac:dyDescent="0.2">
      <c r="B8808" s="2">
        <f ca="1"/>
        <v>0.47007725195203154</v>
      </c>
      <c r="O8808" s="2">
        <f ca="1"/>
        <v>0.15523620472140595</v>
      </c>
      <c r="X8808" s="2">
        <f ca="1"/>
        <v>64.841128727833564</v>
      </c>
      <c r="AG8808" s="2">
        <f ca="1"/>
        <v>0.6628917468389135</v>
      </c>
      <c r="AH8808" s="2" t="str">
        <f ca="1"/>
        <v>Bad</v>
      </c>
    </row>
    <row r="8809" spans="2:34" x14ac:dyDescent="0.2">
      <c r="B8809" s="2">
        <f ca="1"/>
        <v>6.0382319298075915E-2</v>
      </c>
      <c r="O8809" s="2">
        <f ca="1"/>
        <v>0.93593451115665016</v>
      </c>
      <c r="X8809" s="2">
        <f ca="1"/>
        <v>26.909868733060986</v>
      </c>
      <c r="AG8809" s="2">
        <f ca="1"/>
        <v>0.61077051384730319</v>
      </c>
      <c r="AH8809" s="2" t="str">
        <f ca="1"/>
        <v>Bad</v>
      </c>
    </row>
    <row r="8810" spans="2:34" x14ac:dyDescent="0.2">
      <c r="B8810" s="2">
        <f ca="1"/>
        <v>0.61977544829324094</v>
      </c>
      <c r="O8810" s="2">
        <f ca="1"/>
        <v>0.43898099620345182</v>
      </c>
      <c r="X8810" s="2">
        <f ca="1"/>
        <v>53.927509770964967</v>
      </c>
      <c r="AG8810" s="2">
        <f ca="1"/>
        <v>0.89825949607031563</v>
      </c>
      <c r="AH8810" s="2" t="str">
        <f ca="1"/>
        <v>Bad</v>
      </c>
    </row>
    <row r="8811" spans="2:34" x14ac:dyDescent="0.2">
      <c r="B8811" s="2">
        <f ca="1"/>
        <v>0.80216368308503161</v>
      </c>
      <c r="O8811" s="2">
        <f ca="1"/>
        <v>-0.41818111956138743</v>
      </c>
      <c r="X8811" s="2">
        <f ca="1"/>
        <v>40.146657181413303</v>
      </c>
      <c r="AG8811" s="2">
        <f ca="1"/>
        <v>0.44757833339268971</v>
      </c>
      <c r="AH8811" s="2" t="str">
        <f ca="1"/>
        <v>Bad</v>
      </c>
    </row>
    <row r="8812" spans="2:34" x14ac:dyDescent="0.2">
      <c r="B8812" s="2">
        <f ca="1"/>
        <v>6.710702354625786E-2</v>
      </c>
      <c r="O8812" s="2">
        <f ca="1"/>
        <v>0.7945878954858755</v>
      </c>
      <c r="X8812" s="2">
        <f ca="1"/>
        <v>56.531491324314665</v>
      </c>
      <c r="AG8812" s="2">
        <f ca="1"/>
        <v>0.57449942942218835</v>
      </c>
      <c r="AH8812" s="2" t="str">
        <f ca="1"/>
        <v>Bad</v>
      </c>
    </row>
    <row r="8813" spans="2:34" x14ac:dyDescent="0.2">
      <c r="B8813" s="2">
        <f ca="1"/>
        <v>0.87983990975893267</v>
      </c>
      <c r="O8813" s="2">
        <f ca="1"/>
        <v>9.2371377285291018E-2</v>
      </c>
      <c r="X8813" s="2">
        <f ca="1"/>
        <v>57.521818820365652</v>
      </c>
      <c r="AG8813" s="2">
        <f ca="1"/>
        <v>0.83052818159596242</v>
      </c>
      <c r="AH8813" s="2" t="str">
        <f ca="1"/>
        <v>Bad</v>
      </c>
    </row>
    <row r="8814" spans="2:34" x14ac:dyDescent="0.2">
      <c r="B8814" s="2">
        <f ca="1"/>
        <v>0.64808100200337804</v>
      </c>
      <c r="O8814" s="2">
        <f ca="1"/>
        <v>-1.0543828069517232</v>
      </c>
      <c r="X8814" s="2">
        <f ca="1"/>
        <v>73.829195843830888</v>
      </c>
      <c r="AG8814" s="2">
        <f ca="1"/>
        <v>0.15785258508329569</v>
      </c>
      <c r="AH8814" s="2" t="str">
        <f ca="1"/>
        <v>OK</v>
      </c>
    </row>
    <row r="8815" spans="2:34" x14ac:dyDescent="0.2">
      <c r="B8815" s="2">
        <f ca="1"/>
        <v>3.7430812953884729E-2</v>
      </c>
      <c r="O8815" s="2">
        <f ca="1"/>
        <v>0.16624344981438041</v>
      </c>
      <c r="X8815" s="2">
        <f ca="1"/>
        <v>24.834574060770549</v>
      </c>
      <c r="AG8815" s="2">
        <f ca="1"/>
        <v>0.76358026982772542</v>
      </c>
      <c r="AH8815" s="2" t="str">
        <f ca="1"/>
        <v>Bad</v>
      </c>
    </row>
    <row r="8816" spans="2:34" x14ac:dyDescent="0.2">
      <c r="B8816" s="2">
        <f ca="1"/>
        <v>0.75218674742864966</v>
      </c>
      <c r="O8816" s="2">
        <f ca="1"/>
        <v>-0.5185197753362899</v>
      </c>
      <c r="X8816" s="2">
        <f ca="1"/>
        <v>45.136869586373116</v>
      </c>
      <c r="AG8816" s="2">
        <f ca="1"/>
        <v>9.336450407437491E-2</v>
      </c>
      <c r="AH8816" s="2" t="str">
        <f ca="1"/>
        <v>OK</v>
      </c>
    </row>
    <row r="8817" spans="2:34" x14ac:dyDescent="0.2">
      <c r="B8817" s="2">
        <f ca="1"/>
        <v>0.49865945291850999</v>
      </c>
      <c r="O8817" s="2">
        <f ca="1"/>
        <v>-0.23824443724284006</v>
      </c>
      <c r="X8817" s="2">
        <f ca="1"/>
        <v>33.837841388987535</v>
      </c>
      <c r="AG8817" s="2">
        <f ca="1"/>
        <v>4.6243174227867723E-2</v>
      </c>
      <c r="AH8817" s="2" t="str">
        <f ca="1"/>
        <v>Good</v>
      </c>
    </row>
    <row r="8818" spans="2:34" x14ac:dyDescent="0.2">
      <c r="B8818" s="2">
        <f ca="1"/>
        <v>3.9696719862849505E-3</v>
      </c>
      <c r="O8818" s="2">
        <f ca="1"/>
        <v>1.4257442540500342</v>
      </c>
      <c r="X8818" s="2">
        <f ca="1"/>
        <v>79.160382798209895</v>
      </c>
      <c r="AG8818" s="2">
        <f ca="1"/>
        <v>0.87566963577422174</v>
      </c>
      <c r="AH8818" s="2" t="str">
        <f ca="1"/>
        <v>Bad</v>
      </c>
    </row>
    <row r="8819" spans="2:34" x14ac:dyDescent="0.2">
      <c r="B8819" s="2">
        <f ca="1"/>
        <v>0.30218994928505305</v>
      </c>
      <c r="O8819" s="2">
        <f ca="1"/>
        <v>0.65531814161916691</v>
      </c>
      <c r="X8819" s="2">
        <f ca="1"/>
        <v>28.419534162965057</v>
      </c>
      <c r="AG8819" s="2">
        <f ca="1"/>
        <v>0.97617787139716139</v>
      </c>
      <c r="AH8819" s="2" t="str">
        <f ca="1"/>
        <v>Bad</v>
      </c>
    </row>
    <row r="8820" spans="2:34" x14ac:dyDescent="0.2">
      <c r="B8820" s="2">
        <f ca="1"/>
        <v>6.3978571932174599E-2</v>
      </c>
      <c r="O8820" s="2">
        <f ca="1"/>
        <v>0.24681823434105099</v>
      </c>
      <c r="X8820" s="2">
        <f ca="1"/>
        <v>46.829111735030004</v>
      </c>
      <c r="AG8820" s="2">
        <f ca="1"/>
        <v>0.83701911699083542</v>
      </c>
      <c r="AH8820" s="2" t="str">
        <f ca="1"/>
        <v>Bad</v>
      </c>
    </row>
    <row r="8821" spans="2:34" x14ac:dyDescent="0.2">
      <c r="B8821" s="2">
        <f ca="1"/>
        <v>0.78525621583091421</v>
      </c>
      <c r="O8821" s="2">
        <f ca="1"/>
        <v>1.1690796844354272</v>
      </c>
      <c r="X8821" s="2">
        <f ca="1"/>
        <v>49.496907183719621</v>
      </c>
      <c r="AG8821" s="2">
        <f ca="1"/>
        <v>0.13134267417205869</v>
      </c>
      <c r="AH8821" s="2" t="str">
        <f ca="1"/>
        <v>OK</v>
      </c>
    </row>
    <row r="8822" spans="2:34" x14ac:dyDescent="0.2">
      <c r="B8822" s="2">
        <f ca="1"/>
        <v>0.37589976664872982</v>
      </c>
      <c r="O8822" s="2">
        <f ca="1"/>
        <v>0.65918036404972669</v>
      </c>
      <c r="X8822" s="2">
        <f ca="1"/>
        <v>57.011281056870814</v>
      </c>
      <c r="AG8822" s="2">
        <f ca="1"/>
        <v>0.48060603275111191</v>
      </c>
      <c r="AH8822" s="2" t="str">
        <f ca="1"/>
        <v>Bad</v>
      </c>
    </row>
    <row r="8823" spans="2:34" x14ac:dyDescent="0.2">
      <c r="B8823" s="2">
        <f ca="1"/>
        <v>0.16640676168696267</v>
      </c>
      <c r="O8823" s="2">
        <f ca="1"/>
        <v>-0.85971236037476106</v>
      </c>
      <c r="X8823" s="2">
        <f ca="1"/>
        <v>31.448142155316422</v>
      </c>
      <c r="AG8823" s="2">
        <f ca="1"/>
        <v>0.17385262779751098</v>
      </c>
      <c r="AH8823" s="2" t="str">
        <f ca="1"/>
        <v>OK</v>
      </c>
    </row>
    <row r="8824" spans="2:34" x14ac:dyDescent="0.2">
      <c r="B8824" s="2">
        <f ca="1"/>
        <v>0.37626171660455743</v>
      </c>
      <c r="O8824" s="2">
        <f ca="1"/>
        <v>-4.2996302793733066E-2</v>
      </c>
      <c r="X8824" s="2">
        <f ca="1"/>
        <v>77.026133260953614</v>
      </c>
      <c r="AG8824" s="2">
        <f ca="1"/>
        <v>0.20530256897226806</v>
      </c>
      <c r="AH8824" s="2" t="str">
        <f ca="1"/>
        <v>OK</v>
      </c>
    </row>
    <row r="8825" spans="2:34" x14ac:dyDescent="0.2">
      <c r="B8825" s="2">
        <f ca="1"/>
        <v>0.92551436795893594</v>
      </c>
      <c r="O8825" s="2">
        <f ca="1"/>
        <v>1.2283347160588329</v>
      </c>
      <c r="X8825" s="2">
        <f ca="1"/>
        <v>70.813404991896491</v>
      </c>
      <c r="AG8825" s="2">
        <f ca="1"/>
        <v>8.2963468717453193E-2</v>
      </c>
      <c r="AH8825" s="2" t="str">
        <f ca="1"/>
        <v>OK</v>
      </c>
    </row>
    <row r="8826" spans="2:34" x14ac:dyDescent="0.2">
      <c r="B8826" s="2">
        <f ca="1"/>
        <v>5.3078003868171519E-2</v>
      </c>
      <c r="O8826" s="2">
        <f ca="1"/>
        <v>-0.90292618820913195</v>
      </c>
      <c r="X8826" s="2">
        <f ca="1"/>
        <v>58.401737107459759</v>
      </c>
      <c r="AG8826" s="2">
        <f ca="1"/>
        <v>6.9308864234937317E-2</v>
      </c>
      <c r="AH8826" s="2" t="str">
        <f ca="1"/>
        <v>OK</v>
      </c>
    </row>
    <row r="8827" spans="2:34" x14ac:dyDescent="0.2">
      <c r="B8827" s="2">
        <f ca="1"/>
        <v>0.67150940578926965</v>
      </c>
      <c r="O8827" s="2">
        <f ca="1"/>
        <v>1.1717237121231208</v>
      </c>
      <c r="X8827" s="2">
        <f ca="1"/>
        <v>40.19665256968657</v>
      </c>
      <c r="AG8827" s="2">
        <f ca="1"/>
        <v>0.23692957363821598</v>
      </c>
      <c r="AH8827" s="2" t="str">
        <f ca="1"/>
        <v>OK</v>
      </c>
    </row>
    <row r="8828" spans="2:34" x14ac:dyDescent="0.2">
      <c r="B8828" s="2">
        <f ca="1"/>
        <v>0.64036364544804814</v>
      </c>
      <c r="O8828" s="2">
        <f ca="1"/>
        <v>-0.60803574742741284</v>
      </c>
      <c r="X8828" s="2">
        <f ca="1"/>
        <v>28.692170695962467</v>
      </c>
      <c r="AG8828" s="2">
        <f ca="1"/>
        <v>0.4232991194895499</v>
      </c>
      <c r="AH8828" s="2" t="str">
        <f ca="1"/>
        <v>Bad</v>
      </c>
    </row>
    <row r="8829" spans="2:34" x14ac:dyDescent="0.2">
      <c r="B8829" s="2">
        <f ca="1"/>
        <v>0.78912023335089754</v>
      </c>
      <c r="O8829" s="2">
        <f ca="1"/>
        <v>1.227137645293108</v>
      </c>
      <c r="X8829" s="2">
        <f ca="1"/>
        <v>56.940318168033706</v>
      </c>
      <c r="AG8829" s="2">
        <f ca="1"/>
        <v>0.35926297997798629</v>
      </c>
      <c r="AH8829" s="2" t="str">
        <f ca="1"/>
        <v>OK</v>
      </c>
    </row>
    <row r="8830" spans="2:34" x14ac:dyDescent="0.2">
      <c r="B8830" s="2">
        <f ca="1"/>
        <v>0.2279427450349174</v>
      </c>
      <c r="O8830" s="2">
        <f ca="1"/>
        <v>-0.29817857439115325</v>
      </c>
      <c r="X8830" s="2">
        <f ca="1"/>
        <v>29.768700994212839</v>
      </c>
      <c r="AG8830" s="2">
        <f ca="1"/>
        <v>0.4280284448921543</v>
      </c>
      <c r="AH8830" s="2" t="str">
        <f ca="1"/>
        <v>Bad</v>
      </c>
    </row>
    <row r="8831" spans="2:34" x14ac:dyDescent="0.2">
      <c r="B8831" s="2">
        <f ca="1"/>
        <v>0.85942528086347014</v>
      </c>
      <c r="O8831" s="2">
        <f ca="1"/>
        <v>1.3033159177197833</v>
      </c>
      <c r="X8831" s="2">
        <f ca="1"/>
        <v>27.668972754171328</v>
      </c>
      <c r="AG8831" s="2">
        <f ca="1"/>
        <v>0.52863477117230184</v>
      </c>
      <c r="AH8831" s="2" t="str">
        <f ca="1"/>
        <v>Bad</v>
      </c>
    </row>
    <row r="8832" spans="2:34" x14ac:dyDescent="0.2">
      <c r="B8832" s="2">
        <f ca="1"/>
        <v>6.8480403978106175E-2</v>
      </c>
      <c r="O8832" s="2">
        <f ca="1"/>
        <v>1.0292022722903171</v>
      </c>
      <c r="X8832" s="2">
        <f ca="1"/>
        <v>25.209315047331774</v>
      </c>
      <c r="AG8832" s="2">
        <f ca="1"/>
        <v>0.36064333653541758</v>
      </c>
      <c r="AH8832" s="2" t="str">
        <f ca="1"/>
        <v>OK</v>
      </c>
    </row>
    <row r="8833" spans="2:34" x14ac:dyDescent="0.2">
      <c r="B8833" s="2">
        <f ca="1"/>
        <v>7.6002962479774672E-2</v>
      </c>
      <c r="O8833" s="2">
        <f ca="1"/>
        <v>-0.5012614674855449</v>
      </c>
      <c r="X8833" s="2">
        <f ca="1"/>
        <v>30.977130678532564</v>
      </c>
      <c r="AG8833" s="2">
        <f ca="1"/>
        <v>0.42611213567371942</v>
      </c>
      <c r="AH8833" s="2" t="str">
        <f ca="1"/>
        <v>Bad</v>
      </c>
    </row>
    <row r="8834" spans="2:34" x14ac:dyDescent="0.2">
      <c r="B8834" s="2">
        <f ca="1"/>
        <v>7.0144449303159329E-2</v>
      </c>
      <c r="O8834" s="2">
        <f ca="1"/>
        <v>0.15650691351651466</v>
      </c>
      <c r="X8834" s="2">
        <f ca="1"/>
        <v>36.38255786998603</v>
      </c>
      <c r="AG8834" s="2">
        <f ca="1"/>
        <v>0.66851042620530166</v>
      </c>
      <c r="AH8834" s="2" t="str">
        <f ca="1"/>
        <v>Bad</v>
      </c>
    </row>
    <row r="8835" spans="2:34" x14ac:dyDescent="0.2">
      <c r="B8835" s="2">
        <f ca="1"/>
        <v>0.15582555378521823</v>
      </c>
      <c r="O8835" s="2">
        <f ca="1"/>
        <v>0.51159366112880889</v>
      </c>
      <c r="X8835" s="2">
        <f ca="1"/>
        <v>51.733218077095813</v>
      </c>
      <c r="AG8835" s="2">
        <f ca="1"/>
        <v>0.58063372404426961</v>
      </c>
      <c r="AH8835" s="2" t="str">
        <f ca="1"/>
        <v>Bad</v>
      </c>
    </row>
    <row r="8836" spans="2:34" x14ac:dyDescent="0.2">
      <c r="B8836" s="2">
        <f ca="1"/>
        <v>0.94721703786689404</v>
      </c>
      <c r="O8836" s="2">
        <f ca="1"/>
        <v>-1.1816389958993869</v>
      </c>
      <c r="X8836" s="2">
        <f ca="1"/>
        <v>37.267362303697695</v>
      </c>
      <c r="AG8836" s="2">
        <f ca="1"/>
        <v>0.89155327377195004</v>
      </c>
      <c r="AH8836" s="2" t="str">
        <f ca="1"/>
        <v>Bad</v>
      </c>
    </row>
    <row r="8837" spans="2:34" x14ac:dyDescent="0.2">
      <c r="B8837" s="2">
        <f ca="1"/>
        <v>0.14116995815359368</v>
      </c>
      <c r="O8837" s="2">
        <f ca="1"/>
        <v>0.84368618597309575</v>
      </c>
      <c r="X8837" s="2">
        <f ca="1"/>
        <v>43.539555351891508</v>
      </c>
      <c r="AG8837" s="2">
        <f ca="1"/>
        <v>4.7334286918067958E-2</v>
      </c>
      <c r="AH8837" s="2" t="str">
        <f ca="1"/>
        <v>Good</v>
      </c>
    </row>
    <row r="8838" spans="2:34" x14ac:dyDescent="0.2">
      <c r="B8838" s="2">
        <f ca="1"/>
        <v>0.81715596228395126</v>
      </c>
      <c r="O8838" s="2">
        <f ca="1"/>
        <v>-0.23577934839043413</v>
      </c>
      <c r="X8838" s="2">
        <f ca="1"/>
        <v>30.118097478428581</v>
      </c>
      <c r="AG8838" s="2">
        <f ca="1"/>
        <v>0.9090472500583886</v>
      </c>
      <c r="AH8838" s="2" t="str">
        <f ca="1"/>
        <v>Bad</v>
      </c>
    </row>
    <row r="8839" spans="2:34" x14ac:dyDescent="0.2">
      <c r="B8839" s="2">
        <f ca="1"/>
        <v>0.69492463361163503</v>
      </c>
      <c r="O8839" s="2">
        <f ca="1"/>
        <v>1.2200840130784174</v>
      </c>
      <c r="X8839" s="2">
        <f ca="1"/>
        <v>59.320108054620768</v>
      </c>
      <c r="AG8839" s="2">
        <f ca="1"/>
        <v>0.4927510392336103</v>
      </c>
      <c r="AH8839" s="2" t="str">
        <f ca="1"/>
        <v>Bad</v>
      </c>
    </row>
    <row r="8840" spans="2:34" x14ac:dyDescent="0.2">
      <c r="B8840" s="2">
        <f ca="1"/>
        <v>0.64851349236239386</v>
      </c>
      <c r="O8840" s="2">
        <f ca="1"/>
        <v>-0.28393737170569822</v>
      </c>
      <c r="X8840" s="2">
        <f ca="1"/>
        <v>44.362243026513738</v>
      </c>
      <c r="AG8840" s="2">
        <f ca="1"/>
        <v>0.99239848948441667</v>
      </c>
      <c r="AH8840" s="2" t="str">
        <f ca="1"/>
        <v>Bad</v>
      </c>
    </row>
    <row r="8841" spans="2:34" x14ac:dyDescent="0.2">
      <c r="B8841" s="2">
        <f ca="1"/>
        <v>0.91887066334041956</v>
      </c>
      <c r="O8841" s="2">
        <f ca="1"/>
        <v>-1.7576056666907491</v>
      </c>
      <c r="X8841" s="2">
        <f ca="1"/>
        <v>37.229140612323334</v>
      </c>
      <c r="AG8841" s="2">
        <f ca="1"/>
        <v>5.3646527653362419E-2</v>
      </c>
      <c r="AH8841" s="2" t="str">
        <f ca="1"/>
        <v>OK</v>
      </c>
    </row>
    <row r="8842" spans="2:34" x14ac:dyDescent="0.2">
      <c r="B8842" s="2">
        <f ca="1"/>
        <v>8.534735015775885E-2</v>
      </c>
      <c r="O8842" s="2">
        <f ca="1"/>
        <v>-0.55836455628232107</v>
      </c>
      <c r="X8842" s="2">
        <f ca="1"/>
        <v>67.728326939154698</v>
      </c>
      <c r="AG8842" s="2">
        <f ca="1"/>
        <v>0.97628455386902613</v>
      </c>
      <c r="AH8842" s="2" t="str">
        <f ca="1"/>
        <v>Bad</v>
      </c>
    </row>
    <row r="8843" spans="2:34" x14ac:dyDescent="0.2">
      <c r="B8843" s="2">
        <f ca="1"/>
        <v>0.71334363756457253</v>
      </c>
      <c r="O8843" s="2">
        <f ca="1"/>
        <v>-1.0210368355616235</v>
      </c>
      <c r="X8843" s="2">
        <f ca="1"/>
        <v>76.18481890373468</v>
      </c>
      <c r="AG8843" s="2">
        <f ca="1"/>
        <v>0.37512675499418346</v>
      </c>
      <c r="AH8843" s="2" t="str">
        <f ca="1"/>
        <v>OK</v>
      </c>
    </row>
    <row r="8844" spans="2:34" x14ac:dyDescent="0.2">
      <c r="B8844" s="2">
        <f ca="1"/>
        <v>0.96240214283382519</v>
      </c>
      <c r="O8844" s="2">
        <f ca="1"/>
        <v>-0.15179669100225202</v>
      </c>
      <c r="X8844" s="2">
        <f ca="1"/>
        <v>33.025188505910002</v>
      </c>
      <c r="AG8844" s="2">
        <f ca="1"/>
        <v>0.80560722658588668</v>
      </c>
      <c r="AH8844" s="2" t="str">
        <f ca="1"/>
        <v>Bad</v>
      </c>
    </row>
    <row r="8845" spans="2:34" x14ac:dyDescent="0.2">
      <c r="B8845" s="2">
        <f ca="1"/>
        <v>0.51757641517573538</v>
      </c>
      <c r="O8845" s="2">
        <f ca="1"/>
        <v>-1.4646895919480105</v>
      </c>
      <c r="X8845" s="2">
        <f ca="1"/>
        <v>95.126275854545739</v>
      </c>
      <c r="AG8845" s="2">
        <f ca="1"/>
        <v>0.48464196368587653</v>
      </c>
      <c r="AH8845" s="2" t="str">
        <f ca="1"/>
        <v>Bad</v>
      </c>
    </row>
    <row r="8846" spans="2:34" x14ac:dyDescent="0.2">
      <c r="B8846" s="2">
        <f ca="1"/>
        <v>0.5558040305318146</v>
      </c>
      <c r="O8846" s="2">
        <f ca="1"/>
        <v>0.17212911982822746</v>
      </c>
      <c r="X8846" s="2">
        <f ca="1"/>
        <v>70.308609823715045</v>
      </c>
      <c r="AG8846" s="2">
        <f ca="1"/>
        <v>0.59464898255604703</v>
      </c>
      <c r="AH8846" s="2" t="str">
        <f ca="1"/>
        <v>Bad</v>
      </c>
    </row>
    <row r="8847" spans="2:34" x14ac:dyDescent="0.2">
      <c r="B8847" s="2">
        <f ca="1"/>
        <v>0.79466224066256563</v>
      </c>
      <c r="O8847" s="2">
        <f ca="1"/>
        <v>-1.2743329054508532</v>
      </c>
      <c r="X8847" s="2">
        <f ca="1"/>
        <v>50.541639899765201</v>
      </c>
      <c r="AG8847" s="2">
        <f ca="1"/>
        <v>0.51160486796135185</v>
      </c>
      <c r="AH8847" s="2" t="str">
        <f ca="1"/>
        <v>Bad</v>
      </c>
    </row>
    <row r="8848" spans="2:34" x14ac:dyDescent="0.2">
      <c r="B8848" s="2">
        <f ca="1"/>
        <v>0.1644046621597246</v>
      </c>
      <c r="O8848" s="2">
        <f ca="1"/>
        <v>0.42993743793489558</v>
      </c>
      <c r="X8848" s="2">
        <f ca="1"/>
        <v>85.440890608393985</v>
      </c>
      <c r="AG8848" s="2">
        <f ca="1"/>
        <v>0.15531925313435591</v>
      </c>
      <c r="AH8848" s="2" t="str">
        <f ca="1"/>
        <v>OK</v>
      </c>
    </row>
    <row r="8849" spans="2:34" x14ac:dyDescent="0.2">
      <c r="B8849" s="2">
        <f ca="1"/>
        <v>0.62482029747602907</v>
      </c>
      <c r="O8849" s="2">
        <f ca="1"/>
        <v>-2.2140667001000662</v>
      </c>
      <c r="X8849" s="2">
        <f ca="1"/>
        <v>36.839181241833089</v>
      </c>
      <c r="AG8849" s="2">
        <f ca="1"/>
        <v>0.80454264268301179</v>
      </c>
      <c r="AH8849" s="2" t="str">
        <f ca="1"/>
        <v>Bad</v>
      </c>
    </row>
    <row r="8850" spans="2:34" x14ac:dyDescent="0.2">
      <c r="B8850" s="2">
        <f ca="1"/>
        <v>0.6082341896146739</v>
      </c>
      <c r="O8850" s="2">
        <f ca="1"/>
        <v>-0.91130504111677024</v>
      </c>
      <c r="X8850" s="2">
        <f ca="1"/>
        <v>40.289135227800479</v>
      </c>
      <c r="AG8850" s="2">
        <f ca="1"/>
        <v>0.91561323305513831</v>
      </c>
      <c r="AH8850" s="2" t="str">
        <f ca="1"/>
        <v>Bad</v>
      </c>
    </row>
    <row r="8851" spans="2:34" x14ac:dyDescent="0.2">
      <c r="B8851" s="2">
        <f ca="1"/>
        <v>0.30610833681909755</v>
      </c>
      <c r="O8851" s="2">
        <f ca="1"/>
        <v>-0.25640753506807612</v>
      </c>
      <c r="X8851" s="2">
        <f ca="1"/>
        <v>67.953635846510906</v>
      </c>
      <c r="AG8851" s="2">
        <f ca="1"/>
        <v>0.1491089931720917</v>
      </c>
      <c r="AH8851" s="2" t="str">
        <f ca="1"/>
        <v>OK</v>
      </c>
    </row>
    <row r="8852" spans="2:34" x14ac:dyDescent="0.2">
      <c r="B8852" s="2">
        <f ca="1"/>
        <v>5.7484250464776787E-2</v>
      </c>
      <c r="O8852" s="2">
        <f ca="1"/>
        <v>-1.6399838331193439</v>
      </c>
      <c r="X8852" s="2">
        <f ca="1"/>
        <v>55.456094619844841</v>
      </c>
      <c r="AG8852" s="2">
        <f ca="1"/>
        <v>9.9093539546043274E-2</v>
      </c>
      <c r="AH8852" s="2" t="str">
        <f ca="1"/>
        <v>OK</v>
      </c>
    </row>
    <row r="8853" spans="2:34" x14ac:dyDescent="0.2">
      <c r="B8853" s="2">
        <f ca="1"/>
        <v>0.9848069054937143</v>
      </c>
      <c r="O8853" s="2">
        <f ca="1"/>
        <v>2.5755426705745936</v>
      </c>
      <c r="X8853" s="2">
        <f ca="1"/>
        <v>38.249900219026337</v>
      </c>
      <c r="AG8853" s="2">
        <f ca="1"/>
        <v>0.96287150744981798</v>
      </c>
      <c r="AH8853" s="2" t="str">
        <f ca="1"/>
        <v>Bad</v>
      </c>
    </row>
    <row r="8854" spans="2:34" x14ac:dyDescent="0.2">
      <c r="B8854" s="2">
        <f ca="1"/>
        <v>0.66278438920608496</v>
      </c>
      <c r="O8854" s="2">
        <f ca="1"/>
        <v>0.25880769141163784</v>
      </c>
      <c r="X8854" s="2">
        <f ca="1"/>
        <v>77.322933070896028</v>
      </c>
      <c r="AG8854" s="2">
        <f ca="1"/>
        <v>0.82544539062958977</v>
      </c>
      <c r="AH8854" s="2" t="str">
        <f ca="1"/>
        <v>Bad</v>
      </c>
    </row>
    <row r="8855" spans="2:34" x14ac:dyDescent="0.2">
      <c r="B8855" s="2">
        <f ca="1"/>
        <v>6.669857898517173E-2</v>
      </c>
      <c r="O8855" s="2">
        <f ca="1"/>
        <v>-0.49590849996056896</v>
      </c>
      <c r="X8855" s="2">
        <f ca="1"/>
        <v>45.311613697434801</v>
      </c>
      <c r="AG8855" s="2">
        <f ca="1"/>
        <v>0.9759242783583959</v>
      </c>
      <c r="AH8855" s="2" t="str">
        <f ca="1"/>
        <v>Bad</v>
      </c>
    </row>
    <row r="8856" spans="2:34" x14ac:dyDescent="0.2">
      <c r="B8856" s="2">
        <f ca="1"/>
        <v>0.91818527533525574</v>
      </c>
      <c r="O8856" s="2">
        <f ca="1"/>
        <v>0.61944730024516792</v>
      </c>
      <c r="X8856" s="2">
        <f ca="1"/>
        <v>36.992369507242664</v>
      </c>
      <c r="AG8856" s="2">
        <f ca="1"/>
        <v>0.69548726331069299</v>
      </c>
      <c r="AH8856" s="2" t="str">
        <f ca="1"/>
        <v>Bad</v>
      </c>
    </row>
    <row r="8857" spans="2:34" x14ac:dyDescent="0.2">
      <c r="B8857" s="2">
        <f ca="1"/>
        <v>0.72715087957232649</v>
      </c>
      <c r="O8857" s="2">
        <f ca="1"/>
        <v>0.31399290623428233</v>
      </c>
      <c r="X8857" s="2">
        <f ca="1"/>
        <v>37.050398263874321</v>
      </c>
      <c r="AG8857" s="2">
        <f ca="1"/>
        <v>0.56240214259471744</v>
      </c>
      <c r="AH8857" s="2" t="str">
        <f ca="1"/>
        <v>Bad</v>
      </c>
    </row>
    <row r="8858" spans="2:34" x14ac:dyDescent="0.2">
      <c r="B8858" s="2">
        <f ca="1"/>
        <v>0.54048557475495307</v>
      </c>
      <c r="O8858" s="2">
        <f ca="1"/>
        <v>-0.38032742267177055</v>
      </c>
      <c r="X8858" s="2">
        <f ca="1"/>
        <v>34.670347882437532</v>
      </c>
      <c r="AG8858" s="2">
        <f ca="1"/>
        <v>0.71422047745000516</v>
      </c>
      <c r="AH8858" s="2" t="str">
        <f ca="1"/>
        <v>Bad</v>
      </c>
    </row>
    <row r="8859" spans="2:34" x14ac:dyDescent="0.2">
      <c r="B8859" s="2">
        <f ca="1"/>
        <v>0.99306731610092891</v>
      </c>
      <c r="O8859" s="2">
        <f ca="1"/>
        <v>-1.5735134166433686</v>
      </c>
      <c r="X8859" s="2">
        <f ca="1"/>
        <v>32.229300342566319</v>
      </c>
      <c r="AG8859" s="2">
        <f ca="1"/>
        <v>0.53521969576454897</v>
      </c>
      <c r="AH8859" s="2" t="str">
        <f ca="1"/>
        <v>Bad</v>
      </c>
    </row>
    <row r="8860" spans="2:34" x14ac:dyDescent="0.2">
      <c r="B8860" s="2">
        <f ca="1"/>
        <v>0.24372063553734957</v>
      </c>
      <c r="O8860" s="2">
        <f ca="1"/>
        <v>-1.301277867723414</v>
      </c>
      <c r="X8860" s="2">
        <f ca="1"/>
        <v>59.80061470903329</v>
      </c>
      <c r="AG8860" s="2">
        <f ca="1"/>
        <v>0.12762471890475902</v>
      </c>
      <c r="AH8860" s="2" t="str">
        <f ca="1"/>
        <v>OK</v>
      </c>
    </row>
    <row r="8861" spans="2:34" x14ac:dyDescent="0.2">
      <c r="B8861" s="2">
        <f ca="1"/>
        <v>0.8048766038770212</v>
      </c>
      <c r="O8861" s="2">
        <f ca="1"/>
        <v>0.58951968134500643</v>
      </c>
      <c r="X8861" s="2">
        <f ca="1"/>
        <v>22.559162469074714</v>
      </c>
      <c r="AG8861" s="2">
        <f ca="1"/>
        <v>0.94562926280145287</v>
      </c>
      <c r="AH8861" s="2" t="str">
        <f ca="1"/>
        <v>Bad</v>
      </c>
    </row>
    <row r="8862" spans="2:34" x14ac:dyDescent="0.2">
      <c r="B8862" s="2">
        <f ca="1"/>
        <v>0.35963412310149989</v>
      </c>
      <c r="O8862" s="2">
        <f ca="1"/>
        <v>0.94302934299457453</v>
      </c>
      <c r="X8862" s="2">
        <f ca="1"/>
        <v>44.534204656402935</v>
      </c>
      <c r="AG8862" s="2">
        <f ca="1"/>
        <v>9.6450236800984523E-3</v>
      </c>
      <c r="AH8862" s="2" t="str">
        <f ca="1"/>
        <v>Good</v>
      </c>
    </row>
    <row r="8863" spans="2:34" x14ac:dyDescent="0.2">
      <c r="B8863" s="2">
        <f ca="1"/>
        <v>0.38468953303802467</v>
      </c>
      <c r="O8863" s="2">
        <f ca="1"/>
        <v>0.14633217979810129</v>
      </c>
      <c r="X8863" s="2">
        <f ca="1"/>
        <v>46.106421831044607</v>
      </c>
      <c r="AG8863" s="2">
        <f ca="1"/>
        <v>4.5416167064205037E-3</v>
      </c>
      <c r="AH8863" s="2" t="str">
        <f ca="1"/>
        <v>Good</v>
      </c>
    </row>
    <row r="8864" spans="2:34" x14ac:dyDescent="0.2">
      <c r="B8864" s="2">
        <f ca="1"/>
        <v>0.74029672018687731</v>
      </c>
      <c r="O8864" s="2">
        <f ca="1"/>
        <v>0.47094306150416571</v>
      </c>
      <c r="X8864" s="2">
        <f ca="1"/>
        <v>55.071871907142473</v>
      </c>
      <c r="AG8864" s="2">
        <f ca="1"/>
        <v>0.81787871247140576</v>
      </c>
      <c r="AH8864" s="2" t="str">
        <f ca="1"/>
        <v>Bad</v>
      </c>
    </row>
    <row r="8865" spans="2:34" x14ac:dyDescent="0.2">
      <c r="B8865" s="2">
        <f ca="1"/>
        <v>0.19530157027145112</v>
      </c>
      <c r="O8865" s="2">
        <f ca="1"/>
        <v>1.3946532193395966</v>
      </c>
      <c r="X8865" s="2">
        <f ca="1"/>
        <v>47.026814500416393</v>
      </c>
      <c r="AG8865" s="2">
        <f ca="1"/>
        <v>0.67232556819496492</v>
      </c>
      <c r="AH8865" s="2" t="str">
        <f ca="1"/>
        <v>Bad</v>
      </c>
    </row>
    <row r="8866" spans="2:34" x14ac:dyDescent="0.2">
      <c r="B8866" s="2">
        <f ca="1"/>
        <v>1.1173963689110167E-2</v>
      </c>
      <c r="O8866" s="2">
        <f ca="1"/>
        <v>-1.7630413424736551</v>
      </c>
      <c r="X8866" s="2">
        <f ca="1"/>
        <v>39.765829629048348</v>
      </c>
      <c r="AG8866" s="2">
        <f ca="1"/>
        <v>0.71126232887888574</v>
      </c>
      <c r="AH8866" s="2" t="str">
        <f ca="1"/>
        <v>Bad</v>
      </c>
    </row>
    <row r="8867" spans="2:34" x14ac:dyDescent="0.2">
      <c r="B8867" s="2">
        <f ca="1"/>
        <v>0.83922289501352809</v>
      </c>
      <c r="O8867" s="2">
        <f ca="1"/>
        <v>-8.2933273717125541E-2</v>
      </c>
      <c r="X8867" s="2">
        <f ca="1"/>
        <v>38.180148461952392</v>
      </c>
      <c r="AG8867" s="2">
        <f ca="1"/>
        <v>1.0675537047053485E-3</v>
      </c>
      <c r="AH8867" s="2" t="str">
        <f ca="1"/>
        <v>Good</v>
      </c>
    </row>
    <row r="8868" spans="2:34" x14ac:dyDescent="0.2">
      <c r="B8868" s="2">
        <f ca="1"/>
        <v>4.5842663546195705E-2</v>
      </c>
      <c r="O8868" s="2">
        <f ca="1"/>
        <v>-0.20462781327837101</v>
      </c>
      <c r="X8868" s="2">
        <f ca="1"/>
        <v>39.171849026605393</v>
      </c>
      <c r="AG8868" s="2">
        <f ca="1"/>
        <v>0.68003943692128721</v>
      </c>
      <c r="AH8868" s="2" t="str">
        <f ca="1"/>
        <v>Bad</v>
      </c>
    </row>
    <row r="8869" spans="2:34" x14ac:dyDescent="0.2">
      <c r="B8869" s="2">
        <f ca="1"/>
        <v>0.88477064461978472</v>
      </c>
      <c r="O8869" s="2">
        <f ca="1"/>
        <v>-2.4326331209179526</v>
      </c>
      <c r="X8869" s="2">
        <f ca="1"/>
        <v>40.390751472027119</v>
      </c>
      <c r="AG8869" s="2">
        <f ca="1"/>
        <v>0.7829820884739882</v>
      </c>
      <c r="AH8869" s="2" t="str">
        <f ca="1"/>
        <v>Bad</v>
      </c>
    </row>
    <row r="8870" spans="2:34" x14ac:dyDescent="0.2">
      <c r="B8870" s="2">
        <f ca="1"/>
        <v>6.4293938744605539E-2</v>
      </c>
      <c r="O8870" s="2">
        <f ca="1"/>
        <v>-0.63410741541337723</v>
      </c>
      <c r="X8870" s="2">
        <f ca="1"/>
        <v>43.91777975821995</v>
      </c>
      <c r="AG8870" s="2">
        <f ca="1"/>
        <v>1.9001800158631177E-3</v>
      </c>
      <c r="AH8870" s="2" t="str">
        <f ca="1"/>
        <v>Good</v>
      </c>
    </row>
    <row r="8871" spans="2:34" x14ac:dyDescent="0.2">
      <c r="B8871" s="2">
        <f ca="1"/>
        <v>0.44935626188141686</v>
      </c>
      <c r="O8871" s="2">
        <f ca="1"/>
        <v>-1.5795896957049347</v>
      </c>
      <c r="X8871" s="2">
        <f ca="1"/>
        <v>25.90919943452516</v>
      </c>
      <c r="AG8871" s="2">
        <f ca="1"/>
        <v>0.66621949214925347</v>
      </c>
      <c r="AH8871" s="2" t="str">
        <f ca="1"/>
        <v>Bad</v>
      </c>
    </row>
    <row r="8872" spans="2:34" x14ac:dyDescent="0.2">
      <c r="B8872" s="2">
        <f ca="1"/>
        <v>0.14054055396998044</v>
      </c>
      <c r="O8872" s="2">
        <f ca="1"/>
        <v>-1.703416989532671</v>
      </c>
      <c r="X8872" s="2">
        <f ca="1"/>
        <v>34.656964993948279</v>
      </c>
      <c r="AG8872" s="2">
        <f ca="1"/>
        <v>0.97792730660841598</v>
      </c>
      <c r="AH8872" s="2" t="str">
        <f ca="1"/>
        <v>Bad</v>
      </c>
    </row>
    <row r="8873" spans="2:34" x14ac:dyDescent="0.2">
      <c r="B8873" s="2">
        <f ca="1"/>
        <v>0.55083675435946211</v>
      </c>
      <c r="O8873" s="2">
        <f ca="1"/>
        <v>2.0268855459058885</v>
      </c>
      <c r="X8873" s="2">
        <f ca="1"/>
        <v>40.614053863362081</v>
      </c>
      <c r="AG8873" s="2">
        <f ca="1"/>
        <v>0.93612291295246619</v>
      </c>
      <c r="AH8873" s="2" t="str">
        <f ca="1"/>
        <v>Bad</v>
      </c>
    </row>
    <row r="8874" spans="2:34" x14ac:dyDescent="0.2">
      <c r="B8874" s="2">
        <f ca="1"/>
        <v>0.57824015144940111</v>
      </c>
      <c r="O8874" s="2">
        <f ca="1"/>
        <v>-0.53465993963126701</v>
      </c>
      <c r="X8874" s="2">
        <f ca="1"/>
        <v>52.729322852390169</v>
      </c>
      <c r="AG8874" s="2">
        <f ca="1"/>
        <v>0.18038765877530194</v>
      </c>
      <c r="AH8874" s="2" t="str">
        <f ca="1"/>
        <v>OK</v>
      </c>
    </row>
    <row r="8875" spans="2:34" x14ac:dyDescent="0.2">
      <c r="B8875" s="2">
        <f ca="1"/>
        <v>0.63027479227496763</v>
      </c>
      <c r="O8875" s="2">
        <f ca="1"/>
        <v>-0.94643830560183861</v>
      </c>
      <c r="X8875" s="2">
        <f ca="1"/>
        <v>42.334066372711483</v>
      </c>
      <c r="AG8875" s="2">
        <f ca="1"/>
        <v>0.58670009817872804</v>
      </c>
      <c r="AH8875" s="2" t="str">
        <f ca="1"/>
        <v>Bad</v>
      </c>
    </row>
    <row r="8876" spans="2:34" x14ac:dyDescent="0.2">
      <c r="B8876" s="2">
        <f ca="1"/>
        <v>0.48988083626917933</v>
      </c>
      <c r="O8876" s="2">
        <f ca="1"/>
        <v>-1.149150741034374</v>
      </c>
      <c r="X8876" s="2">
        <f ca="1"/>
        <v>46.388306330863671</v>
      </c>
      <c r="AG8876" s="2">
        <f ca="1"/>
        <v>0.42134341952289978</v>
      </c>
      <c r="AH8876" s="2" t="str">
        <f ca="1"/>
        <v>Bad</v>
      </c>
    </row>
    <row r="8877" spans="2:34" x14ac:dyDescent="0.2">
      <c r="B8877" s="2">
        <f ca="1"/>
        <v>0.30394127474765154</v>
      </c>
      <c r="O8877" s="2">
        <f ca="1"/>
        <v>-0.82627056966675205</v>
      </c>
      <c r="X8877" s="2">
        <f ca="1"/>
        <v>44.774482881194224</v>
      </c>
      <c r="AG8877" s="2">
        <f ca="1"/>
        <v>0.32197227752805246</v>
      </c>
      <c r="AH8877" s="2" t="str">
        <f ca="1"/>
        <v>OK</v>
      </c>
    </row>
    <row r="8878" spans="2:34" x14ac:dyDescent="0.2">
      <c r="B8878" s="2">
        <f ca="1"/>
        <v>0.84635991739821059</v>
      </c>
      <c r="O8878" s="2">
        <f ca="1"/>
        <v>-0.24300867220347966</v>
      </c>
      <c r="X8878" s="2">
        <f ca="1"/>
        <v>59.502375873083253</v>
      </c>
      <c r="AG8878" s="2">
        <f ca="1"/>
        <v>0.90372780211067449</v>
      </c>
      <c r="AH8878" s="2" t="str">
        <f ca="1"/>
        <v>Bad</v>
      </c>
    </row>
    <row r="8879" spans="2:34" x14ac:dyDescent="0.2">
      <c r="B8879" s="2">
        <f ca="1"/>
        <v>0.35209127357267556</v>
      </c>
      <c r="O8879" s="2">
        <f ca="1"/>
        <v>2.2410761918382347</v>
      </c>
      <c r="X8879" s="2">
        <f ca="1"/>
        <v>44.347094676462511</v>
      </c>
      <c r="AG8879" s="2">
        <f ca="1"/>
        <v>0.62879339243876364</v>
      </c>
      <c r="AH8879" s="2" t="str">
        <f ca="1"/>
        <v>Bad</v>
      </c>
    </row>
    <row r="8880" spans="2:34" x14ac:dyDescent="0.2">
      <c r="B8880" s="2">
        <f ca="1"/>
        <v>0.62417916547785679</v>
      </c>
      <c r="O8880" s="2">
        <f ca="1"/>
        <v>0.43212036331694692</v>
      </c>
      <c r="X8880" s="2">
        <f ca="1"/>
        <v>46.036053842396292</v>
      </c>
      <c r="AG8880" s="2">
        <f ca="1"/>
        <v>0.54575331275655836</v>
      </c>
      <c r="AH8880" s="2" t="str">
        <f ca="1"/>
        <v>Bad</v>
      </c>
    </row>
    <row r="8881" spans="2:34" x14ac:dyDescent="0.2">
      <c r="B8881" s="2">
        <f ca="1"/>
        <v>0.54732660927718113</v>
      </c>
      <c r="O8881" s="2">
        <f ca="1"/>
        <v>-0.80511790252217053</v>
      </c>
      <c r="X8881" s="2">
        <f ca="1"/>
        <v>68.903316729815884</v>
      </c>
      <c r="AG8881" s="2">
        <f ca="1"/>
        <v>0.47909810069325887</v>
      </c>
      <c r="AH8881" s="2" t="str">
        <f ca="1"/>
        <v>Bad</v>
      </c>
    </row>
    <row r="8882" spans="2:34" x14ac:dyDescent="0.2">
      <c r="B8882" s="2">
        <f ca="1"/>
        <v>5.4132258544939305E-2</v>
      </c>
      <c r="O8882" s="2">
        <f ca="1"/>
        <v>-0.53512956353599106</v>
      </c>
      <c r="X8882" s="2">
        <f ca="1"/>
        <v>41.352165410707649</v>
      </c>
      <c r="AG8882" s="2">
        <f ca="1"/>
        <v>7.8521150278199059E-3</v>
      </c>
      <c r="AH8882" s="2" t="str">
        <f ca="1"/>
        <v>Good</v>
      </c>
    </row>
    <row r="8883" spans="2:34" x14ac:dyDescent="0.2">
      <c r="B8883" s="2">
        <f ca="1"/>
        <v>0.79103119928443677</v>
      </c>
      <c r="O8883" s="2">
        <f ca="1"/>
        <v>-0.31264517242121997</v>
      </c>
      <c r="X8883" s="2">
        <f ca="1"/>
        <v>55.195789639908924</v>
      </c>
      <c r="AG8883" s="2">
        <f ca="1"/>
        <v>0.84168434302573103</v>
      </c>
      <c r="AH8883" s="2" t="str">
        <f ca="1"/>
        <v>Bad</v>
      </c>
    </row>
    <row r="8884" spans="2:34" x14ac:dyDescent="0.2">
      <c r="B8884" s="2">
        <f ca="1"/>
        <v>0.47091127019951329</v>
      </c>
      <c r="O8884" s="2">
        <f ca="1"/>
        <v>2.4238880570627188</v>
      </c>
      <c r="X8884" s="2">
        <f ca="1"/>
        <v>33.376205637246144</v>
      </c>
      <c r="AG8884" s="2">
        <f ca="1"/>
        <v>0.25748365528555639</v>
      </c>
      <c r="AH8884" s="2" t="str">
        <f ca="1"/>
        <v>OK</v>
      </c>
    </row>
    <row r="8885" spans="2:34" x14ac:dyDescent="0.2">
      <c r="B8885" s="2">
        <f ca="1"/>
        <v>0.25572136034609594</v>
      </c>
      <c r="O8885" s="2">
        <f ca="1"/>
        <v>-1.5639163066658368</v>
      </c>
      <c r="X8885" s="2">
        <f ca="1"/>
        <v>41.16548169059908</v>
      </c>
      <c r="AG8885" s="2">
        <f ca="1"/>
        <v>0.99665029616944323</v>
      </c>
      <c r="AH8885" s="2" t="str">
        <f ca="1"/>
        <v>Bad</v>
      </c>
    </row>
    <row r="8886" spans="2:34" x14ac:dyDescent="0.2">
      <c r="B8886" s="2">
        <f ca="1"/>
        <v>0.53657578681039797</v>
      </c>
      <c r="O8886" s="2">
        <f ca="1"/>
        <v>0.71733582049601274</v>
      </c>
      <c r="X8886" s="2">
        <f ca="1"/>
        <v>42.781272925948571</v>
      </c>
      <c r="AG8886" s="2">
        <f ca="1"/>
        <v>0.99643770921533137</v>
      </c>
      <c r="AH8886" s="2" t="str">
        <f ca="1"/>
        <v>Bad</v>
      </c>
    </row>
    <row r="8887" spans="2:34" x14ac:dyDescent="0.2">
      <c r="B8887" s="2">
        <f ca="1"/>
        <v>0.79871012509759121</v>
      </c>
      <c r="O8887" s="2">
        <f ca="1"/>
        <v>-0.37803170924315199</v>
      </c>
      <c r="X8887" s="2">
        <f ca="1"/>
        <v>70.237645342538983</v>
      </c>
      <c r="AG8887" s="2">
        <f ca="1"/>
        <v>0.75114898900960148</v>
      </c>
      <c r="AH8887" s="2" t="str">
        <f ca="1"/>
        <v>Bad</v>
      </c>
    </row>
    <row r="8888" spans="2:34" x14ac:dyDescent="0.2">
      <c r="B8888" s="2">
        <f ca="1"/>
        <v>0.13701945378138269</v>
      </c>
      <c r="O8888" s="2">
        <f ca="1"/>
        <v>0.24247104531404348</v>
      </c>
      <c r="X8888" s="2">
        <f ca="1"/>
        <v>58.847946965126994</v>
      </c>
      <c r="AG8888" s="2">
        <f ca="1"/>
        <v>0.67371126392467007</v>
      </c>
      <c r="AH8888" s="2" t="str">
        <f ca="1"/>
        <v>Bad</v>
      </c>
    </row>
    <row r="8889" spans="2:34" x14ac:dyDescent="0.2">
      <c r="B8889" s="2">
        <f ca="1"/>
        <v>0.46786563187461927</v>
      </c>
      <c r="O8889" s="2">
        <f ca="1"/>
        <v>-0.19078681214494797</v>
      </c>
      <c r="X8889" s="2">
        <f ca="1"/>
        <v>50.617986356997093</v>
      </c>
      <c r="AG8889" s="2">
        <f ca="1"/>
        <v>0.38744483470716173</v>
      </c>
      <c r="AH8889" s="2" t="str">
        <f ca="1"/>
        <v>OK</v>
      </c>
    </row>
    <row r="8890" spans="2:34" x14ac:dyDescent="0.2">
      <c r="B8890" s="2">
        <f ca="1"/>
        <v>9.0975653543503343E-2</v>
      </c>
      <c r="O8890" s="2">
        <f ca="1"/>
        <v>0.24665964747460473</v>
      </c>
      <c r="X8890" s="2">
        <f ca="1"/>
        <v>49.522042939072939</v>
      </c>
      <c r="AG8890" s="2">
        <f ca="1"/>
        <v>0.52143446283443384</v>
      </c>
      <c r="AH8890" s="2" t="str">
        <f ca="1"/>
        <v>Bad</v>
      </c>
    </row>
    <row r="8891" spans="2:34" x14ac:dyDescent="0.2">
      <c r="B8891" s="2">
        <f ca="1"/>
        <v>0.40355210020661625</v>
      </c>
      <c r="O8891" s="2">
        <f ca="1"/>
        <v>1.3111174072222722</v>
      </c>
      <c r="X8891" s="2">
        <f ca="1"/>
        <v>61.104949241914007</v>
      </c>
      <c r="AG8891" s="2">
        <f ca="1"/>
        <v>0.85070454960522102</v>
      </c>
      <c r="AH8891" s="2" t="str">
        <f ca="1"/>
        <v>Bad</v>
      </c>
    </row>
    <row r="8892" spans="2:34" x14ac:dyDescent="0.2">
      <c r="B8892" s="2">
        <f ca="1"/>
        <v>0.34938961716326666</v>
      </c>
      <c r="O8892" s="2">
        <f ca="1"/>
        <v>-0.30175690645351794</v>
      </c>
      <c r="X8892" s="2">
        <f ca="1"/>
        <v>70.371276718601308</v>
      </c>
      <c r="AG8892" s="2">
        <f ca="1"/>
        <v>3.3610314383766271E-2</v>
      </c>
      <c r="AH8892" s="2" t="str">
        <f ca="1"/>
        <v>Good</v>
      </c>
    </row>
    <row r="8893" spans="2:34" x14ac:dyDescent="0.2">
      <c r="B8893" s="2">
        <f ca="1"/>
        <v>0.77936680281803961</v>
      </c>
      <c r="O8893" s="2">
        <f ca="1"/>
        <v>-4.5922768391054677E-2</v>
      </c>
      <c r="X8893" s="2">
        <f ca="1"/>
        <v>29.019517638448086</v>
      </c>
      <c r="AG8893" s="2">
        <f ca="1"/>
        <v>0.45800407393194154</v>
      </c>
      <c r="AH8893" s="2" t="str">
        <f ca="1"/>
        <v>Bad</v>
      </c>
    </row>
    <row r="8894" spans="2:34" x14ac:dyDescent="0.2">
      <c r="B8894" s="2">
        <f ca="1"/>
        <v>0.42142886172798733</v>
      </c>
      <c r="O8894" s="2">
        <f ca="1"/>
        <v>0.53040202798447089</v>
      </c>
      <c r="X8894" s="2">
        <f ca="1"/>
        <v>52.4224768393129</v>
      </c>
      <c r="AG8894" s="2">
        <f ca="1"/>
        <v>3.127720026611458E-2</v>
      </c>
      <c r="AH8894" s="2" t="str">
        <f ca="1"/>
        <v>Good</v>
      </c>
    </row>
    <row r="8895" spans="2:34" x14ac:dyDescent="0.2">
      <c r="B8895" s="2">
        <f ca="1"/>
        <v>0.75359529061638852</v>
      </c>
      <c r="O8895" s="2">
        <f ca="1"/>
        <v>1.2789861101418967</v>
      </c>
      <c r="X8895" s="2">
        <f ca="1"/>
        <v>59.418630293945974</v>
      </c>
      <c r="AG8895" s="2">
        <f ca="1"/>
        <v>0.21500664813193104</v>
      </c>
      <c r="AH8895" s="2" t="str">
        <f ca="1"/>
        <v>OK</v>
      </c>
    </row>
    <row r="8896" spans="2:34" x14ac:dyDescent="0.2">
      <c r="B8896" s="2">
        <f ca="1"/>
        <v>0.47080431397118994</v>
      </c>
      <c r="O8896" s="2">
        <f ca="1"/>
        <v>-0.27694148319340273</v>
      </c>
      <c r="X8896" s="2">
        <f ca="1"/>
        <v>30.212554698283476</v>
      </c>
      <c r="AG8896" s="2">
        <f ca="1"/>
        <v>0.87751330044012232</v>
      </c>
      <c r="AH8896" s="2" t="str">
        <f ca="1"/>
        <v>Bad</v>
      </c>
    </row>
    <row r="8897" spans="2:34" x14ac:dyDescent="0.2">
      <c r="B8897" s="2">
        <f ca="1"/>
        <v>0.70874342129995682</v>
      </c>
      <c r="O8897" s="2">
        <f ca="1"/>
        <v>0.91011775814852036</v>
      </c>
      <c r="X8897" s="2">
        <f ca="1"/>
        <v>27.498772507239522</v>
      </c>
      <c r="AG8897" s="2">
        <f ca="1"/>
        <v>0.24964512554532625</v>
      </c>
      <c r="AH8897" s="2" t="str">
        <f ca="1"/>
        <v>OK</v>
      </c>
    </row>
    <row r="8898" spans="2:34" x14ac:dyDescent="0.2">
      <c r="B8898" s="2">
        <f ca="1"/>
        <v>0.87689034962321655</v>
      </c>
      <c r="O8898" s="2">
        <f ca="1"/>
        <v>-0.34314478217624789</v>
      </c>
      <c r="X8898" s="2">
        <f ca="1"/>
        <v>81.125265205724332</v>
      </c>
      <c r="AG8898" s="2">
        <f ca="1"/>
        <v>5.1515189309302878E-2</v>
      </c>
      <c r="AH8898" s="2" t="str">
        <f ca="1"/>
        <v>OK</v>
      </c>
    </row>
    <row r="8899" spans="2:34" x14ac:dyDescent="0.2">
      <c r="B8899" s="2">
        <f ca="1"/>
        <v>0.4261012017515553</v>
      </c>
      <c r="O8899" s="2">
        <f ca="1"/>
        <v>-0.68800952601226328</v>
      </c>
      <c r="X8899" s="2">
        <f ca="1"/>
        <v>78.439602588390329</v>
      </c>
      <c r="AG8899" s="2">
        <f ca="1"/>
        <v>2.6706232375452332E-2</v>
      </c>
      <c r="AH8899" s="2" t="str">
        <f ca="1"/>
        <v>Good</v>
      </c>
    </row>
    <row r="8900" spans="2:34" x14ac:dyDescent="0.2">
      <c r="B8900" s="2">
        <f ca="1"/>
        <v>0.74474426081054146</v>
      </c>
      <c r="O8900" s="2">
        <f ca="1"/>
        <v>-0.57472306225382019</v>
      </c>
      <c r="X8900" s="2">
        <f ca="1"/>
        <v>46.908444952729013</v>
      </c>
      <c r="AG8900" s="2">
        <f ca="1"/>
        <v>0.95647173713585221</v>
      </c>
      <c r="AH8900" s="2" t="str">
        <f ca="1"/>
        <v>Bad</v>
      </c>
    </row>
    <row r="8901" spans="2:34" x14ac:dyDescent="0.2">
      <c r="B8901" s="2">
        <f ca="1"/>
        <v>0.26961320869903904</v>
      </c>
      <c r="O8901" s="2">
        <f ca="1"/>
        <v>1.2710591669209488</v>
      </c>
      <c r="X8901" s="2">
        <f ca="1"/>
        <v>65.32265269347883</v>
      </c>
      <c r="AG8901" s="2">
        <f ca="1"/>
        <v>0.4548818313145131</v>
      </c>
      <c r="AH8901" s="2" t="str">
        <f ca="1"/>
        <v>Bad</v>
      </c>
    </row>
    <row r="8902" spans="2:34" x14ac:dyDescent="0.2">
      <c r="B8902" s="2">
        <f ca="1"/>
        <v>0.96401472793515497</v>
      </c>
      <c r="O8902" s="2">
        <f ca="1"/>
        <v>1.9418636332708337</v>
      </c>
      <c r="X8902" s="2">
        <f ca="1"/>
        <v>25.198710164483199</v>
      </c>
      <c r="AG8902" s="2">
        <f ca="1"/>
        <v>4.7006239565676955E-2</v>
      </c>
      <c r="AH8902" s="2" t="str">
        <f ca="1"/>
        <v>Good</v>
      </c>
    </row>
    <row r="8903" spans="2:34" x14ac:dyDescent="0.2">
      <c r="B8903" s="2">
        <f ca="1"/>
        <v>0.80500464180248343</v>
      </c>
      <c r="O8903" s="2">
        <f ca="1"/>
        <v>-9.9994370695282858E-2</v>
      </c>
      <c r="X8903" s="2">
        <f ca="1"/>
        <v>58.395595826592924</v>
      </c>
      <c r="AG8903" s="2">
        <f ca="1"/>
        <v>0.23064851135542774</v>
      </c>
      <c r="AH8903" s="2" t="str">
        <f ca="1"/>
        <v>OK</v>
      </c>
    </row>
    <row r="8904" spans="2:34" x14ac:dyDescent="0.2">
      <c r="B8904" s="2">
        <f ca="1"/>
        <v>0.12101850740571529</v>
      </c>
      <c r="O8904" s="2">
        <f ca="1"/>
        <v>0.38969031523698161</v>
      </c>
      <c r="X8904" s="2">
        <f ca="1"/>
        <v>38.750915711843874</v>
      </c>
      <c r="AG8904" s="2">
        <f ca="1"/>
        <v>0.66817559644874058</v>
      </c>
      <c r="AH8904" s="2" t="str">
        <f ca="1"/>
        <v>Bad</v>
      </c>
    </row>
    <row r="8905" spans="2:34" x14ac:dyDescent="0.2">
      <c r="B8905" s="2">
        <f ca="1"/>
        <v>0.58941832240917491</v>
      </c>
      <c r="O8905" s="2">
        <f ca="1"/>
        <v>1.2872192039090278</v>
      </c>
      <c r="X8905" s="2">
        <f ca="1"/>
        <v>60.655696940857062</v>
      </c>
      <c r="AG8905" s="2">
        <f ca="1"/>
        <v>0.53401100849695493</v>
      </c>
      <c r="AH8905" s="2" t="str">
        <f ca="1"/>
        <v>Bad</v>
      </c>
    </row>
    <row r="8906" spans="2:34" x14ac:dyDescent="0.2">
      <c r="B8906" s="2">
        <f ca="1"/>
        <v>0.36280368623961068</v>
      </c>
      <c r="O8906" s="2">
        <f ca="1"/>
        <v>-0.76539517214548447</v>
      </c>
      <c r="X8906" s="2">
        <f ca="1"/>
        <v>51.310542089162531</v>
      </c>
      <c r="AG8906" s="2">
        <f ca="1"/>
        <v>9.0958987787903567E-4</v>
      </c>
      <c r="AH8906" s="2" t="str">
        <f ca="1"/>
        <v>Good</v>
      </c>
    </row>
    <row r="8907" spans="2:34" x14ac:dyDescent="0.2">
      <c r="B8907" s="2">
        <f ca="1"/>
        <v>0.65369886844936942</v>
      </c>
      <c r="O8907" s="2">
        <f ca="1"/>
        <v>-0.23901464759942811</v>
      </c>
      <c r="X8907" s="2">
        <f ca="1"/>
        <v>41.227746225242925</v>
      </c>
      <c r="AG8907" s="2">
        <f ca="1"/>
        <v>0.75066066024746725</v>
      </c>
      <c r="AH8907" s="2" t="str">
        <f ca="1"/>
        <v>Bad</v>
      </c>
    </row>
    <row r="8908" spans="2:34" x14ac:dyDescent="0.2">
      <c r="B8908" s="2">
        <f ca="1"/>
        <v>0.79087538453610762</v>
      </c>
      <c r="O8908" s="2">
        <f ca="1"/>
        <v>1.7376557172963605</v>
      </c>
      <c r="X8908" s="2">
        <f ca="1"/>
        <v>50.255100504328887</v>
      </c>
      <c r="AG8908" s="2">
        <f ca="1"/>
        <v>0.43668935696891564</v>
      </c>
      <c r="AH8908" s="2" t="str">
        <f ca="1"/>
        <v>Bad</v>
      </c>
    </row>
    <row r="8909" spans="2:34" x14ac:dyDescent="0.2">
      <c r="B8909" s="2">
        <f ca="1"/>
        <v>0.99827191830371076</v>
      </c>
      <c r="O8909" s="2">
        <f ca="1"/>
        <v>-1.6780295516806982</v>
      </c>
      <c r="X8909" s="2">
        <f ca="1"/>
        <v>57.206037977077486</v>
      </c>
      <c r="AG8909" s="2">
        <f ca="1"/>
        <v>0.74407616440292168</v>
      </c>
      <c r="AH8909" s="2" t="str">
        <f ca="1"/>
        <v>Bad</v>
      </c>
    </row>
    <row r="8910" spans="2:34" x14ac:dyDescent="0.2">
      <c r="B8910" s="2">
        <f ca="1"/>
        <v>0.93282206021267711</v>
      </c>
      <c r="O8910" s="2">
        <f ca="1"/>
        <v>-0.49757164347191218</v>
      </c>
      <c r="X8910" s="2">
        <f ca="1"/>
        <v>38.861974448866562</v>
      </c>
      <c r="AG8910" s="2">
        <f ca="1"/>
        <v>0.52866689422476232</v>
      </c>
      <c r="AH8910" s="2" t="str">
        <f ca="1"/>
        <v>Bad</v>
      </c>
    </row>
    <row r="8911" spans="2:34" x14ac:dyDescent="0.2">
      <c r="B8911" s="2">
        <f ca="1"/>
        <v>0.40591540930532255</v>
      </c>
      <c r="O8911" s="2">
        <f ca="1"/>
        <v>2.0848627866897886</v>
      </c>
      <c r="X8911" s="2">
        <f ca="1"/>
        <v>43.777195941135005</v>
      </c>
      <c r="AG8911" s="2">
        <f ca="1"/>
        <v>0.67423294943868872</v>
      </c>
      <c r="AH8911" s="2" t="str">
        <f ca="1"/>
        <v>Bad</v>
      </c>
    </row>
    <row r="8912" spans="2:34" x14ac:dyDescent="0.2">
      <c r="B8912" s="2">
        <f ca="1"/>
        <v>0.17687889603763085</v>
      </c>
      <c r="O8912" s="2">
        <f ca="1"/>
        <v>-0.38113992336107155</v>
      </c>
      <c r="X8912" s="2">
        <f ca="1"/>
        <v>64.472495526781103</v>
      </c>
      <c r="AG8912" s="2">
        <f ca="1"/>
        <v>0.79267224846206896</v>
      </c>
      <c r="AH8912" s="2" t="str">
        <f ca="1"/>
        <v>Bad</v>
      </c>
    </row>
    <row r="8913" spans="2:34" x14ac:dyDescent="0.2">
      <c r="B8913" s="2">
        <f ca="1"/>
        <v>0.26349467811904792</v>
      </c>
      <c r="O8913" s="2">
        <f ca="1"/>
        <v>-1.0390264468767587</v>
      </c>
      <c r="X8913" s="2">
        <f ca="1"/>
        <v>39.887420420445274</v>
      </c>
      <c r="AG8913" s="2">
        <f ca="1"/>
        <v>0.43962419340860048</v>
      </c>
      <c r="AH8913" s="2" t="str">
        <f ca="1"/>
        <v>Bad</v>
      </c>
    </row>
    <row r="8914" spans="2:34" x14ac:dyDescent="0.2">
      <c r="B8914" s="2">
        <f ca="1"/>
        <v>0.8657236050813617</v>
      </c>
      <c r="O8914" s="2">
        <f ca="1"/>
        <v>-2.3222221186280945</v>
      </c>
      <c r="X8914" s="2">
        <f ca="1"/>
        <v>41.652821883925959</v>
      </c>
      <c r="AG8914" s="2">
        <f ca="1"/>
        <v>0.27198014013498906</v>
      </c>
      <c r="AH8914" s="2" t="str">
        <f ca="1"/>
        <v>OK</v>
      </c>
    </row>
    <row r="8915" spans="2:34" x14ac:dyDescent="0.2">
      <c r="B8915" s="2">
        <f ca="1"/>
        <v>0.97397804176787051</v>
      </c>
      <c r="O8915" s="2">
        <f ca="1"/>
        <v>-1.0508374651029688</v>
      </c>
      <c r="X8915" s="2">
        <f ca="1"/>
        <v>63.985763712529177</v>
      </c>
      <c r="AG8915" s="2">
        <f ca="1"/>
        <v>0.80091479775728658</v>
      </c>
      <c r="AH8915" s="2" t="str">
        <f ca="1"/>
        <v>Bad</v>
      </c>
    </row>
    <row r="8916" spans="2:34" x14ac:dyDescent="0.2">
      <c r="B8916" s="2">
        <f ca="1"/>
        <v>0.30019463048870421</v>
      </c>
      <c r="O8916" s="2">
        <f ca="1"/>
        <v>-0.50780147019446142</v>
      </c>
      <c r="X8916" s="2">
        <f ca="1"/>
        <v>30.584802937531581</v>
      </c>
      <c r="AG8916" s="2">
        <f ca="1"/>
        <v>0.11525338604167334</v>
      </c>
      <c r="AH8916" s="2" t="str">
        <f ca="1"/>
        <v>OK</v>
      </c>
    </row>
    <row r="8917" spans="2:34" x14ac:dyDescent="0.2">
      <c r="B8917" s="2">
        <f ca="1"/>
        <v>0.45710406946383042</v>
      </c>
      <c r="O8917" s="2">
        <f ca="1"/>
        <v>-0.99025574383873549</v>
      </c>
      <c r="X8917" s="2">
        <f ca="1"/>
        <v>55.112731314427805</v>
      </c>
      <c r="AG8917" s="2">
        <f ca="1"/>
        <v>5.3523956114612581E-2</v>
      </c>
      <c r="AH8917" s="2" t="str">
        <f ca="1"/>
        <v>OK</v>
      </c>
    </row>
    <row r="8918" spans="2:34" x14ac:dyDescent="0.2">
      <c r="B8918" s="2">
        <f ca="1"/>
        <v>0.20240121166610736</v>
      </c>
      <c r="O8918" s="2">
        <f ca="1"/>
        <v>-0.94482334249317301</v>
      </c>
      <c r="X8918" s="2">
        <f ca="1"/>
        <v>42.856229482213877</v>
      </c>
      <c r="AG8918" s="2">
        <f ca="1"/>
        <v>0.86656846374086927</v>
      </c>
      <c r="AH8918" s="2" t="str">
        <f ca="1"/>
        <v>Bad</v>
      </c>
    </row>
    <row r="8919" spans="2:34" x14ac:dyDescent="0.2">
      <c r="B8919" s="2">
        <f ca="1"/>
        <v>0.29111732129635404</v>
      </c>
      <c r="O8919" s="2">
        <f ca="1"/>
        <v>-1.0232076963183043</v>
      </c>
      <c r="X8919" s="2">
        <f ca="1"/>
        <v>50.6034516842725</v>
      </c>
      <c r="AG8919" s="2">
        <f ca="1"/>
        <v>1.3434331069198002E-2</v>
      </c>
      <c r="AH8919" s="2" t="str">
        <f ca="1"/>
        <v>Good</v>
      </c>
    </row>
    <row r="8920" spans="2:34" x14ac:dyDescent="0.2">
      <c r="B8920" s="2">
        <f ca="1"/>
        <v>0.7130169636728112</v>
      </c>
      <c r="O8920" s="2">
        <f ca="1"/>
        <v>4.9839073204603485E-3</v>
      </c>
      <c r="X8920" s="2">
        <f ca="1"/>
        <v>70.043143014782558</v>
      </c>
      <c r="AG8920" s="2">
        <f ca="1"/>
        <v>0.92322452479839812</v>
      </c>
      <c r="AH8920" s="2" t="str">
        <f ca="1"/>
        <v>Bad</v>
      </c>
    </row>
    <row r="8921" spans="2:34" x14ac:dyDescent="0.2">
      <c r="B8921" s="2">
        <f ca="1"/>
        <v>0.65369800918807397</v>
      </c>
      <c r="O8921" s="2">
        <f ca="1"/>
        <v>-0.32269061443632407</v>
      </c>
      <c r="X8921" s="2">
        <f ca="1"/>
        <v>27.162299476164883</v>
      </c>
      <c r="AG8921" s="2">
        <f ca="1"/>
        <v>0.63090634545225588</v>
      </c>
      <c r="AH8921" s="2" t="str">
        <f ca="1"/>
        <v>Bad</v>
      </c>
    </row>
    <row r="8922" spans="2:34" x14ac:dyDescent="0.2">
      <c r="B8922" s="2">
        <f ca="1"/>
        <v>0.57103989308803516</v>
      </c>
      <c r="O8922" s="2">
        <f ca="1"/>
        <v>0.32922158865705692</v>
      </c>
      <c r="X8922" s="2">
        <f ca="1"/>
        <v>37.686366604343164</v>
      </c>
      <c r="AG8922" s="2">
        <f ca="1"/>
        <v>5.5861956121807665E-2</v>
      </c>
      <c r="AH8922" s="2" t="str">
        <f ca="1"/>
        <v>OK</v>
      </c>
    </row>
    <row r="8923" spans="2:34" x14ac:dyDescent="0.2">
      <c r="B8923" s="2">
        <f ca="1"/>
        <v>0.18820212948999449</v>
      </c>
      <c r="O8923" s="2">
        <f ca="1"/>
        <v>0.59672444090850163</v>
      </c>
      <c r="X8923" s="2">
        <f ca="1"/>
        <v>29.425709194005101</v>
      </c>
      <c r="AG8923" s="2">
        <f ca="1"/>
        <v>6.1961299987455032E-2</v>
      </c>
      <c r="AH8923" s="2" t="str">
        <f ca="1"/>
        <v>OK</v>
      </c>
    </row>
    <row r="8924" spans="2:34" x14ac:dyDescent="0.2">
      <c r="B8924" s="2">
        <f ca="1"/>
        <v>0.30628775897665239</v>
      </c>
      <c r="O8924" s="2">
        <f ca="1"/>
        <v>-1.1238862246696038</v>
      </c>
      <c r="X8924" s="2">
        <f ca="1"/>
        <v>53.708994280076126</v>
      </c>
      <c r="AG8924" s="2">
        <f ca="1"/>
        <v>2.1521830814549281E-2</v>
      </c>
      <c r="AH8924" s="2" t="str">
        <f ca="1"/>
        <v>Good</v>
      </c>
    </row>
    <row r="8925" spans="2:34" x14ac:dyDescent="0.2">
      <c r="B8925" s="2">
        <f ca="1"/>
        <v>0.90455146713922052</v>
      </c>
      <c r="O8925" s="2">
        <f ca="1"/>
        <v>-0.46606384035484327</v>
      </c>
      <c r="X8925" s="2">
        <f ca="1"/>
        <v>35.848992447243155</v>
      </c>
      <c r="AG8925" s="2">
        <f ca="1"/>
        <v>0.76596966106332509</v>
      </c>
      <c r="AH8925" s="2" t="str">
        <f ca="1"/>
        <v>Bad</v>
      </c>
    </row>
    <row r="8926" spans="2:34" x14ac:dyDescent="0.2">
      <c r="B8926" s="2">
        <f ca="1"/>
        <v>0.85762813764936396</v>
      </c>
      <c r="O8926" s="2">
        <f ca="1"/>
        <v>0.82117495098828741</v>
      </c>
      <c r="X8926" s="2">
        <f ca="1"/>
        <v>26.04706102559301</v>
      </c>
      <c r="AG8926" s="2">
        <f ca="1"/>
        <v>0.93057841629619698</v>
      </c>
      <c r="AH8926" s="2" t="str">
        <f ca="1"/>
        <v>Bad</v>
      </c>
    </row>
    <row r="8927" spans="2:34" x14ac:dyDescent="0.2">
      <c r="B8927" s="2">
        <f ca="1"/>
        <v>0.2704250040673648</v>
      </c>
      <c r="O8927" s="2">
        <f ca="1"/>
        <v>0.72326123004380349</v>
      </c>
      <c r="X8927" s="2">
        <f ca="1"/>
        <v>54.445736087199862</v>
      </c>
      <c r="AG8927" s="2">
        <f ca="1"/>
        <v>0.24969034537110457</v>
      </c>
      <c r="AH8927" s="2" t="str">
        <f ca="1"/>
        <v>OK</v>
      </c>
    </row>
    <row r="8928" spans="2:34" x14ac:dyDescent="0.2">
      <c r="B8928" s="2">
        <f ca="1"/>
        <v>0.36104846950839442</v>
      </c>
      <c r="O8928" s="2">
        <f ca="1"/>
        <v>-1.5062058513255594</v>
      </c>
      <c r="X8928" s="2">
        <f ca="1"/>
        <v>39.138807933091762</v>
      </c>
      <c r="AG8928" s="2">
        <f ca="1"/>
        <v>0.7973192306717527</v>
      </c>
      <c r="AH8928" s="2" t="str">
        <f ca="1"/>
        <v>Bad</v>
      </c>
    </row>
    <row r="8929" spans="2:34" x14ac:dyDescent="0.2">
      <c r="B8929" s="2">
        <f ca="1"/>
        <v>0.21890351042892342</v>
      </c>
      <c r="O8929" s="2">
        <f ca="1"/>
        <v>-0.43400611722752508</v>
      </c>
      <c r="X8929" s="2">
        <f ca="1"/>
        <v>28.493345934045507</v>
      </c>
      <c r="AG8929" s="2">
        <f ca="1"/>
        <v>0.18174537812200353</v>
      </c>
      <c r="AH8929" s="2" t="str">
        <f ca="1"/>
        <v>OK</v>
      </c>
    </row>
    <row r="8930" spans="2:34" x14ac:dyDescent="0.2">
      <c r="B8930" s="2">
        <f ca="1"/>
        <v>0.2431332391538974</v>
      </c>
      <c r="O8930" s="2">
        <f ca="1"/>
        <v>0.21062290107204262</v>
      </c>
      <c r="X8930" s="2">
        <f ca="1"/>
        <v>63.8428016099001</v>
      </c>
      <c r="AG8930" s="2">
        <f ca="1"/>
        <v>0.76546307309743966</v>
      </c>
      <c r="AH8930" s="2" t="str">
        <f ca="1"/>
        <v>Bad</v>
      </c>
    </row>
    <row r="8931" spans="2:34" x14ac:dyDescent="0.2">
      <c r="B8931" s="2">
        <f ca="1"/>
        <v>0.97691106873915912</v>
      </c>
      <c r="O8931" s="2">
        <f ca="1"/>
        <v>-2.0314842938815723</v>
      </c>
      <c r="X8931" s="2">
        <f ca="1"/>
        <v>42.688201476431189</v>
      </c>
      <c r="AG8931" s="2">
        <f ca="1"/>
        <v>0.29866276994440288</v>
      </c>
      <c r="AH8931" s="2" t="str">
        <f ca="1"/>
        <v>OK</v>
      </c>
    </row>
    <row r="8932" spans="2:34" x14ac:dyDescent="0.2">
      <c r="B8932" s="2">
        <f ca="1"/>
        <v>0.6268549692931531</v>
      </c>
      <c r="O8932" s="2">
        <f ca="1"/>
        <v>-0.13884078089528537</v>
      </c>
      <c r="X8932" s="2">
        <f ca="1"/>
        <v>48.056793462732045</v>
      </c>
      <c r="AG8932" s="2">
        <f ca="1"/>
        <v>0.31553709663610907</v>
      </c>
      <c r="AH8932" s="2" t="str">
        <f ca="1"/>
        <v>OK</v>
      </c>
    </row>
    <row r="8933" spans="2:34" x14ac:dyDescent="0.2">
      <c r="B8933" s="2">
        <f ca="1"/>
        <v>0.78090996318348238</v>
      </c>
      <c r="O8933" s="2">
        <f ca="1"/>
        <v>0.10780135212140177</v>
      </c>
      <c r="X8933" s="2">
        <f ca="1"/>
        <v>51.975699668325362</v>
      </c>
      <c r="AG8933" s="2">
        <f ca="1"/>
        <v>8.4296137561346018E-2</v>
      </c>
      <c r="AH8933" s="2" t="str">
        <f ca="1"/>
        <v>OK</v>
      </c>
    </row>
    <row r="8934" spans="2:34" x14ac:dyDescent="0.2">
      <c r="B8934" s="2">
        <f ca="1"/>
        <v>0.28152829829959081</v>
      </c>
      <c r="O8934" s="2">
        <f ca="1"/>
        <v>1.6872321083278805</v>
      </c>
      <c r="X8934" s="2">
        <f ca="1"/>
        <v>29.637424032711436</v>
      </c>
      <c r="AG8934" s="2">
        <f ca="1"/>
        <v>0.18224448959678563</v>
      </c>
      <c r="AH8934" s="2" t="str">
        <f ca="1"/>
        <v>OK</v>
      </c>
    </row>
    <row r="8935" spans="2:34" x14ac:dyDescent="0.2">
      <c r="B8935" s="2">
        <f ca="1"/>
        <v>0.58708391028954532</v>
      </c>
      <c r="O8935" s="2">
        <f ca="1"/>
        <v>-1.7785440855463437</v>
      </c>
      <c r="X8935" s="2">
        <f ca="1"/>
        <v>83.384278648409889</v>
      </c>
      <c r="AG8935" s="2">
        <f ca="1"/>
        <v>0.14403375886910252</v>
      </c>
      <c r="AH8935" s="2" t="str">
        <f ca="1"/>
        <v>OK</v>
      </c>
    </row>
    <row r="8936" spans="2:34" x14ac:dyDescent="0.2">
      <c r="B8936" s="2">
        <f ca="1"/>
        <v>0.86419756782546431</v>
      </c>
      <c r="O8936" s="2">
        <f ca="1"/>
        <v>0.3910207571722612</v>
      </c>
      <c r="X8936" s="2">
        <f ca="1"/>
        <v>45.839150789862309</v>
      </c>
      <c r="AG8936" s="2">
        <f ca="1"/>
        <v>0.63741943935775613</v>
      </c>
      <c r="AH8936" s="2" t="str">
        <f ca="1"/>
        <v>Bad</v>
      </c>
    </row>
    <row r="8937" spans="2:34" x14ac:dyDescent="0.2">
      <c r="B8937" s="2">
        <f ca="1"/>
        <v>0.33903939718158949</v>
      </c>
      <c r="O8937" s="2">
        <f ca="1"/>
        <v>3.4598043111864816</v>
      </c>
      <c r="X8937" s="2">
        <f ca="1"/>
        <v>51.388601293684452</v>
      </c>
      <c r="AG8937" s="2">
        <f ca="1"/>
        <v>0.36244579551862466</v>
      </c>
      <c r="AH8937" s="2" t="str">
        <f ca="1"/>
        <v>OK</v>
      </c>
    </row>
    <row r="8938" spans="2:34" x14ac:dyDescent="0.2">
      <c r="B8938" s="2">
        <f ca="1"/>
        <v>0.41537587918582841</v>
      </c>
      <c r="O8938" s="2">
        <f ca="1"/>
        <v>-1.2011087486251515</v>
      </c>
      <c r="X8938" s="2">
        <f ca="1"/>
        <v>46.471959596580561</v>
      </c>
      <c r="AG8938" s="2">
        <f ca="1"/>
        <v>0.95005792446872772</v>
      </c>
      <c r="AH8938" s="2" t="str">
        <f ca="1"/>
        <v>Bad</v>
      </c>
    </row>
    <row r="8939" spans="2:34" x14ac:dyDescent="0.2">
      <c r="B8939" s="2">
        <f ca="1"/>
        <v>0.61035465747966344</v>
      </c>
      <c r="O8939" s="2">
        <f ca="1"/>
        <v>-0.31238560731708781</v>
      </c>
      <c r="X8939" s="2">
        <f ca="1"/>
        <v>37.94059430179037</v>
      </c>
      <c r="AG8939" s="2">
        <f ca="1"/>
        <v>0.10509234352358843</v>
      </c>
      <c r="AH8939" s="2" t="str">
        <f ca="1"/>
        <v>OK</v>
      </c>
    </row>
    <row r="8940" spans="2:34" x14ac:dyDescent="0.2">
      <c r="B8940" s="2">
        <f ca="1"/>
        <v>0.14953499244170665</v>
      </c>
      <c r="O8940" s="2">
        <f ca="1"/>
        <v>0.16197403054071433</v>
      </c>
      <c r="X8940" s="2">
        <f ca="1"/>
        <v>59.771429369854694</v>
      </c>
      <c r="AG8940" s="2">
        <f ca="1"/>
        <v>0.13037722906521254</v>
      </c>
      <c r="AH8940" s="2" t="str">
        <f ca="1"/>
        <v>OK</v>
      </c>
    </row>
    <row r="8941" spans="2:34" x14ac:dyDescent="0.2">
      <c r="B8941" s="2">
        <f ca="1"/>
        <v>0.95822016583953551</v>
      </c>
      <c r="O8941" s="2">
        <f ca="1"/>
        <v>0.52385906334184373</v>
      </c>
      <c r="X8941" s="2">
        <f ca="1"/>
        <v>44.046919145768783</v>
      </c>
      <c r="AG8941" s="2">
        <f ca="1"/>
        <v>0.96184051941249504</v>
      </c>
      <c r="AH8941" s="2" t="str">
        <f ca="1"/>
        <v>Bad</v>
      </c>
    </row>
    <row r="8942" spans="2:34" x14ac:dyDescent="0.2">
      <c r="B8942" s="2">
        <f ca="1"/>
        <v>0.11526489257428585</v>
      </c>
      <c r="O8942" s="2">
        <f ca="1"/>
        <v>-0.96228110648956078</v>
      </c>
      <c r="X8942" s="2">
        <f ca="1"/>
        <v>46.685669449051289</v>
      </c>
      <c r="AG8942" s="2">
        <f ca="1"/>
        <v>0.20011314122215107</v>
      </c>
      <c r="AH8942" s="2" t="str">
        <f ca="1"/>
        <v>OK</v>
      </c>
    </row>
    <row r="8943" spans="2:34" x14ac:dyDescent="0.2">
      <c r="B8943" s="2">
        <f ca="1"/>
        <v>0.15034108561606141</v>
      </c>
      <c r="O8943" s="2">
        <f ca="1"/>
        <v>-0.5577895051028382</v>
      </c>
      <c r="X8943" s="2">
        <f ca="1"/>
        <v>27.954014725167667</v>
      </c>
      <c r="AG8943" s="2">
        <f ca="1"/>
        <v>0.7025251986080101</v>
      </c>
      <c r="AH8943" s="2" t="str">
        <f ca="1"/>
        <v>Bad</v>
      </c>
    </row>
    <row r="8944" spans="2:34" x14ac:dyDescent="0.2">
      <c r="B8944" s="2">
        <f ca="1"/>
        <v>0.51170347589112408</v>
      </c>
      <c r="O8944" s="2">
        <f ca="1"/>
        <v>1.1645009289838031</v>
      </c>
      <c r="X8944" s="2">
        <f ca="1"/>
        <v>27.623948284516302</v>
      </c>
      <c r="AG8944" s="2">
        <f ca="1"/>
        <v>0.99799670042323774</v>
      </c>
      <c r="AH8944" s="2" t="str">
        <f ca="1"/>
        <v>Bad</v>
      </c>
    </row>
    <row r="8945" spans="2:34" x14ac:dyDescent="0.2">
      <c r="B8945" s="2">
        <f ca="1"/>
        <v>0.83449314972277855</v>
      </c>
      <c r="O8945" s="2">
        <f ca="1"/>
        <v>1.1466111118734814</v>
      </c>
      <c r="X8945" s="2">
        <f ca="1"/>
        <v>43.204116922853935</v>
      </c>
      <c r="AG8945" s="2">
        <f ca="1"/>
        <v>0.83441265071814397</v>
      </c>
      <c r="AH8945" s="2" t="str">
        <f ca="1"/>
        <v>Bad</v>
      </c>
    </row>
    <row r="8946" spans="2:34" x14ac:dyDescent="0.2">
      <c r="B8946" s="2">
        <f ca="1"/>
        <v>0.35600575265165157</v>
      </c>
      <c r="O8946" s="2">
        <f ca="1"/>
        <v>-0.1826880755173996</v>
      </c>
      <c r="X8946" s="2">
        <f ca="1"/>
        <v>33.012486179289695</v>
      </c>
      <c r="AG8946" s="2">
        <f ca="1"/>
        <v>0.68123626648519409</v>
      </c>
      <c r="AH8946" s="2" t="str">
        <f ca="1"/>
        <v>Bad</v>
      </c>
    </row>
    <row r="8947" spans="2:34" x14ac:dyDescent="0.2">
      <c r="B8947" s="2">
        <f ca="1"/>
        <v>0.93475652631743911</v>
      </c>
      <c r="O8947" s="2">
        <f ca="1"/>
        <v>-0.29046526552252161</v>
      </c>
      <c r="X8947" s="2">
        <f ca="1"/>
        <v>89.199264736521599</v>
      </c>
      <c r="AG8947" s="2">
        <f ca="1"/>
        <v>0.37203301446059056</v>
      </c>
      <c r="AH8947" s="2" t="str">
        <f ca="1"/>
        <v>OK</v>
      </c>
    </row>
    <row r="8948" spans="2:34" x14ac:dyDescent="0.2">
      <c r="B8948" s="2">
        <f ca="1"/>
        <v>0.81541697740902475</v>
      </c>
      <c r="O8948" s="2">
        <f ca="1"/>
        <v>-0.17544735631906871</v>
      </c>
      <c r="X8948" s="2">
        <f ca="1"/>
        <v>79.593183575314626</v>
      </c>
      <c r="AG8948" s="2">
        <f ca="1"/>
        <v>0.79042586619824928</v>
      </c>
      <c r="AH8948" s="2" t="str">
        <f ca="1"/>
        <v>Bad</v>
      </c>
    </row>
    <row r="8949" spans="2:34" x14ac:dyDescent="0.2">
      <c r="B8949" s="2">
        <f ca="1"/>
        <v>0.48576380996530188</v>
      </c>
      <c r="O8949" s="2">
        <f ca="1"/>
        <v>0.8936750607203624</v>
      </c>
      <c r="X8949" s="2">
        <f ca="1"/>
        <v>52.496819987194179</v>
      </c>
      <c r="AG8949" s="2">
        <f ca="1"/>
        <v>6.3856390866599444E-2</v>
      </c>
      <c r="AH8949" s="2" t="str">
        <f ca="1"/>
        <v>OK</v>
      </c>
    </row>
    <row r="8950" spans="2:34" x14ac:dyDescent="0.2">
      <c r="B8950" s="2">
        <f ca="1"/>
        <v>0.44674298839111537</v>
      </c>
      <c r="O8950" s="2">
        <f ca="1"/>
        <v>-1.0193036103163277E-2</v>
      </c>
      <c r="X8950" s="2">
        <f ca="1"/>
        <v>59.811554771261306</v>
      </c>
      <c r="AG8950" s="2">
        <f ca="1"/>
        <v>0.76032422691723722</v>
      </c>
      <c r="AH8950" s="2" t="str">
        <f ca="1"/>
        <v>Bad</v>
      </c>
    </row>
    <row r="8951" spans="2:34" x14ac:dyDescent="0.2">
      <c r="B8951" s="2">
        <f ca="1"/>
        <v>0.33361444278073371</v>
      </c>
      <c r="O8951" s="2">
        <f ca="1"/>
        <v>0.92211310998296769</v>
      </c>
      <c r="X8951" s="2">
        <f ca="1"/>
        <v>36.849144911991907</v>
      </c>
      <c r="AG8951" s="2">
        <f ca="1"/>
        <v>0.52863256988408946</v>
      </c>
      <c r="AH8951" s="2" t="str">
        <f ca="1"/>
        <v>Bad</v>
      </c>
    </row>
    <row r="8952" spans="2:34" x14ac:dyDescent="0.2">
      <c r="B8952" s="2">
        <f ca="1"/>
        <v>0.54193314163540895</v>
      </c>
      <c r="O8952" s="2">
        <f ca="1"/>
        <v>0.83714742943533449</v>
      </c>
      <c r="X8952" s="2">
        <f ca="1"/>
        <v>41.993837674041728</v>
      </c>
      <c r="AG8952" s="2">
        <f ca="1"/>
        <v>0.86400978443383303</v>
      </c>
      <c r="AH8952" s="2" t="str">
        <f ca="1"/>
        <v>Bad</v>
      </c>
    </row>
    <row r="8953" spans="2:34" x14ac:dyDescent="0.2">
      <c r="B8953" s="2">
        <f ca="1"/>
        <v>0.89151635713461319</v>
      </c>
      <c r="O8953" s="2">
        <f ca="1"/>
        <v>0.22453393345619657</v>
      </c>
      <c r="X8953" s="2">
        <f ca="1"/>
        <v>34.320295764149087</v>
      </c>
      <c r="AG8953" s="2">
        <f ca="1"/>
        <v>0.39813068728257739</v>
      </c>
      <c r="AH8953" s="2" t="str">
        <f ca="1"/>
        <v>OK</v>
      </c>
    </row>
    <row r="8954" spans="2:34" x14ac:dyDescent="0.2">
      <c r="B8954" s="2">
        <f ca="1"/>
        <v>0.69414563490457626</v>
      </c>
      <c r="O8954" s="2">
        <f ca="1"/>
        <v>1.6349858116365126</v>
      </c>
      <c r="X8954" s="2">
        <f ca="1"/>
        <v>57.174314691477477</v>
      </c>
      <c r="AG8954" s="2">
        <f ca="1"/>
        <v>0.86448035482355934</v>
      </c>
      <c r="AH8954" s="2" t="str">
        <f ca="1"/>
        <v>Bad</v>
      </c>
    </row>
    <row r="8955" spans="2:34" x14ac:dyDescent="0.2">
      <c r="B8955" s="2">
        <f ca="1"/>
        <v>0.41388937730408015</v>
      </c>
      <c r="O8955" s="2">
        <f ca="1"/>
        <v>-0.43944081025358744</v>
      </c>
      <c r="X8955" s="2">
        <f ca="1"/>
        <v>35.406044092245494</v>
      </c>
      <c r="AG8955" s="2">
        <f ca="1"/>
        <v>0.60855104290773299</v>
      </c>
      <c r="AH8955" s="2" t="str">
        <f ca="1"/>
        <v>Bad</v>
      </c>
    </row>
    <row r="8956" spans="2:34" x14ac:dyDescent="0.2">
      <c r="B8956" s="2">
        <f ca="1"/>
        <v>0.96703629043942296</v>
      </c>
      <c r="O8956" s="2">
        <f ca="1"/>
        <v>-0.78231221000814244</v>
      </c>
      <c r="X8956" s="2">
        <f ca="1"/>
        <v>47.687518003067439</v>
      </c>
      <c r="AG8956" s="2">
        <f ca="1"/>
        <v>0.20608355741591788</v>
      </c>
      <c r="AH8956" s="2" t="str">
        <f ca="1"/>
        <v>OK</v>
      </c>
    </row>
    <row r="8957" spans="2:34" x14ac:dyDescent="0.2">
      <c r="B8957" s="2">
        <f ca="1"/>
        <v>0.66242506267944212</v>
      </c>
      <c r="O8957" s="2">
        <f ca="1"/>
        <v>1.1397239382663922</v>
      </c>
      <c r="X8957" s="2">
        <f ca="1"/>
        <v>38.817866525313278</v>
      </c>
      <c r="AG8957" s="2">
        <f ca="1"/>
        <v>0.68536252270961673</v>
      </c>
      <c r="AH8957" s="2" t="str">
        <f ca="1"/>
        <v>Bad</v>
      </c>
    </row>
    <row r="8958" spans="2:34" x14ac:dyDescent="0.2">
      <c r="B8958" s="2">
        <f ca="1"/>
        <v>0.38883988697404059</v>
      </c>
      <c r="O8958" s="2">
        <f ca="1"/>
        <v>0.53585076186439906</v>
      </c>
      <c r="X8958" s="2">
        <f ca="1"/>
        <v>49.967910239748761</v>
      </c>
      <c r="AG8958" s="2">
        <f ca="1"/>
        <v>0.21816259500442303</v>
      </c>
      <c r="AH8958" s="2" t="str">
        <f ca="1"/>
        <v>OK</v>
      </c>
    </row>
    <row r="8959" spans="2:34" x14ac:dyDescent="0.2">
      <c r="B8959" s="2">
        <f ca="1"/>
        <v>0.76379597145148703</v>
      </c>
      <c r="O8959" s="2">
        <f ca="1"/>
        <v>0.19030195407196562</v>
      </c>
      <c r="X8959" s="2">
        <f ca="1"/>
        <v>50.42413770010964</v>
      </c>
      <c r="AG8959" s="2">
        <f ca="1"/>
        <v>8.5972348555758416E-3</v>
      </c>
      <c r="AH8959" s="2" t="str">
        <f ca="1"/>
        <v>Good</v>
      </c>
    </row>
    <row r="8960" spans="2:34" x14ac:dyDescent="0.2">
      <c r="B8960" s="2">
        <f ca="1"/>
        <v>0.98017694459227567</v>
      </c>
      <c r="O8960" s="2">
        <f ca="1"/>
        <v>1.2122150341826163</v>
      </c>
      <c r="X8960" s="2">
        <f ca="1"/>
        <v>52.177026410484856</v>
      </c>
      <c r="AG8960" s="2">
        <f ca="1"/>
        <v>5.5221956448053389E-2</v>
      </c>
      <c r="AH8960" s="2" t="str">
        <f ca="1"/>
        <v>OK</v>
      </c>
    </row>
    <row r="8961" spans="2:34" x14ac:dyDescent="0.2">
      <c r="B8961" s="2">
        <f ca="1"/>
        <v>0.43284923159414945</v>
      </c>
      <c r="O8961" s="2">
        <f ca="1"/>
        <v>1.1736470632742206</v>
      </c>
      <c r="X8961" s="2">
        <f ca="1"/>
        <v>55.13966218281989</v>
      </c>
      <c r="AG8961" s="2">
        <f ca="1"/>
        <v>0.77516296442061328</v>
      </c>
      <c r="AH8961" s="2" t="str">
        <f ca="1"/>
        <v>Bad</v>
      </c>
    </row>
    <row r="8962" spans="2:34" x14ac:dyDescent="0.2">
      <c r="B8962" s="2">
        <f ca="1"/>
        <v>7.3252452912180299E-2</v>
      </c>
      <c r="O8962" s="2">
        <f ca="1"/>
        <v>-0.12020385533055331</v>
      </c>
      <c r="X8962" s="2">
        <f ca="1"/>
        <v>53.216251659648954</v>
      </c>
      <c r="AG8962" s="2">
        <f ca="1"/>
        <v>0.92147266643499304</v>
      </c>
      <c r="AH8962" s="2" t="str">
        <f ca="1"/>
        <v>Bad</v>
      </c>
    </row>
    <row r="8963" spans="2:34" x14ac:dyDescent="0.2">
      <c r="B8963" s="2">
        <f ca="1"/>
        <v>0.11162035276457627</v>
      </c>
      <c r="O8963" s="2">
        <f ca="1"/>
        <v>-0.20529224366730461</v>
      </c>
      <c r="X8963" s="2">
        <f ca="1"/>
        <v>42.6548815565409</v>
      </c>
      <c r="AG8963" s="2">
        <f ca="1"/>
        <v>0.13780327315179441</v>
      </c>
      <c r="AH8963" s="2" t="str">
        <f ca="1"/>
        <v>OK</v>
      </c>
    </row>
    <row r="8964" spans="2:34" x14ac:dyDescent="0.2">
      <c r="B8964" s="2">
        <f ca="1"/>
        <v>3.2738813564261449E-3</v>
      </c>
      <c r="O8964" s="2">
        <f ca="1"/>
        <v>-0.55510233293394018</v>
      </c>
      <c r="X8964" s="2">
        <f ca="1"/>
        <v>53.482314405917968</v>
      </c>
      <c r="AG8964" s="2">
        <f ca="1"/>
        <v>0.79515458665004934</v>
      </c>
      <c r="AH8964" s="2" t="str">
        <f ca="1"/>
        <v>Bad</v>
      </c>
    </row>
    <row r="8965" spans="2:34" x14ac:dyDescent="0.2">
      <c r="B8965" s="2">
        <f ca="1"/>
        <v>0.35547675699693304</v>
      </c>
      <c r="O8965" s="2">
        <f ca="1"/>
        <v>0.56215078572916943</v>
      </c>
      <c r="X8965" s="2">
        <f ca="1"/>
        <v>43.691462501903978</v>
      </c>
      <c r="AG8965" s="2">
        <f ca="1"/>
        <v>0.59244643248617601</v>
      </c>
      <c r="AH8965" s="2" t="str">
        <f ca="1"/>
        <v>Bad</v>
      </c>
    </row>
    <row r="8966" spans="2:34" x14ac:dyDescent="0.2">
      <c r="B8966" s="2">
        <f ca="1"/>
        <v>1.4894343754364492E-2</v>
      </c>
      <c r="O8966" s="2">
        <f ca="1"/>
        <v>-3.0266332254258885</v>
      </c>
      <c r="X8966" s="2">
        <f ca="1"/>
        <v>49.407343302376184</v>
      </c>
      <c r="AG8966" s="2">
        <f ca="1"/>
        <v>0.53794674291043876</v>
      </c>
      <c r="AH8966" s="2" t="str">
        <f ca="1"/>
        <v>Bad</v>
      </c>
    </row>
    <row r="8967" spans="2:34" x14ac:dyDescent="0.2">
      <c r="B8967" s="2">
        <f ca="1"/>
        <v>5.9108692064099522E-2</v>
      </c>
      <c r="O8967" s="2">
        <f ca="1"/>
        <v>0.79438058545923784</v>
      </c>
      <c r="X8967" s="2">
        <f ca="1"/>
        <v>49.097610584417296</v>
      </c>
      <c r="AG8967" s="2">
        <f ca="1"/>
        <v>0.49359662390744541</v>
      </c>
      <c r="AH8967" s="2" t="str">
        <f ca="1"/>
        <v>Bad</v>
      </c>
    </row>
    <row r="8968" spans="2:34" x14ac:dyDescent="0.2">
      <c r="B8968" s="2">
        <f ca="1"/>
        <v>0.2473690437741658</v>
      </c>
      <c r="O8968" s="2">
        <f ca="1"/>
        <v>1.8608609421479536</v>
      </c>
      <c r="X8968" s="2">
        <f ca="1"/>
        <v>24.884558806007512</v>
      </c>
      <c r="AG8968" s="2">
        <f ca="1"/>
        <v>7.0273572293605868E-2</v>
      </c>
      <c r="AH8968" s="2" t="str">
        <f ca="1"/>
        <v>OK</v>
      </c>
    </row>
    <row r="8969" spans="2:34" x14ac:dyDescent="0.2">
      <c r="B8969" s="2">
        <f ca="1"/>
        <v>0.62185201260548251</v>
      </c>
      <c r="O8969" s="2">
        <f ca="1"/>
        <v>0.14094367673339273</v>
      </c>
      <c r="X8969" s="2">
        <f ca="1"/>
        <v>56.519743596972845</v>
      </c>
      <c r="AG8969" s="2">
        <f ca="1"/>
        <v>0.4337799226390433</v>
      </c>
      <c r="AH8969" s="2" t="str">
        <f ca="1"/>
        <v>Bad</v>
      </c>
    </row>
    <row r="8970" spans="2:34" x14ac:dyDescent="0.2">
      <c r="B8970" s="2">
        <f ca="1"/>
        <v>0.73640161275383265</v>
      </c>
      <c r="O8970" s="2">
        <f ca="1"/>
        <v>-0.44725200888476641</v>
      </c>
      <c r="X8970" s="2">
        <f ca="1"/>
        <v>59.886450418681683</v>
      </c>
      <c r="AG8970" s="2">
        <f ca="1"/>
        <v>7.1155444874915874E-2</v>
      </c>
      <c r="AH8970" s="2" t="str">
        <f ca="1"/>
        <v>OK</v>
      </c>
    </row>
    <row r="8971" spans="2:34" x14ac:dyDescent="0.2">
      <c r="B8971" s="2">
        <f ca="1"/>
        <v>0.32811715676711928</v>
      </c>
      <c r="O8971" s="2">
        <f ca="1"/>
        <v>1.1944878641321715</v>
      </c>
      <c r="X8971" s="2">
        <f ca="1"/>
        <v>54.64253495770599</v>
      </c>
      <c r="AG8971" s="2">
        <f ca="1"/>
        <v>0.50263324268453902</v>
      </c>
      <c r="AH8971" s="2" t="str">
        <f ca="1"/>
        <v>Bad</v>
      </c>
    </row>
    <row r="8972" spans="2:34" x14ac:dyDescent="0.2">
      <c r="B8972" s="2">
        <f ca="1"/>
        <v>0.1714825779117759</v>
      </c>
      <c r="O8972" s="2">
        <f ca="1"/>
        <v>-0.90432748834172227</v>
      </c>
      <c r="X8972" s="2">
        <f ca="1"/>
        <v>85.496171538765196</v>
      </c>
      <c r="AG8972" s="2">
        <f ca="1"/>
        <v>0.87874046439473874</v>
      </c>
      <c r="AH8972" s="2" t="str">
        <f ca="1"/>
        <v>Bad</v>
      </c>
    </row>
    <row r="8973" spans="2:34" x14ac:dyDescent="0.2">
      <c r="B8973" s="2">
        <f ca="1"/>
        <v>6.4406561365387249E-2</v>
      </c>
      <c r="O8973" s="2">
        <f ca="1"/>
        <v>1.1775282147871773</v>
      </c>
      <c r="X8973" s="2">
        <f ca="1"/>
        <v>37.244743259928775</v>
      </c>
      <c r="AG8973" s="2">
        <f ca="1"/>
        <v>0.80753891480394935</v>
      </c>
      <c r="AH8973" s="2" t="str">
        <f ca="1"/>
        <v>Bad</v>
      </c>
    </row>
    <row r="8974" spans="2:34" x14ac:dyDescent="0.2">
      <c r="B8974" s="2">
        <f ca="1"/>
        <v>2.6711706846869632E-2</v>
      </c>
      <c r="O8974" s="2">
        <f ca="1"/>
        <v>0.15722217494744842</v>
      </c>
      <c r="X8974" s="2">
        <f ca="1"/>
        <v>50.782386391142211</v>
      </c>
      <c r="AG8974" s="2">
        <f ca="1"/>
        <v>0.25599562960684596</v>
      </c>
      <c r="AH8974" s="2" t="str">
        <f ca="1"/>
        <v>OK</v>
      </c>
    </row>
    <row r="8975" spans="2:34" x14ac:dyDescent="0.2">
      <c r="B8975" s="2">
        <f ca="1"/>
        <v>0.48366547466631271</v>
      </c>
      <c r="O8975" s="2">
        <f ca="1"/>
        <v>-0.19068860069956325</v>
      </c>
      <c r="X8975" s="2">
        <f ca="1"/>
        <v>52.832015516801832</v>
      </c>
      <c r="AG8975" s="2">
        <f ca="1"/>
        <v>0.87551865694298336</v>
      </c>
      <c r="AH8975" s="2" t="str">
        <f ca="1"/>
        <v>Bad</v>
      </c>
    </row>
    <row r="8976" spans="2:34" x14ac:dyDescent="0.2">
      <c r="B8976" s="2">
        <f ca="1"/>
        <v>0.39868795976264471</v>
      </c>
      <c r="O8976" s="2">
        <f ca="1"/>
        <v>-1.4160929040504899</v>
      </c>
      <c r="X8976" s="2">
        <f ca="1"/>
        <v>52.494000208850693</v>
      </c>
      <c r="AG8976" s="2">
        <f ca="1"/>
        <v>0.83119488996847046</v>
      </c>
      <c r="AH8976" s="2" t="str">
        <f ca="1"/>
        <v>Bad</v>
      </c>
    </row>
    <row r="8977" spans="2:34" x14ac:dyDescent="0.2">
      <c r="B8977" s="2">
        <f ca="1"/>
        <v>0.87088751209779414</v>
      </c>
      <c r="O8977" s="2">
        <f ca="1"/>
        <v>-0.68935862234327239</v>
      </c>
      <c r="X8977" s="2">
        <f ca="1"/>
        <v>52.714953262657971</v>
      </c>
      <c r="AG8977" s="2">
        <f ca="1"/>
        <v>0.1039926510114122</v>
      </c>
      <c r="AH8977" s="2" t="str">
        <f ca="1"/>
        <v>OK</v>
      </c>
    </row>
    <row r="8978" spans="2:34" x14ac:dyDescent="0.2">
      <c r="B8978" s="2">
        <f ca="1"/>
        <v>0.45974348352054806</v>
      </c>
      <c r="O8978" s="2">
        <f ca="1"/>
        <v>-0.40168279480064867</v>
      </c>
      <c r="X8978" s="2">
        <f ca="1"/>
        <v>55.294199657817551</v>
      </c>
      <c r="AG8978" s="2">
        <f ca="1"/>
        <v>3.5226321938444105E-2</v>
      </c>
      <c r="AH8978" s="2" t="str">
        <f ca="1"/>
        <v>Good</v>
      </c>
    </row>
    <row r="8979" spans="2:34" x14ac:dyDescent="0.2">
      <c r="B8979" s="2">
        <f ca="1"/>
        <v>0.92776016170023712</v>
      </c>
      <c r="O8979" s="2">
        <f ca="1"/>
        <v>0.37387534255601323</v>
      </c>
      <c r="X8979" s="2">
        <f ca="1"/>
        <v>60.885319908192066</v>
      </c>
      <c r="AG8979" s="2">
        <f ca="1"/>
        <v>1.413314916449937E-2</v>
      </c>
      <c r="AH8979" s="2" t="str">
        <f ca="1"/>
        <v>Good</v>
      </c>
    </row>
    <row r="8980" spans="2:34" x14ac:dyDescent="0.2">
      <c r="B8980" s="2">
        <f ca="1"/>
        <v>0.38097444196804431</v>
      </c>
      <c r="O8980" s="2">
        <f ca="1"/>
        <v>1.2580392261901474E-2</v>
      </c>
      <c r="X8980" s="2">
        <f ca="1"/>
        <v>33.65190902285363</v>
      </c>
      <c r="AG8980" s="2">
        <f ca="1"/>
        <v>0.23257301436344724</v>
      </c>
      <c r="AH8980" s="2" t="str">
        <f ca="1"/>
        <v>OK</v>
      </c>
    </row>
    <row r="8981" spans="2:34" x14ac:dyDescent="0.2">
      <c r="B8981" s="2">
        <f ca="1"/>
        <v>0.58593806933098369</v>
      </c>
      <c r="O8981" s="2">
        <f ca="1"/>
        <v>-0.46626140708961261</v>
      </c>
      <c r="X8981" s="2">
        <f ca="1"/>
        <v>27.523599021746055</v>
      </c>
      <c r="AG8981" s="2">
        <f ca="1"/>
        <v>0.33811829810489491</v>
      </c>
      <c r="AH8981" s="2" t="str">
        <f ca="1"/>
        <v>OK</v>
      </c>
    </row>
    <row r="8982" spans="2:34" x14ac:dyDescent="0.2">
      <c r="B8982" s="2">
        <f ca="1"/>
        <v>0.79346276909931235</v>
      </c>
      <c r="O8982" s="2">
        <f ca="1"/>
        <v>-0.35552463166876525</v>
      </c>
      <c r="X8982" s="2">
        <f ca="1"/>
        <v>72.441209370285222</v>
      </c>
      <c r="AG8982" s="2">
        <f ca="1"/>
        <v>0.28019119733668996</v>
      </c>
      <c r="AH8982" s="2" t="str">
        <f ca="1"/>
        <v>OK</v>
      </c>
    </row>
    <row r="8983" spans="2:34" x14ac:dyDescent="0.2">
      <c r="B8983" s="2">
        <f ca="1"/>
        <v>0.40298616361990613</v>
      </c>
      <c r="O8983" s="2">
        <f ca="1"/>
        <v>-0.50949654928112331</v>
      </c>
      <c r="X8983" s="2">
        <f ca="1"/>
        <v>55.493079070630557</v>
      </c>
      <c r="AG8983" s="2">
        <f ca="1"/>
        <v>0.25502768051034796</v>
      </c>
      <c r="AH8983" s="2" t="str">
        <f ca="1"/>
        <v>OK</v>
      </c>
    </row>
    <row r="8984" spans="2:34" x14ac:dyDescent="0.2">
      <c r="B8984" s="2">
        <f ca="1"/>
        <v>0.13284541495761704</v>
      </c>
      <c r="O8984" s="2">
        <f ca="1"/>
        <v>-0.23737718649331149</v>
      </c>
      <c r="X8984" s="2">
        <f ca="1"/>
        <v>24.282317143690669</v>
      </c>
      <c r="AG8984" s="2">
        <f ca="1"/>
        <v>0.41050615540391533</v>
      </c>
      <c r="AH8984" s="2" t="str">
        <f ca="1"/>
        <v>Bad</v>
      </c>
    </row>
    <row r="8985" spans="2:34" x14ac:dyDescent="0.2">
      <c r="B8985" s="2">
        <f ca="1"/>
        <v>3.7019020520934198E-3</v>
      </c>
      <c r="O8985" s="2">
        <f ca="1"/>
        <v>-1.8924881684139574</v>
      </c>
      <c r="X8985" s="2">
        <f ca="1"/>
        <v>52.250606581225426</v>
      </c>
      <c r="AG8985" s="2">
        <f ca="1"/>
        <v>0.34483116237091282</v>
      </c>
      <c r="AH8985" s="2" t="str">
        <f ca="1"/>
        <v>OK</v>
      </c>
    </row>
    <row r="8986" spans="2:34" x14ac:dyDescent="0.2">
      <c r="B8986" s="2">
        <f ca="1"/>
        <v>0.19609648806169178</v>
      </c>
      <c r="O8986" s="2">
        <f ca="1"/>
        <v>1.2789722032342501</v>
      </c>
      <c r="X8986" s="2">
        <f ca="1"/>
        <v>39.731004745691905</v>
      </c>
      <c r="AG8986" s="2">
        <f ca="1"/>
        <v>0.42765302042107112</v>
      </c>
      <c r="AH8986" s="2" t="str">
        <f ca="1"/>
        <v>Bad</v>
      </c>
    </row>
    <row r="8987" spans="2:34" x14ac:dyDescent="0.2">
      <c r="B8987" s="2">
        <f ca="1"/>
        <v>0.98814340894880393</v>
      </c>
      <c r="O8987" s="2">
        <f ca="1"/>
        <v>0.94039294679207708</v>
      </c>
      <c r="X8987" s="2">
        <f ca="1"/>
        <v>43.223336968635962</v>
      </c>
      <c r="AG8987" s="2">
        <f ca="1"/>
        <v>1.7062264442849751E-2</v>
      </c>
      <c r="AH8987" s="2" t="str">
        <f ca="1"/>
        <v>Good</v>
      </c>
    </row>
    <row r="8988" spans="2:34" x14ac:dyDescent="0.2">
      <c r="B8988" s="2">
        <f ca="1"/>
        <v>0.51647529110998347</v>
      </c>
      <c r="O8988" s="2">
        <f ca="1"/>
        <v>-8.9117412059528972E-2</v>
      </c>
      <c r="X8988" s="2">
        <f ca="1"/>
        <v>50.175622357998002</v>
      </c>
      <c r="AG8988" s="2">
        <f ca="1"/>
        <v>0.13005377726651579</v>
      </c>
      <c r="AH8988" s="2" t="str">
        <f ca="1"/>
        <v>OK</v>
      </c>
    </row>
    <row r="8989" spans="2:34" x14ac:dyDescent="0.2">
      <c r="B8989" s="2">
        <f ca="1"/>
        <v>0.45447485156939127</v>
      </c>
      <c r="O8989" s="2">
        <f ca="1"/>
        <v>-0.38174102679500538</v>
      </c>
      <c r="X8989" s="2">
        <f ca="1"/>
        <v>25.460546973618232</v>
      </c>
      <c r="AG8989" s="2">
        <f ca="1"/>
        <v>0.39825350588089825</v>
      </c>
      <c r="AH8989" s="2" t="str">
        <f ca="1"/>
        <v>OK</v>
      </c>
    </row>
    <row r="8990" spans="2:34" x14ac:dyDescent="0.2">
      <c r="B8990" s="2">
        <f ca="1"/>
        <v>0.63780800708569174</v>
      </c>
      <c r="O8990" s="2">
        <f ca="1"/>
        <v>1.1265463657104537</v>
      </c>
      <c r="X8990" s="2">
        <f ca="1"/>
        <v>37.550341202377126</v>
      </c>
      <c r="AG8990" s="2">
        <f ca="1"/>
        <v>0.26637324474730861</v>
      </c>
      <c r="AH8990" s="2" t="str">
        <f ca="1"/>
        <v>OK</v>
      </c>
    </row>
    <row r="8991" spans="2:34" x14ac:dyDescent="0.2">
      <c r="B8991" s="2">
        <f ca="1"/>
        <v>0.73315139007947572</v>
      </c>
      <c r="O8991" s="2">
        <f ca="1"/>
        <v>-0.2619601221393984</v>
      </c>
      <c r="X8991" s="2">
        <f ca="1"/>
        <v>47.283001915266773</v>
      </c>
      <c r="AG8991" s="2">
        <f ca="1"/>
        <v>0.51180561243697831</v>
      </c>
      <c r="AH8991" s="2" t="str">
        <f ca="1"/>
        <v>Bad</v>
      </c>
    </row>
    <row r="8992" spans="2:34" x14ac:dyDescent="0.2">
      <c r="B8992" s="2">
        <f ca="1"/>
        <v>0.75990008613981597</v>
      </c>
      <c r="O8992" s="2">
        <f ca="1"/>
        <v>0.28015427871157594</v>
      </c>
      <c r="X8992" s="2">
        <f ca="1"/>
        <v>44.616496659230258</v>
      </c>
      <c r="AG8992" s="2">
        <f ca="1"/>
        <v>0.62110615779863898</v>
      </c>
      <c r="AH8992" s="2" t="str">
        <f ca="1"/>
        <v>Bad</v>
      </c>
    </row>
    <row r="8993" spans="2:34" x14ac:dyDescent="0.2">
      <c r="B8993" s="2">
        <f ca="1"/>
        <v>0.70249977293172683</v>
      </c>
      <c r="O8993" s="2">
        <f ca="1"/>
        <v>8.132557710183147E-2</v>
      </c>
      <c r="X8993" s="2">
        <f ca="1"/>
        <v>33.095269673370062</v>
      </c>
      <c r="AG8993" s="2">
        <f ca="1"/>
        <v>0.80384931828146433</v>
      </c>
      <c r="AH8993" s="2" t="str">
        <f ca="1"/>
        <v>Bad</v>
      </c>
    </row>
    <row r="8994" spans="2:34" x14ac:dyDescent="0.2">
      <c r="B8994" s="2">
        <f ca="1"/>
        <v>0.79644025409764563</v>
      </c>
      <c r="O8994" s="2">
        <f ca="1"/>
        <v>0.64608287673549347</v>
      </c>
      <c r="X8994" s="2">
        <f ca="1"/>
        <v>45.344890276261005</v>
      </c>
      <c r="AG8994" s="2">
        <f ca="1"/>
        <v>0.16456937912171132</v>
      </c>
      <c r="AH8994" s="2" t="str">
        <f ca="1"/>
        <v>OK</v>
      </c>
    </row>
    <row r="8995" spans="2:34" x14ac:dyDescent="0.2">
      <c r="B8995" s="2">
        <f ca="1"/>
        <v>0.77551718306854189</v>
      </c>
      <c r="O8995" s="2">
        <f ca="1"/>
        <v>0.14566679827627443</v>
      </c>
      <c r="X8995" s="2">
        <f ca="1"/>
        <v>43.853886886101876</v>
      </c>
      <c r="AG8995" s="2">
        <f ca="1"/>
        <v>0.96362124820131134</v>
      </c>
      <c r="AH8995" s="2" t="str">
        <f ca="1"/>
        <v>Bad</v>
      </c>
    </row>
    <row r="8996" spans="2:34" x14ac:dyDescent="0.2">
      <c r="B8996" s="2">
        <f ca="1"/>
        <v>0.74893192284689847</v>
      </c>
      <c r="O8996" s="2">
        <f ca="1"/>
        <v>0.97945730148737575</v>
      </c>
      <c r="X8996" s="2">
        <f ca="1"/>
        <v>47.89718404696211</v>
      </c>
      <c r="AG8996" s="2">
        <f ca="1"/>
        <v>0.49653277079566793</v>
      </c>
      <c r="AH8996" s="2" t="str">
        <f ca="1"/>
        <v>Bad</v>
      </c>
    </row>
    <row r="8997" spans="2:34" x14ac:dyDescent="0.2">
      <c r="B8997" s="2">
        <f ca="1"/>
        <v>1.5058753524371804E-2</v>
      </c>
      <c r="O8997" s="2">
        <f ca="1"/>
        <v>0.34357885220383549</v>
      </c>
      <c r="X8997" s="2">
        <f ca="1"/>
        <v>40.593052707962826</v>
      </c>
      <c r="AG8997" s="2">
        <f ca="1"/>
        <v>0.50758291350152951</v>
      </c>
      <c r="AH8997" s="2" t="str">
        <f ca="1"/>
        <v>Bad</v>
      </c>
    </row>
    <row r="8998" spans="2:34" x14ac:dyDescent="0.2">
      <c r="B8998" s="2">
        <f ca="1"/>
        <v>0.62989391695349095</v>
      </c>
      <c r="O8998" s="2">
        <f ca="1"/>
        <v>-0.61316877561709249</v>
      </c>
      <c r="X8998" s="2">
        <f ca="1"/>
        <v>22.557016020793967</v>
      </c>
      <c r="AG8998" s="2">
        <f ca="1"/>
        <v>0.64580634376452339</v>
      </c>
      <c r="AH8998" s="2" t="str">
        <f ca="1"/>
        <v>Bad</v>
      </c>
    </row>
    <row r="8999" spans="2:34" x14ac:dyDescent="0.2">
      <c r="B8999" s="2">
        <f ca="1"/>
        <v>0.52085032181048052</v>
      </c>
      <c r="O8999" s="2">
        <f ca="1"/>
        <v>9.8756609534329742E-2</v>
      </c>
      <c r="X8999" s="2">
        <f ca="1"/>
        <v>52.594368658341594</v>
      </c>
      <c r="AG8999" s="2">
        <f ca="1"/>
        <v>0.48739113608160212</v>
      </c>
      <c r="AH8999" s="2" t="str">
        <f ca="1"/>
        <v>Bad</v>
      </c>
    </row>
    <row r="9000" spans="2:34" x14ac:dyDescent="0.2">
      <c r="B9000" s="2">
        <f ca="1"/>
        <v>0.94041369061512281</v>
      </c>
      <c r="O9000" s="2">
        <f ca="1"/>
        <v>0.19954013683796615</v>
      </c>
      <c r="X9000" s="2">
        <f ca="1"/>
        <v>55.341683575634619</v>
      </c>
      <c r="AG9000" s="2">
        <f ca="1"/>
        <v>0.53066217996787435</v>
      </c>
      <c r="AH9000" s="2" t="str">
        <f ca="1"/>
        <v>Bad</v>
      </c>
    </row>
    <row r="9001" spans="2:34" x14ac:dyDescent="0.2">
      <c r="B9001" s="2">
        <f ca="1"/>
        <v>0.91678213651131202</v>
      </c>
      <c r="O9001" s="2">
        <f ca="1"/>
        <v>1.3832857129183687</v>
      </c>
      <c r="X9001" s="2">
        <f ca="1"/>
        <v>61.171676240246384</v>
      </c>
      <c r="AG9001" s="2">
        <f ca="1"/>
        <v>0.14651591773705519</v>
      </c>
      <c r="AH9001" s="2" t="str">
        <f ca="1"/>
        <v>OK</v>
      </c>
    </row>
    <row r="9002" spans="2:34" x14ac:dyDescent="0.2">
      <c r="B9002" s="2">
        <f ca="1"/>
        <v>0.57656508501841808</v>
      </c>
      <c r="O9002" s="2">
        <f ca="1"/>
        <v>-0.45312667215093294</v>
      </c>
      <c r="X9002" s="2">
        <f ca="1"/>
        <v>31.899963177568953</v>
      </c>
      <c r="AG9002" s="2">
        <f ca="1"/>
        <v>0.97083539510922234</v>
      </c>
      <c r="AH9002" s="2" t="str">
        <f ca="1"/>
        <v>Bad</v>
      </c>
    </row>
    <row r="9003" spans="2:34" x14ac:dyDescent="0.2">
      <c r="B9003" s="2">
        <f ca="1"/>
        <v>0.79601261712491223</v>
      </c>
      <c r="O9003" s="2">
        <f ca="1"/>
        <v>-2.3119651047093859</v>
      </c>
      <c r="X9003" s="2">
        <f ca="1"/>
        <v>37.062294064076092</v>
      </c>
      <c r="AG9003" s="2">
        <f ca="1"/>
        <v>0.36519478229164637</v>
      </c>
      <c r="AH9003" s="2" t="str">
        <f ca="1"/>
        <v>OK</v>
      </c>
    </row>
    <row r="9004" spans="2:34" x14ac:dyDescent="0.2">
      <c r="B9004" s="2">
        <f ca="1"/>
        <v>0.71666596608343691</v>
      </c>
      <c r="O9004" s="2">
        <f ca="1"/>
        <v>-4.002310033178854E-2</v>
      </c>
      <c r="X9004" s="2">
        <f ca="1"/>
        <v>36.587242261977792</v>
      </c>
      <c r="AG9004" s="2">
        <f ca="1"/>
        <v>0.45533144257381486</v>
      </c>
      <c r="AH9004" s="2" t="str">
        <f ca="1"/>
        <v>Bad</v>
      </c>
    </row>
    <row r="9005" spans="2:34" x14ac:dyDescent="0.2">
      <c r="B9005" s="2">
        <f ca="1"/>
        <v>0.35529521977476253</v>
      </c>
      <c r="O9005" s="2">
        <f ca="1"/>
        <v>1.5063221960733626</v>
      </c>
      <c r="X9005" s="2">
        <f ca="1"/>
        <v>29.814360702725121</v>
      </c>
      <c r="AG9005" s="2">
        <f ca="1"/>
        <v>0.20454243351675072</v>
      </c>
      <c r="AH9005" s="2" t="str">
        <f ca="1"/>
        <v>OK</v>
      </c>
    </row>
    <row r="9006" spans="2:34" x14ac:dyDescent="0.2">
      <c r="B9006" s="2">
        <f ca="1"/>
        <v>0.25135082976875056</v>
      </c>
      <c r="O9006" s="2">
        <f ca="1"/>
        <v>0.68028050774152815</v>
      </c>
      <c r="X9006" s="2">
        <f ca="1"/>
        <v>51.727345315325095</v>
      </c>
      <c r="AG9006" s="2">
        <f ca="1"/>
        <v>0.38310166717515415</v>
      </c>
      <c r="AH9006" s="2" t="str">
        <f ca="1"/>
        <v>OK</v>
      </c>
    </row>
    <row r="9007" spans="2:34" x14ac:dyDescent="0.2">
      <c r="B9007" s="2">
        <f ca="1"/>
        <v>0.41998571990273947</v>
      </c>
      <c r="O9007" s="2">
        <f ca="1"/>
        <v>-1.1969667127406898</v>
      </c>
      <c r="X9007" s="2">
        <f ca="1"/>
        <v>63.846427253884983</v>
      </c>
      <c r="AG9007" s="2">
        <f ca="1"/>
        <v>0.14027262188568268</v>
      </c>
      <c r="AH9007" s="2" t="str">
        <f ca="1"/>
        <v>OK</v>
      </c>
    </row>
    <row r="9008" spans="2:34" x14ac:dyDescent="0.2">
      <c r="B9008" s="2">
        <f ca="1"/>
        <v>0.76902098860541113</v>
      </c>
      <c r="O9008" s="2">
        <f ca="1"/>
        <v>-0.5311366266680787</v>
      </c>
      <c r="X9008" s="2">
        <f ca="1"/>
        <v>26.462156486913667</v>
      </c>
      <c r="AG9008" s="2">
        <f ca="1"/>
        <v>0.29552201838771297</v>
      </c>
      <c r="AH9008" s="2" t="str">
        <f ca="1"/>
        <v>OK</v>
      </c>
    </row>
    <row r="9009" spans="2:34" x14ac:dyDescent="0.2">
      <c r="B9009" s="2">
        <f ca="1"/>
        <v>0.65399902056928938</v>
      </c>
      <c r="O9009" s="2">
        <f ca="1"/>
        <v>0.33275371630960471</v>
      </c>
      <c r="X9009" s="2">
        <f ca="1"/>
        <v>67.34308813738599</v>
      </c>
      <c r="AG9009" s="2">
        <f ca="1"/>
        <v>0.44594146171734894</v>
      </c>
      <c r="AH9009" s="2" t="str">
        <f ca="1"/>
        <v>Bad</v>
      </c>
    </row>
    <row r="9010" spans="2:34" x14ac:dyDescent="0.2">
      <c r="B9010" s="2">
        <f ca="1"/>
        <v>0.80929651716144613</v>
      </c>
      <c r="O9010" s="2">
        <f ca="1"/>
        <v>0.24634802472599018</v>
      </c>
      <c r="X9010" s="2">
        <f ca="1"/>
        <v>63.670402202790804</v>
      </c>
      <c r="AG9010" s="2">
        <f ca="1"/>
        <v>0.15276495493180464</v>
      </c>
      <c r="AH9010" s="2" t="str">
        <f ca="1"/>
        <v>OK</v>
      </c>
    </row>
    <row r="9011" spans="2:34" x14ac:dyDescent="0.2">
      <c r="B9011" s="2">
        <f ca="1"/>
        <v>0.36343596112565812</v>
      </c>
      <c r="O9011" s="2">
        <f ca="1"/>
        <v>-1.2135627833907185</v>
      </c>
      <c r="X9011" s="2">
        <f ca="1"/>
        <v>65.94586846928641</v>
      </c>
      <c r="AG9011" s="2">
        <f ca="1"/>
        <v>0.34443814839131504</v>
      </c>
      <c r="AH9011" s="2" t="str">
        <f ca="1"/>
        <v>OK</v>
      </c>
    </row>
    <row r="9012" spans="2:34" x14ac:dyDescent="0.2">
      <c r="B9012" s="2">
        <f ca="1"/>
        <v>0.91004826398076544</v>
      </c>
      <c r="O9012" s="2">
        <f ca="1"/>
        <v>0.3909813008140382</v>
      </c>
      <c r="X9012" s="2">
        <f ca="1"/>
        <v>47.185761156059996</v>
      </c>
      <c r="AG9012" s="2">
        <f ca="1"/>
        <v>0.57615840497089876</v>
      </c>
      <c r="AH9012" s="2" t="str">
        <f ca="1"/>
        <v>Bad</v>
      </c>
    </row>
    <row r="9013" spans="2:34" x14ac:dyDescent="0.2">
      <c r="B9013" s="2">
        <f ca="1"/>
        <v>0.5347877468885518</v>
      </c>
      <c r="O9013" s="2">
        <f ca="1"/>
        <v>-2.8569053338371448</v>
      </c>
      <c r="X9013" s="2">
        <f ca="1"/>
        <v>74.016177771013147</v>
      </c>
      <c r="AG9013" s="2">
        <f ca="1"/>
        <v>0.79790645496036516</v>
      </c>
      <c r="AH9013" s="2" t="str">
        <f ca="1"/>
        <v>Bad</v>
      </c>
    </row>
    <row r="9014" spans="2:34" x14ac:dyDescent="0.2">
      <c r="B9014" s="2">
        <f ca="1"/>
        <v>0.9867366371229187</v>
      </c>
      <c r="O9014" s="2">
        <f ca="1"/>
        <v>-0.43242521172348458</v>
      </c>
      <c r="X9014" s="2">
        <f ca="1"/>
        <v>36.386750472379468</v>
      </c>
      <c r="AG9014" s="2">
        <f ca="1"/>
        <v>0.18837864826612538</v>
      </c>
      <c r="AH9014" s="2" t="str">
        <f ca="1"/>
        <v>OK</v>
      </c>
    </row>
    <row r="9015" spans="2:34" x14ac:dyDescent="0.2">
      <c r="B9015" s="2">
        <f ca="1"/>
        <v>0.62580562970597198</v>
      </c>
      <c r="O9015" s="2">
        <f ca="1"/>
        <v>-1.0502158244047566</v>
      </c>
      <c r="X9015" s="2">
        <f ca="1"/>
        <v>45.071790401906043</v>
      </c>
      <c r="AG9015" s="2">
        <f ca="1"/>
        <v>0.53435544155668691</v>
      </c>
      <c r="AH9015" s="2" t="str">
        <f ca="1"/>
        <v>Bad</v>
      </c>
    </row>
    <row r="9016" spans="2:34" x14ac:dyDescent="0.2">
      <c r="B9016" s="2">
        <f ca="1"/>
        <v>0.68633416048434537</v>
      </c>
      <c r="O9016" s="2">
        <f ca="1"/>
        <v>-0.28790724436410225</v>
      </c>
      <c r="X9016" s="2">
        <f ca="1"/>
        <v>40.287273804987656</v>
      </c>
      <c r="AG9016" s="2">
        <f ca="1"/>
        <v>0.95389663850232953</v>
      </c>
      <c r="AH9016" s="2" t="str">
        <f ca="1"/>
        <v>Bad</v>
      </c>
    </row>
    <row r="9017" spans="2:34" x14ac:dyDescent="0.2">
      <c r="B9017" s="2">
        <f ca="1"/>
        <v>0.34962611973508384</v>
      </c>
      <c r="O9017" s="2">
        <f ca="1"/>
        <v>-1.6126839041429533</v>
      </c>
      <c r="X9017" s="2">
        <f ca="1"/>
        <v>52.907100802995771</v>
      </c>
      <c r="AG9017" s="2">
        <f ca="1"/>
        <v>0.79297510336900667</v>
      </c>
      <c r="AH9017" s="2" t="str">
        <f ca="1"/>
        <v>Bad</v>
      </c>
    </row>
    <row r="9018" spans="2:34" x14ac:dyDescent="0.2">
      <c r="B9018" s="2">
        <f ca="1"/>
        <v>0.40065674881521374</v>
      </c>
      <c r="O9018" s="2">
        <f ca="1"/>
        <v>0.93924565313161335</v>
      </c>
      <c r="X9018" s="2">
        <f ca="1"/>
        <v>30.872702015274736</v>
      </c>
      <c r="AG9018" s="2">
        <f ca="1"/>
        <v>0.33797808351952763</v>
      </c>
      <c r="AH9018" s="2" t="str">
        <f ca="1"/>
        <v>OK</v>
      </c>
    </row>
    <row r="9019" spans="2:34" x14ac:dyDescent="0.2">
      <c r="B9019" s="2">
        <f ca="1"/>
        <v>0.33659265070504296</v>
      </c>
      <c r="O9019" s="2">
        <f ca="1"/>
        <v>0.96519854165493701</v>
      </c>
      <c r="X9019" s="2">
        <f ca="1"/>
        <v>69.620620329859463</v>
      </c>
      <c r="AG9019" s="2">
        <f ca="1"/>
        <v>0.1476637018373308</v>
      </c>
      <c r="AH9019" s="2" t="str">
        <f ca="1"/>
        <v>OK</v>
      </c>
    </row>
    <row r="9020" spans="2:34" x14ac:dyDescent="0.2">
      <c r="B9020" s="2">
        <f ca="1"/>
        <v>0.7725863908207653</v>
      </c>
      <c r="O9020" s="2">
        <f ca="1"/>
        <v>-0.96512906108733054</v>
      </c>
      <c r="X9020" s="2">
        <f ca="1"/>
        <v>41.924120709729721</v>
      </c>
      <c r="AG9020" s="2">
        <f ca="1"/>
        <v>8.1718305147052694E-2</v>
      </c>
      <c r="AH9020" s="2" t="str">
        <f ca="1"/>
        <v>OK</v>
      </c>
    </row>
    <row r="9021" spans="2:34" x14ac:dyDescent="0.2">
      <c r="B9021" s="2">
        <f ca="1"/>
        <v>1.630880117112099E-2</v>
      </c>
      <c r="O9021" s="2">
        <f ca="1"/>
        <v>-1.7846300572410612</v>
      </c>
      <c r="X9021" s="2">
        <f ca="1"/>
        <v>35.603999960464904</v>
      </c>
      <c r="AG9021" s="2">
        <f ca="1"/>
        <v>0.62003279160752545</v>
      </c>
      <c r="AH9021" s="2" t="str">
        <f ca="1"/>
        <v>Bad</v>
      </c>
    </row>
    <row r="9022" spans="2:34" x14ac:dyDescent="0.2">
      <c r="B9022" s="2">
        <f ca="1"/>
        <v>8.5345650866358813E-2</v>
      </c>
      <c r="O9022" s="2">
        <f ca="1"/>
        <v>-0.73275117039585436</v>
      </c>
      <c r="X9022" s="2">
        <f ca="1"/>
        <v>27.168921033344002</v>
      </c>
      <c r="AG9022" s="2">
        <f ca="1"/>
        <v>0.80841689964779939</v>
      </c>
      <c r="AH9022" s="2" t="str">
        <f ca="1"/>
        <v>Bad</v>
      </c>
    </row>
    <row r="9023" spans="2:34" x14ac:dyDescent="0.2">
      <c r="B9023" s="2">
        <f ca="1"/>
        <v>0.26575106410643445</v>
      </c>
      <c r="O9023" s="2">
        <f ca="1"/>
        <v>1.5245446891819381</v>
      </c>
      <c r="X9023" s="2">
        <f ca="1"/>
        <v>42.562266220417044</v>
      </c>
      <c r="AG9023" s="2">
        <f ca="1"/>
        <v>0.97496411243468772</v>
      </c>
      <c r="AH9023" s="2" t="str">
        <f ca="1"/>
        <v>Bad</v>
      </c>
    </row>
    <row r="9024" spans="2:34" x14ac:dyDescent="0.2">
      <c r="B9024" s="2">
        <f ca="1"/>
        <v>0.21403945323434614</v>
      </c>
      <c r="O9024" s="2">
        <f ca="1"/>
        <v>0.63675757451127957</v>
      </c>
      <c r="X9024" s="2">
        <f ca="1"/>
        <v>44.456409267541481</v>
      </c>
      <c r="AG9024" s="2">
        <f ca="1"/>
        <v>0.27893409425803251</v>
      </c>
      <c r="AH9024" s="2" t="str">
        <f ca="1"/>
        <v>OK</v>
      </c>
    </row>
    <row r="9025" spans="2:34" x14ac:dyDescent="0.2">
      <c r="B9025" s="2">
        <f ca="1"/>
        <v>0.8306897949614489</v>
      </c>
      <c r="O9025" s="2">
        <f ca="1"/>
        <v>0.35424040937690016</v>
      </c>
      <c r="X9025" s="2">
        <f ca="1"/>
        <v>52.266982398962831</v>
      </c>
      <c r="AG9025" s="2">
        <f ca="1"/>
        <v>0.90795400962311335</v>
      </c>
      <c r="AH9025" s="2" t="str">
        <f ca="1"/>
        <v>Bad</v>
      </c>
    </row>
    <row r="9026" spans="2:34" x14ac:dyDescent="0.2">
      <c r="B9026" s="2">
        <f ca="1"/>
        <v>4.1786534066849734E-2</v>
      </c>
      <c r="O9026" s="2">
        <f ca="1"/>
        <v>1.0904162652974834</v>
      </c>
      <c r="X9026" s="2">
        <f ca="1"/>
        <v>48.779210164871493</v>
      </c>
      <c r="AG9026" s="2">
        <f ca="1"/>
        <v>0.14455542045670122</v>
      </c>
      <c r="AH9026" s="2" t="str">
        <f ca="1"/>
        <v>OK</v>
      </c>
    </row>
    <row r="9027" spans="2:34" x14ac:dyDescent="0.2">
      <c r="B9027" s="2">
        <f ca="1"/>
        <v>0.53326338328254397</v>
      </c>
      <c r="O9027" s="2">
        <f ca="1"/>
        <v>-0.39985764679727198</v>
      </c>
      <c r="X9027" s="2">
        <f ca="1"/>
        <v>52.518867020757185</v>
      </c>
      <c r="AG9027" s="2">
        <f ca="1"/>
        <v>0.44421585570827027</v>
      </c>
      <c r="AH9027" s="2" t="str">
        <f ca="1"/>
        <v>Bad</v>
      </c>
    </row>
    <row r="9028" spans="2:34" x14ac:dyDescent="0.2">
      <c r="B9028" s="2">
        <f ca="1"/>
        <v>5.2944547997759939E-2</v>
      </c>
      <c r="O9028" s="2">
        <f ca="1"/>
        <v>-1.7130178359454635</v>
      </c>
      <c r="X9028" s="2">
        <f ca="1"/>
        <v>20.305799415259468</v>
      </c>
      <c r="AG9028" s="2">
        <f ca="1"/>
        <v>0.27940326403362703</v>
      </c>
      <c r="AH9028" s="2" t="str">
        <f ca="1"/>
        <v>OK</v>
      </c>
    </row>
    <row r="9029" spans="2:34" x14ac:dyDescent="0.2">
      <c r="B9029" s="2">
        <f ca="1"/>
        <v>0.57221331254664975</v>
      </c>
      <c r="O9029" s="2">
        <f ca="1"/>
        <v>1.1702960264566118</v>
      </c>
      <c r="X9029" s="2">
        <f ca="1"/>
        <v>43.091036696681982</v>
      </c>
      <c r="AG9029" s="2">
        <f ca="1"/>
        <v>0.13269386340303835</v>
      </c>
      <c r="AH9029" s="2" t="str">
        <f ca="1"/>
        <v>OK</v>
      </c>
    </row>
    <row r="9030" spans="2:34" x14ac:dyDescent="0.2">
      <c r="B9030" s="2">
        <f ca="1"/>
        <v>0.85437524292468958</v>
      </c>
      <c r="O9030" s="2">
        <f ca="1"/>
        <v>0.57526554299383814</v>
      </c>
      <c r="X9030" s="2">
        <f ca="1"/>
        <v>37.433108357120133</v>
      </c>
      <c r="AG9030" s="2">
        <f ca="1"/>
        <v>0.6267191549553941</v>
      </c>
      <c r="AH9030" s="2" t="str">
        <f ca="1"/>
        <v>Bad</v>
      </c>
    </row>
    <row r="9031" spans="2:34" x14ac:dyDescent="0.2">
      <c r="B9031" s="2">
        <f ca="1"/>
        <v>6.2407341862738219E-2</v>
      </c>
      <c r="O9031" s="2">
        <f ca="1"/>
        <v>0.91706285578339253</v>
      </c>
      <c r="X9031" s="2">
        <f ca="1"/>
        <v>48.538251230664983</v>
      </c>
      <c r="AG9031" s="2">
        <f ca="1"/>
        <v>0.69014175992335258</v>
      </c>
      <c r="AH9031" s="2" t="str">
        <f ca="1"/>
        <v>Bad</v>
      </c>
    </row>
    <row r="9032" spans="2:34" x14ac:dyDescent="0.2">
      <c r="B9032" s="2">
        <f ca="1"/>
        <v>0.59272798283437478</v>
      </c>
      <c r="O9032" s="2">
        <f ca="1"/>
        <v>0.13675730878773082</v>
      </c>
      <c r="X9032" s="2">
        <f ca="1"/>
        <v>34.342833720566503</v>
      </c>
      <c r="AG9032" s="2">
        <f ca="1"/>
        <v>0.58686700109575063</v>
      </c>
      <c r="AH9032" s="2" t="str">
        <f ca="1"/>
        <v>Bad</v>
      </c>
    </row>
    <row r="9033" spans="2:34" x14ac:dyDescent="0.2">
      <c r="B9033" s="2">
        <f ca="1"/>
        <v>0.5791702584360745</v>
      </c>
      <c r="O9033" s="2">
        <f ca="1"/>
        <v>-1.1762760751012917</v>
      </c>
      <c r="X9033" s="2">
        <f ca="1"/>
        <v>49.234515360780406</v>
      </c>
      <c r="AG9033" s="2">
        <f ca="1"/>
        <v>0.7270461783352935</v>
      </c>
      <c r="AH9033" s="2" t="str">
        <f ca="1"/>
        <v>Bad</v>
      </c>
    </row>
    <row r="9034" spans="2:34" x14ac:dyDescent="0.2">
      <c r="B9034" s="2">
        <f ca="1"/>
        <v>0.36239661471678986</v>
      </c>
      <c r="O9034" s="2">
        <f ca="1"/>
        <v>-1.549593914052906</v>
      </c>
      <c r="X9034" s="2">
        <f ca="1"/>
        <v>98.199076702744406</v>
      </c>
      <c r="AG9034" s="2">
        <f ca="1"/>
        <v>4.8795117796716081E-3</v>
      </c>
      <c r="AH9034" s="2" t="str">
        <f ca="1"/>
        <v>Good</v>
      </c>
    </row>
    <row r="9035" spans="2:34" x14ac:dyDescent="0.2">
      <c r="B9035" s="2">
        <f ca="1"/>
        <v>0.58263112578798237</v>
      </c>
      <c r="O9035" s="2">
        <f ca="1"/>
        <v>1.2349715153233247</v>
      </c>
      <c r="X9035" s="2">
        <f ca="1"/>
        <v>46.369654454466307</v>
      </c>
      <c r="AG9035" s="2">
        <f ca="1"/>
        <v>0.8482296169246939</v>
      </c>
      <c r="AH9035" s="2" t="str">
        <f ca="1"/>
        <v>Bad</v>
      </c>
    </row>
    <row r="9036" spans="2:34" x14ac:dyDescent="0.2">
      <c r="B9036" s="2">
        <f ca="1"/>
        <v>0.46546390673531413</v>
      </c>
      <c r="O9036" s="2">
        <f ca="1"/>
        <v>0.79044620846750724</v>
      </c>
      <c r="X9036" s="2">
        <f ca="1"/>
        <v>65.031389862624977</v>
      </c>
      <c r="AG9036" s="2">
        <f ca="1"/>
        <v>0.72780727657110877</v>
      </c>
      <c r="AH9036" s="2" t="str">
        <f ca="1"/>
        <v>Bad</v>
      </c>
    </row>
    <row r="9037" spans="2:34" x14ac:dyDescent="0.2">
      <c r="B9037" s="2">
        <f ca="1"/>
        <v>0.60535900427169143</v>
      </c>
      <c r="O9037" s="2">
        <f ca="1"/>
        <v>2.1871234551915415</v>
      </c>
      <c r="X9037" s="2">
        <f ca="1"/>
        <v>41.94718907140966</v>
      </c>
      <c r="AG9037" s="2">
        <f ca="1"/>
        <v>0.40945452901735258</v>
      </c>
      <c r="AH9037" s="2" t="str">
        <f ca="1"/>
        <v>Bad</v>
      </c>
    </row>
    <row r="9038" spans="2:34" x14ac:dyDescent="0.2">
      <c r="B9038" s="2">
        <f ca="1"/>
        <v>0.66548985591893484</v>
      </c>
      <c r="O9038" s="2">
        <f ca="1"/>
        <v>1.017612277200171</v>
      </c>
      <c r="X9038" s="2">
        <f ca="1"/>
        <v>33.943855843904871</v>
      </c>
      <c r="AG9038" s="2">
        <f ca="1"/>
        <v>0.77665329389880822</v>
      </c>
      <c r="AH9038" s="2" t="str">
        <f ca="1"/>
        <v>Bad</v>
      </c>
    </row>
    <row r="9039" spans="2:34" x14ac:dyDescent="0.2">
      <c r="B9039" s="2">
        <f ca="1"/>
        <v>0.67194757438811181</v>
      </c>
      <c r="O9039" s="2">
        <f ca="1"/>
        <v>0.62941717412036902</v>
      </c>
      <c r="X9039" s="2">
        <f ca="1"/>
        <v>61.228124243882306</v>
      </c>
      <c r="AG9039" s="2">
        <f ca="1"/>
        <v>0.29319908173802212</v>
      </c>
      <c r="AH9039" s="2" t="str">
        <f ca="1"/>
        <v>OK</v>
      </c>
    </row>
    <row r="9040" spans="2:34" x14ac:dyDescent="0.2">
      <c r="B9040" s="2">
        <f ca="1"/>
        <v>0.36255393912901912</v>
      </c>
      <c r="O9040" s="2">
        <f ca="1"/>
        <v>-1.0086593250324967</v>
      </c>
      <c r="X9040" s="2">
        <f ca="1"/>
        <v>73.223773830949824</v>
      </c>
      <c r="AG9040" s="2">
        <f ca="1"/>
        <v>4.0740259458256212E-2</v>
      </c>
      <c r="AH9040" s="2" t="str">
        <f ca="1"/>
        <v>Good</v>
      </c>
    </row>
    <row r="9041" spans="2:34" x14ac:dyDescent="0.2">
      <c r="B9041" s="2">
        <f ca="1"/>
        <v>0.43984769438890448</v>
      </c>
      <c r="O9041" s="2">
        <f ca="1"/>
        <v>-2.029624521426614</v>
      </c>
      <c r="X9041" s="2">
        <f ca="1"/>
        <v>84.858450960197047</v>
      </c>
      <c r="AG9041" s="2">
        <f ca="1"/>
        <v>0.31459941950974035</v>
      </c>
      <c r="AH9041" s="2" t="str">
        <f ca="1"/>
        <v>OK</v>
      </c>
    </row>
    <row r="9042" spans="2:34" x14ac:dyDescent="0.2">
      <c r="B9042" s="2">
        <f ca="1"/>
        <v>0.89166754973739826</v>
      </c>
      <c r="O9042" s="2">
        <f ca="1"/>
        <v>-1.9091317021587151</v>
      </c>
      <c r="X9042" s="2">
        <f ca="1"/>
        <v>55.847014234957456</v>
      </c>
      <c r="AG9042" s="2">
        <f ca="1"/>
        <v>0.33691816624094439</v>
      </c>
      <c r="AH9042" s="2" t="str">
        <f ca="1"/>
        <v>OK</v>
      </c>
    </row>
    <row r="9043" spans="2:34" x14ac:dyDescent="0.2">
      <c r="B9043" s="2">
        <f ca="1"/>
        <v>0.16952528224509167</v>
      </c>
      <c r="O9043" s="2">
        <f ca="1"/>
        <v>1.2633274008935556</v>
      </c>
      <c r="X9043" s="2">
        <f ca="1"/>
        <v>44.11463661065887</v>
      </c>
      <c r="AG9043" s="2">
        <f ca="1"/>
        <v>0.70036667189773816</v>
      </c>
      <c r="AH9043" s="2" t="str">
        <f ca="1"/>
        <v>Bad</v>
      </c>
    </row>
    <row r="9044" spans="2:34" x14ac:dyDescent="0.2">
      <c r="B9044" s="2">
        <f ca="1"/>
        <v>0.16199142105169639</v>
      </c>
      <c r="O9044" s="2">
        <f ca="1"/>
        <v>0.76078816183995812</v>
      </c>
      <c r="X9044" s="2">
        <f ca="1"/>
        <v>43.742464050977304</v>
      </c>
      <c r="AG9044" s="2">
        <f ca="1"/>
        <v>0.72088038743981953</v>
      </c>
      <c r="AH9044" s="2" t="str">
        <f ca="1"/>
        <v>Bad</v>
      </c>
    </row>
    <row r="9045" spans="2:34" x14ac:dyDescent="0.2">
      <c r="B9045" s="2">
        <f ca="1"/>
        <v>0.38956291134047594</v>
      </c>
      <c r="O9045" s="2">
        <f ca="1"/>
        <v>0.65822794442692445</v>
      </c>
      <c r="X9045" s="2">
        <f ca="1"/>
        <v>54.136922043039462</v>
      </c>
      <c r="AG9045" s="2">
        <f ca="1"/>
        <v>0.96693001403192214</v>
      </c>
      <c r="AH9045" s="2" t="str">
        <f ca="1"/>
        <v>Bad</v>
      </c>
    </row>
    <row r="9046" spans="2:34" x14ac:dyDescent="0.2">
      <c r="B9046" s="2">
        <f ca="1"/>
        <v>0.20426473145653667</v>
      </c>
      <c r="O9046" s="2">
        <f ca="1"/>
        <v>-1.2288838271195957</v>
      </c>
      <c r="X9046" s="2">
        <f ca="1"/>
        <v>78.556479935651964</v>
      </c>
      <c r="AG9046" s="2">
        <f ca="1"/>
        <v>0.5299095622955674</v>
      </c>
      <c r="AH9046" s="2" t="str">
        <f ca="1"/>
        <v>Bad</v>
      </c>
    </row>
    <row r="9047" spans="2:34" x14ac:dyDescent="0.2">
      <c r="B9047" s="2">
        <f ca="1"/>
        <v>0.50050752576884272</v>
      </c>
      <c r="O9047" s="2">
        <f ca="1"/>
        <v>0.50892150521995005</v>
      </c>
      <c r="X9047" s="2">
        <f ca="1"/>
        <v>45.178614430944428</v>
      </c>
      <c r="AG9047" s="2">
        <f ca="1"/>
        <v>0.36027913748233953</v>
      </c>
      <c r="AH9047" s="2" t="str">
        <f ca="1"/>
        <v>OK</v>
      </c>
    </row>
    <row r="9048" spans="2:34" x14ac:dyDescent="0.2">
      <c r="B9048" s="2">
        <f ca="1"/>
        <v>0.28498850354747107</v>
      </c>
      <c r="O9048" s="2">
        <f ca="1"/>
        <v>0.62194272267809858</v>
      </c>
      <c r="X9048" s="2">
        <f ca="1"/>
        <v>39.718462283704639</v>
      </c>
      <c r="AG9048" s="2">
        <f ca="1"/>
        <v>0.53757662944040008</v>
      </c>
      <c r="AH9048" s="2" t="str">
        <f ca="1"/>
        <v>Bad</v>
      </c>
    </row>
    <row r="9049" spans="2:34" x14ac:dyDescent="0.2">
      <c r="B9049" s="2">
        <f ca="1"/>
        <v>0.92748675944441783</v>
      </c>
      <c r="O9049" s="2">
        <f ca="1"/>
        <v>0.59921666255811767</v>
      </c>
      <c r="X9049" s="2">
        <f ca="1"/>
        <v>57.081699042009973</v>
      </c>
      <c r="AG9049" s="2">
        <f ca="1"/>
        <v>0.59916383030987053</v>
      </c>
      <c r="AH9049" s="2" t="str">
        <f ca="1"/>
        <v>Bad</v>
      </c>
    </row>
    <row r="9050" spans="2:34" x14ac:dyDescent="0.2">
      <c r="B9050" s="2">
        <f ca="1"/>
        <v>0.96836203815043831</v>
      </c>
      <c r="O9050" s="2">
        <f ca="1"/>
        <v>-0.32959006768350757</v>
      </c>
      <c r="X9050" s="2">
        <f ca="1"/>
        <v>41.360568201062478</v>
      </c>
      <c r="AG9050" s="2">
        <f ca="1"/>
        <v>0.99415303162407587</v>
      </c>
      <c r="AH9050" s="2" t="str">
        <f ca="1"/>
        <v>Bad</v>
      </c>
    </row>
    <row r="9051" spans="2:34" x14ac:dyDescent="0.2">
      <c r="B9051" s="2">
        <f ca="1"/>
        <v>0.16663907524100119</v>
      </c>
      <c r="O9051" s="2">
        <f ca="1"/>
        <v>-6.544117656546368E-2</v>
      </c>
      <c r="X9051" s="2">
        <f ca="1"/>
        <v>33.555756712651977</v>
      </c>
      <c r="AG9051" s="2">
        <f ca="1"/>
        <v>0.279834346174205</v>
      </c>
      <c r="AH9051" s="2" t="str">
        <f ca="1"/>
        <v>OK</v>
      </c>
    </row>
    <row r="9052" spans="2:34" x14ac:dyDescent="0.2">
      <c r="B9052" s="2">
        <f ca="1"/>
        <v>0.44025149946626785</v>
      </c>
      <c r="O9052" s="2">
        <f ca="1"/>
        <v>0.11262429987839984</v>
      </c>
      <c r="X9052" s="2">
        <f ca="1"/>
        <v>37.393069419694136</v>
      </c>
      <c r="AG9052" s="2">
        <f ca="1"/>
        <v>0.42317920562808942</v>
      </c>
      <c r="AH9052" s="2" t="str">
        <f ca="1"/>
        <v>Bad</v>
      </c>
    </row>
    <row r="9053" spans="2:34" x14ac:dyDescent="0.2">
      <c r="B9053" s="2">
        <f ca="1"/>
        <v>0.6258362999496323</v>
      </c>
      <c r="O9053" s="2">
        <f ca="1"/>
        <v>0.33282580171949161</v>
      </c>
      <c r="X9053" s="2">
        <f ca="1"/>
        <v>37.191221316614943</v>
      </c>
      <c r="AG9053" s="2">
        <f ca="1"/>
        <v>0.95849991286201308</v>
      </c>
      <c r="AH9053" s="2" t="str">
        <f ca="1"/>
        <v>Bad</v>
      </c>
    </row>
    <row r="9054" spans="2:34" x14ac:dyDescent="0.2">
      <c r="B9054" s="2">
        <f ca="1"/>
        <v>0.45499075123427546</v>
      </c>
      <c r="O9054" s="2">
        <f ca="1"/>
        <v>-0.59312454788255031</v>
      </c>
      <c r="X9054" s="2">
        <f ca="1"/>
        <v>34.481844952412644</v>
      </c>
      <c r="AG9054" s="2">
        <f ca="1"/>
        <v>0.55333702866055323</v>
      </c>
      <c r="AH9054" s="2" t="str">
        <f ca="1"/>
        <v>Bad</v>
      </c>
    </row>
    <row r="9055" spans="2:34" x14ac:dyDescent="0.2">
      <c r="B9055" s="2">
        <f ca="1"/>
        <v>0.3731634264111976</v>
      </c>
      <c r="O9055" s="2">
        <f ca="1"/>
        <v>1.7542792873930637</v>
      </c>
      <c r="X9055" s="2">
        <f ca="1"/>
        <v>52.5363522801809</v>
      </c>
      <c r="AG9055" s="2">
        <f ca="1"/>
        <v>0.10852549201282602</v>
      </c>
      <c r="AH9055" s="2" t="str">
        <f ca="1"/>
        <v>OK</v>
      </c>
    </row>
    <row r="9056" spans="2:34" x14ac:dyDescent="0.2">
      <c r="B9056" s="2">
        <f ca="1"/>
        <v>0.50995027548567129</v>
      </c>
      <c r="O9056" s="2">
        <f ca="1"/>
        <v>1.7464226991396024</v>
      </c>
      <c r="X9056" s="2">
        <f ca="1"/>
        <v>54.040859870711522</v>
      </c>
      <c r="AG9056" s="2">
        <f ca="1"/>
        <v>0.97164660634819389</v>
      </c>
      <c r="AH9056" s="2" t="str">
        <f ca="1"/>
        <v>Bad</v>
      </c>
    </row>
    <row r="9057" spans="2:34" x14ac:dyDescent="0.2">
      <c r="B9057" s="2">
        <f ca="1"/>
        <v>0.86434337420535479</v>
      </c>
      <c r="O9057" s="2">
        <f ca="1"/>
        <v>-1.4376322949639466</v>
      </c>
      <c r="X9057" s="2">
        <f ca="1"/>
        <v>61.30909479513889</v>
      </c>
      <c r="AG9057" s="2">
        <f ca="1"/>
        <v>8.7322378658311939E-2</v>
      </c>
      <c r="AH9057" s="2" t="str">
        <f ca="1"/>
        <v>OK</v>
      </c>
    </row>
    <row r="9058" spans="2:34" x14ac:dyDescent="0.2">
      <c r="B9058" s="2">
        <f ca="1"/>
        <v>0.38902305929479608</v>
      </c>
      <c r="O9058" s="2">
        <f ca="1"/>
        <v>-1.3553807733934333</v>
      </c>
      <c r="X9058" s="2">
        <f ca="1"/>
        <v>40.143709599133103</v>
      </c>
      <c r="AG9058" s="2">
        <f ca="1"/>
        <v>0.93288994740086495</v>
      </c>
      <c r="AH9058" s="2" t="str">
        <f ca="1"/>
        <v>Bad</v>
      </c>
    </row>
    <row r="9059" spans="2:34" x14ac:dyDescent="0.2">
      <c r="B9059" s="2">
        <f ca="1"/>
        <v>0.68987527078828026</v>
      </c>
      <c r="O9059" s="2">
        <f ca="1"/>
        <v>2.0995749754245763</v>
      </c>
      <c r="X9059" s="2">
        <f ca="1"/>
        <v>33.232395396533072</v>
      </c>
      <c r="AG9059" s="2">
        <f ca="1"/>
        <v>0.98829606367089196</v>
      </c>
      <c r="AH9059" s="2" t="str">
        <f ca="1"/>
        <v>Bad</v>
      </c>
    </row>
    <row r="9060" spans="2:34" x14ac:dyDescent="0.2">
      <c r="B9060" s="2">
        <f ca="1"/>
        <v>0.64182370347414919</v>
      </c>
      <c r="O9060" s="2">
        <f ca="1"/>
        <v>-0.59100165048987241</v>
      </c>
      <c r="X9060" s="2">
        <f ca="1"/>
        <v>90.506001362024023</v>
      </c>
      <c r="AG9060" s="2">
        <f ca="1"/>
        <v>0.23914219665318903</v>
      </c>
      <c r="AH9060" s="2" t="str">
        <f ca="1"/>
        <v>OK</v>
      </c>
    </row>
    <row r="9061" spans="2:34" x14ac:dyDescent="0.2">
      <c r="B9061" s="2">
        <f ca="1"/>
        <v>0.97301266317152257</v>
      </c>
      <c r="O9061" s="2">
        <f ca="1"/>
        <v>-1.2179054951495365</v>
      </c>
      <c r="X9061" s="2">
        <f ca="1"/>
        <v>49.089447132646839</v>
      </c>
      <c r="AG9061" s="2">
        <f ca="1"/>
        <v>0.78101075886572535</v>
      </c>
      <c r="AH9061" s="2" t="str">
        <f ca="1"/>
        <v>Bad</v>
      </c>
    </row>
    <row r="9062" spans="2:34" x14ac:dyDescent="0.2">
      <c r="B9062" s="2">
        <f ca="1"/>
        <v>0.50421277570106304</v>
      </c>
      <c r="O9062" s="2">
        <f ca="1"/>
        <v>0.60034499636796312</v>
      </c>
      <c r="X9062" s="2">
        <f ca="1"/>
        <v>41.262468058423593</v>
      </c>
      <c r="AG9062" s="2">
        <f ca="1"/>
        <v>0.44052752525577832</v>
      </c>
      <c r="AH9062" s="2" t="str">
        <f ca="1"/>
        <v>Bad</v>
      </c>
    </row>
    <row r="9063" spans="2:34" x14ac:dyDescent="0.2">
      <c r="B9063" s="2">
        <f ca="1"/>
        <v>0.95291601354370647</v>
      </c>
      <c r="O9063" s="2">
        <f ca="1"/>
        <v>-0.93524861329161302</v>
      </c>
      <c r="X9063" s="2">
        <f ca="1"/>
        <v>37.282698004902244</v>
      </c>
      <c r="AG9063" s="2">
        <f ca="1"/>
        <v>0.85405467159350046</v>
      </c>
      <c r="AH9063" s="2" t="str">
        <f ca="1"/>
        <v>Bad</v>
      </c>
    </row>
    <row r="9064" spans="2:34" x14ac:dyDescent="0.2">
      <c r="B9064" s="2">
        <f ca="1"/>
        <v>0.58572047688070983</v>
      </c>
      <c r="O9064" s="2">
        <f ca="1"/>
        <v>0.2645123313000306</v>
      </c>
      <c r="X9064" s="2">
        <f ca="1"/>
        <v>74.454915792118925</v>
      </c>
      <c r="AG9064" s="2">
        <f ca="1"/>
        <v>0.88910639750317877</v>
      </c>
      <c r="AH9064" s="2" t="str">
        <f ca="1"/>
        <v>Bad</v>
      </c>
    </row>
    <row r="9065" spans="2:34" x14ac:dyDescent="0.2">
      <c r="B9065" s="2">
        <f ca="1"/>
        <v>0.80480387120727004</v>
      </c>
      <c r="O9065" s="2">
        <f ca="1"/>
        <v>-0.3923044330484407</v>
      </c>
      <c r="X9065" s="2">
        <f ca="1"/>
        <v>65.973655223367643</v>
      </c>
      <c r="AG9065" s="2">
        <f ca="1"/>
        <v>0.12056864740110584</v>
      </c>
      <c r="AH9065" s="2" t="str">
        <f ca="1"/>
        <v>OK</v>
      </c>
    </row>
    <row r="9066" spans="2:34" x14ac:dyDescent="0.2">
      <c r="B9066" s="2">
        <f ca="1"/>
        <v>0.78780558128282485</v>
      </c>
      <c r="O9066" s="2">
        <f ca="1"/>
        <v>-1.3623096039965372</v>
      </c>
      <c r="X9066" s="2">
        <f ca="1"/>
        <v>60.266891835276496</v>
      </c>
      <c r="AG9066" s="2">
        <f ca="1"/>
        <v>0.41907220350800256</v>
      </c>
      <c r="AH9066" s="2" t="str">
        <f ca="1"/>
        <v>Bad</v>
      </c>
    </row>
    <row r="9067" spans="2:34" x14ac:dyDescent="0.2">
      <c r="B9067" s="2">
        <f ca="1"/>
        <v>0.19379750945427965</v>
      </c>
      <c r="O9067" s="2">
        <f ca="1"/>
        <v>0.55194077085991677</v>
      </c>
      <c r="X9067" s="2">
        <f ca="1"/>
        <v>24.977512394644734</v>
      </c>
      <c r="AG9067" s="2">
        <f ca="1"/>
        <v>0.82885288859782835</v>
      </c>
      <c r="AH9067" s="2" t="str">
        <f ca="1"/>
        <v>Bad</v>
      </c>
    </row>
    <row r="9068" spans="2:34" x14ac:dyDescent="0.2">
      <c r="B9068" s="2">
        <f ca="1"/>
        <v>0.69599020742078155</v>
      </c>
      <c r="O9068" s="2">
        <f ca="1"/>
        <v>1.8718638277979538E-2</v>
      </c>
      <c r="X9068" s="2">
        <f ca="1"/>
        <v>69.636085841349569</v>
      </c>
      <c r="AG9068" s="2">
        <f ca="1"/>
        <v>0.95247161694671667</v>
      </c>
      <c r="AH9068" s="2" t="str">
        <f ca="1"/>
        <v>Bad</v>
      </c>
    </row>
    <row r="9069" spans="2:34" x14ac:dyDescent="0.2">
      <c r="B9069" s="2">
        <f ca="1"/>
        <v>0.26580859446917682</v>
      </c>
      <c r="O9069" s="2">
        <f ca="1"/>
        <v>-1.0446624605064052</v>
      </c>
      <c r="X9069" s="2">
        <f ca="1"/>
        <v>43.950335636454142</v>
      </c>
      <c r="AG9069" s="2">
        <f ca="1"/>
        <v>0.15757828940916374</v>
      </c>
      <c r="AH9069" s="2" t="str">
        <f ca="1"/>
        <v>OK</v>
      </c>
    </row>
    <row r="9070" spans="2:34" x14ac:dyDescent="0.2">
      <c r="B9070" s="2">
        <f ca="1"/>
        <v>0.91582018069131488</v>
      </c>
      <c r="O9070" s="2">
        <f ca="1"/>
        <v>-0.66133455429114252</v>
      </c>
      <c r="X9070" s="2">
        <f ca="1"/>
        <v>30.056114630841698</v>
      </c>
      <c r="AG9070" s="2">
        <f ca="1"/>
        <v>0.76818071428647428</v>
      </c>
      <c r="AH9070" s="2" t="str">
        <f ca="1"/>
        <v>Bad</v>
      </c>
    </row>
    <row r="9071" spans="2:34" x14ac:dyDescent="0.2">
      <c r="B9071" s="2">
        <f ca="1"/>
        <v>0.23121481534719579</v>
      </c>
      <c r="O9071" s="2">
        <f ca="1"/>
        <v>1.503370346906761</v>
      </c>
      <c r="X9071" s="2">
        <f ca="1"/>
        <v>40.28728507973171</v>
      </c>
      <c r="AG9071" s="2">
        <f ca="1"/>
        <v>0.48835219099505855</v>
      </c>
      <c r="AH9071" s="2" t="str">
        <f ca="1"/>
        <v>Bad</v>
      </c>
    </row>
    <row r="9072" spans="2:34" x14ac:dyDescent="0.2">
      <c r="B9072" s="2">
        <f ca="1"/>
        <v>0.97044582770259624</v>
      </c>
      <c r="O9072" s="2">
        <f ca="1"/>
        <v>-1.8370637112915522</v>
      </c>
      <c r="X9072" s="2">
        <f ca="1"/>
        <v>36.74938722420714</v>
      </c>
      <c r="AG9072" s="2">
        <f ca="1"/>
        <v>0.34744524705417068</v>
      </c>
      <c r="AH9072" s="2" t="str">
        <f ca="1"/>
        <v>OK</v>
      </c>
    </row>
    <row r="9073" spans="2:34" x14ac:dyDescent="0.2">
      <c r="B9073" s="2">
        <f ca="1"/>
        <v>0.2365120883689722</v>
      </c>
      <c r="O9073" s="2">
        <f ca="1"/>
        <v>-1.2175063372945127</v>
      </c>
      <c r="X9073" s="2">
        <f ca="1"/>
        <v>30.423422379032957</v>
      </c>
      <c r="AG9073" s="2">
        <f ca="1"/>
        <v>0.73760753810786461</v>
      </c>
      <c r="AH9073" s="2" t="str">
        <f ca="1"/>
        <v>Bad</v>
      </c>
    </row>
    <row r="9074" spans="2:34" x14ac:dyDescent="0.2">
      <c r="B9074" s="2">
        <f ca="1"/>
        <v>0.91335815687706212</v>
      </c>
      <c r="O9074" s="2">
        <f ca="1"/>
        <v>0.37983807523252205</v>
      </c>
      <c r="X9074" s="2">
        <f ca="1"/>
        <v>42.563802092723584</v>
      </c>
      <c r="AG9074" s="2">
        <f ca="1"/>
        <v>0.329182728001989</v>
      </c>
      <c r="AH9074" s="2" t="str">
        <f ca="1"/>
        <v>OK</v>
      </c>
    </row>
    <row r="9075" spans="2:34" x14ac:dyDescent="0.2">
      <c r="B9075" s="2">
        <f ca="1"/>
        <v>0.97002888486957572</v>
      </c>
      <c r="O9075" s="2">
        <f ca="1"/>
        <v>0.55806372345816646</v>
      </c>
      <c r="X9075" s="2">
        <f ca="1"/>
        <v>27.037995611340357</v>
      </c>
      <c r="AG9075" s="2">
        <f ca="1"/>
        <v>4.8796597186894664E-2</v>
      </c>
      <c r="AH9075" s="2" t="str">
        <f ca="1"/>
        <v>Good</v>
      </c>
    </row>
    <row r="9076" spans="2:34" x14ac:dyDescent="0.2">
      <c r="B9076" s="2">
        <f ca="1"/>
        <v>0.85968659997392427</v>
      </c>
      <c r="O9076" s="2">
        <f ca="1"/>
        <v>1.579308251840021</v>
      </c>
      <c r="X9076" s="2">
        <f ca="1"/>
        <v>72.103830776017787</v>
      </c>
      <c r="AG9076" s="2">
        <f ca="1"/>
        <v>6.5335003938413072E-2</v>
      </c>
      <c r="AH9076" s="2" t="str">
        <f ca="1"/>
        <v>OK</v>
      </c>
    </row>
    <row r="9077" spans="2:34" x14ac:dyDescent="0.2">
      <c r="B9077" s="2">
        <f ca="1"/>
        <v>0.91906728866904142</v>
      </c>
      <c r="O9077" s="2">
        <f ca="1"/>
        <v>-0.55430439263590736</v>
      </c>
      <c r="X9077" s="2">
        <f ca="1"/>
        <v>45.805422926871557</v>
      </c>
      <c r="AG9077" s="2">
        <f ca="1"/>
        <v>0.8845246202490924</v>
      </c>
      <c r="AH9077" s="2" t="str">
        <f ca="1"/>
        <v>Bad</v>
      </c>
    </row>
    <row r="9078" spans="2:34" x14ac:dyDescent="0.2">
      <c r="B9078" s="2">
        <f ca="1"/>
        <v>8.8743805790165275E-2</v>
      </c>
      <c r="O9078" s="2">
        <f ca="1"/>
        <v>1.5271318959564015</v>
      </c>
      <c r="X9078" s="2">
        <f ca="1"/>
        <v>60.021137554478294</v>
      </c>
      <c r="AG9078" s="2">
        <f ca="1"/>
        <v>0.55831136877590315</v>
      </c>
      <c r="AH9078" s="2" t="str">
        <f ca="1"/>
        <v>Bad</v>
      </c>
    </row>
    <row r="9079" spans="2:34" x14ac:dyDescent="0.2">
      <c r="B9079" s="2">
        <f ca="1"/>
        <v>0.17056063010082445</v>
      </c>
      <c r="O9079" s="2">
        <f ca="1"/>
        <v>2.7644223612209258</v>
      </c>
      <c r="X9079" s="2">
        <f ca="1"/>
        <v>48.872615650653543</v>
      </c>
      <c r="AG9079" s="2">
        <f ca="1"/>
        <v>0.69231846680182119</v>
      </c>
      <c r="AH9079" s="2" t="str">
        <f ca="1"/>
        <v>Bad</v>
      </c>
    </row>
    <row r="9080" spans="2:34" x14ac:dyDescent="0.2">
      <c r="B9080" s="2">
        <f ca="1"/>
        <v>0.10643630906622059</v>
      </c>
      <c r="O9080" s="2">
        <f ca="1"/>
        <v>0.94500799688488624</v>
      </c>
      <c r="X9080" s="2">
        <f ca="1"/>
        <v>29.101715782146634</v>
      </c>
      <c r="AG9080" s="2">
        <f ca="1"/>
        <v>0.66777926200708793</v>
      </c>
      <c r="AH9080" s="2" t="str">
        <f ca="1"/>
        <v>Bad</v>
      </c>
    </row>
    <row r="9081" spans="2:34" x14ac:dyDescent="0.2">
      <c r="B9081" s="2">
        <f ca="1"/>
        <v>0.31324190782465888</v>
      </c>
      <c r="O9081" s="2">
        <f ca="1"/>
        <v>0.91753940278189994</v>
      </c>
      <c r="X9081" s="2">
        <f ca="1"/>
        <v>32.959164926041289</v>
      </c>
      <c r="AG9081" s="2">
        <f ca="1"/>
        <v>0.68581041449612923</v>
      </c>
      <c r="AH9081" s="2" t="str">
        <f ca="1"/>
        <v>Bad</v>
      </c>
    </row>
    <row r="9082" spans="2:34" x14ac:dyDescent="0.2">
      <c r="B9082" s="2">
        <f ca="1"/>
        <v>0.13220534412017981</v>
      </c>
      <c r="O9082" s="2">
        <f ca="1"/>
        <v>1.075682319948678</v>
      </c>
      <c r="X9082" s="2">
        <f ca="1"/>
        <v>19.304049495502227</v>
      </c>
      <c r="AG9082" s="2">
        <f ca="1"/>
        <v>0.34004019674394792</v>
      </c>
      <c r="AH9082" s="2" t="str">
        <f ca="1"/>
        <v>OK</v>
      </c>
    </row>
    <row r="9083" spans="2:34" x14ac:dyDescent="0.2">
      <c r="B9083" s="2">
        <f ca="1"/>
        <v>0.10190752763638922</v>
      </c>
      <c r="O9083" s="2">
        <f ca="1"/>
        <v>-0.47390242070418587</v>
      </c>
      <c r="X9083" s="2">
        <f ca="1"/>
        <v>43.572703448997324</v>
      </c>
      <c r="AG9083" s="2">
        <f ca="1"/>
        <v>0.84813192322059061</v>
      </c>
      <c r="AH9083" s="2" t="str">
        <f ca="1"/>
        <v>Bad</v>
      </c>
    </row>
    <row r="9084" spans="2:34" x14ac:dyDescent="0.2">
      <c r="B9084" s="2">
        <f ca="1"/>
        <v>0.85893501325682986</v>
      </c>
      <c r="O9084" s="2">
        <f ca="1"/>
        <v>-0.48561214393508451</v>
      </c>
      <c r="X9084" s="2">
        <f ca="1"/>
        <v>33.519478598560738</v>
      </c>
      <c r="AG9084" s="2">
        <f ca="1"/>
        <v>3.4714491310807505E-2</v>
      </c>
      <c r="AH9084" s="2" t="str">
        <f ca="1"/>
        <v>Good</v>
      </c>
    </row>
    <row r="9085" spans="2:34" x14ac:dyDescent="0.2">
      <c r="B9085" s="2">
        <f ca="1"/>
        <v>0.97242112158637584</v>
      </c>
      <c r="O9085" s="2">
        <f ca="1"/>
        <v>-1.492091986190184</v>
      </c>
      <c r="X9085" s="2">
        <f ca="1"/>
        <v>42.079668100602625</v>
      </c>
      <c r="AG9085" s="2">
        <f ca="1"/>
        <v>0.55501793381514508</v>
      </c>
      <c r="AH9085" s="2" t="str">
        <f ca="1"/>
        <v>Bad</v>
      </c>
    </row>
    <row r="9086" spans="2:34" x14ac:dyDescent="0.2">
      <c r="B9086" s="2">
        <f ca="1"/>
        <v>0.93305256051693086</v>
      </c>
      <c r="O9086" s="2">
        <f ca="1"/>
        <v>-0.43405529177518459</v>
      </c>
      <c r="X9086" s="2">
        <f ca="1"/>
        <v>71.2212379945029</v>
      </c>
      <c r="AG9086" s="2">
        <f ca="1"/>
        <v>0.57831731810675113</v>
      </c>
      <c r="AH9086" s="2" t="str">
        <f ca="1"/>
        <v>Bad</v>
      </c>
    </row>
    <row r="9087" spans="2:34" x14ac:dyDescent="0.2">
      <c r="B9087" s="2">
        <f ca="1"/>
        <v>0.5105556453586988</v>
      </c>
      <c r="O9087" s="2">
        <f ca="1"/>
        <v>0.8581112655560903</v>
      </c>
      <c r="X9087" s="2">
        <f ca="1"/>
        <v>53.333066633685092</v>
      </c>
      <c r="AG9087" s="2">
        <f ca="1"/>
        <v>0.69434777006235526</v>
      </c>
      <c r="AH9087" s="2" t="str">
        <f ca="1"/>
        <v>Bad</v>
      </c>
    </row>
    <row r="9088" spans="2:34" x14ac:dyDescent="0.2">
      <c r="B9088" s="2">
        <f ca="1"/>
        <v>0.30931012017374448</v>
      </c>
      <c r="O9088" s="2">
        <f ca="1"/>
        <v>-0.52222058848200714</v>
      </c>
      <c r="X9088" s="2">
        <f ca="1"/>
        <v>56.165234954835398</v>
      </c>
      <c r="AG9088" s="2">
        <f ca="1"/>
        <v>0.70589345836502115</v>
      </c>
      <c r="AH9088" s="2" t="str">
        <f ca="1"/>
        <v>Bad</v>
      </c>
    </row>
    <row r="9089" spans="2:34" x14ac:dyDescent="0.2">
      <c r="B9089" s="2">
        <f ca="1"/>
        <v>0.25052765858859649</v>
      </c>
      <c r="O9089" s="2">
        <f ca="1"/>
        <v>0.42637790431876604</v>
      </c>
      <c r="X9089" s="2">
        <f ca="1"/>
        <v>37.204098849158086</v>
      </c>
      <c r="AG9089" s="2">
        <f ca="1"/>
        <v>0.41767337332867949</v>
      </c>
      <c r="AH9089" s="2" t="str">
        <f ca="1"/>
        <v>Bad</v>
      </c>
    </row>
    <row r="9090" spans="2:34" x14ac:dyDescent="0.2">
      <c r="B9090" s="2">
        <f ca="1"/>
        <v>5.7892170597129811E-2</v>
      </c>
      <c r="O9090" s="2">
        <f ca="1"/>
        <v>1.6246539424157376</v>
      </c>
      <c r="X9090" s="2">
        <f ca="1"/>
        <v>23.25022458017823</v>
      </c>
      <c r="AG9090" s="2">
        <f ca="1"/>
        <v>0.55179276528929266</v>
      </c>
      <c r="AH9090" s="2" t="str">
        <f ca="1"/>
        <v>Bad</v>
      </c>
    </row>
    <row r="9091" spans="2:34" x14ac:dyDescent="0.2">
      <c r="B9091" s="2">
        <f ca="1"/>
        <v>0.54948806094601532</v>
      </c>
      <c r="O9091" s="2">
        <f ca="1"/>
        <v>-1.1996481889842843</v>
      </c>
      <c r="X9091" s="2">
        <f ca="1"/>
        <v>45.944818466713542</v>
      </c>
      <c r="AG9091" s="2">
        <f ca="1"/>
        <v>0.12871791114823639</v>
      </c>
      <c r="AH9091" s="2" t="str">
        <f ca="1"/>
        <v>OK</v>
      </c>
    </row>
    <row r="9092" spans="2:34" x14ac:dyDescent="0.2">
      <c r="B9092" s="2">
        <f ca="1"/>
        <v>0.70056472935653402</v>
      </c>
      <c r="O9092" s="2">
        <f ca="1"/>
        <v>-0.99123795923972124</v>
      </c>
      <c r="X9092" s="2">
        <f ca="1"/>
        <v>27.827957367712397</v>
      </c>
      <c r="AG9092" s="2">
        <f ca="1"/>
        <v>0.1678984660080074</v>
      </c>
      <c r="AH9092" s="2" t="str">
        <f ca="1"/>
        <v>OK</v>
      </c>
    </row>
    <row r="9093" spans="2:34" x14ac:dyDescent="0.2">
      <c r="B9093" s="2">
        <f ca="1"/>
        <v>0.6626951774551042</v>
      </c>
      <c r="O9093" s="2">
        <f ca="1"/>
        <v>0.70053368219268974</v>
      </c>
      <c r="X9093" s="2">
        <f ca="1"/>
        <v>59.303158160149906</v>
      </c>
      <c r="AG9093" s="2">
        <f ca="1"/>
        <v>0.44546349040071553</v>
      </c>
      <c r="AH9093" s="2" t="str">
        <f ca="1"/>
        <v>Bad</v>
      </c>
    </row>
    <row r="9094" spans="2:34" x14ac:dyDescent="0.2">
      <c r="B9094" s="2">
        <f ca="1"/>
        <v>0.46377995704296748</v>
      </c>
      <c r="O9094" s="2">
        <f ca="1"/>
        <v>-0.2263390426928151</v>
      </c>
      <c r="X9094" s="2">
        <f ca="1"/>
        <v>51.638550601976092</v>
      </c>
      <c r="AG9094" s="2">
        <f ca="1"/>
        <v>0.57320697147315314</v>
      </c>
      <c r="AH9094" s="2" t="str">
        <f ca="1"/>
        <v>Bad</v>
      </c>
    </row>
    <row r="9095" spans="2:34" x14ac:dyDescent="0.2">
      <c r="B9095" s="2">
        <f ca="1"/>
        <v>0.79846704638068844</v>
      </c>
      <c r="O9095" s="2">
        <f ca="1"/>
        <v>0.25638452083625846</v>
      </c>
      <c r="X9095" s="2">
        <f ca="1"/>
        <v>37.557665645089187</v>
      </c>
      <c r="AG9095" s="2">
        <f ca="1"/>
        <v>0.39874484923450915</v>
      </c>
      <c r="AH9095" s="2" t="str">
        <f ca="1"/>
        <v>OK</v>
      </c>
    </row>
    <row r="9096" spans="2:34" x14ac:dyDescent="0.2">
      <c r="B9096" s="2">
        <f ca="1"/>
        <v>0.43108603050212047</v>
      </c>
      <c r="O9096" s="2">
        <f ca="1"/>
        <v>0.36180668644116926</v>
      </c>
      <c r="X9096" s="2">
        <f ca="1"/>
        <v>74.555532238825919</v>
      </c>
      <c r="AG9096" s="2">
        <f ca="1"/>
        <v>1.0876202029559412E-2</v>
      </c>
      <c r="AH9096" s="2" t="str">
        <f ca="1"/>
        <v>Good</v>
      </c>
    </row>
    <row r="9097" spans="2:34" x14ac:dyDescent="0.2">
      <c r="B9097" s="2">
        <f ca="1"/>
        <v>0.14756010228518313</v>
      </c>
      <c r="O9097" s="2">
        <f ca="1"/>
        <v>0.78015217183092411</v>
      </c>
      <c r="X9097" s="2">
        <f ca="1"/>
        <v>46.104217760439496</v>
      </c>
      <c r="AG9097" s="2">
        <f ca="1"/>
        <v>0.11262807192407776</v>
      </c>
      <c r="AH9097" s="2" t="str">
        <f ca="1"/>
        <v>OK</v>
      </c>
    </row>
    <row r="9098" spans="2:34" x14ac:dyDescent="0.2">
      <c r="B9098" s="2">
        <f ca="1"/>
        <v>0.18368057981177066</v>
      </c>
      <c r="O9098" s="2">
        <f ca="1"/>
        <v>0.56392018311738612</v>
      </c>
      <c r="X9098" s="2">
        <f ca="1"/>
        <v>54.398283164460949</v>
      </c>
      <c r="AG9098" s="2">
        <f ca="1"/>
        <v>0.96742409310132804</v>
      </c>
      <c r="AH9098" s="2" t="str">
        <f ca="1"/>
        <v>Bad</v>
      </c>
    </row>
    <row r="9099" spans="2:34" x14ac:dyDescent="0.2">
      <c r="B9099" s="2">
        <f ca="1"/>
        <v>0.19301779284108989</v>
      </c>
      <c r="O9099" s="2">
        <f ca="1"/>
        <v>0.27325780407536282</v>
      </c>
      <c r="X9099" s="2">
        <f ca="1"/>
        <v>40.363941945735846</v>
      </c>
      <c r="AG9099" s="2">
        <f ca="1"/>
        <v>0.57549355777701194</v>
      </c>
      <c r="AH9099" s="2" t="str">
        <f ca="1"/>
        <v>Bad</v>
      </c>
    </row>
    <row r="9100" spans="2:34" x14ac:dyDescent="0.2">
      <c r="B9100" s="2">
        <f ca="1"/>
        <v>0.24108921150112383</v>
      </c>
      <c r="O9100" s="2">
        <f ca="1"/>
        <v>0.26810344883536974</v>
      </c>
      <c r="X9100" s="2">
        <f ca="1"/>
        <v>46.93036419948654</v>
      </c>
      <c r="AG9100" s="2">
        <f ca="1"/>
        <v>0.89960807175036495</v>
      </c>
      <c r="AH9100" s="2" t="str">
        <f ca="1"/>
        <v>Bad</v>
      </c>
    </row>
    <row r="9101" spans="2:34" x14ac:dyDescent="0.2">
      <c r="B9101" s="2">
        <f ca="1"/>
        <v>0.24205616287998444</v>
      </c>
      <c r="O9101" s="2">
        <f ca="1"/>
        <v>1.4065760583081468</v>
      </c>
      <c r="X9101" s="2">
        <f ca="1"/>
        <v>25.775795405541196</v>
      </c>
      <c r="AG9101" s="2">
        <f ca="1"/>
        <v>0.96241208846699222</v>
      </c>
      <c r="AH9101" s="2" t="str">
        <f ca="1"/>
        <v>Bad</v>
      </c>
    </row>
    <row r="9102" spans="2:34" x14ac:dyDescent="0.2">
      <c r="B9102" s="2">
        <f ca="1"/>
        <v>0.30761637689245691</v>
      </c>
      <c r="O9102" s="2">
        <f ca="1"/>
        <v>1.1907364574853996</v>
      </c>
      <c r="X9102" s="2">
        <f ca="1"/>
        <v>70.365996752733452</v>
      </c>
      <c r="AG9102" s="2">
        <f ca="1"/>
        <v>0.37286030966718009</v>
      </c>
      <c r="AH9102" s="2" t="str">
        <f ca="1"/>
        <v>OK</v>
      </c>
    </row>
    <row r="9103" spans="2:34" x14ac:dyDescent="0.2">
      <c r="B9103" s="2">
        <f ca="1"/>
        <v>0.44987129394850722</v>
      </c>
      <c r="O9103" s="2">
        <f ca="1"/>
        <v>0.33016177684740683</v>
      </c>
      <c r="X9103" s="2">
        <f ca="1"/>
        <v>59.886136130112682</v>
      </c>
      <c r="AG9103" s="2">
        <f ca="1"/>
        <v>0.46554956470868425</v>
      </c>
      <c r="AH9103" s="2" t="str">
        <f ca="1"/>
        <v>Bad</v>
      </c>
    </row>
    <row r="9104" spans="2:34" x14ac:dyDescent="0.2">
      <c r="B9104" s="2">
        <f ca="1"/>
        <v>0.46046629254324056</v>
      </c>
      <c r="O9104" s="2">
        <f ca="1"/>
        <v>1.2419855403092879</v>
      </c>
      <c r="X9104" s="2">
        <f ca="1"/>
        <v>13.960086698144574</v>
      </c>
      <c r="AG9104" s="2">
        <f ca="1"/>
        <v>0.10869482554667709</v>
      </c>
      <c r="AH9104" s="2" t="str">
        <f ca="1"/>
        <v>OK</v>
      </c>
    </row>
    <row r="9105" spans="2:34" x14ac:dyDescent="0.2">
      <c r="B9105" s="2">
        <f ca="1"/>
        <v>0.46085451315726589</v>
      </c>
      <c r="O9105" s="2">
        <f ca="1"/>
        <v>0.50688442413516543</v>
      </c>
      <c r="X9105" s="2">
        <f ca="1"/>
        <v>42.066946628614936</v>
      </c>
      <c r="AG9105" s="2">
        <f ca="1"/>
        <v>0.60176224454481053</v>
      </c>
      <c r="AH9105" s="2" t="str">
        <f ca="1"/>
        <v>Bad</v>
      </c>
    </row>
    <row r="9106" spans="2:34" x14ac:dyDescent="0.2">
      <c r="B9106" s="2">
        <f ca="1"/>
        <v>0.87128842943151219</v>
      </c>
      <c r="O9106" s="2">
        <f ca="1"/>
        <v>1.6067040036613809</v>
      </c>
      <c r="X9106" s="2">
        <f ca="1"/>
        <v>46.490075477171445</v>
      </c>
      <c r="AG9106" s="2">
        <f ca="1"/>
        <v>2.6258394321636347E-2</v>
      </c>
      <c r="AH9106" s="2" t="str">
        <f ca="1"/>
        <v>Good</v>
      </c>
    </row>
    <row r="9107" spans="2:34" x14ac:dyDescent="0.2">
      <c r="B9107" s="2">
        <f ca="1"/>
        <v>7.3418077635632573E-2</v>
      </c>
      <c r="O9107" s="2">
        <f ca="1"/>
        <v>-0.26142306277199762</v>
      </c>
      <c r="X9107" s="2">
        <f ca="1"/>
        <v>40.060076115065883</v>
      </c>
      <c r="AG9107" s="2">
        <f ca="1"/>
        <v>0.61060873540976046</v>
      </c>
      <c r="AH9107" s="2" t="str">
        <f ca="1"/>
        <v>Bad</v>
      </c>
    </row>
    <row r="9108" spans="2:34" x14ac:dyDescent="0.2">
      <c r="B9108" s="2">
        <f ca="1"/>
        <v>0.46585325562183888</v>
      </c>
      <c r="O9108" s="2">
        <f ca="1"/>
        <v>-0.66547928132997769</v>
      </c>
      <c r="X9108" s="2">
        <f ca="1"/>
        <v>40.103895112517527</v>
      </c>
      <c r="AG9108" s="2">
        <f ca="1"/>
        <v>0.43786477664855994</v>
      </c>
      <c r="AH9108" s="2" t="str">
        <f ca="1"/>
        <v>Bad</v>
      </c>
    </row>
    <row r="9109" spans="2:34" x14ac:dyDescent="0.2">
      <c r="B9109" s="2">
        <f ca="1"/>
        <v>0.39439833920589384</v>
      </c>
      <c r="O9109" s="2">
        <f ca="1"/>
        <v>1.0994065912473252</v>
      </c>
      <c r="X9109" s="2">
        <f ca="1"/>
        <v>76.835144596892775</v>
      </c>
      <c r="AG9109" s="2">
        <f ca="1"/>
        <v>9.6383955048425785E-2</v>
      </c>
      <c r="AH9109" s="2" t="str">
        <f ca="1"/>
        <v>OK</v>
      </c>
    </row>
    <row r="9110" spans="2:34" x14ac:dyDescent="0.2">
      <c r="B9110" s="2">
        <f ca="1"/>
        <v>0.1008282180024116</v>
      </c>
      <c r="O9110" s="2">
        <f ca="1"/>
        <v>1.033568212623619</v>
      </c>
      <c r="X9110" s="2">
        <f ca="1"/>
        <v>55.891045922411337</v>
      </c>
      <c r="AG9110" s="2">
        <f ca="1"/>
        <v>0.67744675368771978</v>
      </c>
      <c r="AH9110" s="2" t="str">
        <f ca="1"/>
        <v>Bad</v>
      </c>
    </row>
    <row r="9111" spans="2:34" x14ac:dyDescent="0.2">
      <c r="B9111" s="2">
        <f ca="1"/>
        <v>0.54735373584071434</v>
      </c>
      <c r="O9111" s="2">
        <f ca="1"/>
        <v>0.24449364921896541</v>
      </c>
      <c r="X9111" s="2">
        <f ca="1"/>
        <v>48.120487670289272</v>
      </c>
      <c r="AG9111" s="2">
        <f ca="1"/>
        <v>0.39961445977886578</v>
      </c>
      <c r="AH9111" s="2" t="str">
        <f ca="1"/>
        <v>OK</v>
      </c>
    </row>
    <row r="9112" spans="2:34" x14ac:dyDescent="0.2">
      <c r="B9112" s="2">
        <f ca="1"/>
        <v>0.43875879238161475</v>
      </c>
      <c r="O9112" s="2">
        <f ca="1"/>
        <v>0.51144094726542888</v>
      </c>
      <c r="X9112" s="2">
        <f ca="1"/>
        <v>60.448560911335399</v>
      </c>
      <c r="AG9112" s="2">
        <f ca="1"/>
        <v>0.77169717646755354</v>
      </c>
      <c r="AH9112" s="2" t="str">
        <f ca="1"/>
        <v>Bad</v>
      </c>
    </row>
    <row r="9113" spans="2:34" x14ac:dyDescent="0.2">
      <c r="B9113" s="2">
        <f ca="1"/>
        <v>0.86663434031096909</v>
      </c>
      <c r="O9113" s="2">
        <f ca="1"/>
        <v>-0.34219834350113226</v>
      </c>
      <c r="X9113" s="2">
        <f ca="1"/>
        <v>33.476176077760186</v>
      </c>
      <c r="AG9113" s="2">
        <f ca="1"/>
        <v>0.7083493619837804</v>
      </c>
      <c r="AH9113" s="2" t="str">
        <f ca="1"/>
        <v>Bad</v>
      </c>
    </row>
    <row r="9114" spans="2:34" x14ac:dyDescent="0.2">
      <c r="B9114" s="2">
        <f ca="1"/>
        <v>0.64989815028342712</v>
      </c>
      <c r="O9114" s="2">
        <f ca="1"/>
        <v>-0.12511087793878706</v>
      </c>
      <c r="X9114" s="2">
        <f ca="1"/>
        <v>55.296621617011432</v>
      </c>
      <c r="AG9114" s="2">
        <f ca="1"/>
        <v>7.8612205077976727E-2</v>
      </c>
      <c r="AH9114" s="2" t="str">
        <f ca="1"/>
        <v>OK</v>
      </c>
    </row>
    <row r="9115" spans="2:34" x14ac:dyDescent="0.2">
      <c r="B9115" s="2">
        <f ca="1"/>
        <v>0.75724445444225275</v>
      </c>
      <c r="O9115" s="2">
        <f ca="1"/>
        <v>-1.4157873293628842</v>
      </c>
      <c r="X9115" s="2">
        <f ca="1"/>
        <v>50.066096597784117</v>
      </c>
      <c r="AG9115" s="2">
        <f ca="1"/>
        <v>0.25801769636617888</v>
      </c>
      <c r="AH9115" s="2" t="str">
        <f ca="1"/>
        <v>OK</v>
      </c>
    </row>
    <row r="9116" spans="2:34" x14ac:dyDescent="0.2">
      <c r="B9116" s="2">
        <f ca="1"/>
        <v>3.2095841266115643E-2</v>
      </c>
      <c r="O9116" s="2">
        <f ca="1"/>
        <v>0.7307231878566256</v>
      </c>
      <c r="X9116" s="2">
        <f ca="1"/>
        <v>84.031694021668642</v>
      </c>
      <c r="AG9116" s="2">
        <f ca="1"/>
        <v>0.24301552939381099</v>
      </c>
      <c r="AH9116" s="2" t="str">
        <f ca="1"/>
        <v>OK</v>
      </c>
    </row>
    <row r="9117" spans="2:34" x14ac:dyDescent="0.2">
      <c r="B9117" s="2">
        <f ca="1"/>
        <v>0.78688107164985888</v>
      </c>
      <c r="O9117" s="2">
        <f ca="1"/>
        <v>0.56195187836275218</v>
      </c>
      <c r="X9117" s="2">
        <f ca="1"/>
        <v>37.604323451621063</v>
      </c>
      <c r="AG9117" s="2">
        <f ca="1"/>
        <v>0.7821477514827464</v>
      </c>
      <c r="AH9117" s="2" t="str">
        <f ca="1"/>
        <v>Bad</v>
      </c>
    </row>
    <row r="9118" spans="2:34" x14ac:dyDescent="0.2">
      <c r="B9118" s="2">
        <f ca="1"/>
        <v>0.68670239972871672</v>
      </c>
      <c r="O9118" s="2">
        <f ca="1"/>
        <v>3.0015592078237829</v>
      </c>
      <c r="X9118" s="2">
        <f ca="1"/>
        <v>29.238218688231754</v>
      </c>
      <c r="AG9118" s="2">
        <f ca="1"/>
        <v>0.178168708699322</v>
      </c>
      <c r="AH9118" s="2" t="str">
        <f ca="1"/>
        <v>OK</v>
      </c>
    </row>
    <row r="9119" spans="2:34" x14ac:dyDescent="0.2">
      <c r="B9119" s="2">
        <f ca="1"/>
        <v>0.1573645715609806</v>
      </c>
      <c r="O9119" s="2">
        <f ca="1"/>
        <v>0.52987762692713691</v>
      </c>
      <c r="X9119" s="2">
        <f ca="1"/>
        <v>60.302160265366432</v>
      </c>
      <c r="AG9119" s="2">
        <f ca="1"/>
        <v>0.42169826955956613</v>
      </c>
      <c r="AH9119" s="2" t="str">
        <f ca="1"/>
        <v>Bad</v>
      </c>
    </row>
    <row r="9120" spans="2:34" x14ac:dyDescent="0.2">
      <c r="B9120" s="2">
        <f ca="1"/>
        <v>0.12953105750422567</v>
      </c>
      <c r="O9120" s="2">
        <f ca="1"/>
        <v>-3.6235656959951417</v>
      </c>
      <c r="X9120" s="2">
        <f ca="1"/>
        <v>68.594957392732269</v>
      </c>
      <c r="AG9120" s="2">
        <f ca="1"/>
        <v>0.55081115103048983</v>
      </c>
      <c r="AH9120" s="2" t="str">
        <f ca="1"/>
        <v>Bad</v>
      </c>
    </row>
    <row r="9121" spans="2:34" x14ac:dyDescent="0.2">
      <c r="B9121" s="2">
        <f ca="1"/>
        <v>0.65073936726430448</v>
      </c>
      <c r="O9121" s="2">
        <f ca="1"/>
        <v>0.22149240934782544</v>
      </c>
      <c r="X9121" s="2">
        <f ca="1"/>
        <v>21.5333630626237</v>
      </c>
      <c r="AG9121" s="2">
        <f ca="1"/>
        <v>0.88097271285522449</v>
      </c>
      <c r="AH9121" s="2" t="str">
        <f ca="1"/>
        <v>Bad</v>
      </c>
    </row>
    <row r="9122" spans="2:34" x14ac:dyDescent="0.2">
      <c r="B9122" s="2">
        <f ca="1"/>
        <v>0.53173664552001942</v>
      </c>
      <c r="O9122" s="2">
        <f ca="1"/>
        <v>-0.87446185021252776</v>
      </c>
      <c r="X9122" s="2">
        <f ca="1"/>
        <v>50.798646539212598</v>
      </c>
      <c r="AG9122" s="2">
        <f ca="1"/>
        <v>0.41040616772372451</v>
      </c>
      <c r="AH9122" s="2" t="str">
        <f ca="1"/>
        <v>Bad</v>
      </c>
    </row>
    <row r="9123" spans="2:34" x14ac:dyDescent="0.2">
      <c r="B9123" s="2">
        <f ca="1"/>
        <v>0.13593971811771888</v>
      </c>
      <c r="O9123" s="2">
        <f ca="1"/>
        <v>0.30315736064619325</v>
      </c>
      <c r="X9123" s="2">
        <f ca="1"/>
        <v>71.997853713881227</v>
      </c>
      <c r="AG9123" s="2">
        <f ca="1"/>
        <v>0.40841227188841223</v>
      </c>
      <c r="AH9123" s="2" t="str">
        <f ca="1"/>
        <v>Bad</v>
      </c>
    </row>
    <row r="9124" spans="2:34" x14ac:dyDescent="0.2">
      <c r="B9124" s="2">
        <f ca="1"/>
        <v>0.24487124716873532</v>
      </c>
      <c r="O9124" s="2">
        <f ca="1"/>
        <v>1.505247095935395</v>
      </c>
      <c r="X9124" s="2">
        <f ca="1"/>
        <v>45.46837135589292</v>
      </c>
      <c r="AG9124" s="2">
        <f ca="1"/>
        <v>9.8874555043566348E-2</v>
      </c>
      <c r="AH9124" s="2" t="str">
        <f ca="1"/>
        <v>OK</v>
      </c>
    </row>
    <row r="9125" spans="2:34" x14ac:dyDescent="0.2">
      <c r="B9125" s="2">
        <f ca="1"/>
        <v>0.76161675194934819</v>
      </c>
      <c r="O9125" s="2">
        <f ca="1"/>
        <v>-0.86650272007242979</v>
      </c>
      <c r="X9125" s="2">
        <f ca="1"/>
        <v>47.023809473459515</v>
      </c>
      <c r="AG9125" s="2">
        <f ca="1"/>
        <v>0.34334987127173733</v>
      </c>
      <c r="AH9125" s="2" t="str">
        <f ca="1"/>
        <v>OK</v>
      </c>
    </row>
    <row r="9126" spans="2:34" x14ac:dyDescent="0.2">
      <c r="B9126" s="2">
        <f ca="1"/>
        <v>0.26711920408471745</v>
      </c>
      <c r="O9126" s="2">
        <f ca="1"/>
        <v>0.72688321375192255</v>
      </c>
      <c r="X9126" s="2">
        <f ca="1"/>
        <v>52.723088036130498</v>
      </c>
      <c r="AG9126" s="2">
        <f ca="1"/>
        <v>0.6286616039805295</v>
      </c>
      <c r="AH9126" s="2" t="str">
        <f ca="1"/>
        <v>Bad</v>
      </c>
    </row>
    <row r="9127" spans="2:34" x14ac:dyDescent="0.2">
      <c r="B9127" s="2">
        <f ca="1"/>
        <v>0.25375606481697432</v>
      </c>
      <c r="O9127" s="2">
        <f ca="1"/>
        <v>-0.86419386942876764</v>
      </c>
      <c r="X9127" s="2">
        <f ca="1"/>
        <v>95.366458987358442</v>
      </c>
      <c r="AG9127" s="2">
        <f ca="1"/>
        <v>0.19986527042190061</v>
      </c>
      <c r="AH9127" s="2" t="str">
        <f ca="1"/>
        <v>OK</v>
      </c>
    </row>
    <row r="9128" spans="2:34" x14ac:dyDescent="0.2">
      <c r="B9128" s="2">
        <f ca="1"/>
        <v>0.82751929054806417</v>
      </c>
      <c r="O9128" s="2">
        <f ca="1"/>
        <v>0.1259991107903678</v>
      </c>
      <c r="X9128" s="2">
        <f ca="1"/>
        <v>67.875443186356023</v>
      </c>
      <c r="AG9128" s="2">
        <f ca="1"/>
        <v>0.24784929744135975</v>
      </c>
      <c r="AH9128" s="2" t="str">
        <f ca="1"/>
        <v>OK</v>
      </c>
    </row>
    <row r="9129" spans="2:34" x14ac:dyDescent="0.2">
      <c r="B9129" s="2">
        <f ca="1"/>
        <v>0.15973937724812726</v>
      </c>
      <c r="O9129" s="2">
        <f ca="1"/>
        <v>-0.19291958086677877</v>
      </c>
      <c r="X9129" s="2">
        <f ca="1"/>
        <v>35.872205419051205</v>
      </c>
      <c r="AG9129" s="2">
        <f ca="1"/>
        <v>0.44971760246834291</v>
      </c>
      <c r="AH9129" s="2" t="str">
        <f ca="1"/>
        <v>Bad</v>
      </c>
    </row>
    <row r="9130" spans="2:34" x14ac:dyDescent="0.2">
      <c r="B9130" s="2">
        <f ca="1"/>
        <v>0.92581640224095674</v>
      </c>
      <c r="O9130" s="2">
        <f ca="1"/>
        <v>2.0244201703214131</v>
      </c>
      <c r="X9130" s="2">
        <f ca="1"/>
        <v>30.489302174303667</v>
      </c>
      <c r="AG9130" s="2">
        <f ca="1"/>
        <v>0.95285470264671046</v>
      </c>
      <c r="AH9130" s="2" t="str">
        <f ca="1"/>
        <v>Bad</v>
      </c>
    </row>
    <row r="9131" spans="2:34" x14ac:dyDescent="0.2">
      <c r="B9131" s="2">
        <f ca="1"/>
        <v>0.21473468305028764</v>
      </c>
      <c r="O9131" s="2">
        <f ca="1"/>
        <v>0.17754087683036829</v>
      </c>
      <c r="X9131" s="2">
        <f ca="1"/>
        <v>63.378257698833963</v>
      </c>
      <c r="AG9131" s="2">
        <f ca="1"/>
        <v>0.93426658265159612</v>
      </c>
      <c r="AH9131" s="2" t="str">
        <f ca="1"/>
        <v>Bad</v>
      </c>
    </row>
    <row r="9132" spans="2:34" x14ac:dyDescent="0.2">
      <c r="B9132" s="2">
        <f ca="1"/>
        <v>0.11535011564979269</v>
      </c>
      <c r="O9132" s="2">
        <f ca="1"/>
        <v>-1.2429536315764351</v>
      </c>
      <c r="X9132" s="2">
        <f ca="1"/>
        <v>47.644153351809862</v>
      </c>
      <c r="AG9132" s="2">
        <f ca="1"/>
        <v>0.38016012023342705</v>
      </c>
      <c r="AH9132" s="2" t="str">
        <f ca="1"/>
        <v>OK</v>
      </c>
    </row>
    <row r="9133" spans="2:34" x14ac:dyDescent="0.2">
      <c r="B9133" s="2">
        <f ca="1"/>
        <v>8.3078927893476706E-2</v>
      </c>
      <c r="O9133" s="2">
        <f ca="1"/>
        <v>0.32207614270295881</v>
      </c>
      <c r="X9133" s="2">
        <f ca="1"/>
        <v>39.53141598947316</v>
      </c>
      <c r="AG9133" s="2">
        <f ca="1"/>
        <v>0.73766086674564701</v>
      </c>
      <c r="AH9133" s="2" t="str">
        <f ca="1"/>
        <v>Bad</v>
      </c>
    </row>
    <row r="9134" spans="2:34" x14ac:dyDescent="0.2">
      <c r="B9134" s="2">
        <f ca="1"/>
        <v>0.26037624056283648</v>
      </c>
      <c r="O9134" s="2">
        <f ca="1"/>
        <v>0.82062966960472394</v>
      </c>
      <c r="X9134" s="2">
        <f ca="1"/>
        <v>72.583064638657049</v>
      </c>
      <c r="AG9134" s="2">
        <f ca="1"/>
        <v>7.394025353592526E-2</v>
      </c>
      <c r="AH9134" s="2" t="str">
        <f ca="1"/>
        <v>OK</v>
      </c>
    </row>
    <row r="9135" spans="2:34" x14ac:dyDescent="0.2">
      <c r="B9135" s="2">
        <f ca="1"/>
        <v>0.28598627120213882</v>
      </c>
      <c r="O9135" s="2">
        <f ca="1"/>
        <v>0.46109192721989917</v>
      </c>
      <c r="X9135" s="2">
        <f ca="1"/>
        <v>32.290778595649265</v>
      </c>
      <c r="AG9135" s="2">
        <f ca="1"/>
        <v>0.90685926481287304</v>
      </c>
      <c r="AH9135" s="2" t="str">
        <f ca="1"/>
        <v>Bad</v>
      </c>
    </row>
    <row r="9136" spans="2:34" x14ac:dyDescent="0.2">
      <c r="B9136" s="2">
        <f ca="1"/>
        <v>0.59862678322553919</v>
      </c>
      <c r="O9136" s="2">
        <f ca="1"/>
        <v>1.1984913691066181</v>
      </c>
      <c r="X9136" s="2">
        <f ca="1"/>
        <v>32.168632692445975</v>
      </c>
      <c r="AG9136" s="2">
        <f ca="1"/>
        <v>0.29531800195809699</v>
      </c>
      <c r="AH9136" s="2" t="str">
        <f ca="1"/>
        <v>OK</v>
      </c>
    </row>
    <row r="9137" spans="2:34" x14ac:dyDescent="0.2">
      <c r="B9137" s="2">
        <f ca="1"/>
        <v>0.41335724877346025</v>
      </c>
      <c r="O9137" s="2">
        <f ca="1"/>
        <v>0.90151307603381359</v>
      </c>
      <c r="X9137" s="2">
        <f ca="1"/>
        <v>64.613386738224904</v>
      </c>
      <c r="AG9137" s="2">
        <f ca="1"/>
        <v>0.86115042011104959</v>
      </c>
      <c r="AH9137" s="2" t="str">
        <f ca="1"/>
        <v>Bad</v>
      </c>
    </row>
    <row r="9138" spans="2:34" x14ac:dyDescent="0.2">
      <c r="B9138" s="2">
        <f ca="1"/>
        <v>0.46737199851836264</v>
      </c>
      <c r="O9138" s="2">
        <f ca="1"/>
        <v>-0.18175484642507556</v>
      </c>
      <c r="X9138" s="2">
        <f ca="1"/>
        <v>81.896330847934138</v>
      </c>
      <c r="AG9138" s="2">
        <f ca="1"/>
        <v>0.36428391468177868</v>
      </c>
      <c r="AH9138" s="2" t="str">
        <f ca="1"/>
        <v>OK</v>
      </c>
    </row>
    <row r="9139" spans="2:34" x14ac:dyDescent="0.2">
      <c r="B9139" s="2">
        <f ca="1"/>
        <v>0.72152147464711036</v>
      </c>
      <c r="O9139" s="2">
        <f ca="1"/>
        <v>0.11359941873350968</v>
      </c>
      <c r="X9139" s="2">
        <f ca="1"/>
        <v>41.669264095945124</v>
      </c>
      <c r="AG9139" s="2">
        <f ca="1"/>
        <v>0.43513826292564417</v>
      </c>
      <c r="AH9139" s="2" t="str">
        <f ca="1"/>
        <v>Bad</v>
      </c>
    </row>
    <row r="9140" spans="2:34" x14ac:dyDescent="0.2">
      <c r="B9140" s="2">
        <f ca="1"/>
        <v>0.25978525068155389</v>
      </c>
      <c r="O9140" s="2">
        <f ca="1"/>
        <v>0.70927827337434379</v>
      </c>
      <c r="X9140" s="2">
        <f ca="1"/>
        <v>124.30260720771918</v>
      </c>
      <c r="AG9140" s="2">
        <f ca="1"/>
        <v>0.14743219017397191</v>
      </c>
      <c r="AH9140" s="2" t="str">
        <f ca="1"/>
        <v>OK</v>
      </c>
    </row>
    <row r="9141" spans="2:34" x14ac:dyDescent="0.2">
      <c r="B9141" s="2">
        <f ca="1"/>
        <v>1.8396688868377531E-2</v>
      </c>
      <c r="O9141" s="2">
        <f ca="1"/>
        <v>1.4871528102815119</v>
      </c>
      <c r="X9141" s="2">
        <f ca="1"/>
        <v>65.413717831307267</v>
      </c>
      <c r="AG9141" s="2">
        <f ca="1"/>
        <v>0.93436258384228421</v>
      </c>
      <c r="AH9141" s="2" t="str">
        <f ca="1"/>
        <v>Bad</v>
      </c>
    </row>
    <row r="9142" spans="2:34" x14ac:dyDescent="0.2">
      <c r="B9142" s="2">
        <f ca="1"/>
        <v>0.86593609328767895</v>
      </c>
      <c r="O9142" s="2">
        <f ca="1"/>
        <v>0.28545846600278019</v>
      </c>
      <c r="X9142" s="2">
        <f ca="1"/>
        <v>55.462354405299081</v>
      </c>
      <c r="AG9142" s="2">
        <f ca="1"/>
        <v>0.22822505363900047</v>
      </c>
      <c r="AH9142" s="2" t="str">
        <f ca="1"/>
        <v>OK</v>
      </c>
    </row>
    <row r="9143" spans="2:34" x14ac:dyDescent="0.2">
      <c r="B9143" s="2">
        <f ca="1"/>
        <v>9.4744700548653249E-2</v>
      </c>
      <c r="O9143" s="2">
        <f ca="1"/>
        <v>0.16072568932503969</v>
      </c>
      <c r="X9143" s="2">
        <f ca="1"/>
        <v>45.800052644316445</v>
      </c>
      <c r="AG9143" s="2">
        <f ca="1"/>
        <v>0.80774973535999561</v>
      </c>
      <c r="AH9143" s="2" t="str">
        <f ca="1"/>
        <v>Bad</v>
      </c>
    </row>
    <row r="9144" spans="2:34" x14ac:dyDescent="0.2">
      <c r="B9144" s="2">
        <f ca="1"/>
        <v>0.65133898309708571</v>
      </c>
      <c r="O9144" s="2">
        <f ca="1"/>
        <v>-1.2787827172629385</v>
      </c>
      <c r="X9144" s="2">
        <f ca="1"/>
        <v>45.762990362873026</v>
      </c>
      <c r="AG9144" s="2">
        <f ca="1"/>
        <v>0.27705193750749046</v>
      </c>
      <c r="AH9144" s="2" t="str">
        <f ca="1"/>
        <v>OK</v>
      </c>
    </row>
    <row r="9145" spans="2:34" x14ac:dyDescent="0.2">
      <c r="B9145" s="2">
        <f ca="1"/>
        <v>0.61496549903676567</v>
      </c>
      <c r="O9145" s="2">
        <f ca="1"/>
        <v>-0.73053751386950061</v>
      </c>
      <c r="X9145" s="2">
        <f ca="1"/>
        <v>49.575133485301947</v>
      </c>
      <c r="AG9145" s="2">
        <f ca="1"/>
        <v>0.71873985977438948</v>
      </c>
      <c r="AH9145" s="2" t="str">
        <f ca="1"/>
        <v>Bad</v>
      </c>
    </row>
    <row r="9146" spans="2:34" x14ac:dyDescent="0.2">
      <c r="B9146" s="2">
        <f ca="1"/>
        <v>0.61603492267900228</v>
      </c>
      <c r="O9146" s="2">
        <f ca="1"/>
        <v>-1.1528233295580679</v>
      </c>
      <c r="X9146" s="2">
        <f ca="1"/>
        <v>47.422646552965794</v>
      </c>
      <c r="AG9146" s="2">
        <f ca="1"/>
        <v>0.60593663491152694</v>
      </c>
      <c r="AH9146" s="2" t="str">
        <f ca="1"/>
        <v>Bad</v>
      </c>
    </row>
    <row r="9147" spans="2:34" x14ac:dyDescent="0.2">
      <c r="B9147" s="2">
        <f ca="1"/>
        <v>0.63473672478251975</v>
      </c>
      <c r="O9147" s="2">
        <f ca="1"/>
        <v>0.29008414709452246</v>
      </c>
      <c r="X9147" s="2">
        <f ca="1"/>
        <v>38.846496178191956</v>
      </c>
      <c r="AG9147" s="2">
        <f ca="1"/>
        <v>0.26691202630404742</v>
      </c>
      <c r="AH9147" s="2" t="str">
        <f ca="1"/>
        <v>OK</v>
      </c>
    </row>
    <row r="9148" spans="2:34" x14ac:dyDescent="0.2">
      <c r="B9148" s="2">
        <f ca="1"/>
        <v>0.9686296643115897</v>
      </c>
      <c r="O9148" s="2">
        <f ca="1"/>
        <v>-0.50287036026577403</v>
      </c>
      <c r="X9148" s="2">
        <f ca="1"/>
        <v>63.283084192720487</v>
      </c>
      <c r="AG9148" s="2">
        <f ca="1"/>
        <v>0.45697252063411065</v>
      </c>
      <c r="AH9148" s="2" t="str">
        <f ca="1"/>
        <v>Bad</v>
      </c>
    </row>
    <row r="9149" spans="2:34" x14ac:dyDescent="0.2">
      <c r="B9149" s="2">
        <f ca="1"/>
        <v>1.2174943405885985E-2</v>
      </c>
      <c r="O9149" s="2">
        <f ca="1"/>
        <v>-1.139222897004891</v>
      </c>
      <c r="X9149" s="2">
        <f ca="1"/>
        <v>31.4312370390201</v>
      </c>
      <c r="AG9149" s="2">
        <f ca="1"/>
        <v>0.42792498141422453</v>
      </c>
      <c r="AH9149" s="2" t="str">
        <f ca="1"/>
        <v>Bad</v>
      </c>
    </row>
    <row r="9150" spans="2:34" x14ac:dyDescent="0.2">
      <c r="B9150" s="2">
        <f ca="1"/>
        <v>0.56037534531508126</v>
      </c>
      <c r="O9150" s="2">
        <f ca="1"/>
        <v>1.299820005637079</v>
      </c>
      <c r="X9150" s="2">
        <f ca="1"/>
        <v>92.904140875771162</v>
      </c>
      <c r="AG9150" s="2">
        <f ca="1"/>
        <v>0.47800728402996162</v>
      </c>
      <c r="AH9150" s="2" t="str">
        <f ca="1"/>
        <v>Bad</v>
      </c>
    </row>
    <row r="9151" spans="2:34" x14ac:dyDescent="0.2">
      <c r="B9151" s="2">
        <f ca="1"/>
        <v>0.27035866396803576</v>
      </c>
      <c r="O9151" s="2">
        <f ca="1"/>
        <v>0.74467360197329679</v>
      </c>
      <c r="X9151" s="2">
        <f ca="1"/>
        <v>43.29268632523052</v>
      </c>
      <c r="AG9151" s="2">
        <f ca="1"/>
        <v>0.89687976643405132</v>
      </c>
      <c r="AH9151" s="2" t="str">
        <f ca="1"/>
        <v>Bad</v>
      </c>
    </row>
    <row r="9152" spans="2:34" x14ac:dyDescent="0.2">
      <c r="B9152" s="2">
        <f ca="1"/>
        <v>0.14210430650283357</v>
      </c>
      <c r="O9152" s="2">
        <f ca="1"/>
        <v>0.98019532327033754</v>
      </c>
      <c r="X9152" s="2">
        <f ca="1"/>
        <v>42.639759950778682</v>
      </c>
      <c r="AG9152" s="2">
        <f ca="1"/>
        <v>0.59446673562667418</v>
      </c>
      <c r="AH9152" s="2" t="str">
        <f ca="1"/>
        <v>Bad</v>
      </c>
    </row>
    <row r="9153" spans="2:34" x14ac:dyDescent="0.2">
      <c r="B9153" s="2">
        <f ca="1"/>
        <v>0.1049878494196792</v>
      </c>
      <c r="O9153" s="2">
        <f ca="1"/>
        <v>-0.96826894893273163</v>
      </c>
      <c r="X9153" s="2">
        <f ca="1"/>
        <v>34.210450175015573</v>
      </c>
      <c r="AG9153" s="2">
        <f ca="1"/>
        <v>0.6606564234022021</v>
      </c>
      <c r="AH9153" s="2" t="str">
        <f ca="1"/>
        <v>Bad</v>
      </c>
    </row>
    <row r="9154" spans="2:34" x14ac:dyDescent="0.2">
      <c r="B9154" s="2">
        <f ca="1"/>
        <v>0.45437766023122639</v>
      </c>
      <c r="O9154" s="2">
        <f ca="1"/>
        <v>0.13334402510725357</v>
      </c>
      <c r="X9154" s="2">
        <f ca="1"/>
        <v>30.33135599366835</v>
      </c>
      <c r="AG9154" s="2">
        <f ca="1"/>
        <v>0.29718251832927289</v>
      </c>
      <c r="AH9154" s="2" t="str">
        <f ca="1"/>
        <v>OK</v>
      </c>
    </row>
    <row r="9155" spans="2:34" x14ac:dyDescent="0.2">
      <c r="B9155" s="2">
        <f ca="1"/>
        <v>0.96742016019745547</v>
      </c>
      <c r="O9155" s="2">
        <f ca="1"/>
        <v>0.71934992241965401</v>
      </c>
      <c r="X9155" s="2">
        <f ca="1"/>
        <v>68.342240220287934</v>
      </c>
      <c r="AG9155" s="2">
        <f ca="1"/>
        <v>0.71125981013029005</v>
      </c>
      <c r="AH9155" s="2" t="str">
        <f ca="1"/>
        <v>Bad</v>
      </c>
    </row>
    <row r="9156" spans="2:34" x14ac:dyDescent="0.2">
      <c r="B9156" s="2">
        <f ca="1"/>
        <v>0.45405428130946701</v>
      </c>
      <c r="O9156" s="2">
        <f ca="1"/>
        <v>-8.1672663048532781E-2</v>
      </c>
      <c r="X9156" s="2">
        <f ca="1"/>
        <v>56.262216165620671</v>
      </c>
      <c r="AG9156" s="2">
        <f ca="1"/>
        <v>0.34460621983678763</v>
      </c>
      <c r="AH9156" s="2" t="str">
        <f ca="1"/>
        <v>OK</v>
      </c>
    </row>
    <row r="9157" spans="2:34" x14ac:dyDescent="0.2">
      <c r="B9157" s="2">
        <f ca="1"/>
        <v>0.23254165567453566</v>
      </c>
      <c r="O9157" s="2">
        <f ca="1"/>
        <v>-1.5745151603071377</v>
      </c>
      <c r="X9157" s="2">
        <f ca="1"/>
        <v>70.921057249850961</v>
      </c>
      <c r="AG9157" s="2">
        <f ca="1"/>
        <v>0.54776805115437299</v>
      </c>
      <c r="AH9157" s="2" t="str">
        <f ca="1"/>
        <v>Bad</v>
      </c>
    </row>
    <row r="9158" spans="2:34" x14ac:dyDescent="0.2">
      <c r="B9158" s="2">
        <f ca="1"/>
        <v>0.55796117521736055</v>
      </c>
      <c r="O9158" s="2">
        <f ca="1"/>
        <v>-0.35065043358107856</v>
      </c>
      <c r="X9158" s="2">
        <f ca="1"/>
        <v>37.600491621308223</v>
      </c>
      <c r="AG9158" s="2">
        <f ca="1"/>
        <v>0.80505610905720704</v>
      </c>
      <c r="AH9158" s="2" t="str">
        <f ca="1"/>
        <v>Bad</v>
      </c>
    </row>
    <row r="9159" spans="2:34" x14ac:dyDescent="0.2">
      <c r="B9159" s="2">
        <f ca="1"/>
        <v>0.46826326328360057</v>
      </c>
      <c r="O9159" s="2">
        <f ca="1"/>
        <v>-1.0852421318214733</v>
      </c>
      <c r="X9159" s="2">
        <f ca="1"/>
        <v>75.910811326911556</v>
      </c>
      <c r="AG9159" s="2">
        <f ca="1"/>
        <v>0.2465416827952891</v>
      </c>
      <c r="AH9159" s="2" t="str">
        <f ca="1"/>
        <v>OK</v>
      </c>
    </row>
    <row r="9160" spans="2:34" x14ac:dyDescent="0.2">
      <c r="B9160" s="2">
        <f ca="1"/>
        <v>0.91575416662677678</v>
      </c>
      <c r="O9160" s="2">
        <f ca="1"/>
        <v>-0.80439686580325076</v>
      </c>
      <c r="X9160" s="2">
        <f ca="1"/>
        <v>42.078393000533431</v>
      </c>
      <c r="AG9160" s="2">
        <f ca="1"/>
        <v>0.89373775796170118</v>
      </c>
      <c r="AH9160" s="2" t="str">
        <f ca="1"/>
        <v>Bad</v>
      </c>
    </row>
    <row r="9161" spans="2:34" x14ac:dyDescent="0.2">
      <c r="B9161" s="2">
        <f ca="1"/>
        <v>0.12041425924384419</v>
      </c>
      <c r="O9161" s="2">
        <f ca="1"/>
        <v>1.2740335947507451</v>
      </c>
      <c r="X9161" s="2">
        <f ca="1"/>
        <v>30.442217821156014</v>
      </c>
      <c r="AG9161" s="2">
        <f ca="1"/>
        <v>0.89079477481034264</v>
      </c>
      <c r="AH9161" s="2" t="str">
        <f ca="1"/>
        <v>Bad</v>
      </c>
    </row>
    <row r="9162" spans="2:34" x14ac:dyDescent="0.2">
      <c r="B9162" s="2">
        <f ca="1"/>
        <v>0.32649853056647316</v>
      </c>
      <c r="O9162" s="2">
        <f ca="1"/>
        <v>1.5335750116924389</v>
      </c>
      <c r="X9162" s="2">
        <f ca="1"/>
        <v>70.66731011741669</v>
      </c>
      <c r="AG9162" s="2">
        <f ca="1"/>
        <v>0.36361734228704523</v>
      </c>
      <c r="AH9162" s="2" t="str">
        <f ca="1"/>
        <v>OK</v>
      </c>
    </row>
    <row r="9163" spans="2:34" x14ac:dyDescent="0.2">
      <c r="B9163" s="2">
        <f ca="1"/>
        <v>0.24282948624241918</v>
      </c>
      <c r="O9163" s="2">
        <f ca="1"/>
        <v>-1.0427750605414434</v>
      </c>
      <c r="X9163" s="2">
        <f ca="1"/>
        <v>46.97304715020362</v>
      </c>
      <c r="AG9163" s="2">
        <f ca="1"/>
        <v>0.67773612288887475</v>
      </c>
      <c r="AH9163" s="2" t="str">
        <f ca="1"/>
        <v>Bad</v>
      </c>
    </row>
    <row r="9164" spans="2:34" x14ac:dyDescent="0.2">
      <c r="B9164" s="2">
        <f ca="1"/>
        <v>0.73444263070229665</v>
      </c>
      <c r="O9164" s="2">
        <f ca="1"/>
        <v>3.8080392632393552E-2</v>
      </c>
      <c r="X9164" s="2">
        <f ca="1"/>
        <v>69.956613814181011</v>
      </c>
      <c r="AG9164" s="2">
        <f ca="1"/>
        <v>0.78358181317275255</v>
      </c>
      <c r="AH9164" s="2" t="str">
        <f ca="1"/>
        <v>Bad</v>
      </c>
    </row>
    <row r="9165" spans="2:34" x14ac:dyDescent="0.2">
      <c r="B9165" s="2">
        <f ca="1"/>
        <v>0.21865504900079236</v>
      </c>
      <c r="O9165" s="2">
        <f ca="1"/>
        <v>1.462997289169391</v>
      </c>
      <c r="X9165" s="2">
        <f ca="1"/>
        <v>48.279154198279954</v>
      </c>
      <c r="AG9165" s="2">
        <f ca="1"/>
        <v>0.24101114354069941</v>
      </c>
      <c r="AH9165" s="2" t="str">
        <f ca="1"/>
        <v>OK</v>
      </c>
    </row>
    <row r="9166" spans="2:34" x14ac:dyDescent="0.2">
      <c r="B9166" s="2">
        <f ca="1"/>
        <v>0.79500269938194146</v>
      </c>
      <c r="O9166" s="2">
        <f ca="1"/>
        <v>1.5175760934510862</v>
      </c>
      <c r="X9166" s="2">
        <f ca="1"/>
        <v>52.076676708718715</v>
      </c>
      <c r="AG9166" s="2">
        <f ca="1"/>
        <v>5.0653917390504732E-2</v>
      </c>
      <c r="AH9166" s="2" t="str">
        <f ca="1"/>
        <v>OK</v>
      </c>
    </row>
    <row r="9167" spans="2:34" x14ac:dyDescent="0.2">
      <c r="B9167" s="2">
        <f ca="1"/>
        <v>0.69204350067023235</v>
      </c>
      <c r="O9167" s="2">
        <f ca="1"/>
        <v>5.720787097026561E-3</v>
      </c>
      <c r="X9167" s="2">
        <f ca="1"/>
        <v>29.020028980649425</v>
      </c>
      <c r="AG9167" s="2">
        <f ca="1"/>
        <v>0.13775248050897093</v>
      </c>
      <c r="AH9167" s="2" t="str">
        <f ca="1"/>
        <v>OK</v>
      </c>
    </row>
    <row r="9168" spans="2:34" x14ac:dyDescent="0.2">
      <c r="B9168" s="2">
        <f ca="1"/>
        <v>0.81210191386823261</v>
      </c>
      <c r="O9168" s="2">
        <f ca="1"/>
        <v>0.57278841105982137</v>
      </c>
      <c r="X9168" s="2">
        <f ca="1"/>
        <v>50.205961400772345</v>
      </c>
      <c r="AG9168" s="2">
        <f ca="1"/>
        <v>0.35113107504302277</v>
      </c>
      <c r="AH9168" s="2" t="str">
        <f ca="1"/>
        <v>OK</v>
      </c>
    </row>
    <row r="9169" spans="2:34" x14ac:dyDescent="0.2">
      <c r="B9169" s="2">
        <f ca="1"/>
        <v>8.1037457681607972E-2</v>
      </c>
      <c r="O9169" s="2">
        <f ca="1"/>
        <v>0.63051469606310107</v>
      </c>
      <c r="X9169" s="2">
        <f ca="1"/>
        <v>36.479542889458706</v>
      </c>
      <c r="AG9169" s="2">
        <f ca="1"/>
        <v>0.61426358646107082</v>
      </c>
      <c r="AH9169" s="2" t="str">
        <f ca="1"/>
        <v>Bad</v>
      </c>
    </row>
    <row r="9170" spans="2:34" x14ac:dyDescent="0.2">
      <c r="B9170" s="2">
        <f ca="1"/>
        <v>0.86697728000659113</v>
      </c>
      <c r="O9170" s="2">
        <f ca="1"/>
        <v>0.19462754809336225</v>
      </c>
      <c r="X9170" s="2">
        <f ca="1"/>
        <v>30.872239901929209</v>
      </c>
      <c r="AG9170" s="2">
        <f ca="1"/>
        <v>0.41861441571166647</v>
      </c>
      <c r="AH9170" s="2" t="str">
        <f ca="1"/>
        <v>Bad</v>
      </c>
    </row>
    <row r="9171" spans="2:34" x14ac:dyDescent="0.2">
      <c r="B9171" s="2">
        <f ca="1"/>
        <v>0.11269462866069513</v>
      </c>
      <c r="O9171" s="2">
        <f ca="1"/>
        <v>-0.2661973095043037</v>
      </c>
      <c r="X9171" s="2">
        <f ca="1"/>
        <v>71.75691825640429</v>
      </c>
      <c r="AG9171" s="2">
        <f ca="1"/>
        <v>0.73789046426071758</v>
      </c>
      <c r="AH9171" s="2" t="str">
        <f ca="1"/>
        <v>Bad</v>
      </c>
    </row>
    <row r="9172" spans="2:34" x14ac:dyDescent="0.2">
      <c r="B9172" s="2">
        <f ca="1"/>
        <v>6.6528922445757255E-2</v>
      </c>
      <c r="O9172" s="2">
        <f ca="1"/>
        <v>1.4826637373162972</v>
      </c>
      <c r="X9172" s="2">
        <f ca="1"/>
        <v>60.584893935712856</v>
      </c>
      <c r="AG9172" s="2">
        <f ca="1"/>
        <v>0.45979116924907881</v>
      </c>
      <c r="AH9172" s="2" t="str">
        <f ca="1"/>
        <v>Bad</v>
      </c>
    </row>
    <row r="9173" spans="2:34" x14ac:dyDescent="0.2">
      <c r="B9173" s="2">
        <f ca="1"/>
        <v>0.98228623055947084</v>
      </c>
      <c r="O9173" s="2">
        <f ca="1"/>
        <v>-0.98901484446232324</v>
      </c>
      <c r="X9173" s="2">
        <f ca="1"/>
        <v>15.472596144907449</v>
      </c>
      <c r="AG9173" s="2">
        <f ca="1"/>
        <v>0.61313762867774457</v>
      </c>
      <c r="AH9173" s="2" t="str">
        <f ca="1"/>
        <v>Bad</v>
      </c>
    </row>
    <row r="9174" spans="2:34" x14ac:dyDescent="0.2">
      <c r="B9174" s="2">
        <f ca="1"/>
        <v>0.87455480329882085</v>
      </c>
      <c r="O9174" s="2">
        <f ca="1"/>
        <v>0.41175227809563036</v>
      </c>
      <c r="X9174" s="2">
        <f ca="1"/>
        <v>38.337910459489414</v>
      </c>
      <c r="AG9174" s="2">
        <f ca="1"/>
        <v>0.49963531777451475</v>
      </c>
      <c r="AH9174" s="2" t="str">
        <f ca="1"/>
        <v>Bad</v>
      </c>
    </row>
    <row r="9175" spans="2:34" x14ac:dyDescent="0.2">
      <c r="B9175" s="2">
        <f ca="1"/>
        <v>0.18088098165692834</v>
      </c>
      <c r="O9175" s="2">
        <f ca="1"/>
        <v>-1.1632208825462889</v>
      </c>
      <c r="X9175" s="2">
        <f ca="1"/>
        <v>45.774298588979349</v>
      </c>
      <c r="AG9175" s="2">
        <f ca="1"/>
        <v>0.96595055247313</v>
      </c>
      <c r="AH9175" s="2" t="str">
        <f ca="1"/>
        <v>Bad</v>
      </c>
    </row>
    <row r="9176" spans="2:34" x14ac:dyDescent="0.2">
      <c r="B9176" s="2">
        <f ca="1"/>
        <v>0.81806197026389649</v>
      </c>
      <c r="O9176" s="2">
        <f ca="1"/>
        <v>-0.74541554176486313</v>
      </c>
      <c r="X9176" s="2">
        <f ca="1"/>
        <v>36.701251085912702</v>
      </c>
      <c r="AG9176" s="2">
        <f ca="1"/>
        <v>0.79499349348623949</v>
      </c>
      <c r="AH9176" s="2" t="str">
        <f ca="1"/>
        <v>Bad</v>
      </c>
    </row>
    <row r="9177" spans="2:34" x14ac:dyDescent="0.2">
      <c r="B9177" s="2">
        <f ca="1"/>
        <v>0.36669940504544396</v>
      </c>
      <c r="O9177" s="2">
        <f ca="1"/>
        <v>-0.82181275218359895</v>
      </c>
      <c r="X9177" s="2">
        <f ca="1"/>
        <v>54.246872414118513</v>
      </c>
      <c r="AG9177" s="2">
        <f ca="1"/>
        <v>2.4372909085259575E-3</v>
      </c>
      <c r="AH9177" s="2" t="str">
        <f ca="1"/>
        <v>Good</v>
      </c>
    </row>
    <row r="9178" spans="2:34" x14ac:dyDescent="0.2">
      <c r="B9178" s="2">
        <f ca="1"/>
        <v>0.78349233289083697</v>
      </c>
      <c r="O9178" s="2">
        <f ca="1"/>
        <v>-0.87959055867689828</v>
      </c>
      <c r="X9178" s="2">
        <f ca="1"/>
        <v>43.252111672704672</v>
      </c>
      <c r="AG9178" s="2">
        <f ca="1"/>
        <v>0.46108419572587866</v>
      </c>
      <c r="AH9178" s="2" t="str">
        <f ca="1"/>
        <v>Bad</v>
      </c>
    </row>
    <row r="9179" spans="2:34" x14ac:dyDescent="0.2">
      <c r="B9179" s="2">
        <f ca="1"/>
        <v>0.52799811277360575</v>
      </c>
      <c r="O9179" s="2">
        <f ca="1"/>
        <v>0.33539050994923941</v>
      </c>
      <c r="X9179" s="2">
        <f ca="1"/>
        <v>45.343342101150739</v>
      </c>
      <c r="AG9179" s="2">
        <f ca="1"/>
        <v>0.20427691357525934</v>
      </c>
      <c r="AH9179" s="2" t="str">
        <f ca="1"/>
        <v>OK</v>
      </c>
    </row>
    <row r="9180" spans="2:34" x14ac:dyDescent="0.2">
      <c r="B9180" s="2">
        <f ca="1"/>
        <v>0.99401648229407735</v>
      </c>
      <c r="O9180" s="2">
        <f ca="1"/>
        <v>4.0911699648887301E-3</v>
      </c>
      <c r="X9180" s="2">
        <f ca="1"/>
        <v>52.109254868238963</v>
      </c>
      <c r="AG9180" s="2">
        <f ca="1"/>
        <v>0.39042641163086489</v>
      </c>
      <c r="AH9180" s="2" t="str">
        <f ca="1"/>
        <v>OK</v>
      </c>
    </row>
    <row r="9181" spans="2:34" x14ac:dyDescent="0.2">
      <c r="B9181" s="2">
        <f ca="1"/>
        <v>0.40853328336852512</v>
      </c>
      <c r="O9181" s="2">
        <f ca="1"/>
        <v>0.94087708715124441</v>
      </c>
      <c r="X9181" s="2">
        <f ca="1"/>
        <v>42.729944139969177</v>
      </c>
      <c r="AG9181" s="2">
        <f ca="1"/>
        <v>0.16879076465321052</v>
      </c>
      <c r="AH9181" s="2" t="str">
        <f ca="1"/>
        <v>OK</v>
      </c>
    </row>
    <row r="9182" spans="2:34" x14ac:dyDescent="0.2">
      <c r="B9182" s="2">
        <f ca="1"/>
        <v>0.99851963627618101</v>
      </c>
      <c r="O9182" s="2">
        <f ca="1"/>
        <v>-0.28454970636714239</v>
      </c>
      <c r="X9182" s="2">
        <f ca="1"/>
        <v>49.236580978568725</v>
      </c>
      <c r="AG9182" s="2">
        <f ca="1"/>
        <v>0.71693761259893796</v>
      </c>
      <c r="AH9182" s="2" t="str">
        <f ca="1"/>
        <v>Bad</v>
      </c>
    </row>
    <row r="9183" spans="2:34" x14ac:dyDescent="0.2">
      <c r="B9183" s="2">
        <f ca="1"/>
        <v>0.27079384579089139</v>
      </c>
      <c r="O9183" s="2">
        <f ca="1"/>
        <v>-0.75295229342785819</v>
      </c>
      <c r="X9183" s="2">
        <f ca="1"/>
        <v>61.146956864587878</v>
      </c>
      <c r="AG9183" s="2">
        <f ca="1"/>
        <v>0.50938546138594809</v>
      </c>
      <c r="AH9183" s="2" t="str">
        <f ca="1"/>
        <v>Bad</v>
      </c>
    </row>
    <row r="9184" spans="2:34" x14ac:dyDescent="0.2">
      <c r="B9184" s="2">
        <f ca="1"/>
        <v>0.28797300672919479</v>
      </c>
      <c r="O9184" s="2">
        <f ca="1"/>
        <v>1.4232690071838254</v>
      </c>
      <c r="X9184" s="2">
        <f ca="1"/>
        <v>45.405012761399433</v>
      </c>
      <c r="AG9184" s="2">
        <f ca="1"/>
        <v>0.11349163004223062</v>
      </c>
      <c r="AH9184" s="2" t="str">
        <f ca="1"/>
        <v>OK</v>
      </c>
    </row>
    <row r="9185" spans="2:34" x14ac:dyDescent="0.2">
      <c r="B9185" s="2">
        <f ca="1"/>
        <v>0.12849275391133075</v>
      </c>
      <c r="O9185" s="2">
        <f ca="1"/>
        <v>-1.095166106412043</v>
      </c>
      <c r="X9185" s="2">
        <f ca="1"/>
        <v>59.493931692342045</v>
      </c>
      <c r="AG9185" s="2">
        <f ca="1"/>
        <v>0.25857983481641522</v>
      </c>
      <c r="AH9185" s="2" t="str">
        <f ca="1"/>
        <v>OK</v>
      </c>
    </row>
    <row r="9186" spans="2:34" x14ac:dyDescent="0.2">
      <c r="B9186" s="2">
        <f ca="1"/>
        <v>0.79356091189345679</v>
      </c>
      <c r="O9186" s="2">
        <f ca="1"/>
        <v>0.23707497932580682</v>
      </c>
      <c r="X9186" s="2">
        <f ca="1"/>
        <v>55.507241496133531</v>
      </c>
      <c r="AG9186" s="2">
        <f ca="1"/>
        <v>0.90911299890944886</v>
      </c>
      <c r="AH9186" s="2" t="str">
        <f ca="1"/>
        <v>Bad</v>
      </c>
    </row>
    <row r="9187" spans="2:34" x14ac:dyDescent="0.2">
      <c r="B9187" s="2">
        <f ca="1"/>
        <v>0.49418914173849671</v>
      </c>
      <c r="O9187" s="2">
        <f ca="1"/>
        <v>1.430957727607425</v>
      </c>
      <c r="X9187" s="2">
        <f ca="1"/>
        <v>32.838919145751902</v>
      </c>
      <c r="AG9187" s="2">
        <f ca="1"/>
        <v>4.2680712054686598E-2</v>
      </c>
      <c r="AH9187" s="2" t="str">
        <f ca="1"/>
        <v>Good</v>
      </c>
    </row>
    <row r="9188" spans="2:34" x14ac:dyDescent="0.2">
      <c r="B9188" s="2">
        <f ca="1"/>
        <v>0.35402586884499732</v>
      </c>
      <c r="O9188" s="2">
        <f ca="1"/>
        <v>0.20302336420651043</v>
      </c>
      <c r="X9188" s="2">
        <f ca="1"/>
        <v>48.744570332348047</v>
      </c>
      <c r="AG9188" s="2">
        <f ca="1"/>
        <v>0.64440138371099209</v>
      </c>
      <c r="AH9188" s="2" t="str">
        <f ca="1"/>
        <v>Bad</v>
      </c>
    </row>
    <row r="9189" spans="2:34" x14ac:dyDescent="0.2">
      <c r="B9189" s="2">
        <f ca="1"/>
        <v>0.4655685172802686</v>
      </c>
      <c r="O9189" s="2">
        <f ca="1"/>
        <v>-1.1072487156226059</v>
      </c>
      <c r="X9189" s="2">
        <f ca="1"/>
        <v>30.093216045053708</v>
      </c>
      <c r="AG9189" s="2">
        <f ca="1"/>
        <v>0.10333297204956415</v>
      </c>
      <c r="AH9189" s="2" t="str">
        <f ca="1"/>
        <v>OK</v>
      </c>
    </row>
    <row r="9190" spans="2:34" x14ac:dyDescent="0.2">
      <c r="B9190" s="2">
        <f ca="1"/>
        <v>0.63509493996046285</v>
      </c>
      <c r="O9190" s="2">
        <f ca="1"/>
        <v>0.54509744894019108</v>
      </c>
      <c r="X9190" s="2">
        <f ca="1"/>
        <v>56.827380489029913</v>
      </c>
      <c r="AG9190" s="2">
        <f ca="1"/>
        <v>0.19997498423629945</v>
      </c>
      <c r="AH9190" s="2" t="str">
        <f ca="1"/>
        <v>OK</v>
      </c>
    </row>
    <row r="9191" spans="2:34" x14ac:dyDescent="0.2">
      <c r="B9191" s="2">
        <f ca="1"/>
        <v>0.56164007475865563</v>
      </c>
      <c r="O9191" s="2">
        <f ca="1"/>
        <v>-0.85357617167692312</v>
      </c>
      <c r="X9191" s="2">
        <f ca="1"/>
        <v>49.701002755464181</v>
      </c>
      <c r="AG9191" s="2">
        <f ca="1"/>
        <v>4.4811725875039787E-2</v>
      </c>
      <c r="AH9191" s="2" t="str">
        <f ca="1"/>
        <v>Good</v>
      </c>
    </row>
    <row r="9192" spans="2:34" x14ac:dyDescent="0.2">
      <c r="B9192" s="2">
        <f ca="1"/>
        <v>0.96697663602363337</v>
      </c>
      <c r="O9192" s="2">
        <f ca="1"/>
        <v>-0.56197459511530723</v>
      </c>
      <c r="X9192" s="2">
        <f ca="1"/>
        <v>33.918205553656612</v>
      </c>
      <c r="AG9192" s="2">
        <f ca="1"/>
        <v>0.45407853427178857</v>
      </c>
      <c r="AH9192" s="2" t="str">
        <f ca="1"/>
        <v>Bad</v>
      </c>
    </row>
    <row r="9193" spans="2:34" x14ac:dyDescent="0.2">
      <c r="B9193" s="2">
        <f ca="1"/>
        <v>0.86994836199323289</v>
      </c>
      <c r="O9193" s="2">
        <f ca="1"/>
        <v>-0.50328900298391366</v>
      </c>
      <c r="X9193" s="2">
        <f ca="1"/>
        <v>52.032895392365155</v>
      </c>
      <c r="AG9193" s="2">
        <f ca="1"/>
        <v>0.82660968500266963</v>
      </c>
      <c r="AH9193" s="2" t="str">
        <f ca="1"/>
        <v>Bad</v>
      </c>
    </row>
    <row r="9194" spans="2:34" x14ac:dyDescent="0.2">
      <c r="B9194" s="2">
        <f ca="1"/>
        <v>0.37461218528926588</v>
      </c>
      <c r="O9194" s="2">
        <f ca="1"/>
        <v>-4.8451721673438537E-2</v>
      </c>
      <c r="X9194" s="2">
        <f ca="1"/>
        <v>43.979057129133949</v>
      </c>
      <c r="AG9194" s="2">
        <f ca="1"/>
        <v>0.64685674161829598</v>
      </c>
      <c r="AH9194" s="2" t="str">
        <f ca="1"/>
        <v>Bad</v>
      </c>
    </row>
    <row r="9195" spans="2:34" x14ac:dyDescent="0.2">
      <c r="B9195" s="2">
        <f ca="1"/>
        <v>0.37523328457163174</v>
      </c>
      <c r="O9195" s="2">
        <f ca="1"/>
        <v>-0.7521856407455596</v>
      </c>
      <c r="X9195" s="2">
        <f ca="1"/>
        <v>67.785641626465477</v>
      </c>
      <c r="AG9195" s="2">
        <f ca="1"/>
        <v>0.80500509629442929</v>
      </c>
      <c r="AH9195" s="2" t="str">
        <f ca="1"/>
        <v>Bad</v>
      </c>
    </row>
    <row r="9196" spans="2:34" x14ac:dyDescent="0.2">
      <c r="B9196" s="2">
        <f ca="1"/>
        <v>0.54758801003201452</v>
      </c>
      <c r="O9196" s="2">
        <f ca="1"/>
        <v>-1.0260548271512835</v>
      </c>
      <c r="X9196" s="2">
        <f ca="1"/>
        <v>60.780794038679467</v>
      </c>
      <c r="AG9196" s="2">
        <f ca="1"/>
        <v>5.5286747637739442E-3</v>
      </c>
      <c r="AH9196" s="2" t="str">
        <f ca="1"/>
        <v>Good</v>
      </c>
    </row>
    <row r="9197" spans="2:34" x14ac:dyDescent="0.2">
      <c r="B9197" s="2">
        <f ca="1"/>
        <v>0.59893465997927864</v>
      </c>
      <c r="O9197" s="2">
        <f ca="1"/>
        <v>-0.28996069466196567</v>
      </c>
      <c r="X9197" s="2">
        <f ca="1"/>
        <v>59.081585333542115</v>
      </c>
      <c r="AG9197" s="2">
        <f ca="1"/>
        <v>0.93555456529378844</v>
      </c>
      <c r="AH9197" s="2" t="str">
        <f ca="1"/>
        <v>Bad</v>
      </c>
    </row>
    <row r="9198" spans="2:34" x14ac:dyDescent="0.2">
      <c r="B9198" s="2">
        <f ca="1"/>
        <v>0.77084356995783376</v>
      </c>
      <c r="O9198" s="2">
        <f ca="1"/>
        <v>0.40495818134025585</v>
      </c>
      <c r="X9198" s="2">
        <f ca="1"/>
        <v>52.550798760603527</v>
      </c>
      <c r="AG9198" s="2">
        <f ca="1"/>
        <v>0.63302851442926023</v>
      </c>
      <c r="AH9198" s="2" t="str">
        <f ca="1"/>
        <v>Bad</v>
      </c>
    </row>
    <row r="9199" spans="2:34" x14ac:dyDescent="0.2">
      <c r="B9199" s="2">
        <f ca="1"/>
        <v>0.93171378577050468</v>
      </c>
      <c r="O9199" s="2">
        <f ca="1"/>
        <v>-1.4757296453468574</v>
      </c>
      <c r="X9199" s="2">
        <f ca="1"/>
        <v>45.129783592706126</v>
      </c>
      <c r="AG9199" s="2">
        <f ca="1"/>
        <v>0.66128004785339334</v>
      </c>
      <c r="AH9199" s="2" t="str">
        <f ca="1"/>
        <v>Bad</v>
      </c>
    </row>
    <row r="9200" spans="2:34" x14ac:dyDescent="0.2">
      <c r="B9200" s="2">
        <f ca="1"/>
        <v>0.53367611537350523</v>
      </c>
      <c r="O9200" s="2">
        <f ca="1"/>
        <v>-0.18852972504085772</v>
      </c>
      <c r="X9200" s="2">
        <f ca="1"/>
        <v>42.328882332059479</v>
      </c>
      <c r="AG9200" s="2">
        <f ca="1"/>
        <v>0.81726446640450656</v>
      </c>
      <c r="AH9200" s="2" t="str">
        <f ca="1"/>
        <v>Bad</v>
      </c>
    </row>
    <row r="9201" spans="2:34" x14ac:dyDescent="0.2">
      <c r="B9201" s="2">
        <f ca="1"/>
        <v>0.77170492809032276</v>
      </c>
      <c r="O9201" s="2">
        <f ca="1"/>
        <v>0.68391564411491634</v>
      </c>
      <c r="X9201" s="2">
        <f ca="1"/>
        <v>49.777495284690843</v>
      </c>
      <c r="AG9201" s="2">
        <f ca="1"/>
        <v>0.17110987225290986</v>
      </c>
      <c r="AH9201" s="2" t="str">
        <f ca="1"/>
        <v>OK</v>
      </c>
    </row>
    <row r="9202" spans="2:34" x14ac:dyDescent="0.2">
      <c r="B9202" s="2">
        <f ca="1"/>
        <v>0.29914347941325392</v>
      </c>
      <c r="O9202" s="2">
        <f ca="1"/>
        <v>-0.10408539678102485</v>
      </c>
      <c r="X9202" s="2">
        <f ca="1"/>
        <v>52.03677080276303</v>
      </c>
      <c r="AG9202" s="2">
        <f ca="1"/>
        <v>0.62185302038762513</v>
      </c>
      <c r="AH9202" s="2" t="str">
        <f ca="1"/>
        <v>Bad</v>
      </c>
    </row>
    <row r="9203" spans="2:34" x14ac:dyDescent="0.2">
      <c r="B9203" s="2">
        <f ca="1"/>
        <v>0.38893594148931032</v>
      </c>
      <c r="O9203" s="2">
        <f ca="1"/>
        <v>-0.33861581108588046</v>
      </c>
      <c r="X9203" s="2">
        <f ca="1"/>
        <v>102.78031217511001</v>
      </c>
      <c r="AG9203" s="2">
        <f ca="1"/>
        <v>0.25358922397021866</v>
      </c>
      <c r="AH9203" s="2" t="str">
        <f ca="1"/>
        <v>OK</v>
      </c>
    </row>
    <row r="9204" spans="2:34" x14ac:dyDescent="0.2">
      <c r="B9204" s="2">
        <f ca="1"/>
        <v>0.52386737783142423</v>
      </c>
      <c r="O9204" s="2">
        <f ca="1"/>
        <v>-8.4570196766269062E-2</v>
      </c>
      <c r="X9204" s="2">
        <f ca="1"/>
        <v>80.45142406957882</v>
      </c>
      <c r="AG9204" s="2">
        <f ca="1"/>
        <v>0.27509986543785336</v>
      </c>
      <c r="AH9204" s="2" t="str">
        <f ca="1"/>
        <v>OK</v>
      </c>
    </row>
    <row r="9205" spans="2:34" x14ac:dyDescent="0.2">
      <c r="B9205" s="2">
        <f ca="1"/>
        <v>0.5758215409301457</v>
      </c>
      <c r="O9205" s="2">
        <f ca="1"/>
        <v>1.2399421321336697</v>
      </c>
      <c r="X9205" s="2">
        <f ca="1"/>
        <v>50.695101732952992</v>
      </c>
      <c r="AG9205" s="2">
        <f ca="1"/>
        <v>0.69326844110890717</v>
      </c>
      <c r="AH9205" s="2" t="str">
        <f ca="1"/>
        <v>Bad</v>
      </c>
    </row>
    <row r="9206" spans="2:34" x14ac:dyDescent="0.2">
      <c r="B9206" s="2">
        <f ca="1"/>
        <v>0.98877843339824323</v>
      </c>
      <c r="O9206" s="2">
        <f ca="1"/>
        <v>0.41184191291469624</v>
      </c>
      <c r="X9206" s="2">
        <f ca="1"/>
        <v>39.861255877223115</v>
      </c>
      <c r="AG9206" s="2">
        <f ca="1"/>
        <v>0.9826870963739005</v>
      </c>
      <c r="AH9206" s="2" t="str">
        <f ca="1"/>
        <v>Bad</v>
      </c>
    </row>
    <row r="9207" spans="2:34" x14ac:dyDescent="0.2">
      <c r="B9207" s="2">
        <f ca="1"/>
        <v>0.45222284479121044</v>
      </c>
      <c r="O9207" s="2">
        <f ca="1"/>
        <v>1.3392340975529013</v>
      </c>
      <c r="X9207" s="2">
        <f ca="1"/>
        <v>76.54359589157572</v>
      </c>
      <c r="AG9207" s="2">
        <f ca="1"/>
        <v>0.6622430079936561</v>
      </c>
      <c r="AH9207" s="2" t="str">
        <f ca="1"/>
        <v>Bad</v>
      </c>
    </row>
    <row r="9208" spans="2:34" x14ac:dyDescent="0.2">
      <c r="B9208" s="2">
        <f ca="1"/>
        <v>0.83766989370720069</v>
      </c>
      <c r="O9208" s="2">
        <f ca="1"/>
        <v>0.15380673097453476</v>
      </c>
      <c r="X9208" s="2">
        <f ca="1"/>
        <v>52.05474676270736</v>
      </c>
      <c r="AG9208" s="2">
        <f ca="1"/>
        <v>0.17611489806814884</v>
      </c>
      <c r="AH9208" s="2" t="str">
        <f ca="1"/>
        <v>OK</v>
      </c>
    </row>
    <row r="9209" spans="2:34" x14ac:dyDescent="0.2">
      <c r="B9209" s="2">
        <f ca="1"/>
        <v>2.0220760447665187E-2</v>
      </c>
      <c r="O9209" s="2">
        <f ca="1"/>
        <v>-0.50001387715958578</v>
      </c>
      <c r="X9209" s="2">
        <f ca="1"/>
        <v>62.291886030891376</v>
      </c>
      <c r="AG9209" s="2">
        <f ca="1"/>
        <v>9.8850411155976037E-2</v>
      </c>
      <c r="AH9209" s="2" t="str">
        <f ca="1"/>
        <v>OK</v>
      </c>
    </row>
    <row r="9210" spans="2:34" x14ac:dyDescent="0.2">
      <c r="B9210" s="2">
        <f ca="1"/>
        <v>0.50189131280077515</v>
      </c>
      <c r="O9210" s="2">
        <f ca="1"/>
        <v>0.82294722957038202</v>
      </c>
      <c r="X9210" s="2">
        <f ca="1"/>
        <v>30.146077525088817</v>
      </c>
      <c r="AG9210" s="2">
        <f ca="1"/>
        <v>0.85785083540293061</v>
      </c>
      <c r="AH9210" s="2" t="str">
        <f ca="1"/>
        <v>Bad</v>
      </c>
    </row>
    <row r="9211" spans="2:34" x14ac:dyDescent="0.2">
      <c r="B9211" s="2">
        <f ca="1"/>
        <v>0.31480036942424738</v>
      </c>
      <c r="O9211" s="2">
        <f ca="1"/>
        <v>1.9696294702244952</v>
      </c>
      <c r="X9211" s="2">
        <f ca="1"/>
        <v>56.42029544506623</v>
      </c>
      <c r="AG9211" s="2">
        <f ca="1"/>
        <v>0.88666878789381753</v>
      </c>
      <c r="AH9211" s="2" t="str">
        <f ca="1"/>
        <v>Bad</v>
      </c>
    </row>
    <row r="9212" spans="2:34" x14ac:dyDescent="0.2">
      <c r="B9212" s="2">
        <f ca="1"/>
        <v>0.50840564217109674</v>
      </c>
      <c r="O9212" s="2">
        <f ca="1"/>
        <v>-0.99657465531180445</v>
      </c>
      <c r="X9212" s="2">
        <f ca="1"/>
        <v>66.085527084951366</v>
      </c>
      <c r="AG9212" s="2">
        <f ca="1"/>
        <v>1.7457157984364313E-2</v>
      </c>
      <c r="AH9212" s="2" t="str">
        <f ca="1"/>
        <v>Good</v>
      </c>
    </row>
    <row r="9213" spans="2:34" x14ac:dyDescent="0.2">
      <c r="B9213" s="2">
        <f ca="1"/>
        <v>4.3731782377014472E-2</v>
      </c>
      <c r="O9213" s="2">
        <f ca="1"/>
        <v>-0.48917852703542647</v>
      </c>
      <c r="X9213" s="2">
        <f ca="1"/>
        <v>62.633083416433152</v>
      </c>
      <c r="AG9213" s="2">
        <f ca="1"/>
        <v>0.55093423035725353</v>
      </c>
      <c r="AH9213" s="2" t="str">
        <f ca="1"/>
        <v>Bad</v>
      </c>
    </row>
    <row r="9214" spans="2:34" x14ac:dyDescent="0.2">
      <c r="B9214" s="2">
        <f ca="1"/>
        <v>0.39883076735952083</v>
      </c>
      <c r="O9214" s="2">
        <f ca="1"/>
        <v>0.79408095239489107</v>
      </c>
      <c r="X9214" s="2">
        <f ca="1"/>
        <v>53.458314445108158</v>
      </c>
      <c r="AG9214" s="2">
        <f ca="1"/>
        <v>0.97388735882370359</v>
      </c>
      <c r="AH9214" s="2" t="str">
        <f ca="1"/>
        <v>Bad</v>
      </c>
    </row>
    <row r="9215" spans="2:34" x14ac:dyDescent="0.2">
      <c r="B9215" s="2">
        <f ca="1"/>
        <v>0.52024424840475958</v>
      </c>
      <c r="O9215" s="2">
        <f ca="1"/>
        <v>0.36155289488070591</v>
      </c>
      <c r="X9215" s="2">
        <f ca="1"/>
        <v>33.069693676494389</v>
      </c>
      <c r="AG9215" s="2">
        <f ca="1"/>
        <v>0.78698294346276021</v>
      </c>
      <c r="AH9215" s="2" t="str">
        <f ca="1"/>
        <v>Bad</v>
      </c>
    </row>
    <row r="9216" spans="2:34" x14ac:dyDescent="0.2">
      <c r="B9216" s="2">
        <f ca="1"/>
        <v>0.41146260604216467</v>
      </c>
      <c r="O9216" s="2">
        <f ca="1"/>
        <v>-0.68754713161704006</v>
      </c>
      <c r="X9216" s="2">
        <f ca="1"/>
        <v>39.297643266895975</v>
      </c>
      <c r="AG9216" s="2">
        <f ca="1"/>
        <v>5.9623035901646526E-2</v>
      </c>
      <c r="AH9216" s="2" t="str">
        <f ca="1"/>
        <v>OK</v>
      </c>
    </row>
    <row r="9217" spans="2:34" x14ac:dyDescent="0.2">
      <c r="B9217" s="2">
        <f ca="1"/>
        <v>0.19634988899649031</v>
      </c>
      <c r="O9217" s="2">
        <f ca="1"/>
        <v>1.0994676355425768</v>
      </c>
      <c r="X9217" s="2">
        <f ca="1"/>
        <v>41.88425054977791</v>
      </c>
      <c r="AG9217" s="2">
        <f ca="1"/>
        <v>0.47244352283092894</v>
      </c>
      <c r="AH9217" s="2" t="str">
        <f ca="1"/>
        <v>Bad</v>
      </c>
    </row>
    <row r="9218" spans="2:34" x14ac:dyDescent="0.2">
      <c r="B9218" s="2">
        <f ca="1"/>
        <v>8.8988235134545679E-2</v>
      </c>
      <c r="O9218" s="2">
        <f ca="1"/>
        <v>-0.61335985177402885</v>
      </c>
      <c r="X9218" s="2">
        <f ca="1"/>
        <v>65.53343674373906</v>
      </c>
      <c r="AG9218" s="2">
        <f ca="1"/>
        <v>0.89848076644175334</v>
      </c>
      <c r="AH9218" s="2" t="str">
        <f ca="1"/>
        <v>Bad</v>
      </c>
    </row>
    <row r="9219" spans="2:34" x14ac:dyDescent="0.2">
      <c r="B9219" s="2">
        <f ca="1"/>
        <v>0.86880196455088821</v>
      </c>
      <c r="O9219" s="2">
        <f ca="1"/>
        <v>-0.10781032450572171</v>
      </c>
      <c r="X9219" s="2">
        <f ca="1"/>
        <v>49.885914909883688</v>
      </c>
      <c r="AG9219" s="2">
        <f ca="1"/>
        <v>0.7945775878658734</v>
      </c>
      <c r="AH9219" s="2" t="str">
        <f ca="1"/>
        <v>Bad</v>
      </c>
    </row>
    <row r="9220" spans="2:34" x14ac:dyDescent="0.2">
      <c r="B9220" s="2">
        <f ca="1"/>
        <v>0.57317211123695166</v>
      </c>
      <c r="O9220" s="2">
        <f ca="1"/>
        <v>-0.9126905483155775</v>
      </c>
      <c r="X9220" s="2">
        <f ca="1"/>
        <v>49.314545849984441</v>
      </c>
      <c r="AG9220" s="2">
        <f ca="1"/>
        <v>0.4877025590782067</v>
      </c>
      <c r="AH9220" s="2" t="str">
        <f ca="1"/>
        <v>Bad</v>
      </c>
    </row>
    <row r="9221" spans="2:34" x14ac:dyDescent="0.2">
      <c r="B9221" s="2">
        <f ca="1"/>
        <v>5.1056700604834582E-2</v>
      </c>
      <c r="O9221" s="2">
        <f ca="1"/>
        <v>-0.33393032577555537</v>
      </c>
      <c r="X9221" s="2">
        <f ca="1"/>
        <v>33.389165492522011</v>
      </c>
      <c r="AG9221" s="2">
        <f ca="1"/>
        <v>0.54355705241026731</v>
      </c>
      <c r="AH9221" s="2" t="str">
        <f ca="1"/>
        <v>Bad</v>
      </c>
    </row>
    <row r="9222" spans="2:34" x14ac:dyDescent="0.2">
      <c r="B9222" s="2">
        <f ca="1"/>
        <v>0.12751892720435665</v>
      </c>
      <c r="O9222" s="2">
        <f ca="1"/>
        <v>-0.22050528886409135</v>
      </c>
      <c r="X9222" s="2">
        <f ca="1"/>
        <v>35.568275699874249</v>
      </c>
      <c r="AG9222" s="2">
        <f ca="1"/>
        <v>0.32120334062735734</v>
      </c>
      <c r="AH9222" s="2" t="str">
        <f ca="1"/>
        <v>OK</v>
      </c>
    </row>
    <row r="9223" spans="2:34" x14ac:dyDescent="0.2">
      <c r="B9223" s="2">
        <f ca="1"/>
        <v>0.15678138618636006</v>
      </c>
      <c r="O9223" s="2">
        <f ca="1"/>
        <v>0.60115904387682217</v>
      </c>
      <c r="X9223" s="2">
        <f ca="1"/>
        <v>52.768802843895983</v>
      </c>
      <c r="AG9223" s="2">
        <f ca="1"/>
        <v>0.77017779874395909</v>
      </c>
      <c r="AH9223" s="2" t="str">
        <f ca="1"/>
        <v>Bad</v>
      </c>
    </row>
    <row r="9224" spans="2:34" x14ac:dyDescent="0.2">
      <c r="B9224" s="2">
        <f ca="1"/>
        <v>0.65279244706123718</v>
      </c>
      <c r="O9224" s="2">
        <f ca="1"/>
        <v>-0.56343597813256174</v>
      </c>
      <c r="X9224" s="2">
        <f ca="1"/>
        <v>40.682519303361921</v>
      </c>
      <c r="AG9224" s="2">
        <f ca="1"/>
        <v>0.24744166758792185</v>
      </c>
      <c r="AH9224" s="2" t="str">
        <f ca="1"/>
        <v>OK</v>
      </c>
    </row>
    <row r="9225" spans="2:34" x14ac:dyDescent="0.2">
      <c r="B9225" s="2">
        <f ca="1"/>
        <v>0.89446243594770936</v>
      </c>
      <c r="O9225" s="2">
        <f ca="1"/>
        <v>-1.1608699353299179</v>
      </c>
      <c r="X9225" s="2">
        <f ca="1"/>
        <v>74.938775621958072</v>
      </c>
      <c r="AG9225" s="2">
        <f ca="1"/>
        <v>0.90215565565441014</v>
      </c>
      <c r="AH9225" s="2" t="str">
        <f ca="1"/>
        <v>Bad</v>
      </c>
    </row>
    <row r="9226" spans="2:34" x14ac:dyDescent="0.2">
      <c r="B9226" s="2">
        <f ca="1"/>
        <v>0.82970738826377732</v>
      </c>
      <c r="O9226" s="2">
        <f ca="1"/>
        <v>-0.32901650432724033</v>
      </c>
      <c r="X9226" s="2">
        <f ca="1"/>
        <v>41.337732216904968</v>
      </c>
      <c r="AG9226" s="2">
        <f ca="1"/>
        <v>0.67756445624339734</v>
      </c>
      <c r="AH9226" s="2" t="str">
        <f ca="1"/>
        <v>Bad</v>
      </c>
    </row>
    <row r="9227" spans="2:34" x14ac:dyDescent="0.2">
      <c r="B9227" s="2">
        <f ca="1"/>
        <v>0.87485491787179925</v>
      </c>
      <c r="O9227" s="2">
        <f ca="1"/>
        <v>-1.7377658665016447</v>
      </c>
      <c r="X9227" s="2">
        <f ca="1"/>
        <v>46.32783933844118</v>
      </c>
      <c r="AG9227" s="2">
        <f ca="1"/>
        <v>0.86241640038141032</v>
      </c>
      <c r="AH9227" s="2" t="str">
        <f ca="1"/>
        <v>Bad</v>
      </c>
    </row>
    <row r="9228" spans="2:34" x14ac:dyDescent="0.2">
      <c r="B9228" s="2">
        <f ca="1"/>
        <v>0.46208026612055786</v>
      </c>
      <c r="O9228" s="2">
        <f ca="1"/>
        <v>0.67432389707207252</v>
      </c>
      <c r="X9228" s="2">
        <f ca="1"/>
        <v>59.328810322454146</v>
      </c>
      <c r="AG9228" s="2">
        <f ca="1"/>
        <v>0.84420927036044469</v>
      </c>
      <c r="AH9228" s="2" t="str">
        <f ca="1"/>
        <v>Bad</v>
      </c>
    </row>
    <row r="9229" spans="2:34" x14ac:dyDescent="0.2">
      <c r="B9229" s="2">
        <f ca="1"/>
        <v>0.3139632977984963</v>
      </c>
      <c r="O9229" s="2">
        <f ca="1"/>
        <v>-0.43890047827665157</v>
      </c>
      <c r="X9229" s="2">
        <f ca="1"/>
        <v>33.014465111036309</v>
      </c>
      <c r="AG9229" s="2">
        <f ca="1"/>
        <v>0.6508392369160767</v>
      </c>
      <c r="AH9229" s="2" t="str">
        <f ca="1"/>
        <v>Bad</v>
      </c>
    </row>
    <row r="9230" spans="2:34" x14ac:dyDescent="0.2">
      <c r="B9230" s="2">
        <f ca="1"/>
        <v>0.97890842458329264</v>
      </c>
      <c r="O9230" s="2">
        <f ca="1"/>
        <v>-4.8178480391029586E-2</v>
      </c>
      <c r="X9230" s="2">
        <f ca="1"/>
        <v>78.81079626394542</v>
      </c>
      <c r="AG9230" s="2">
        <f ca="1"/>
        <v>0.88032973349433363</v>
      </c>
      <c r="AH9230" s="2" t="str">
        <f ca="1"/>
        <v>Bad</v>
      </c>
    </row>
    <row r="9231" spans="2:34" x14ac:dyDescent="0.2">
      <c r="B9231" s="2">
        <f ca="1"/>
        <v>0.81961357314560712</v>
      </c>
      <c r="O9231" s="2">
        <f ca="1"/>
        <v>4.6146263773188131E-2</v>
      </c>
      <c r="X9231" s="2">
        <f ca="1"/>
        <v>31.890634562570241</v>
      </c>
      <c r="AG9231" s="2">
        <f ca="1"/>
        <v>0.74465118843319478</v>
      </c>
      <c r="AH9231" s="2" t="str">
        <f ca="1"/>
        <v>Bad</v>
      </c>
    </row>
    <row r="9232" spans="2:34" x14ac:dyDescent="0.2">
      <c r="B9232" s="2">
        <f ca="1"/>
        <v>0.25752363605476392</v>
      </c>
      <c r="O9232" s="2">
        <f ca="1"/>
        <v>-1.032262648731503</v>
      </c>
      <c r="X9232" s="2">
        <f ca="1"/>
        <v>39.940381186121868</v>
      </c>
      <c r="AG9232" s="2">
        <f ca="1"/>
        <v>0.37034395002293619</v>
      </c>
      <c r="AH9232" s="2" t="str">
        <f ca="1"/>
        <v>OK</v>
      </c>
    </row>
    <row r="9233" spans="2:34" x14ac:dyDescent="0.2">
      <c r="B9233" s="2">
        <f ca="1"/>
        <v>0.25408221389050123</v>
      </c>
      <c r="O9233" s="2">
        <f ca="1"/>
        <v>1.360576326144078</v>
      </c>
      <c r="X9233" s="2">
        <f ca="1"/>
        <v>46.646375823082067</v>
      </c>
      <c r="AG9233" s="2">
        <f ca="1"/>
        <v>0.59410283795277596</v>
      </c>
      <c r="AH9233" s="2" t="str">
        <f ca="1"/>
        <v>Bad</v>
      </c>
    </row>
    <row r="9234" spans="2:34" x14ac:dyDescent="0.2">
      <c r="B9234" s="2">
        <f ca="1"/>
        <v>0.53994117596681623</v>
      </c>
      <c r="O9234" s="2">
        <f ca="1"/>
        <v>0.13834572393197156</v>
      </c>
      <c r="X9234" s="2">
        <f ca="1"/>
        <v>36.124220906212201</v>
      </c>
      <c r="AG9234" s="2">
        <f ca="1"/>
        <v>5.5535245251164822E-2</v>
      </c>
      <c r="AH9234" s="2" t="str">
        <f ca="1"/>
        <v>OK</v>
      </c>
    </row>
    <row r="9235" spans="2:34" x14ac:dyDescent="0.2">
      <c r="B9235" s="2">
        <f ca="1"/>
        <v>0.29788561013045389</v>
      </c>
      <c r="O9235" s="2">
        <f ca="1"/>
        <v>2.1513963066519382</v>
      </c>
      <c r="X9235" s="2">
        <f ca="1"/>
        <v>54.875917749410007</v>
      </c>
      <c r="AG9235" s="2">
        <f ca="1"/>
        <v>0.42341511503218676</v>
      </c>
      <c r="AH9235" s="2" t="str">
        <f ca="1"/>
        <v>Bad</v>
      </c>
    </row>
    <row r="9236" spans="2:34" x14ac:dyDescent="0.2">
      <c r="B9236" s="2">
        <f ca="1"/>
        <v>3.4020221373514348E-2</v>
      </c>
      <c r="O9236" s="2">
        <f ca="1"/>
        <v>1.0958315240529657</v>
      </c>
      <c r="X9236" s="2">
        <f ca="1"/>
        <v>33.80701455042464</v>
      </c>
      <c r="AG9236" s="2">
        <f ca="1"/>
        <v>0.38039878728116716</v>
      </c>
      <c r="AH9236" s="2" t="str">
        <f ca="1"/>
        <v>OK</v>
      </c>
    </row>
    <row r="9237" spans="2:34" x14ac:dyDescent="0.2">
      <c r="B9237" s="2">
        <f ca="1"/>
        <v>0.42860370336254983</v>
      </c>
      <c r="O9237" s="2">
        <f ca="1"/>
        <v>0.27761644017603965</v>
      </c>
      <c r="X9237" s="2">
        <f ca="1"/>
        <v>35.450348578082185</v>
      </c>
      <c r="AG9237" s="2">
        <f ca="1"/>
        <v>0.11341215482952394</v>
      </c>
      <c r="AH9237" s="2" t="str">
        <f ca="1"/>
        <v>OK</v>
      </c>
    </row>
    <row r="9238" spans="2:34" x14ac:dyDescent="0.2">
      <c r="B9238" s="2">
        <f ca="1"/>
        <v>7.0022055270726469E-2</v>
      </c>
      <c r="O9238" s="2">
        <f ca="1"/>
        <v>0.22187190658447925</v>
      </c>
      <c r="X9238" s="2">
        <f ca="1"/>
        <v>52.368612303997253</v>
      </c>
      <c r="AG9238" s="2">
        <f ca="1"/>
        <v>0.4188631395850515</v>
      </c>
      <c r="AH9238" s="2" t="str">
        <f ca="1"/>
        <v>Bad</v>
      </c>
    </row>
    <row r="9239" spans="2:34" x14ac:dyDescent="0.2">
      <c r="B9239" s="2">
        <f ca="1"/>
        <v>0.88762888172795007</v>
      </c>
      <c r="O9239" s="2">
        <f ca="1"/>
        <v>-0.32121743461365038</v>
      </c>
      <c r="X9239" s="2">
        <f ca="1"/>
        <v>37.295930217320318</v>
      </c>
      <c r="AG9239" s="2">
        <f ca="1"/>
        <v>0.84255141901317487</v>
      </c>
      <c r="AH9239" s="2" t="str">
        <f ca="1"/>
        <v>Bad</v>
      </c>
    </row>
    <row r="9240" spans="2:34" x14ac:dyDescent="0.2">
      <c r="B9240" s="2">
        <f ca="1"/>
        <v>0.82282770060050003</v>
      </c>
      <c r="O9240" s="2">
        <f ca="1"/>
        <v>-2.5348946253421141</v>
      </c>
      <c r="X9240" s="2">
        <f ca="1"/>
        <v>62.665565953307727</v>
      </c>
      <c r="AG9240" s="2">
        <f ca="1"/>
        <v>0.43700289300692829</v>
      </c>
      <c r="AH9240" s="2" t="str">
        <f ca="1"/>
        <v>Bad</v>
      </c>
    </row>
    <row r="9241" spans="2:34" x14ac:dyDescent="0.2">
      <c r="B9241" s="2">
        <f ca="1"/>
        <v>0.42868093304922716</v>
      </c>
      <c r="O9241" s="2">
        <f ca="1"/>
        <v>0.59172609216893923</v>
      </c>
      <c r="X9241" s="2">
        <f ca="1"/>
        <v>23.902780161766181</v>
      </c>
      <c r="AG9241" s="2">
        <f ca="1"/>
        <v>0.93547443919263018</v>
      </c>
      <c r="AH9241" s="2" t="str">
        <f ca="1"/>
        <v>Bad</v>
      </c>
    </row>
    <row r="9242" spans="2:34" x14ac:dyDescent="0.2">
      <c r="B9242" s="2">
        <f ca="1"/>
        <v>0.36102340557687951</v>
      </c>
      <c r="O9242" s="2">
        <f ca="1"/>
        <v>-2.6500858583705145E-2</v>
      </c>
      <c r="X9242" s="2">
        <f ca="1"/>
        <v>56.273424757939594</v>
      </c>
      <c r="AG9242" s="2">
        <f ca="1"/>
        <v>0.66175226816790111</v>
      </c>
      <c r="AH9242" s="2" t="str">
        <f ca="1"/>
        <v>Bad</v>
      </c>
    </row>
    <row r="9243" spans="2:34" x14ac:dyDescent="0.2">
      <c r="B9243" s="2">
        <f ca="1"/>
        <v>0.45587837451840829</v>
      </c>
      <c r="O9243" s="2">
        <f ca="1"/>
        <v>-0.97392385998281084</v>
      </c>
      <c r="X9243" s="2">
        <f ca="1"/>
        <v>23.804222347518493</v>
      </c>
      <c r="AG9243" s="2">
        <f ca="1"/>
        <v>0.87900668868581167</v>
      </c>
      <c r="AH9243" s="2" t="str">
        <f ca="1"/>
        <v>Bad</v>
      </c>
    </row>
    <row r="9244" spans="2:34" x14ac:dyDescent="0.2">
      <c r="B9244" s="2">
        <f ca="1"/>
        <v>0.45158706035440965</v>
      </c>
      <c r="O9244" s="2">
        <f ca="1"/>
        <v>0.1564654884842612</v>
      </c>
      <c r="X9244" s="2">
        <f ca="1"/>
        <v>43.37366664826444</v>
      </c>
      <c r="AG9244" s="2">
        <f ca="1"/>
        <v>0.10395640203250678</v>
      </c>
      <c r="AH9244" s="2" t="str">
        <f ca="1"/>
        <v>OK</v>
      </c>
    </row>
    <row r="9245" spans="2:34" x14ac:dyDescent="0.2">
      <c r="B9245" s="2">
        <f ca="1"/>
        <v>0.42593389344095711</v>
      </c>
      <c r="O9245" s="2">
        <f ca="1"/>
        <v>-1.4797489864124245</v>
      </c>
      <c r="X9245" s="2">
        <f ca="1"/>
        <v>70.946014011314276</v>
      </c>
      <c r="AG9245" s="2">
        <f ca="1"/>
        <v>0.50717588833413063</v>
      </c>
      <c r="AH9245" s="2" t="str">
        <f ca="1"/>
        <v>Bad</v>
      </c>
    </row>
    <row r="9246" spans="2:34" x14ac:dyDescent="0.2">
      <c r="B9246" s="2">
        <f ca="1"/>
        <v>0.68828004937495191</v>
      </c>
      <c r="O9246" s="2">
        <f ca="1"/>
        <v>0.19821223286482068</v>
      </c>
      <c r="X9246" s="2">
        <f ca="1"/>
        <v>47.095037348159465</v>
      </c>
      <c r="AG9246" s="2">
        <f ca="1"/>
        <v>0.47087864048422823</v>
      </c>
      <c r="AH9246" s="2" t="str">
        <f ca="1"/>
        <v>Bad</v>
      </c>
    </row>
    <row r="9247" spans="2:34" x14ac:dyDescent="0.2">
      <c r="B9247" s="2">
        <f ca="1"/>
        <v>9.6985264646838099E-2</v>
      </c>
      <c r="O9247" s="2">
        <f ca="1"/>
        <v>0.19716624787727852</v>
      </c>
      <c r="X9247" s="2">
        <f ca="1"/>
        <v>68.884283111852184</v>
      </c>
      <c r="AG9247" s="2">
        <f ca="1"/>
        <v>0.89395629090419804</v>
      </c>
      <c r="AH9247" s="2" t="str">
        <f ca="1"/>
        <v>Bad</v>
      </c>
    </row>
    <row r="9248" spans="2:34" x14ac:dyDescent="0.2">
      <c r="B9248" s="2">
        <f ca="1"/>
        <v>0.5186691760178288</v>
      </c>
      <c r="O9248" s="2">
        <f ca="1"/>
        <v>-0.29289694698285917</v>
      </c>
      <c r="X9248" s="2">
        <f ca="1"/>
        <v>49.635565864040743</v>
      </c>
      <c r="AG9248" s="2">
        <f ca="1"/>
        <v>0.2573857408699618</v>
      </c>
      <c r="AH9248" s="2" t="str">
        <f ca="1"/>
        <v>OK</v>
      </c>
    </row>
    <row r="9249" spans="2:34" x14ac:dyDescent="0.2">
      <c r="B9249" s="2">
        <f ca="1"/>
        <v>0.16169973206979171</v>
      </c>
      <c r="O9249" s="2">
        <f ca="1"/>
        <v>-0.91646346309194371</v>
      </c>
      <c r="X9249" s="2">
        <f ca="1"/>
        <v>99.978217830028854</v>
      </c>
      <c r="AG9249" s="2">
        <f ca="1"/>
        <v>0.32562075984069105</v>
      </c>
      <c r="AH9249" s="2" t="str">
        <f ca="1"/>
        <v>OK</v>
      </c>
    </row>
    <row r="9250" spans="2:34" x14ac:dyDescent="0.2">
      <c r="B9250" s="2">
        <f ca="1"/>
        <v>0.47449663436786005</v>
      </c>
      <c r="O9250" s="2">
        <f ca="1"/>
        <v>0.77605499703909697</v>
      </c>
      <c r="X9250" s="2">
        <f ca="1"/>
        <v>55.995088793652208</v>
      </c>
      <c r="AG9250" s="2">
        <f ca="1"/>
        <v>0.47727582043189276</v>
      </c>
      <c r="AH9250" s="2" t="str">
        <f ca="1"/>
        <v>Bad</v>
      </c>
    </row>
    <row r="9251" spans="2:34" x14ac:dyDescent="0.2">
      <c r="B9251" s="2">
        <f ca="1"/>
        <v>0.14118218710116981</v>
      </c>
      <c r="O9251" s="2">
        <f ca="1"/>
        <v>-0.34317543262876621</v>
      </c>
      <c r="X9251" s="2">
        <f ca="1"/>
        <v>62.332960376375333</v>
      </c>
      <c r="AG9251" s="2">
        <f ca="1"/>
        <v>0.12461189614429857</v>
      </c>
      <c r="AH9251" s="2" t="str">
        <f ca="1"/>
        <v>OK</v>
      </c>
    </row>
    <row r="9252" spans="2:34" x14ac:dyDescent="0.2">
      <c r="B9252" s="2">
        <f ca="1"/>
        <v>0.95397212927208064</v>
      </c>
      <c r="O9252" s="2">
        <f ca="1"/>
        <v>-0.95522988343914128</v>
      </c>
      <c r="X9252" s="2">
        <f ca="1"/>
        <v>45.775132415179527</v>
      </c>
      <c r="AG9252" s="2">
        <f ca="1"/>
        <v>0.13034058023666417</v>
      </c>
      <c r="AH9252" s="2" t="str">
        <f ca="1"/>
        <v>OK</v>
      </c>
    </row>
    <row r="9253" spans="2:34" x14ac:dyDescent="0.2">
      <c r="B9253" s="2">
        <f ca="1"/>
        <v>0.18678539463463095</v>
      </c>
      <c r="O9253" s="2">
        <f ca="1"/>
        <v>0.92208560304005727</v>
      </c>
      <c r="X9253" s="2">
        <f ca="1"/>
        <v>65.551636321253255</v>
      </c>
      <c r="AG9253" s="2">
        <f ca="1"/>
        <v>0.38122898926617821</v>
      </c>
      <c r="AH9253" s="2" t="str">
        <f ca="1"/>
        <v>OK</v>
      </c>
    </row>
    <row r="9254" spans="2:34" x14ac:dyDescent="0.2">
      <c r="B9254" s="2">
        <f ca="1"/>
        <v>0.87872450379695599</v>
      </c>
      <c r="O9254" s="2">
        <f ca="1"/>
        <v>0.33756637080359436</v>
      </c>
      <c r="X9254" s="2">
        <f ca="1"/>
        <v>46.669692865159348</v>
      </c>
      <c r="AG9254" s="2">
        <f ca="1"/>
        <v>0.89608962132412939</v>
      </c>
      <c r="AH9254" s="2" t="str">
        <f ca="1"/>
        <v>Bad</v>
      </c>
    </row>
    <row r="9255" spans="2:34" x14ac:dyDescent="0.2">
      <c r="B9255" s="2">
        <f ca="1"/>
        <v>0.4320657648896411</v>
      </c>
      <c r="O9255" s="2">
        <f ca="1"/>
        <v>-1.3887681806586436</v>
      </c>
      <c r="X9255" s="2">
        <f ca="1"/>
        <v>83.954836288708805</v>
      </c>
      <c r="AG9255" s="2">
        <f ca="1"/>
        <v>0.961732907490779</v>
      </c>
      <c r="AH9255" s="2" t="str">
        <f ca="1"/>
        <v>Bad</v>
      </c>
    </row>
    <row r="9256" spans="2:34" x14ac:dyDescent="0.2">
      <c r="B9256" s="2">
        <f ca="1"/>
        <v>3.6122376793777944E-2</v>
      </c>
      <c r="O9256" s="2">
        <f ca="1"/>
        <v>-0.32077207268438085</v>
      </c>
      <c r="X9256" s="2">
        <f ca="1"/>
        <v>45.34652292163463</v>
      </c>
      <c r="AG9256" s="2">
        <f ca="1"/>
        <v>0.31440413823649926</v>
      </c>
      <c r="AH9256" s="2" t="str">
        <f ca="1"/>
        <v>OK</v>
      </c>
    </row>
    <row r="9257" spans="2:34" x14ac:dyDescent="0.2">
      <c r="B9257" s="2">
        <f ca="1"/>
        <v>0.55255115734687954</v>
      </c>
      <c r="O9257" s="2">
        <f ca="1"/>
        <v>-1.1234743389973982</v>
      </c>
      <c r="X9257" s="2">
        <f ca="1"/>
        <v>43.541443347353692</v>
      </c>
      <c r="AG9257" s="2">
        <f ca="1"/>
        <v>0.29170188541862241</v>
      </c>
      <c r="AH9257" s="2" t="str">
        <f ca="1"/>
        <v>OK</v>
      </c>
    </row>
    <row r="9258" spans="2:34" x14ac:dyDescent="0.2">
      <c r="B9258" s="2">
        <f ca="1"/>
        <v>0.33887220340823654</v>
      </c>
      <c r="O9258" s="2">
        <f ca="1"/>
        <v>0.54377136841776763</v>
      </c>
      <c r="X9258" s="2">
        <f ca="1"/>
        <v>44.282464098173421</v>
      </c>
      <c r="AG9258" s="2">
        <f ca="1"/>
        <v>0.41493659895611379</v>
      </c>
      <c r="AH9258" s="2" t="str">
        <f ca="1"/>
        <v>Bad</v>
      </c>
    </row>
    <row r="9259" spans="2:34" x14ac:dyDescent="0.2">
      <c r="B9259" s="2">
        <f ca="1"/>
        <v>0.8955760931037724</v>
      </c>
      <c r="O9259" s="2">
        <f ca="1"/>
        <v>1.3587714251119829</v>
      </c>
      <c r="X9259" s="2">
        <f ca="1"/>
        <v>48.724600696823998</v>
      </c>
      <c r="AG9259" s="2">
        <f ca="1"/>
        <v>0.60948783559514563</v>
      </c>
      <c r="AH9259" s="2" t="str">
        <f ca="1"/>
        <v>Bad</v>
      </c>
    </row>
    <row r="9260" spans="2:34" x14ac:dyDescent="0.2">
      <c r="B9260" s="2">
        <f ca="1"/>
        <v>0.31386157765804357</v>
      </c>
      <c r="O9260" s="2">
        <f ca="1"/>
        <v>-0.10187108535850353</v>
      </c>
      <c r="X9260" s="2">
        <f ca="1"/>
        <v>60.0543319560851</v>
      </c>
      <c r="AG9260" s="2">
        <f ca="1"/>
        <v>0.20000679012364952</v>
      </c>
      <c r="AH9260" s="2" t="str">
        <f ca="1"/>
        <v>OK</v>
      </c>
    </row>
    <row r="9261" spans="2:34" x14ac:dyDescent="0.2">
      <c r="B9261" s="2">
        <f ca="1"/>
        <v>0.8363643077597156</v>
      </c>
      <c r="O9261" s="2">
        <f ca="1"/>
        <v>0.73898719891450559</v>
      </c>
      <c r="X9261" s="2">
        <f ca="1"/>
        <v>65.575029315612866</v>
      </c>
      <c r="AG9261" s="2">
        <f ca="1"/>
        <v>0.98196831812507601</v>
      </c>
      <c r="AH9261" s="2" t="str">
        <f ca="1"/>
        <v>Bad</v>
      </c>
    </row>
    <row r="9262" spans="2:34" x14ac:dyDescent="0.2">
      <c r="B9262" s="2">
        <f ca="1"/>
        <v>0.9537342227761767</v>
      </c>
      <c r="O9262" s="2">
        <f ca="1"/>
        <v>0.31882589715747534</v>
      </c>
      <c r="X9262" s="2">
        <f ca="1"/>
        <v>37.176655909570357</v>
      </c>
      <c r="AG9262" s="2">
        <f ca="1"/>
        <v>0.21583663974899725</v>
      </c>
      <c r="AH9262" s="2" t="str">
        <f ca="1"/>
        <v>OK</v>
      </c>
    </row>
    <row r="9263" spans="2:34" x14ac:dyDescent="0.2">
      <c r="B9263" s="2">
        <f ca="1"/>
        <v>0.11089541420082583</v>
      </c>
      <c r="O9263" s="2">
        <f ca="1"/>
        <v>0.56080521708392395</v>
      </c>
      <c r="X9263" s="2">
        <f ca="1"/>
        <v>62.677150090788736</v>
      </c>
      <c r="AG9263" s="2">
        <f ca="1"/>
        <v>0.57524016628976771</v>
      </c>
      <c r="AH9263" s="2" t="str">
        <f ca="1"/>
        <v>Bad</v>
      </c>
    </row>
    <row r="9264" spans="2:34" x14ac:dyDescent="0.2">
      <c r="B9264" s="2">
        <f ca="1"/>
        <v>0.23363058181043872</v>
      </c>
      <c r="O9264" s="2">
        <f ca="1"/>
        <v>-1.1295069212827011</v>
      </c>
      <c r="X9264" s="2">
        <f ca="1"/>
        <v>23.377298391501821</v>
      </c>
      <c r="AG9264" s="2">
        <f ca="1"/>
        <v>0.18200880522245666</v>
      </c>
      <c r="AH9264" s="2" t="str">
        <f ca="1"/>
        <v>OK</v>
      </c>
    </row>
    <row r="9265" spans="2:34" x14ac:dyDescent="0.2">
      <c r="B9265" s="2">
        <f ca="1"/>
        <v>0.99663799380098061</v>
      </c>
      <c r="O9265" s="2">
        <f ca="1"/>
        <v>-1.066106192988862</v>
      </c>
      <c r="X9265" s="2">
        <f ca="1"/>
        <v>58.912209772209295</v>
      </c>
      <c r="AG9265" s="2">
        <f ca="1"/>
        <v>0.43117663584949306</v>
      </c>
      <c r="AH9265" s="2" t="str">
        <f ca="1"/>
        <v>Bad</v>
      </c>
    </row>
    <row r="9266" spans="2:34" x14ac:dyDescent="0.2">
      <c r="B9266" s="2">
        <f ca="1"/>
        <v>0.68539587441068339</v>
      </c>
      <c r="O9266" s="2">
        <f ca="1"/>
        <v>0.74743486408925219</v>
      </c>
      <c r="X9266" s="2">
        <f ca="1"/>
        <v>52.380474236926766</v>
      </c>
      <c r="AG9266" s="2">
        <f ca="1"/>
        <v>0.32277856153288731</v>
      </c>
      <c r="AH9266" s="2" t="str">
        <f ca="1"/>
        <v>OK</v>
      </c>
    </row>
    <row r="9267" spans="2:34" x14ac:dyDescent="0.2">
      <c r="B9267" s="2">
        <f ca="1"/>
        <v>0.10790843006041917</v>
      </c>
      <c r="O9267" s="2">
        <f ca="1"/>
        <v>-0.26367723921397862</v>
      </c>
      <c r="X9267" s="2">
        <f ca="1"/>
        <v>65.092699773736612</v>
      </c>
      <c r="AG9267" s="2">
        <f ca="1"/>
        <v>8.0387290409491996E-2</v>
      </c>
      <c r="AH9267" s="2" t="str">
        <f ca="1"/>
        <v>OK</v>
      </c>
    </row>
    <row r="9268" spans="2:34" x14ac:dyDescent="0.2">
      <c r="B9268" s="2">
        <f ca="1"/>
        <v>0.488165970549024</v>
      </c>
      <c r="O9268" s="2">
        <f ca="1"/>
        <v>-0.83451779737424236</v>
      </c>
      <c r="X9268" s="2">
        <f ca="1"/>
        <v>87.981760010478098</v>
      </c>
      <c r="AG9268" s="2">
        <f ca="1"/>
        <v>0.79539134734687722</v>
      </c>
      <c r="AH9268" s="2" t="str">
        <f ca="1"/>
        <v>Bad</v>
      </c>
    </row>
    <row r="9269" spans="2:34" x14ac:dyDescent="0.2">
      <c r="B9269" s="2">
        <f ca="1"/>
        <v>0.82728587489473582</v>
      </c>
      <c r="O9269" s="2">
        <f ca="1"/>
        <v>0.18854383519165516</v>
      </c>
      <c r="X9269" s="2">
        <f ca="1"/>
        <v>52.647507462087589</v>
      </c>
      <c r="AG9269" s="2">
        <f ca="1"/>
        <v>0.77791646063186026</v>
      </c>
      <c r="AH9269" s="2" t="str">
        <f ca="1"/>
        <v>Bad</v>
      </c>
    </row>
    <row r="9270" spans="2:34" x14ac:dyDescent="0.2">
      <c r="B9270" s="2">
        <f ca="1"/>
        <v>0.21560809119510016</v>
      </c>
      <c r="O9270" s="2">
        <f ca="1"/>
        <v>-0.31967132184128205</v>
      </c>
      <c r="X9270" s="2">
        <f ca="1"/>
        <v>36.600279356184842</v>
      </c>
      <c r="AG9270" s="2">
        <f ca="1"/>
        <v>0.58480298769439698</v>
      </c>
      <c r="AH9270" s="2" t="str">
        <f ca="1"/>
        <v>Bad</v>
      </c>
    </row>
    <row r="9271" spans="2:34" x14ac:dyDescent="0.2">
      <c r="B9271" s="2">
        <f ca="1"/>
        <v>0.82574575372269865</v>
      </c>
      <c r="O9271" s="2">
        <f ca="1"/>
        <v>-0.57101201463629236</v>
      </c>
      <c r="X9271" s="2">
        <f ca="1"/>
        <v>59.323775280220687</v>
      </c>
      <c r="AG9271" s="2">
        <f ca="1"/>
        <v>0.49155126400003768</v>
      </c>
      <c r="AH9271" s="2" t="str">
        <f ca="1"/>
        <v>Bad</v>
      </c>
    </row>
    <row r="9272" spans="2:34" x14ac:dyDescent="0.2">
      <c r="B9272" s="2">
        <f ca="1"/>
        <v>0.3165677236811042</v>
      </c>
      <c r="O9272" s="2">
        <f ca="1"/>
        <v>-0.69457600804544539</v>
      </c>
      <c r="X9272" s="2">
        <f ca="1"/>
        <v>59.593589040524193</v>
      </c>
      <c r="AG9272" s="2">
        <f ca="1"/>
        <v>0.36800254225908269</v>
      </c>
      <c r="AH9272" s="2" t="str">
        <f ca="1"/>
        <v>OK</v>
      </c>
    </row>
    <row r="9273" spans="2:34" x14ac:dyDescent="0.2">
      <c r="B9273" s="2">
        <f ca="1"/>
        <v>0.60574175922637807</v>
      </c>
      <c r="O9273" s="2">
        <f ca="1"/>
        <v>0.48265067792153943</v>
      </c>
      <c r="X9273" s="2">
        <f ca="1"/>
        <v>42.365978762475038</v>
      </c>
      <c r="AG9273" s="2">
        <f ca="1"/>
        <v>0.9415386385149076</v>
      </c>
      <c r="AH9273" s="2" t="str">
        <f ca="1"/>
        <v>Bad</v>
      </c>
    </row>
    <row r="9274" spans="2:34" x14ac:dyDescent="0.2">
      <c r="B9274" s="2">
        <f ca="1"/>
        <v>0.26694160086728891</v>
      </c>
      <c r="O9274" s="2">
        <f ca="1"/>
        <v>-0.23105876677453796</v>
      </c>
      <c r="X9274" s="2">
        <f ca="1"/>
        <v>36.408726290157418</v>
      </c>
      <c r="AG9274" s="2">
        <f ca="1"/>
        <v>9.0235384216267978E-2</v>
      </c>
      <c r="AH9274" s="2" t="str">
        <f ca="1"/>
        <v>OK</v>
      </c>
    </row>
    <row r="9275" spans="2:34" x14ac:dyDescent="0.2">
      <c r="B9275" s="2">
        <f ca="1"/>
        <v>0.87905274126809418</v>
      </c>
      <c r="O9275" s="2">
        <f ca="1"/>
        <v>-0.39833257678479206</v>
      </c>
      <c r="X9275" s="2">
        <f ca="1"/>
        <v>68.011963873031306</v>
      </c>
      <c r="AG9275" s="2">
        <f ca="1"/>
        <v>0.26447408590832122</v>
      </c>
      <c r="AH9275" s="2" t="str">
        <f ca="1"/>
        <v>OK</v>
      </c>
    </row>
    <row r="9276" spans="2:34" x14ac:dyDescent="0.2">
      <c r="B9276" s="2">
        <f ca="1"/>
        <v>0.68312106113594973</v>
      </c>
      <c r="O9276" s="2">
        <f ca="1"/>
        <v>-0.51907812436820766</v>
      </c>
      <c r="X9276" s="2">
        <f ca="1"/>
        <v>37.948143409807734</v>
      </c>
      <c r="AG9276" s="2">
        <f ca="1"/>
        <v>8.6747112490827671E-2</v>
      </c>
      <c r="AH9276" s="2" t="str">
        <f ca="1"/>
        <v>OK</v>
      </c>
    </row>
    <row r="9277" spans="2:34" x14ac:dyDescent="0.2">
      <c r="B9277" s="2">
        <f ca="1"/>
        <v>0.3049251259309651</v>
      </c>
      <c r="O9277" s="2">
        <f ca="1"/>
        <v>1.0748450227327904</v>
      </c>
      <c r="X9277" s="2">
        <f ca="1"/>
        <v>51.338750505314692</v>
      </c>
      <c r="AG9277" s="2">
        <f ca="1"/>
        <v>0.39849257018490025</v>
      </c>
      <c r="AH9277" s="2" t="str">
        <f ca="1"/>
        <v>OK</v>
      </c>
    </row>
    <row r="9278" spans="2:34" x14ac:dyDescent="0.2">
      <c r="B9278" s="2">
        <f ca="1"/>
        <v>0.14603959077387052</v>
      </c>
      <c r="O9278" s="2">
        <f ca="1"/>
        <v>0.22223364152757544</v>
      </c>
      <c r="X9278" s="2">
        <f ca="1"/>
        <v>60.711964573567265</v>
      </c>
      <c r="AG9278" s="2">
        <f ca="1"/>
        <v>0.13990579713101403</v>
      </c>
      <c r="AH9278" s="2" t="str">
        <f ca="1"/>
        <v>OK</v>
      </c>
    </row>
    <row r="9279" spans="2:34" x14ac:dyDescent="0.2">
      <c r="B9279" s="2">
        <f ca="1"/>
        <v>1.2504957005690098E-2</v>
      </c>
      <c r="O9279" s="2">
        <f ca="1"/>
        <v>0.52454526186796635</v>
      </c>
      <c r="X9279" s="2">
        <f ca="1"/>
        <v>84.695467711661166</v>
      </c>
      <c r="AG9279" s="2">
        <f ca="1"/>
        <v>0.80395807692119381</v>
      </c>
      <c r="AH9279" s="2" t="str">
        <f ca="1"/>
        <v>Bad</v>
      </c>
    </row>
    <row r="9280" spans="2:34" x14ac:dyDescent="0.2">
      <c r="B9280" s="2">
        <f ca="1"/>
        <v>0.12398407055003702</v>
      </c>
      <c r="O9280" s="2">
        <f ca="1"/>
        <v>0.92916046400057484</v>
      </c>
      <c r="X9280" s="2">
        <f ca="1"/>
        <v>92.155573848495038</v>
      </c>
      <c r="AG9280" s="2">
        <f ca="1"/>
        <v>0.92250396955943148</v>
      </c>
      <c r="AH9280" s="2" t="str">
        <f ca="1"/>
        <v>Bad</v>
      </c>
    </row>
    <row r="9281" spans="2:34" x14ac:dyDescent="0.2">
      <c r="B9281" s="2">
        <f ca="1"/>
        <v>9.6474877513150537E-2</v>
      </c>
      <c r="O9281" s="2">
        <f ca="1"/>
        <v>0.15270666430169202</v>
      </c>
      <c r="X9281" s="2">
        <f ca="1"/>
        <v>72.536397117191086</v>
      </c>
      <c r="AG9281" s="2">
        <f ca="1"/>
        <v>0.33298105894273711</v>
      </c>
      <c r="AH9281" s="2" t="str">
        <f ca="1"/>
        <v>OK</v>
      </c>
    </row>
    <row r="9282" spans="2:34" x14ac:dyDescent="0.2">
      <c r="B9282" s="2">
        <f ca="1"/>
        <v>0.10749921843699517</v>
      </c>
      <c r="O9282" s="2">
        <f ca="1"/>
        <v>0.20717234124718997</v>
      </c>
      <c r="X9282" s="2">
        <f ca="1"/>
        <v>36.748549623427699</v>
      </c>
      <c r="AG9282" s="2">
        <f ca="1"/>
        <v>0.66229708826586409</v>
      </c>
      <c r="AH9282" s="2" t="str">
        <f ca="1"/>
        <v>Bad</v>
      </c>
    </row>
    <row r="9283" spans="2:34" x14ac:dyDescent="0.2">
      <c r="B9283" s="2">
        <f ca="1"/>
        <v>0.76664740374192308</v>
      </c>
      <c r="O9283" s="2">
        <f ca="1"/>
        <v>-0.81083338150180928</v>
      </c>
      <c r="X9283" s="2">
        <f ca="1"/>
        <v>47.347328804427306</v>
      </c>
      <c r="AG9283" s="2">
        <f ca="1"/>
        <v>0.62313640145941074</v>
      </c>
      <c r="AH9283" s="2" t="str">
        <f ca="1"/>
        <v>Bad</v>
      </c>
    </row>
    <row r="9284" spans="2:34" x14ac:dyDescent="0.2">
      <c r="B9284" s="2">
        <f ca="1"/>
        <v>0.85192521438491764</v>
      </c>
      <c r="O9284" s="2">
        <f ca="1"/>
        <v>-0.23204345933033219</v>
      </c>
      <c r="X9284" s="2">
        <f ca="1"/>
        <v>57.822210900880336</v>
      </c>
      <c r="AG9284" s="2">
        <f ca="1"/>
        <v>0.97441421584667953</v>
      </c>
      <c r="AH9284" s="2" t="str">
        <f ca="1"/>
        <v>Bad</v>
      </c>
    </row>
    <row r="9285" spans="2:34" x14ac:dyDescent="0.2">
      <c r="B9285" s="2">
        <f ca="1"/>
        <v>0.74390534347919313</v>
      </c>
      <c r="O9285" s="2">
        <f ca="1"/>
        <v>-1.0701247800338112</v>
      </c>
      <c r="X9285" s="2">
        <f ca="1"/>
        <v>44.969730326973377</v>
      </c>
      <c r="AG9285" s="2">
        <f ca="1"/>
        <v>0.17746902253203989</v>
      </c>
      <c r="AH9285" s="2" t="str">
        <f ca="1"/>
        <v>OK</v>
      </c>
    </row>
    <row r="9286" spans="2:34" x14ac:dyDescent="0.2">
      <c r="B9286" s="2">
        <f ca="1"/>
        <v>0.11017618985696287</v>
      </c>
      <c r="O9286" s="2">
        <f ca="1"/>
        <v>0.79938479426222442</v>
      </c>
      <c r="X9286" s="2">
        <f ca="1"/>
        <v>64.044146764489355</v>
      </c>
      <c r="AG9286" s="2">
        <f ca="1"/>
        <v>0.54744950191347619</v>
      </c>
      <c r="AH9286" s="2" t="str">
        <f ca="1"/>
        <v>Bad</v>
      </c>
    </row>
    <row r="9287" spans="2:34" x14ac:dyDescent="0.2">
      <c r="B9287" s="2">
        <f ca="1"/>
        <v>0.81161589086027797</v>
      </c>
      <c r="O9287" s="2">
        <f ca="1"/>
        <v>-1.478849276903482</v>
      </c>
      <c r="X9287" s="2">
        <f ca="1"/>
        <v>43.673755616272402</v>
      </c>
      <c r="AG9287" s="2">
        <f ca="1"/>
        <v>0.32775138538034065</v>
      </c>
      <c r="AH9287" s="2" t="str">
        <f ca="1"/>
        <v>OK</v>
      </c>
    </row>
    <row r="9288" spans="2:34" x14ac:dyDescent="0.2">
      <c r="B9288" s="2">
        <f ca="1"/>
        <v>0.12015592244627249</v>
      </c>
      <c r="O9288" s="2">
        <f ca="1"/>
        <v>0.39921219452010209</v>
      </c>
      <c r="X9288" s="2">
        <f ca="1"/>
        <v>38.090962061707629</v>
      </c>
      <c r="AG9288" s="2">
        <f ca="1"/>
        <v>0.17808367316038276</v>
      </c>
      <c r="AH9288" s="2" t="str">
        <f ca="1"/>
        <v>OK</v>
      </c>
    </row>
    <row r="9289" spans="2:34" x14ac:dyDescent="0.2">
      <c r="B9289" s="2">
        <f ca="1"/>
        <v>0.60527909325660256</v>
      </c>
      <c r="O9289" s="2">
        <f ca="1"/>
        <v>-0.342664514438141</v>
      </c>
      <c r="X9289" s="2">
        <f ca="1"/>
        <v>94.601901431477387</v>
      </c>
      <c r="AG9289" s="2">
        <f ca="1"/>
        <v>0.50418734150719646</v>
      </c>
      <c r="AH9289" s="2" t="str">
        <f ca="1"/>
        <v>Bad</v>
      </c>
    </row>
    <row r="9290" spans="2:34" x14ac:dyDescent="0.2">
      <c r="B9290" s="2">
        <f ca="1"/>
        <v>0.91629531125340402</v>
      </c>
      <c r="O9290" s="2">
        <f ca="1"/>
        <v>-1.5587953205072695</v>
      </c>
      <c r="X9290" s="2">
        <f ca="1"/>
        <v>59.19925707067808</v>
      </c>
      <c r="AG9290" s="2">
        <f ca="1"/>
        <v>0.792992190750343</v>
      </c>
      <c r="AH9290" s="2" t="str">
        <f ca="1"/>
        <v>Bad</v>
      </c>
    </row>
    <row r="9291" spans="2:34" x14ac:dyDescent="0.2">
      <c r="B9291" s="2">
        <f ca="1"/>
        <v>0.29121139153715614</v>
      </c>
      <c r="O9291" s="2">
        <f ca="1"/>
        <v>0.91048636634185742</v>
      </c>
      <c r="X9291" s="2">
        <f ca="1"/>
        <v>47.909017986063262</v>
      </c>
      <c r="AG9291" s="2">
        <f ca="1"/>
        <v>0.4746202236339947</v>
      </c>
      <c r="AH9291" s="2" t="str">
        <f ca="1"/>
        <v>Bad</v>
      </c>
    </row>
    <row r="9292" spans="2:34" x14ac:dyDescent="0.2">
      <c r="B9292" s="2">
        <f ca="1"/>
        <v>0.9197819290415179</v>
      </c>
      <c r="O9292" s="2">
        <f ca="1"/>
        <v>-0.41308324910503419</v>
      </c>
      <c r="X9292" s="2">
        <f ca="1"/>
        <v>22.558561805664425</v>
      </c>
      <c r="AG9292" s="2">
        <f ca="1"/>
        <v>8.9003566988808069E-2</v>
      </c>
      <c r="AH9292" s="2" t="str">
        <f ca="1"/>
        <v>OK</v>
      </c>
    </row>
    <row r="9293" spans="2:34" x14ac:dyDescent="0.2">
      <c r="B9293" s="2">
        <f ca="1"/>
        <v>0.47827668892004604</v>
      </c>
      <c r="O9293" s="2">
        <f ca="1"/>
        <v>0.64545500087426388</v>
      </c>
      <c r="X9293" s="2">
        <f ca="1"/>
        <v>48.361132085374592</v>
      </c>
      <c r="AG9293" s="2">
        <f ca="1"/>
        <v>2.7626301835822709E-2</v>
      </c>
      <c r="AH9293" s="2" t="str">
        <f ca="1"/>
        <v>Good</v>
      </c>
    </row>
    <row r="9294" spans="2:34" x14ac:dyDescent="0.2">
      <c r="B9294" s="2">
        <f ca="1"/>
        <v>0.82795248804404475</v>
      </c>
      <c r="O9294" s="2">
        <f ca="1"/>
        <v>0.60039970811400678</v>
      </c>
      <c r="X9294" s="2">
        <f ca="1"/>
        <v>82.637624701182787</v>
      </c>
      <c r="AG9294" s="2">
        <f ca="1"/>
        <v>0.64044036676305094</v>
      </c>
      <c r="AH9294" s="2" t="str">
        <f ca="1"/>
        <v>Bad</v>
      </c>
    </row>
    <row r="9295" spans="2:34" x14ac:dyDescent="0.2">
      <c r="B9295" s="2">
        <f ca="1"/>
        <v>0.69644912453499597</v>
      </c>
      <c r="O9295" s="2">
        <f ca="1"/>
        <v>-0.35697888420299551</v>
      </c>
      <c r="X9295" s="2">
        <f ca="1"/>
        <v>43.466045116927631</v>
      </c>
      <c r="AG9295" s="2">
        <f ca="1"/>
        <v>0.37753901786443023</v>
      </c>
      <c r="AH9295" s="2" t="str">
        <f ca="1"/>
        <v>OK</v>
      </c>
    </row>
    <row r="9296" spans="2:34" x14ac:dyDescent="0.2">
      <c r="B9296" s="2">
        <f ca="1"/>
        <v>0.63795347381161682</v>
      </c>
      <c r="O9296" s="2">
        <f ca="1"/>
        <v>0.43987818182897676</v>
      </c>
      <c r="X9296" s="2">
        <f ca="1"/>
        <v>35.673106035429029</v>
      </c>
      <c r="AG9296" s="2">
        <f ca="1"/>
        <v>0.96895585972967346</v>
      </c>
      <c r="AH9296" s="2" t="str">
        <f ca="1"/>
        <v>Bad</v>
      </c>
    </row>
    <row r="9297" spans="2:34" x14ac:dyDescent="0.2">
      <c r="B9297" s="2">
        <f ca="1"/>
        <v>0.7830375386147479</v>
      </c>
      <c r="O9297" s="2">
        <f ca="1"/>
        <v>-1.1145486762348182</v>
      </c>
      <c r="X9297" s="2">
        <f ca="1"/>
        <v>51.009817295452713</v>
      </c>
      <c r="AG9297" s="2">
        <f ca="1"/>
        <v>0.88135879056695687</v>
      </c>
      <c r="AH9297" s="2" t="str">
        <f ca="1"/>
        <v>Bad</v>
      </c>
    </row>
    <row r="9298" spans="2:34" x14ac:dyDescent="0.2">
      <c r="B9298" s="2">
        <f ca="1"/>
        <v>0.42968426968570128</v>
      </c>
      <c r="O9298" s="2">
        <f ca="1"/>
        <v>-0.60675939203248974</v>
      </c>
      <c r="X9298" s="2">
        <f ca="1"/>
        <v>54.98730405870355</v>
      </c>
      <c r="AG9298" s="2">
        <f ca="1"/>
        <v>0.99647103478802257</v>
      </c>
      <c r="AH9298" s="2" t="str">
        <f ca="1"/>
        <v>Bad</v>
      </c>
    </row>
    <row r="9299" spans="2:34" x14ac:dyDescent="0.2">
      <c r="B9299" s="2">
        <f ca="1"/>
        <v>0.15137764290481037</v>
      </c>
      <c r="O9299" s="2">
        <f ca="1"/>
        <v>-0.97728387141134776</v>
      </c>
      <c r="X9299" s="2">
        <f ca="1"/>
        <v>31.290511118898824</v>
      </c>
      <c r="AG9299" s="2">
        <f ca="1"/>
        <v>0.83250275561934695</v>
      </c>
      <c r="AH9299" s="2" t="str">
        <f ca="1"/>
        <v>Bad</v>
      </c>
    </row>
    <row r="9300" spans="2:34" x14ac:dyDescent="0.2">
      <c r="B9300" s="2">
        <f ca="1"/>
        <v>6.8148304043147867E-2</v>
      </c>
      <c r="O9300" s="2">
        <f ca="1"/>
        <v>0.26690212859652812</v>
      </c>
      <c r="X9300" s="2">
        <f ca="1"/>
        <v>46.767272438687009</v>
      </c>
      <c r="AG9300" s="2">
        <f ca="1"/>
        <v>0.28163412523507114</v>
      </c>
      <c r="AH9300" s="2" t="str">
        <f ca="1"/>
        <v>OK</v>
      </c>
    </row>
    <row r="9301" spans="2:34" x14ac:dyDescent="0.2">
      <c r="B9301" s="2">
        <f ca="1"/>
        <v>0.43179269134302878</v>
      </c>
      <c r="O9301" s="2">
        <f ca="1"/>
        <v>-0.63448877437165296</v>
      </c>
      <c r="X9301" s="2">
        <f ca="1"/>
        <v>64.180392435535197</v>
      </c>
      <c r="AG9301" s="2">
        <f ca="1"/>
        <v>0.9079065546424856</v>
      </c>
      <c r="AH9301" s="2" t="str">
        <f ca="1"/>
        <v>Bad</v>
      </c>
    </row>
    <row r="9302" spans="2:34" x14ac:dyDescent="0.2">
      <c r="B9302" s="2">
        <f ca="1"/>
        <v>0.63279283564159794</v>
      </c>
      <c r="O9302" s="2">
        <f ca="1"/>
        <v>1.0542751218720257</v>
      </c>
      <c r="X9302" s="2">
        <f ca="1"/>
        <v>49.729257252163052</v>
      </c>
      <c r="AG9302" s="2">
        <f ca="1"/>
        <v>0.28722333589821547</v>
      </c>
      <c r="AH9302" s="2" t="str">
        <f ca="1"/>
        <v>OK</v>
      </c>
    </row>
    <row r="9303" spans="2:34" x14ac:dyDescent="0.2">
      <c r="B9303" s="2">
        <f ca="1"/>
        <v>0.4005502931434719</v>
      </c>
      <c r="O9303" s="2">
        <f ca="1"/>
        <v>-0.35750161689810456</v>
      </c>
      <c r="X9303" s="2">
        <f ca="1"/>
        <v>52.41089746001191</v>
      </c>
      <c r="AG9303" s="2">
        <f ca="1"/>
        <v>1.6806143089540093E-2</v>
      </c>
      <c r="AH9303" s="2" t="str">
        <f ca="1"/>
        <v>Good</v>
      </c>
    </row>
    <row r="9304" spans="2:34" x14ac:dyDescent="0.2">
      <c r="B9304" s="2">
        <f ca="1"/>
        <v>0.65303756593075346</v>
      </c>
      <c r="O9304" s="2">
        <f ca="1"/>
        <v>0.98992757605693038</v>
      </c>
      <c r="X9304" s="2">
        <f ca="1"/>
        <v>44.629060748391581</v>
      </c>
      <c r="AG9304" s="2">
        <f ca="1"/>
        <v>0.52774800125949128</v>
      </c>
      <c r="AH9304" s="2" t="str">
        <f ca="1"/>
        <v>Bad</v>
      </c>
    </row>
    <row r="9305" spans="2:34" x14ac:dyDescent="0.2">
      <c r="B9305" s="2">
        <f ca="1"/>
        <v>0.29248809762752526</v>
      </c>
      <c r="O9305" s="2">
        <f ca="1"/>
        <v>-0.2301491382213916</v>
      </c>
      <c r="X9305" s="2">
        <f ca="1"/>
        <v>66.918766925997986</v>
      </c>
      <c r="AG9305" s="2">
        <f ca="1"/>
        <v>0.59703252451389677</v>
      </c>
      <c r="AH9305" s="2" t="str">
        <f ca="1"/>
        <v>Bad</v>
      </c>
    </row>
    <row r="9306" spans="2:34" x14ac:dyDescent="0.2">
      <c r="B9306" s="2">
        <f ca="1"/>
        <v>0.71566300985582076</v>
      </c>
      <c r="O9306" s="2">
        <f ca="1"/>
        <v>1.4477848945922027</v>
      </c>
      <c r="X9306" s="2">
        <f ca="1"/>
        <v>26.382593289627188</v>
      </c>
      <c r="AG9306" s="2">
        <f ca="1"/>
        <v>8.6229947702583409E-2</v>
      </c>
      <c r="AH9306" s="2" t="str">
        <f ca="1"/>
        <v>OK</v>
      </c>
    </row>
    <row r="9307" spans="2:34" x14ac:dyDescent="0.2">
      <c r="B9307" s="2">
        <f ca="1"/>
        <v>0.71239344324394649</v>
      </c>
      <c r="O9307" s="2">
        <f ca="1"/>
        <v>0.3618619317091194</v>
      </c>
      <c r="X9307" s="2">
        <f ca="1"/>
        <v>58.410521940725189</v>
      </c>
      <c r="AG9307" s="2">
        <f ca="1"/>
        <v>0.77060980735368512</v>
      </c>
      <c r="AH9307" s="2" t="str">
        <f ca="1"/>
        <v>Bad</v>
      </c>
    </row>
    <row r="9308" spans="2:34" x14ac:dyDescent="0.2">
      <c r="B9308" s="2">
        <f ca="1"/>
        <v>0.27027263646607724</v>
      </c>
      <c r="O9308" s="2">
        <f ca="1"/>
        <v>-1.2256935811754268</v>
      </c>
      <c r="X9308" s="2">
        <f ca="1"/>
        <v>25.942444096078386</v>
      </c>
      <c r="AG9308" s="2">
        <f ca="1"/>
        <v>0.95544792267782097</v>
      </c>
      <c r="AH9308" s="2" t="str">
        <f ca="1"/>
        <v>Bad</v>
      </c>
    </row>
    <row r="9309" spans="2:34" x14ac:dyDescent="0.2">
      <c r="B9309" s="2">
        <f ca="1"/>
        <v>0.60748744816049438</v>
      </c>
      <c r="O9309" s="2">
        <f ca="1"/>
        <v>1.9225098162168854</v>
      </c>
      <c r="X9309" s="2">
        <f ca="1"/>
        <v>44.727868508642146</v>
      </c>
      <c r="AG9309" s="2">
        <f ca="1"/>
        <v>9.3228120544029069E-2</v>
      </c>
      <c r="AH9309" s="2" t="str">
        <f ca="1"/>
        <v>OK</v>
      </c>
    </row>
    <row r="9310" spans="2:34" x14ac:dyDescent="0.2">
      <c r="B9310" s="2">
        <f ca="1"/>
        <v>3.7937128382275809E-2</v>
      </c>
      <c r="O9310" s="2">
        <f ca="1"/>
        <v>0.33394396519589448</v>
      </c>
      <c r="X9310" s="2">
        <f ca="1"/>
        <v>72.092262000845722</v>
      </c>
      <c r="AG9310" s="2">
        <f ca="1"/>
        <v>0.55044144248693705</v>
      </c>
      <c r="AH9310" s="2" t="str">
        <f ca="1"/>
        <v>Bad</v>
      </c>
    </row>
    <row r="9311" spans="2:34" x14ac:dyDescent="0.2">
      <c r="B9311" s="2">
        <f ca="1"/>
        <v>0.39924919821785942</v>
      </c>
      <c r="O9311" s="2">
        <f ca="1"/>
        <v>0.52398352357713784</v>
      </c>
      <c r="X9311" s="2">
        <f ca="1"/>
        <v>33.056860918222227</v>
      </c>
      <c r="AG9311" s="2">
        <f ca="1"/>
        <v>0.56362168195844453</v>
      </c>
      <c r="AH9311" s="2" t="str">
        <f ca="1"/>
        <v>Bad</v>
      </c>
    </row>
    <row r="9312" spans="2:34" x14ac:dyDescent="0.2">
      <c r="B9312" s="2">
        <f ca="1"/>
        <v>0.60321001165274679</v>
      </c>
      <c r="O9312" s="2">
        <f ca="1"/>
        <v>0.76527144238035305</v>
      </c>
      <c r="X9312" s="2">
        <f ca="1"/>
        <v>66.860855389431535</v>
      </c>
      <c r="AG9312" s="2">
        <f ca="1"/>
        <v>8.9020268627040711E-2</v>
      </c>
      <c r="AH9312" s="2" t="str">
        <f ca="1"/>
        <v>OK</v>
      </c>
    </row>
    <row r="9313" spans="2:34" x14ac:dyDescent="0.2">
      <c r="B9313" s="2">
        <f ca="1"/>
        <v>0.23750486749134314</v>
      </c>
      <c r="O9313" s="2">
        <f ca="1"/>
        <v>0.60785948972772452</v>
      </c>
      <c r="X9313" s="2">
        <f ca="1"/>
        <v>38.034561915439483</v>
      </c>
      <c r="AG9313" s="2">
        <f ca="1"/>
        <v>0.87547865402232472</v>
      </c>
      <c r="AH9313" s="2" t="str">
        <f ca="1"/>
        <v>Bad</v>
      </c>
    </row>
    <row r="9314" spans="2:34" x14ac:dyDescent="0.2">
      <c r="B9314" s="2">
        <f ca="1"/>
        <v>0.60315037307316643</v>
      </c>
      <c r="O9314" s="2">
        <f ca="1"/>
        <v>-0.70268935588442849</v>
      </c>
      <c r="X9314" s="2">
        <f ca="1"/>
        <v>40.9538356390686</v>
      </c>
      <c r="AG9314" s="2">
        <f ca="1"/>
        <v>0.22621256195093253</v>
      </c>
      <c r="AH9314" s="2" t="str">
        <f ca="1"/>
        <v>OK</v>
      </c>
    </row>
    <row r="9315" spans="2:34" x14ac:dyDescent="0.2">
      <c r="B9315" s="2">
        <f ca="1"/>
        <v>0.47482655232115878</v>
      </c>
      <c r="O9315" s="2">
        <f ca="1"/>
        <v>0.40944945392658172</v>
      </c>
      <c r="X9315" s="2">
        <f ca="1"/>
        <v>57.207870006677723</v>
      </c>
      <c r="AG9315" s="2">
        <f ca="1"/>
        <v>0.41179825197781383</v>
      </c>
      <c r="AH9315" s="2" t="str">
        <f ca="1"/>
        <v>Bad</v>
      </c>
    </row>
    <row r="9316" spans="2:34" x14ac:dyDescent="0.2">
      <c r="B9316" s="2">
        <f ca="1"/>
        <v>0.7938434630474076</v>
      </c>
      <c r="O9316" s="2">
        <f ca="1"/>
        <v>1.704112119005633</v>
      </c>
      <c r="X9316" s="2">
        <f ca="1"/>
        <v>62.834078436670346</v>
      </c>
      <c r="AG9316" s="2">
        <f ca="1"/>
        <v>5.995893273441677E-2</v>
      </c>
      <c r="AH9316" s="2" t="str">
        <f ca="1"/>
        <v>OK</v>
      </c>
    </row>
    <row r="9317" spans="2:34" x14ac:dyDescent="0.2">
      <c r="B9317" s="2">
        <f ca="1"/>
        <v>0.76223511308443959</v>
      </c>
      <c r="O9317" s="2">
        <f ca="1"/>
        <v>-0.55989283105899368</v>
      </c>
      <c r="X9317" s="2">
        <f ca="1"/>
        <v>28.987622937170091</v>
      </c>
      <c r="AG9317" s="2">
        <f ca="1"/>
        <v>0.77202484603665322</v>
      </c>
      <c r="AH9317" s="2" t="str">
        <f ca="1"/>
        <v>Bad</v>
      </c>
    </row>
    <row r="9318" spans="2:34" x14ac:dyDescent="0.2">
      <c r="B9318" s="2">
        <f ca="1"/>
        <v>7.2103078385162389E-2</v>
      </c>
      <c r="O9318" s="2">
        <f ca="1"/>
        <v>-5.1705763804746306E-2</v>
      </c>
      <c r="X9318" s="2">
        <f ca="1"/>
        <v>72.063489040729138</v>
      </c>
      <c r="AG9318" s="2">
        <f ca="1"/>
        <v>0.64404021035319081</v>
      </c>
      <c r="AH9318" s="2" t="str">
        <f ca="1"/>
        <v>Bad</v>
      </c>
    </row>
    <row r="9319" spans="2:34" x14ac:dyDescent="0.2">
      <c r="B9319" s="2">
        <f ca="1"/>
        <v>4.6633619276370997E-2</v>
      </c>
      <c r="O9319" s="2">
        <f ca="1"/>
        <v>8.6567078760694305E-2</v>
      </c>
      <c r="X9319" s="2">
        <f ca="1"/>
        <v>40.970170751944266</v>
      </c>
      <c r="AG9319" s="2">
        <f ca="1"/>
        <v>0.23347234359301217</v>
      </c>
      <c r="AH9319" s="2" t="str">
        <f ca="1"/>
        <v>OK</v>
      </c>
    </row>
    <row r="9320" spans="2:34" x14ac:dyDescent="0.2">
      <c r="B9320" s="2">
        <f ca="1"/>
        <v>3.2905115682955177E-3</v>
      </c>
      <c r="O9320" s="2">
        <f ca="1"/>
        <v>0.78854244908570437</v>
      </c>
      <c r="X9320" s="2">
        <f ca="1"/>
        <v>31.644952447223467</v>
      </c>
      <c r="AG9320" s="2">
        <f ca="1"/>
        <v>4.4635363813158913E-2</v>
      </c>
      <c r="AH9320" s="2" t="str">
        <f ca="1"/>
        <v>Good</v>
      </c>
    </row>
    <row r="9321" spans="2:34" x14ac:dyDescent="0.2">
      <c r="B9321" s="2">
        <f ca="1"/>
        <v>2.9498273495977667E-2</v>
      </c>
      <c r="O9321" s="2">
        <f ca="1"/>
        <v>0.35516417407080403</v>
      </c>
      <c r="X9321" s="2">
        <f ca="1"/>
        <v>28.55838683046272</v>
      </c>
      <c r="AG9321" s="2">
        <f ca="1"/>
        <v>0.28866260161174639</v>
      </c>
      <c r="AH9321" s="2" t="str">
        <f ca="1"/>
        <v>OK</v>
      </c>
    </row>
    <row r="9322" spans="2:34" x14ac:dyDescent="0.2">
      <c r="B9322" s="2">
        <f ca="1"/>
        <v>0.85464441308565497</v>
      </c>
      <c r="O9322" s="2">
        <f ca="1"/>
        <v>2.6765573576050081</v>
      </c>
      <c r="X9322" s="2">
        <f ca="1"/>
        <v>46.166234447525902</v>
      </c>
      <c r="AG9322" s="2">
        <f ca="1"/>
        <v>2.7504131305409407E-2</v>
      </c>
      <c r="AH9322" s="2" t="str">
        <f ca="1"/>
        <v>Good</v>
      </c>
    </row>
    <row r="9323" spans="2:34" x14ac:dyDescent="0.2">
      <c r="B9323" s="2">
        <f ca="1"/>
        <v>0.41989123203700829</v>
      </c>
      <c r="O9323" s="2">
        <f ca="1"/>
        <v>0.76527024913148123</v>
      </c>
      <c r="X9323" s="2">
        <f ca="1"/>
        <v>91.943042098515022</v>
      </c>
      <c r="AG9323" s="2">
        <f ca="1"/>
        <v>1.4989976160181717E-2</v>
      </c>
      <c r="AH9323" s="2" t="str">
        <f ca="1"/>
        <v>Good</v>
      </c>
    </row>
    <row r="9324" spans="2:34" x14ac:dyDescent="0.2">
      <c r="B9324" s="2">
        <f ca="1"/>
        <v>0.82172846858764093</v>
      </c>
      <c r="O9324" s="2">
        <f ca="1"/>
        <v>9.3882878395116748E-2</v>
      </c>
      <c r="X9324" s="2">
        <f ca="1"/>
        <v>53.557026270138188</v>
      </c>
      <c r="AG9324" s="2">
        <f ca="1"/>
        <v>0.79103227439095325</v>
      </c>
      <c r="AH9324" s="2" t="str">
        <f ca="1"/>
        <v>Bad</v>
      </c>
    </row>
    <row r="9325" spans="2:34" x14ac:dyDescent="0.2">
      <c r="B9325" s="2">
        <f ca="1"/>
        <v>0.35542439570166828</v>
      </c>
      <c r="O9325" s="2">
        <f ca="1"/>
        <v>-0.81075754404952927</v>
      </c>
      <c r="X9325" s="2">
        <f ca="1"/>
        <v>60.176931731611447</v>
      </c>
      <c r="AG9325" s="2">
        <f ca="1"/>
        <v>0.9787988552671103</v>
      </c>
      <c r="AH9325" s="2" t="str">
        <f ca="1"/>
        <v>Bad</v>
      </c>
    </row>
    <row r="9326" spans="2:34" x14ac:dyDescent="0.2">
      <c r="B9326" s="2">
        <f ca="1"/>
        <v>0.23057077332623543</v>
      </c>
      <c r="O9326" s="2">
        <f ca="1"/>
        <v>1.0898241748285542</v>
      </c>
      <c r="X9326" s="2">
        <f ca="1"/>
        <v>53.691010922702048</v>
      </c>
      <c r="AG9326" s="2">
        <f ca="1"/>
        <v>0.55628840907614663</v>
      </c>
      <c r="AH9326" s="2" t="str">
        <f ca="1"/>
        <v>Bad</v>
      </c>
    </row>
    <row r="9327" spans="2:34" x14ac:dyDescent="0.2">
      <c r="B9327" s="2">
        <f ca="1"/>
        <v>1.0706331569215743E-2</v>
      </c>
      <c r="O9327" s="2">
        <f ca="1"/>
        <v>-1.6234392372120303</v>
      </c>
      <c r="X9327" s="2">
        <f ca="1"/>
        <v>47.460428215317371</v>
      </c>
      <c r="AG9327" s="2">
        <f ca="1"/>
        <v>2.9825392484854829E-2</v>
      </c>
      <c r="AH9327" s="2" t="str">
        <f ca="1"/>
        <v>Good</v>
      </c>
    </row>
    <row r="9328" spans="2:34" x14ac:dyDescent="0.2">
      <c r="B9328" s="2">
        <f ca="1"/>
        <v>0.40949973197905143</v>
      </c>
      <c r="O9328" s="2">
        <f ca="1"/>
        <v>7.1993801303439436E-2</v>
      </c>
      <c r="X9328" s="2">
        <f ca="1"/>
        <v>38.977326327664478</v>
      </c>
      <c r="AG9328" s="2">
        <f ca="1"/>
        <v>0.84582176612012616</v>
      </c>
      <c r="AH9328" s="2" t="str">
        <f ca="1"/>
        <v>Bad</v>
      </c>
    </row>
    <row r="9329" spans="2:34" x14ac:dyDescent="0.2">
      <c r="B9329" s="2">
        <f ca="1"/>
        <v>0.29228831148530943</v>
      </c>
      <c r="O9329" s="2">
        <f ca="1"/>
        <v>1.3348798170639289</v>
      </c>
      <c r="X9329" s="2">
        <f ca="1"/>
        <v>45.897102540558514</v>
      </c>
      <c r="AG9329" s="2">
        <f ca="1"/>
        <v>0.74814677643992167</v>
      </c>
      <c r="AH9329" s="2" t="str">
        <f ca="1"/>
        <v>Bad</v>
      </c>
    </row>
    <row r="9330" spans="2:34" x14ac:dyDescent="0.2">
      <c r="B9330" s="2">
        <f ca="1"/>
        <v>0.69892319269072889</v>
      </c>
      <c r="O9330" s="2">
        <f ca="1"/>
        <v>-5.6123288442447877E-2</v>
      </c>
      <c r="X9330" s="2">
        <f ca="1"/>
        <v>40.230916423411962</v>
      </c>
      <c r="AG9330" s="2">
        <f ca="1"/>
        <v>0.67798875487253762</v>
      </c>
      <c r="AH9330" s="2" t="str">
        <f ca="1"/>
        <v>Bad</v>
      </c>
    </row>
    <row r="9331" spans="2:34" x14ac:dyDescent="0.2">
      <c r="B9331" s="2">
        <f ca="1"/>
        <v>0.87540563273240046</v>
      </c>
      <c r="O9331" s="2">
        <f ca="1"/>
        <v>-0.48638132744166412</v>
      </c>
      <c r="X9331" s="2">
        <f ca="1"/>
        <v>31.842652264582458</v>
      </c>
      <c r="AG9331" s="2">
        <f ca="1"/>
        <v>0.92686990162322824</v>
      </c>
      <c r="AH9331" s="2" t="str">
        <f ca="1"/>
        <v>Bad</v>
      </c>
    </row>
    <row r="9332" spans="2:34" x14ac:dyDescent="0.2">
      <c r="B9332" s="2">
        <f ca="1"/>
        <v>0.66770795042037689</v>
      </c>
      <c r="O9332" s="2">
        <f ca="1"/>
        <v>0.18483361457369424</v>
      </c>
      <c r="X9332" s="2">
        <f ca="1"/>
        <v>61.180157690108324</v>
      </c>
      <c r="AG9332" s="2">
        <f ca="1"/>
        <v>0.77918103059988786</v>
      </c>
      <c r="AH9332" s="2" t="str">
        <f ca="1"/>
        <v>Bad</v>
      </c>
    </row>
    <row r="9333" spans="2:34" x14ac:dyDescent="0.2">
      <c r="B9333" s="2">
        <f ca="1"/>
        <v>0.99046656996465754</v>
      </c>
      <c r="O9333" s="2">
        <f ca="1"/>
        <v>1.2240918792590674</v>
      </c>
      <c r="X9333" s="2">
        <f ca="1"/>
        <v>36.716968897830903</v>
      </c>
      <c r="AG9333" s="2">
        <f ca="1"/>
        <v>0.99580035092553509</v>
      </c>
      <c r="AH9333" s="2" t="str">
        <f ca="1"/>
        <v>Bad</v>
      </c>
    </row>
    <row r="9334" spans="2:34" x14ac:dyDescent="0.2">
      <c r="B9334" s="2">
        <f ca="1"/>
        <v>0.34583233238506761</v>
      </c>
      <c r="O9334" s="2">
        <f ca="1"/>
        <v>-1.1283207127577011</v>
      </c>
      <c r="X9334" s="2">
        <f ca="1"/>
        <v>52.547741230472901</v>
      </c>
      <c r="AG9334" s="2">
        <f ca="1"/>
        <v>0.2451984208058855</v>
      </c>
      <c r="AH9334" s="2" t="str">
        <f ca="1"/>
        <v>OK</v>
      </c>
    </row>
    <row r="9335" spans="2:34" x14ac:dyDescent="0.2">
      <c r="B9335" s="2">
        <f ca="1"/>
        <v>0.98116341024318454</v>
      </c>
      <c r="O9335" s="2">
        <f ca="1"/>
        <v>-0.4924413251945407</v>
      </c>
      <c r="X9335" s="2">
        <f ca="1"/>
        <v>50.250506345669912</v>
      </c>
      <c r="AG9335" s="2">
        <f ca="1"/>
        <v>0.79967729516361663</v>
      </c>
      <c r="AH9335" s="2" t="str">
        <f ca="1"/>
        <v>Bad</v>
      </c>
    </row>
    <row r="9336" spans="2:34" x14ac:dyDescent="0.2">
      <c r="B9336" s="2">
        <f ca="1"/>
        <v>0.88589154845609697</v>
      </c>
      <c r="O9336" s="2">
        <f ca="1"/>
        <v>-0.5724382322480025</v>
      </c>
      <c r="X9336" s="2">
        <f ca="1"/>
        <v>89.094006210186507</v>
      </c>
      <c r="AG9336" s="2">
        <f ca="1"/>
        <v>0.56758664853487439</v>
      </c>
      <c r="AH9336" s="2" t="str">
        <f ca="1"/>
        <v>Bad</v>
      </c>
    </row>
    <row r="9337" spans="2:34" x14ac:dyDescent="0.2">
      <c r="B9337" s="2">
        <f ca="1"/>
        <v>0.12074297619161922</v>
      </c>
      <c r="O9337" s="2">
        <f ca="1"/>
        <v>-2.270398274636555E-2</v>
      </c>
      <c r="X9337" s="2">
        <f ca="1"/>
        <v>47.319192251774965</v>
      </c>
      <c r="AG9337" s="2">
        <f ca="1"/>
        <v>3.4373281468502048E-2</v>
      </c>
      <c r="AH9337" s="2" t="str">
        <f ca="1"/>
        <v>Good</v>
      </c>
    </row>
    <row r="9338" spans="2:34" x14ac:dyDescent="0.2">
      <c r="B9338" s="2">
        <f ca="1"/>
        <v>0.5248468216907165</v>
      </c>
      <c r="O9338" s="2">
        <f ca="1"/>
        <v>0.6324946965661411</v>
      </c>
      <c r="X9338" s="2">
        <f ca="1"/>
        <v>80.853548343802345</v>
      </c>
      <c r="AG9338" s="2">
        <f ca="1"/>
        <v>0.62082640221304874</v>
      </c>
      <c r="AH9338" s="2" t="str">
        <f ca="1"/>
        <v>Bad</v>
      </c>
    </row>
    <row r="9339" spans="2:34" x14ac:dyDescent="0.2">
      <c r="B9339" s="2">
        <f ca="1"/>
        <v>0.27444499615993112</v>
      </c>
      <c r="O9339" s="2">
        <f ca="1"/>
        <v>-0.42415572064040791</v>
      </c>
      <c r="X9339" s="2">
        <f ca="1"/>
        <v>60.441600208546362</v>
      </c>
      <c r="AG9339" s="2">
        <f ca="1"/>
        <v>6.9072932748178273E-2</v>
      </c>
      <c r="AH9339" s="2" t="str">
        <f ca="1"/>
        <v>OK</v>
      </c>
    </row>
    <row r="9340" spans="2:34" x14ac:dyDescent="0.2">
      <c r="B9340" s="2">
        <f ca="1"/>
        <v>8.7699404422463267E-2</v>
      </c>
      <c r="O9340" s="2">
        <f ca="1"/>
        <v>-2.5013039764887695</v>
      </c>
      <c r="X9340" s="2">
        <f ca="1"/>
        <v>47.196935221286374</v>
      </c>
      <c r="AG9340" s="2">
        <f ca="1"/>
        <v>0.65495740515632028</v>
      </c>
      <c r="AH9340" s="2" t="str">
        <f ca="1"/>
        <v>Bad</v>
      </c>
    </row>
    <row r="9341" spans="2:34" x14ac:dyDescent="0.2">
      <c r="B9341" s="2">
        <f ca="1"/>
        <v>0.91858255707002212</v>
      </c>
      <c r="O9341" s="2">
        <f ca="1"/>
        <v>0.95785215661830336</v>
      </c>
      <c r="X9341" s="2">
        <f ca="1"/>
        <v>60.640439107993501</v>
      </c>
      <c r="AG9341" s="2">
        <f ca="1"/>
        <v>0.90920877310599102</v>
      </c>
      <c r="AH9341" s="2" t="str">
        <f ca="1"/>
        <v>Bad</v>
      </c>
    </row>
    <row r="9342" spans="2:34" x14ac:dyDescent="0.2">
      <c r="B9342" s="2">
        <f ca="1"/>
        <v>0.99572596790370738</v>
      </c>
      <c r="O9342" s="2">
        <f ca="1"/>
        <v>0.53974629669029617</v>
      </c>
      <c r="X9342" s="2">
        <f ca="1"/>
        <v>25.294502502624788</v>
      </c>
      <c r="AG9342" s="2">
        <f ca="1"/>
        <v>0.53579628044243499</v>
      </c>
      <c r="AH9342" s="2" t="str">
        <f ca="1"/>
        <v>Bad</v>
      </c>
    </row>
    <row r="9343" spans="2:34" x14ac:dyDescent="0.2">
      <c r="B9343" s="2">
        <f ca="1"/>
        <v>0.65078217335079103</v>
      </c>
      <c r="O9343" s="2">
        <f ca="1"/>
        <v>-0.65769740865922477</v>
      </c>
      <c r="X9343" s="2">
        <f ca="1"/>
        <v>48.634148130083048</v>
      </c>
      <c r="AG9343" s="2">
        <f ca="1"/>
        <v>0.48755143390162159</v>
      </c>
      <c r="AH9343" s="2" t="str">
        <f ca="1"/>
        <v>Bad</v>
      </c>
    </row>
    <row r="9344" spans="2:34" x14ac:dyDescent="0.2">
      <c r="B9344" s="2">
        <f ca="1"/>
        <v>0.65115714592963947</v>
      </c>
      <c r="O9344" s="2">
        <f ca="1"/>
        <v>0.38353545276627177</v>
      </c>
      <c r="X9344" s="2">
        <f ca="1"/>
        <v>33.370898977691311</v>
      </c>
      <c r="AG9344" s="2">
        <f ca="1"/>
        <v>0.65772604966071491</v>
      </c>
      <c r="AH9344" s="2" t="str">
        <f ca="1"/>
        <v>Bad</v>
      </c>
    </row>
    <row r="9345" spans="2:34" x14ac:dyDescent="0.2">
      <c r="B9345" s="2">
        <f ca="1"/>
        <v>0.7707551148891334</v>
      </c>
      <c r="O9345" s="2">
        <f ca="1"/>
        <v>-0.3706301343136999</v>
      </c>
      <c r="X9345" s="2">
        <f ca="1"/>
        <v>35.485560947086945</v>
      </c>
      <c r="AG9345" s="2">
        <f ca="1"/>
        <v>0.72909283110757372</v>
      </c>
      <c r="AH9345" s="2" t="str">
        <f ca="1"/>
        <v>Bad</v>
      </c>
    </row>
    <row r="9346" spans="2:34" x14ac:dyDescent="0.2">
      <c r="B9346" s="2">
        <f ca="1"/>
        <v>0.3204817745306785</v>
      </c>
      <c r="O9346" s="2">
        <f ca="1"/>
        <v>-0.16829772266494042</v>
      </c>
      <c r="X9346" s="2">
        <f ca="1"/>
        <v>63.47973705587691</v>
      </c>
      <c r="AG9346" s="2">
        <f ca="1"/>
        <v>3.208057526058905E-3</v>
      </c>
      <c r="AH9346" s="2" t="str">
        <f ca="1"/>
        <v>Good</v>
      </c>
    </row>
    <row r="9347" spans="2:34" x14ac:dyDescent="0.2">
      <c r="B9347" s="2">
        <f ca="1"/>
        <v>9.5552821041654079E-2</v>
      </c>
      <c r="O9347" s="2">
        <f ca="1"/>
        <v>2.3482488139233473</v>
      </c>
      <c r="X9347" s="2">
        <f ca="1"/>
        <v>43.38780807735575</v>
      </c>
      <c r="AG9347" s="2">
        <f ca="1"/>
        <v>0.12232016239412702</v>
      </c>
      <c r="AH9347" s="2" t="str">
        <f ca="1"/>
        <v>OK</v>
      </c>
    </row>
    <row r="9348" spans="2:34" x14ac:dyDescent="0.2">
      <c r="B9348" s="2">
        <f ca="1"/>
        <v>0.10229511009304848</v>
      </c>
      <c r="O9348" s="2">
        <f ca="1"/>
        <v>-1.7436384914997816</v>
      </c>
      <c r="X9348" s="2">
        <f ca="1"/>
        <v>88.947987562121128</v>
      </c>
      <c r="AG9348" s="2">
        <f ca="1"/>
        <v>0.48960757807953748</v>
      </c>
      <c r="AH9348" s="2" t="str">
        <f ca="1"/>
        <v>Bad</v>
      </c>
    </row>
    <row r="9349" spans="2:34" x14ac:dyDescent="0.2">
      <c r="B9349" s="2">
        <f ca="1"/>
        <v>0.95625118062937964</v>
      </c>
      <c r="O9349" s="2">
        <f ca="1"/>
        <v>0.80955285602204052</v>
      </c>
      <c r="X9349" s="2">
        <f ca="1"/>
        <v>30.2235445585018</v>
      </c>
      <c r="AG9349" s="2">
        <f ca="1"/>
        <v>0.13786903980180298</v>
      </c>
      <c r="AH9349" s="2" t="str">
        <f ca="1"/>
        <v>OK</v>
      </c>
    </row>
    <row r="9350" spans="2:34" x14ac:dyDescent="0.2">
      <c r="B9350" s="2">
        <f ca="1"/>
        <v>0.20454132693176108</v>
      </c>
      <c r="O9350" s="2">
        <f ca="1"/>
        <v>1.496151638110391</v>
      </c>
      <c r="X9350" s="2">
        <f ca="1"/>
        <v>55.18828394342524</v>
      </c>
      <c r="AG9350" s="2">
        <f ca="1"/>
        <v>0.98544896385371916</v>
      </c>
      <c r="AH9350" s="2" t="str">
        <f ca="1"/>
        <v>Bad</v>
      </c>
    </row>
    <row r="9351" spans="2:34" x14ac:dyDescent="0.2">
      <c r="B9351" s="2">
        <f ca="1"/>
        <v>0.83996419409852607</v>
      </c>
      <c r="O9351" s="2">
        <f ca="1"/>
        <v>-0.19632143548411995</v>
      </c>
      <c r="X9351" s="2">
        <f ca="1"/>
        <v>70.562239184620111</v>
      </c>
      <c r="AG9351" s="2">
        <f ca="1"/>
        <v>0.19374107407982999</v>
      </c>
      <c r="AH9351" s="2" t="str">
        <f ca="1"/>
        <v>OK</v>
      </c>
    </row>
    <row r="9352" spans="2:34" x14ac:dyDescent="0.2">
      <c r="B9352" s="2">
        <f ca="1"/>
        <v>0.67341263874598001</v>
      </c>
      <c r="O9352" s="2">
        <f ca="1"/>
        <v>-1.1154947859164399</v>
      </c>
      <c r="X9352" s="2">
        <f ca="1"/>
        <v>49.994234953951747</v>
      </c>
      <c r="AG9352" s="2">
        <f ca="1"/>
        <v>0.20468493309809066</v>
      </c>
      <c r="AH9352" s="2" t="str">
        <f ca="1"/>
        <v>OK</v>
      </c>
    </row>
    <row r="9353" spans="2:34" x14ac:dyDescent="0.2">
      <c r="B9353" s="2">
        <f ca="1"/>
        <v>0.32219258130530792</v>
      </c>
      <c r="O9353" s="2">
        <f ca="1"/>
        <v>0.2459839145121743</v>
      </c>
      <c r="X9353" s="2">
        <f ca="1"/>
        <v>57.147441723553257</v>
      </c>
      <c r="AG9353" s="2">
        <f ca="1"/>
        <v>0.65780170849403952</v>
      </c>
      <c r="AH9353" s="2" t="str">
        <f ca="1"/>
        <v>Bad</v>
      </c>
    </row>
    <row r="9354" spans="2:34" x14ac:dyDescent="0.2">
      <c r="B9354" s="2">
        <f ca="1"/>
        <v>0.65373606939765816</v>
      </c>
      <c r="O9354" s="2">
        <f ca="1"/>
        <v>-1.1947095192522774</v>
      </c>
      <c r="X9354" s="2">
        <f ca="1"/>
        <v>30.675942856473121</v>
      </c>
      <c r="AG9354" s="2">
        <f ca="1"/>
        <v>0.85996227172193906</v>
      </c>
      <c r="AH9354" s="2" t="str">
        <f ca="1"/>
        <v>Bad</v>
      </c>
    </row>
    <row r="9355" spans="2:34" x14ac:dyDescent="0.2">
      <c r="B9355" s="2">
        <f ca="1"/>
        <v>0.39066992553125357</v>
      </c>
      <c r="O9355" s="2">
        <f ca="1"/>
        <v>-0.15564842166581627</v>
      </c>
      <c r="X9355" s="2">
        <f ca="1"/>
        <v>55.697377885213498</v>
      </c>
      <c r="AG9355" s="2">
        <f ca="1"/>
        <v>8.6231745132261395E-2</v>
      </c>
      <c r="AH9355" s="2" t="str">
        <f ca="1"/>
        <v>OK</v>
      </c>
    </row>
    <row r="9356" spans="2:34" x14ac:dyDescent="0.2">
      <c r="B9356" s="2">
        <f ca="1"/>
        <v>0.25858008674002675</v>
      </c>
      <c r="O9356" s="2">
        <f ca="1"/>
        <v>0.36864707363754101</v>
      </c>
      <c r="X9356" s="2">
        <f ca="1"/>
        <v>60.348691869686625</v>
      </c>
      <c r="AG9356" s="2">
        <f ca="1"/>
        <v>0.8067328934899729</v>
      </c>
      <c r="AH9356" s="2" t="str">
        <f ca="1"/>
        <v>Bad</v>
      </c>
    </row>
    <row r="9357" spans="2:34" x14ac:dyDescent="0.2">
      <c r="B9357" s="2">
        <f ca="1"/>
        <v>0.75770866047295304</v>
      </c>
      <c r="O9357" s="2">
        <f ca="1"/>
        <v>1.6317517613042332</v>
      </c>
      <c r="X9357" s="2">
        <f ca="1"/>
        <v>56.582335050166876</v>
      </c>
      <c r="AG9357" s="2">
        <f ca="1"/>
        <v>0.26124621016768512</v>
      </c>
      <c r="AH9357" s="2" t="str">
        <f ca="1"/>
        <v>OK</v>
      </c>
    </row>
    <row r="9358" spans="2:34" x14ac:dyDescent="0.2">
      <c r="B9358" s="2">
        <f ca="1"/>
        <v>0.9921752179322052</v>
      </c>
      <c r="O9358" s="2">
        <f ca="1"/>
        <v>-0.22926124599341349</v>
      </c>
      <c r="X9358" s="2">
        <f ca="1"/>
        <v>52.697899528228007</v>
      </c>
      <c r="AG9358" s="2">
        <f ca="1"/>
        <v>5.3745037201183177E-2</v>
      </c>
      <c r="AH9358" s="2" t="str">
        <f ca="1"/>
        <v>OK</v>
      </c>
    </row>
    <row r="9359" spans="2:34" x14ac:dyDescent="0.2">
      <c r="B9359" s="2">
        <f ca="1"/>
        <v>0.4248725645502327</v>
      </c>
      <c r="O9359" s="2">
        <f ca="1"/>
        <v>-0.53786715287247766</v>
      </c>
      <c r="X9359" s="2">
        <f ca="1"/>
        <v>46.723627133651632</v>
      </c>
      <c r="AG9359" s="2">
        <f ca="1"/>
        <v>0.38511023027324676</v>
      </c>
      <c r="AH9359" s="2" t="str">
        <f ca="1"/>
        <v>OK</v>
      </c>
    </row>
    <row r="9360" spans="2:34" x14ac:dyDescent="0.2">
      <c r="B9360" s="2">
        <f ca="1"/>
        <v>0.74005926275483236</v>
      </c>
      <c r="O9360" s="2">
        <f ca="1"/>
        <v>-2.7990587800417024</v>
      </c>
      <c r="X9360" s="2">
        <f ca="1"/>
        <v>46.138764473593028</v>
      </c>
      <c r="AG9360" s="2">
        <f ca="1"/>
        <v>0.62845378024925913</v>
      </c>
      <c r="AH9360" s="2" t="str">
        <f ca="1"/>
        <v>Bad</v>
      </c>
    </row>
    <row r="9361" spans="2:34" x14ac:dyDescent="0.2">
      <c r="B9361" s="2">
        <f ca="1"/>
        <v>0.83018868986515448</v>
      </c>
      <c r="O9361" s="2">
        <f ca="1"/>
        <v>1.7659276106065851</v>
      </c>
      <c r="X9361" s="2">
        <f ca="1"/>
        <v>71.960578739132586</v>
      </c>
      <c r="AG9361" s="2">
        <f ca="1"/>
        <v>0.16956801870321914</v>
      </c>
      <c r="AH9361" s="2" t="str">
        <f ca="1"/>
        <v>OK</v>
      </c>
    </row>
    <row r="9362" spans="2:34" x14ac:dyDescent="0.2">
      <c r="B9362" s="2">
        <f ca="1"/>
        <v>0.92209399324923935</v>
      </c>
      <c r="O9362" s="2">
        <f ca="1"/>
        <v>-0.24530871970298226</v>
      </c>
      <c r="X9362" s="2">
        <f ca="1"/>
        <v>45.049352662164267</v>
      </c>
      <c r="AG9362" s="2">
        <f ca="1"/>
        <v>6.5023172132838036E-2</v>
      </c>
      <c r="AH9362" s="2" t="str">
        <f ca="1"/>
        <v>OK</v>
      </c>
    </row>
    <row r="9363" spans="2:34" x14ac:dyDescent="0.2">
      <c r="B9363" s="2">
        <f ca="1"/>
        <v>0.53811753949557195</v>
      </c>
      <c r="O9363" s="2">
        <f ca="1"/>
        <v>0.21238764307666003</v>
      </c>
      <c r="X9363" s="2">
        <f ca="1"/>
        <v>34.441801565274652</v>
      </c>
      <c r="AG9363" s="2">
        <f ca="1"/>
        <v>0.74606682671528191</v>
      </c>
      <c r="AH9363" s="2" t="str">
        <f ca="1"/>
        <v>Bad</v>
      </c>
    </row>
    <row r="9364" spans="2:34" x14ac:dyDescent="0.2">
      <c r="B9364" s="2">
        <f ca="1"/>
        <v>0.75619172729452999</v>
      </c>
      <c r="O9364" s="2">
        <f ca="1"/>
        <v>-0.45577970139847757</v>
      </c>
      <c r="X9364" s="2">
        <f ca="1"/>
        <v>31.192938837010761</v>
      </c>
      <c r="AG9364" s="2">
        <f ca="1"/>
        <v>0.8089770595723631</v>
      </c>
      <c r="AH9364" s="2" t="str">
        <f ca="1"/>
        <v>Bad</v>
      </c>
    </row>
    <row r="9365" spans="2:34" x14ac:dyDescent="0.2">
      <c r="B9365" s="2">
        <f ca="1"/>
        <v>0.7325724301496761</v>
      </c>
      <c r="O9365" s="2">
        <f ca="1"/>
        <v>0.95517683612151805</v>
      </c>
      <c r="X9365" s="2">
        <f ca="1"/>
        <v>63.454340898987454</v>
      </c>
      <c r="AG9365" s="2">
        <f ca="1"/>
        <v>0.19390867735799433</v>
      </c>
      <c r="AH9365" s="2" t="str">
        <f ca="1"/>
        <v>OK</v>
      </c>
    </row>
    <row r="9366" spans="2:34" x14ac:dyDescent="0.2">
      <c r="B9366" s="2">
        <f ca="1"/>
        <v>0.99418161356540424</v>
      </c>
      <c r="O9366" s="2">
        <f ca="1"/>
        <v>-1.0803706967334288</v>
      </c>
      <c r="X9366" s="2">
        <f ca="1"/>
        <v>70.691677086713355</v>
      </c>
      <c r="AG9366" s="2">
        <f ca="1"/>
        <v>0.21822690658674015</v>
      </c>
      <c r="AH9366" s="2" t="str">
        <f ca="1"/>
        <v>OK</v>
      </c>
    </row>
    <row r="9367" spans="2:34" x14ac:dyDescent="0.2">
      <c r="B9367" s="2">
        <f ca="1"/>
        <v>0.35609367024836813</v>
      </c>
      <c r="O9367" s="2">
        <f ca="1"/>
        <v>0.10372507030334305</v>
      </c>
      <c r="X9367" s="2">
        <f ca="1"/>
        <v>68.39294935541767</v>
      </c>
      <c r="AG9367" s="2">
        <f ca="1"/>
        <v>0.26086474576573293</v>
      </c>
      <c r="AH9367" s="2" t="str">
        <f ca="1"/>
        <v>OK</v>
      </c>
    </row>
    <row r="9368" spans="2:34" x14ac:dyDescent="0.2">
      <c r="B9368" s="2">
        <f ca="1"/>
        <v>0.96227068953911554</v>
      </c>
      <c r="O9368" s="2">
        <f ca="1"/>
        <v>-0.52286789648754273</v>
      </c>
      <c r="X9368" s="2">
        <f ca="1"/>
        <v>35.73232119053489</v>
      </c>
      <c r="AG9368" s="2">
        <f ca="1"/>
        <v>0.76542743614499398</v>
      </c>
      <c r="AH9368" s="2" t="str">
        <f ca="1"/>
        <v>Bad</v>
      </c>
    </row>
    <row r="9369" spans="2:34" x14ac:dyDescent="0.2">
      <c r="B9369" s="2">
        <f ca="1"/>
        <v>0.26193751024776901</v>
      </c>
      <c r="O9369" s="2">
        <f ca="1"/>
        <v>-0.82519409751579587</v>
      </c>
      <c r="X9369" s="2">
        <f ca="1"/>
        <v>47.134528210790364</v>
      </c>
      <c r="AG9369" s="2">
        <f ca="1"/>
        <v>0.76978927737623248</v>
      </c>
      <c r="AH9369" s="2" t="str">
        <f ca="1"/>
        <v>Bad</v>
      </c>
    </row>
    <row r="9370" spans="2:34" x14ac:dyDescent="0.2">
      <c r="B9370" s="2">
        <f ca="1"/>
        <v>0.2712091890126469</v>
      </c>
      <c r="O9370" s="2">
        <f ca="1"/>
        <v>3.444614880308481E-2</v>
      </c>
      <c r="X9370" s="2">
        <f ca="1"/>
        <v>39.087643295234187</v>
      </c>
      <c r="AG9370" s="2">
        <f ca="1"/>
        <v>0.24620833170074441</v>
      </c>
      <c r="AH9370" s="2" t="str">
        <f ca="1"/>
        <v>OK</v>
      </c>
    </row>
    <row r="9371" spans="2:34" x14ac:dyDescent="0.2">
      <c r="B9371" s="2">
        <f ca="1"/>
        <v>0.83965992989357408</v>
      </c>
      <c r="O9371" s="2">
        <f ca="1"/>
        <v>-0.95308768203915006</v>
      </c>
      <c r="X9371" s="2">
        <f ca="1"/>
        <v>109.7716387865956</v>
      </c>
      <c r="AG9371" s="2">
        <f ca="1"/>
        <v>0.38446876963546295</v>
      </c>
      <c r="AH9371" s="2" t="str">
        <f ca="1"/>
        <v>OK</v>
      </c>
    </row>
    <row r="9372" spans="2:34" x14ac:dyDescent="0.2">
      <c r="B9372" s="2">
        <f ca="1"/>
        <v>0.13328354465992631</v>
      </c>
      <c r="O9372" s="2">
        <f ca="1"/>
        <v>1.2682339017160615</v>
      </c>
      <c r="X9372" s="2">
        <f ca="1"/>
        <v>64.334570117423254</v>
      </c>
      <c r="AG9372" s="2">
        <f ca="1"/>
        <v>0.24092218312528746</v>
      </c>
      <c r="AH9372" s="2" t="str">
        <f ca="1"/>
        <v>OK</v>
      </c>
    </row>
    <row r="9373" spans="2:34" x14ac:dyDescent="0.2">
      <c r="B9373" s="2">
        <f ca="1"/>
        <v>0.92395442590842802</v>
      </c>
      <c r="O9373" s="2">
        <f ca="1"/>
        <v>-1.0412915222873504</v>
      </c>
      <c r="X9373" s="2">
        <f ca="1"/>
        <v>37.087249020428388</v>
      </c>
      <c r="AG9373" s="2">
        <f ca="1"/>
        <v>0.84657593988215307</v>
      </c>
      <c r="AH9373" s="2" t="str">
        <f ca="1"/>
        <v>Bad</v>
      </c>
    </row>
    <row r="9374" spans="2:34" x14ac:dyDescent="0.2">
      <c r="B9374" s="2">
        <f ca="1"/>
        <v>0.95609558156699936</v>
      </c>
      <c r="O9374" s="2">
        <f ca="1"/>
        <v>-0.81679499333791927</v>
      </c>
      <c r="X9374" s="2">
        <f ca="1"/>
        <v>48.898157920467753</v>
      </c>
      <c r="AG9374" s="2">
        <f ca="1"/>
        <v>0.7244036753696641</v>
      </c>
      <c r="AH9374" s="2" t="str">
        <f ca="1"/>
        <v>Bad</v>
      </c>
    </row>
    <row r="9375" spans="2:34" x14ac:dyDescent="0.2">
      <c r="B9375" s="2">
        <f ca="1"/>
        <v>0.25920651811462125</v>
      </c>
      <c r="O9375" s="2">
        <f ca="1"/>
        <v>1.8879500708961072</v>
      </c>
      <c r="X9375" s="2">
        <f ca="1"/>
        <v>48.594198427592239</v>
      </c>
      <c r="AG9375" s="2">
        <f ca="1"/>
        <v>9.170002047608472E-2</v>
      </c>
      <c r="AH9375" s="2" t="str">
        <f ca="1"/>
        <v>OK</v>
      </c>
    </row>
    <row r="9376" spans="2:34" x14ac:dyDescent="0.2">
      <c r="B9376" s="2">
        <f ca="1"/>
        <v>0.87235594605606992</v>
      </c>
      <c r="O9376" s="2">
        <f ca="1"/>
        <v>-0.47126101278149773</v>
      </c>
      <c r="X9376" s="2">
        <f ca="1"/>
        <v>50.198014692236484</v>
      </c>
      <c r="AG9376" s="2">
        <f ca="1"/>
        <v>0.34487566736634512</v>
      </c>
      <c r="AH9376" s="2" t="str">
        <f ca="1"/>
        <v>OK</v>
      </c>
    </row>
    <row r="9377" spans="2:34" x14ac:dyDescent="0.2">
      <c r="B9377" s="2">
        <f ca="1"/>
        <v>0.14936230189527588</v>
      </c>
      <c r="O9377" s="2">
        <f ca="1"/>
        <v>0.82951732568535419</v>
      </c>
      <c r="X9377" s="2">
        <f ca="1"/>
        <v>56.595822033393191</v>
      </c>
      <c r="AG9377" s="2">
        <f ca="1"/>
        <v>7.8151048090796316E-2</v>
      </c>
      <c r="AH9377" s="2" t="str">
        <f ca="1"/>
        <v>OK</v>
      </c>
    </row>
    <row r="9378" spans="2:34" x14ac:dyDescent="0.2">
      <c r="B9378" s="2">
        <f ca="1"/>
        <v>0.31080273689818894</v>
      </c>
      <c r="O9378" s="2">
        <f ca="1"/>
        <v>-0.19329120554253115</v>
      </c>
      <c r="X9378" s="2">
        <f ca="1"/>
        <v>74.096483391139273</v>
      </c>
      <c r="AG9378" s="2">
        <f ca="1"/>
        <v>0.43214561896843651</v>
      </c>
      <c r="AH9378" s="2" t="str">
        <f ca="1"/>
        <v>Bad</v>
      </c>
    </row>
    <row r="9379" spans="2:34" x14ac:dyDescent="0.2">
      <c r="B9379" s="2">
        <f ca="1"/>
        <v>0.99444363226675359</v>
      </c>
      <c r="O9379" s="2">
        <f ca="1"/>
        <v>0.43398863644832264</v>
      </c>
      <c r="X9379" s="2">
        <f ca="1"/>
        <v>50.910004383668024</v>
      </c>
      <c r="AG9379" s="2">
        <f ca="1"/>
        <v>0.68886287182604899</v>
      </c>
      <c r="AH9379" s="2" t="str">
        <f ca="1"/>
        <v>Bad</v>
      </c>
    </row>
    <row r="9380" spans="2:34" x14ac:dyDescent="0.2">
      <c r="B9380" s="2">
        <f ca="1"/>
        <v>0.76130601834119482</v>
      </c>
      <c r="O9380" s="2">
        <f ca="1"/>
        <v>0.70376442042573695</v>
      </c>
      <c r="X9380" s="2">
        <f ca="1"/>
        <v>58.962721368201301</v>
      </c>
      <c r="AG9380" s="2">
        <f ca="1"/>
        <v>0.87648007437210995</v>
      </c>
      <c r="AH9380" s="2" t="str">
        <f ca="1"/>
        <v>Bad</v>
      </c>
    </row>
    <row r="9381" spans="2:34" x14ac:dyDescent="0.2">
      <c r="B9381" s="2">
        <f ca="1"/>
        <v>0.85587662275245857</v>
      </c>
      <c r="O9381" s="2">
        <f ca="1"/>
        <v>-0.78696970836097613</v>
      </c>
      <c r="X9381" s="2">
        <f ca="1"/>
        <v>53.237797108363729</v>
      </c>
      <c r="AG9381" s="2">
        <f ca="1"/>
        <v>0.97076785673111243</v>
      </c>
      <c r="AH9381" s="2" t="str">
        <f ca="1"/>
        <v>Bad</v>
      </c>
    </row>
    <row r="9382" spans="2:34" x14ac:dyDescent="0.2">
      <c r="B9382" s="2">
        <f ca="1"/>
        <v>0.98925024266567374</v>
      </c>
      <c r="O9382" s="2">
        <f ca="1"/>
        <v>0.28609142264031712</v>
      </c>
      <c r="X9382" s="2">
        <f ca="1"/>
        <v>40.620633410773493</v>
      </c>
      <c r="AG9382" s="2">
        <f ca="1"/>
        <v>0.96463358164569168</v>
      </c>
      <c r="AH9382" s="2" t="str">
        <f ca="1"/>
        <v>Bad</v>
      </c>
    </row>
    <row r="9383" spans="2:34" x14ac:dyDescent="0.2">
      <c r="B9383" s="2">
        <f ca="1"/>
        <v>0.6737397434641712</v>
      </c>
      <c r="O9383" s="2">
        <f ca="1"/>
        <v>1.6490666418989359</v>
      </c>
      <c r="X9383" s="2">
        <f ca="1"/>
        <v>57.425853684523048</v>
      </c>
      <c r="AG9383" s="2">
        <f ca="1"/>
        <v>0.88462304852915086</v>
      </c>
      <c r="AH9383" s="2" t="str">
        <f ca="1"/>
        <v>Bad</v>
      </c>
    </row>
    <row r="9384" spans="2:34" x14ac:dyDescent="0.2">
      <c r="B9384" s="2">
        <f ca="1"/>
        <v>0.97099112709790925</v>
      </c>
      <c r="O9384" s="2">
        <f ca="1"/>
        <v>-0.26195064999677603</v>
      </c>
      <c r="X9384" s="2">
        <f ca="1"/>
        <v>53.88417528070719</v>
      </c>
      <c r="AG9384" s="2">
        <f ca="1"/>
        <v>0.72709870649554453</v>
      </c>
      <c r="AH9384" s="2" t="str">
        <f ca="1"/>
        <v>Bad</v>
      </c>
    </row>
    <row r="9385" spans="2:34" x14ac:dyDescent="0.2">
      <c r="B9385" s="2">
        <f ca="1"/>
        <v>0.10137752324132854</v>
      </c>
      <c r="O9385" s="2">
        <f ca="1"/>
        <v>1.7340890952648957</v>
      </c>
      <c r="X9385" s="2">
        <f ca="1"/>
        <v>51.552848461497369</v>
      </c>
      <c r="AG9385" s="2">
        <f ca="1"/>
        <v>0.35932592825419696</v>
      </c>
      <c r="AH9385" s="2" t="str">
        <f ca="1"/>
        <v>OK</v>
      </c>
    </row>
    <row r="9386" spans="2:34" x14ac:dyDescent="0.2">
      <c r="B9386" s="2">
        <f ca="1"/>
        <v>0.10658820378578238</v>
      </c>
      <c r="O9386" s="2">
        <f ca="1"/>
        <v>0.75053559986316976</v>
      </c>
      <c r="X9386" s="2">
        <f ca="1"/>
        <v>44.688685604957115</v>
      </c>
      <c r="AG9386" s="2">
        <f ca="1"/>
        <v>0.11451922626125555</v>
      </c>
      <c r="AH9386" s="2" t="str">
        <f ca="1"/>
        <v>OK</v>
      </c>
    </row>
    <row r="9387" spans="2:34" x14ac:dyDescent="0.2">
      <c r="B9387" s="2">
        <f ca="1"/>
        <v>0.46060340353053886</v>
      </c>
      <c r="O9387" s="2">
        <f ca="1"/>
        <v>1.1323736289325086</v>
      </c>
      <c r="X9387" s="2">
        <f ca="1"/>
        <v>41.907717767348331</v>
      </c>
      <c r="AG9387" s="2">
        <f ca="1"/>
        <v>0.6350675984174623</v>
      </c>
      <c r="AH9387" s="2" t="str">
        <f ca="1"/>
        <v>Bad</v>
      </c>
    </row>
    <row r="9388" spans="2:34" x14ac:dyDescent="0.2">
      <c r="B9388" s="2">
        <f ca="1"/>
        <v>0.83465550565900126</v>
      </c>
      <c r="O9388" s="2">
        <f ca="1"/>
        <v>1.1251455506620054</v>
      </c>
      <c r="X9388" s="2">
        <f ca="1"/>
        <v>35.257218208252624</v>
      </c>
      <c r="AG9388" s="2">
        <f ca="1"/>
        <v>0.62818292502391948</v>
      </c>
      <c r="AH9388" s="2" t="str">
        <f ca="1"/>
        <v>Bad</v>
      </c>
    </row>
    <row r="9389" spans="2:34" x14ac:dyDescent="0.2">
      <c r="B9389" s="2">
        <f ca="1"/>
        <v>2.5046894803744335E-2</v>
      </c>
      <c r="O9389" s="2">
        <f ca="1"/>
        <v>-1.2085563986438612</v>
      </c>
      <c r="X9389" s="2">
        <f ca="1"/>
        <v>48.144841703453388</v>
      </c>
      <c r="AG9389" s="2">
        <f ca="1"/>
        <v>0.86038645579881168</v>
      </c>
      <c r="AH9389" s="2" t="str">
        <f ca="1"/>
        <v>Bad</v>
      </c>
    </row>
    <row r="9390" spans="2:34" x14ac:dyDescent="0.2">
      <c r="B9390" s="2">
        <f ca="1"/>
        <v>0.45897459032536658</v>
      </c>
      <c r="O9390" s="2">
        <f ca="1"/>
        <v>-0.64589710568447756</v>
      </c>
      <c r="X9390" s="2">
        <f ca="1"/>
        <v>73.92571033594605</v>
      </c>
      <c r="AG9390" s="2">
        <f ca="1"/>
        <v>0.77827369094153864</v>
      </c>
      <c r="AH9390" s="2" t="str">
        <f ca="1"/>
        <v>Bad</v>
      </c>
    </row>
    <row r="9391" spans="2:34" x14ac:dyDescent="0.2">
      <c r="B9391" s="2">
        <f ca="1"/>
        <v>0.31387217520428012</v>
      </c>
      <c r="O9391" s="2">
        <f ca="1"/>
        <v>0.42787363222572616</v>
      </c>
      <c r="X9391" s="2">
        <f ca="1"/>
        <v>29.217309782957877</v>
      </c>
      <c r="AG9391" s="2">
        <f ca="1"/>
        <v>0.99826254157842498</v>
      </c>
      <c r="AH9391" s="2" t="str">
        <f ca="1"/>
        <v>Bad</v>
      </c>
    </row>
    <row r="9392" spans="2:34" x14ac:dyDescent="0.2">
      <c r="B9392" s="2">
        <f ca="1"/>
        <v>0.55560730513907974</v>
      </c>
      <c r="O9392" s="2">
        <f ca="1"/>
        <v>-1.4268828467652097E-2</v>
      </c>
      <c r="X9392" s="2">
        <f ca="1"/>
        <v>44.183610585909214</v>
      </c>
      <c r="AG9392" s="2">
        <f ca="1"/>
        <v>0.47245007539091022</v>
      </c>
      <c r="AH9392" s="2" t="str">
        <f ca="1"/>
        <v>Bad</v>
      </c>
    </row>
    <row r="9393" spans="2:34" x14ac:dyDescent="0.2">
      <c r="B9393" s="2">
        <f ca="1"/>
        <v>0.57690769526996299</v>
      </c>
      <c r="O9393" s="2">
        <f ca="1"/>
        <v>-1.1551353230088715</v>
      </c>
      <c r="X9393" s="2">
        <f ca="1"/>
        <v>62.073247525135812</v>
      </c>
      <c r="AG9393" s="2">
        <f ca="1"/>
        <v>0.76613824732370794</v>
      </c>
      <c r="AH9393" s="2" t="str">
        <f ca="1"/>
        <v>Bad</v>
      </c>
    </row>
    <row r="9394" spans="2:34" x14ac:dyDescent="0.2">
      <c r="B9394" s="2">
        <f ca="1"/>
        <v>0.25919127422189137</v>
      </c>
      <c r="O9394" s="2">
        <f ca="1"/>
        <v>-1.5257312366668556</v>
      </c>
      <c r="X9394" s="2">
        <f ca="1"/>
        <v>52.616432244956435</v>
      </c>
      <c r="AG9394" s="2">
        <f ca="1"/>
        <v>9.0500368964760991E-2</v>
      </c>
      <c r="AH9394" s="2" t="str">
        <f ca="1"/>
        <v>OK</v>
      </c>
    </row>
    <row r="9395" spans="2:34" x14ac:dyDescent="0.2">
      <c r="B9395" s="2">
        <f ca="1"/>
        <v>0.20531717459607912</v>
      </c>
      <c r="O9395" s="2">
        <f ca="1"/>
        <v>-1.461341004824708</v>
      </c>
      <c r="X9395" s="2">
        <f ca="1"/>
        <v>46.431454173351781</v>
      </c>
      <c r="AG9395" s="2">
        <f ca="1"/>
        <v>0.42186766594389868</v>
      </c>
      <c r="AH9395" s="2" t="str">
        <f ca="1"/>
        <v>Bad</v>
      </c>
    </row>
    <row r="9396" spans="2:34" x14ac:dyDescent="0.2">
      <c r="B9396" s="2">
        <f ca="1"/>
        <v>0.77472789703041034</v>
      </c>
      <c r="O9396" s="2">
        <f ca="1"/>
        <v>0.80857727026745008</v>
      </c>
      <c r="X9396" s="2">
        <f ca="1"/>
        <v>44.380962621250042</v>
      </c>
      <c r="AG9396" s="2">
        <f ca="1"/>
        <v>0.92871073682600969</v>
      </c>
      <c r="AH9396" s="2" t="str">
        <f ca="1"/>
        <v>Bad</v>
      </c>
    </row>
    <row r="9397" spans="2:34" x14ac:dyDescent="0.2">
      <c r="B9397" s="2">
        <f ca="1"/>
        <v>0.89018123801086357</v>
      </c>
      <c r="O9397" s="2">
        <f ca="1"/>
        <v>0.57107577310982782</v>
      </c>
      <c r="X9397" s="2">
        <f ca="1"/>
        <v>30.882913920365628</v>
      </c>
      <c r="AG9397" s="2">
        <f ca="1"/>
        <v>0.40689842844472657</v>
      </c>
      <c r="AH9397" s="2" t="str">
        <f ca="1"/>
        <v>Bad</v>
      </c>
    </row>
    <row r="9398" spans="2:34" x14ac:dyDescent="0.2">
      <c r="B9398" s="2">
        <f ca="1"/>
        <v>0.79709264486453457</v>
      </c>
      <c r="O9398" s="2">
        <f ca="1"/>
        <v>0.26020891507222094</v>
      </c>
      <c r="X9398" s="2">
        <f ca="1"/>
        <v>45.655023674035021</v>
      </c>
      <c r="AG9398" s="2">
        <f ca="1"/>
        <v>0.49580834370241633</v>
      </c>
      <c r="AH9398" s="2" t="str">
        <f ca="1"/>
        <v>Bad</v>
      </c>
    </row>
    <row r="9399" spans="2:34" x14ac:dyDescent="0.2">
      <c r="B9399" s="2">
        <f ca="1"/>
        <v>0.40846653586900517</v>
      </c>
      <c r="O9399" s="2">
        <f ca="1"/>
        <v>2.180561456050254</v>
      </c>
      <c r="X9399" s="2">
        <f ca="1"/>
        <v>53.335902684551463</v>
      </c>
      <c r="AG9399" s="2">
        <f ca="1"/>
        <v>0.46238231407821573</v>
      </c>
      <c r="AH9399" s="2" t="str">
        <f ca="1"/>
        <v>Bad</v>
      </c>
    </row>
    <row r="9400" spans="2:34" x14ac:dyDescent="0.2">
      <c r="B9400" s="2">
        <f ca="1"/>
        <v>0.5931792207195985</v>
      </c>
      <c r="O9400" s="2">
        <f ca="1"/>
        <v>0.11835401505297637</v>
      </c>
      <c r="X9400" s="2">
        <f ca="1"/>
        <v>78.806879381754101</v>
      </c>
      <c r="AG9400" s="2">
        <f ca="1"/>
        <v>0.47719478816409566</v>
      </c>
      <c r="AH9400" s="2" t="str">
        <f ca="1"/>
        <v>Bad</v>
      </c>
    </row>
    <row r="9401" spans="2:34" x14ac:dyDescent="0.2">
      <c r="B9401" s="2">
        <f ca="1"/>
        <v>0.72711969837201984</v>
      </c>
      <c r="O9401" s="2">
        <f ca="1"/>
        <v>1.7021640559889479</v>
      </c>
      <c r="X9401" s="2">
        <f ca="1"/>
        <v>40.373067354026126</v>
      </c>
      <c r="AG9401" s="2">
        <f ca="1"/>
        <v>7.7444239490248368E-2</v>
      </c>
      <c r="AH9401" s="2" t="str">
        <f ca="1"/>
        <v>OK</v>
      </c>
    </row>
    <row r="9402" spans="2:34" x14ac:dyDescent="0.2">
      <c r="B9402" s="2">
        <f ca="1"/>
        <v>0.84154863103840571</v>
      </c>
      <c r="O9402" s="2">
        <f ca="1"/>
        <v>-0.7036369084889833</v>
      </c>
      <c r="X9402" s="2">
        <f ca="1"/>
        <v>46.177787299183152</v>
      </c>
      <c r="AG9402" s="2">
        <f ca="1"/>
        <v>0.42792198122205605</v>
      </c>
      <c r="AH9402" s="2" t="str">
        <f ca="1"/>
        <v>Bad</v>
      </c>
    </row>
    <row r="9403" spans="2:34" x14ac:dyDescent="0.2">
      <c r="B9403" s="2">
        <f ca="1"/>
        <v>0.13798054949060101</v>
      </c>
      <c r="O9403" s="2">
        <f ca="1"/>
        <v>-0.73291650172697975</v>
      </c>
      <c r="X9403" s="2">
        <f ca="1"/>
        <v>71.952105873353048</v>
      </c>
      <c r="AG9403" s="2">
        <f ca="1"/>
        <v>5.0664744525245053E-2</v>
      </c>
      <c r="AH9403" s="2" t="str">
        <f ca="1"/>
        <v>OK</v>
      </c>
    </row>
    <row r="9404" spans="2:34" x14ac:dyDescent="0.2">
      <c r="B9404" s="2">
        <f ca="1"/>
        <v>0.46541564395402024</v>
      </c>
      <c r="O9404" s="2">
        <f ca="1"/>
        <v>-1.5182336197584529</v>
      </c>
      <c r="X9404" s="2">
        <f ca="1"/>
        <v>44.028624138558506</v>
      </c>
      <c r="AG9404" s="2">
        <f ca="1"/>
        <v>0.50453549862297598</v>
      </c>
      <c r="AH9404" s="2" t="str">
        <f ca="1"/>
        <v>Bad</v>
      </c>
    </row>
    <row r="9405" spans="2:34" x14ac:dyDescent="0.2">
      <c r="B9405" s="2">
        <f ca="1"/>
        <v>0.99802330654436666</v>
      </c>
      <c r="O9405" s="2">
        <f ca="1"/>
        <v>0.22155131868924524</v>
      </c>
      <c r="X9405" s="2">
        <f ca="1"/>
        <v>50.587070784806144</v>
      </c>
      <c r="AG9405" s="2">
        <f ca="1"/>
        <v>0.92642990122965019</v>
      </c>
      <c r="AH9405" s="2" t="str">
        <f ca="1"/>
        <v>Bad</v>
      </c>
    </row>
    <row r="9406" spans="2:34" x14ac:dyDescent="0.2">
      <c r="B9406" s="2">
        <f ca="1"/>
        <v>0.64258409469056632</v>
      </c>
      <c r="O9406" s="2">
        <f ca="1"/>
        <v>-1.8856591236553926</v>
      </c>
      <c r="X9406" s="2">
        <f ca="1"/>
        <v>41.722070437500534</v>
      </c>
      <c r="AG9406" s="2">
        <f ca="1"/>
        <v>0.91581345053958163</v>
      </c>
      <c r="AH9406" s="2" t="str">
        <f ca="1"/>
        <v>Bad</v>
      </c>
    </row>
    <row r="9407" spans="2:34" x14ac:dyDescent="0.2">
      <c r="B9407" s="2">
        <f ca="1"/>
        <v>0.93722761264249987</v>
      </c>
      <c r="O9407" s="2">
        <f ca="1"/>
        <v>-1.2215571227095499</v>
      </c>
      <c r="X9407" s="2">
        <f ca="1"/>
        <v>62.176868225624339</v>
      </c>
      <c r="AG9407" s="2">
        <f ca="1"/>
        <v>0.67843489464566042</v>
      </c>
      <c r="AH9407" s="2" t="str">
        <f ca="1"/>
        <v>Bad</v>
      </c>
    </row>
    <row r="9408" spans="2:34" x14ac:dyDescent="0.2">
      <c r="B9408" s="2">
        <f ca="1"/>
        <v>0.18129835699083952</v>
      </c>
      <c r="O9408" s="2">
        <f ca="1"/>
        <v>5.2095789723235135E-2</v>
      </c>
      <c r="X9408" s="2">
        <f ca="1"/>
        <v>27.921372014683364</v>
      </c>
      <c r="AG9408" s="2">
        <f ca="1"/>
        <v>0.16854482030023132</v>
      </c>
      <c r="AH9408" s="2" t="str">
        <f ca="1"/>
        <v>OK</v>
      </c>
    </row>
    <row r="9409" spans="2:34" x14ac:dyDescent="0.2">
      <c r="B9409" s="2">
        <f ca="1"/>
        <v>0.38289576473621412</v>
      </c>
      <c r="O9409" s="2">
        <f ca="1"/>
        <v>-2.702583931465091E-3</v>
      </c>
      <c r="X9409" s="2">
        <f ca="1"/>
        <v>31.825396722978567</v>
      </c>
      <c r="AG9409" s="2">
        <f ca="1"/>
        <v>0.4174262599530516</v>
      </c>
      <c r="AH9409" s="2" t="str">
        <f ca="1"/>
        <v>Bad</v>
      </c>
    </row>
    <row r="9410" spans="2:34" x14ac:dyDescent="0.2">
      <c r="B9410" s="2">
        <f ca="1"/>
        <v>0.58848510659764997</v>
      </c>
      <c r="O9410" s="2">
        <f ca="1"/>
        <v>1.1042172424761045</v>
      </c>
      <c r="X9410" s="2">
        <f ca="1"/>
        <v>47.729949494789267</v>
      </c>
      <c r="AG9410" s="2">
        <f ca="1"/>
        <v>0.68361079904977462</v>
      </c>
      <c r="AH9410" s="2" t="str">
        <f ca="1"/>
        <v>Bad</v>
      </c>
    </row>
    <row r="9411" spans="2:34" x14ac:dyDescent="0.2">
      <c r="B9411" s="2">
        <f ca="1"/>
        <v>0.75151255348277424</v>
      </c>
      <c r="O9411" s="2">
        <f ca="1"/>
        <v>0.85253917265851842</v>
      </c>
      <c r="X9411" s="2">
        <f ca="1"/>
        <v>40.741455205545172</v>
      </c>
      <c r="AG9411" s="2">
        <f ca="1"/>
        <v>0.21155917406805935</v>
      </c>
      <c r="AH9411" s="2" t="str">
        <f ca="1"/>
        <v>OK</v>
      </c>
    </row>
    <row r="9412" spans="2:34" x14ac:dyDescent="0.2">
      <c r="B9412" s="2">
        <f ca="1"/>
        <v>0.44246171754882013</v>
      </c>
      <c r="O9412" s="2">
        <f ca="1"/>
        <v>-9.3906023881881656E-2</v>
      </c>
      <c r="X9412" s="2">
        <f ca="1"/>
        <v>34.177121009586827</v>
      </c>
      <c r="AG9412" s="2">
        <f ca="1"/>
        <v>0.56401068756139372</v>
      </c>
      <c r="AH9412" s="2" t="str">
        <f ca="1"/>
        <v>Bad</v>
      </c>
    </row>
    <row r="9413" spans="2:34" x14ac:dyDescent="0.2">
      <c r="B9413" s="2">
        <f ca="1"/>
        <v>0.86477940973451961</v>
      </c>
      <c r="O9413" s="2">
        <f ca="1"/>
        <v>-2.2405884856493423</v>
      </c>
      <c r="X9413" s="2">
        <f ca="1"/>
        <v>44.359326567162412</v>
      </c>
      <c r="AG9413" s="2">
        <f ca="1"/>
        <v>0.50101001735298434</v>
      </c>
      <c r="AH9413" s="2" t="str">
        <f ca="1"/>
        <v>Bad</v>
      </c>
    </row>
    <row r="9414" spans="2:34" x14ac:dyDescent="0.2">
      <c r="B9414" s="2">
        <f ca="1"/>
        <v>0.52456622691662225</v>
      </c>
      <c r="O9414" s="2">
        <f ca="1"/>
        <v>-0.32272069351930882</v>
      </c>
      <c r="X9414" s="2">
        <f ca="1"/>
        <v>57.930972855860219</v>
      </c>
      <c r="AG9414" s="2">
        <f ca="1"/>
        <v>0.45956444539769015</v>
      </c>
      <c r="AH9414" s="2" t="str">
        <f ca="1"/>
        <v>Bad</v>
      </c>
    </row>
    <row r="9415" spans="2:34" x14ac:dyDescent="0.2">
      <c r="B9415" s="2">
        <f ca="1"/>
        <v>0.83608819448413008</v>
      </c>
      <c r="O9415" s="2">
        <f ca="1"/>
        <v>-5.8855453661327696E-2</v>
      </c>
      <c r="X9415" s="2">
        <f ca="1"/>
        <v>36.340363155275497</v>
      </c>
      <c r="AG9415" s="2">
        <f ca="1"/>
        <v>0.86700369511699082</v>
      </c>
      <c r="AH9415" s="2" t="str">
        <f ca="1"/>
        <v>Bad</v>
      </c>
    </row>
    <row r="9416" spans="2:34" x14ac:dyDescent="0.2">
      <c r="B9416" s="2">
        <f ca="1"/>
        <v>0.44207309705648035</v>
      </c>
      <c r="O9416" s="2">
        <f ca="1"/>
        <v>7.1700662811160304E-2</v>
      </c>
      <c r="X9416" s="2">
        <f ca="1"/>
        <v>78.40007293882843</v>
      </c>
      <c r="AG9416" s="2">
        <f ca="1"/>
        <v>0.67935310531431803</v>
      </c>
      <c r="AH9416" s="2" t="str">
        <f ca="1"/>
        <v>Bad</v>
      </c>
    </row>
    <row r="9417" spans="2:34" x14ac:dyDescent="0.2">
      <c r="B9417" s="2">
        <f ca="1"/>
        <v>0.6224269681376946</v>
      </c>
      <c r="O9417" s="2">
        <f ca="1"/>
        <v>0.39506562175861148</v>
      </c>
      <c r="X9417" s="2">
        <f ca="1"/>
        <v>45.706763455828536</v>
      </c>
      <c r="AG9417" s="2">
        <f ca="1"/>
        <v>0.93275709838439291</v>
      </c>
      <c r="AH9417" s="2" t="str">
        <f ca="1"/>
        <v>Bad</v>
      </c>
    </row>
    <row r="9418" spans="2:34" x14ac:dyDescent="0.2">
      <c r="B9418" s="2">
        <f ca="1"/>
        <v>0.26944369740699403</v>
      </c>
      <c r="O9418" s="2">
        <f ca="1"/>
        <v>1.2742196766969631</v>
      </c>
      <c r="X9418" s="2">
        <f ca="1"/>
        <v>51.212189908141497</v>
      </c>
      <c r="AG9418" s="2">
        <f ca="1"/>
        <v>5.8293896597145345E-2</v>
      </c>
      <c r="AH9418" s="2" t="str">
        <f ca="1"/>
        <v>OK</v>
      </c>
    </row>
    <row r="9419" spans="2:34" x14ac:dyDescent="0.2">
      <c r="B9419" s="2">
        <f ca="1"/>
        <v>0.22659234880180623</v>
      </c>
      <c r="O9419" s="2">
        <f ca="1"/>
        <v>0.72961688466372543</v>
      </c>
      <c r="X9419" s="2">
        <f ca="1"/>
        <v>65.208618900767846</v>
      </c>
      <c r="AG9419" s="2">
        <f ca="1"/>
        <v>0.10858068986412239</v>
      </c>
      <c r="AH9419" s="2" t="str">
        <f ca="1"/>
        <v>OK</v>
      </c>
    </row>
    <row r="9420" spans="2:34" x14ac:dyDescent="0.2">
      <c r="B9420" s="2">
        <f ca="1"/>
        <v>0.57568902485229256</v>
      </c>
      <c r="O9420" s="2">
        <f ca="1"/>
        <v>0.38749146228888559</v>
      </c>
      <c r="X9420" s="2">
        <f ca="1"/>
        <v>54.171426696643579</v>
      </c>
      <c r="AG9420" s="2">
        <f ca="1"/>
        <v>0.3178495083583408</v>
      </c>
      <c r="AH9420" s="2" t="str">
        <f ca="1"/>
        <v>OK</v>
      </c>
    </row>
    <row r="9421" spans="2:34" x14ac:dyDescent="0.2">
      <c r="B9421" s="2">
        <f ca="1"/>
        <v>0.22789580802890019</v>
      </c>
      <c r="O9421" s="2">
        <f ca="1"/>
        <v>-0.28747096861076882</v>
      </c>
      <c r="X9421" s="2">
        <f ca="1"/>
        <v>80.066399846411315</v>
      </c>
      <c r="AG9421" s="2">
        <f ca="1"/>
        <v>0.51050630532970187</v>
      </c>
      <c r="AH9421" s="2" t="str">
        <f ca="1"/>
        <v>Bad</v>
      </c>
    </row>
    <row r="9422" spans="2:34" x14ac:dyDescent="0.2">
      <c r="B9422" s="2">
        <f ca="1"/>
        <v>0.41081051531198987</v>
      </c>
      <c r="O9422" s="2">
        <f ca="1"/>
        <v>-0.40255701351907286</v>
      </c>
      <c r="X9422" s="2">
        <f ca="1"/>
        <v>39.501417795027656</v>
      </c>
      <c r="AG9422" s="2">
        <f ca="1"/>
        <v>0.13590018151670513</v>
      </c>
      <c r="AH9422" s="2" t="str">
        <f ca="1"/>
        <v>OK</v>
      </c>
    </row>
    <row r="9423" spans="2:34" x14ac:dyDescent="0.2">
      <c r="B9423" s="2">
        <f ca="1"/>
        <v>0.72563594091298222</v>
      </c>
      <c r="O9423" s="2">
        <f ca="1"/>
        <v>1.7771913621529578</v>
      </c>
      <c r="X9423" s="2">
        <f ca="1"/>
        <v>74.693305785142158</v>
      </c>
      <c r="AG9423" s="2">
        <f ca="1"/>
        <v>0.40152487768332312</v>
      </c>
      <c r="AH9423" s="2" t="str">
        <f ca="1"/>
        <v>Bad</v>
      </c>
    </row>
    <row r="9424" spans="2:34" x14ac:dyDescent="0.2">
      <c r="B9424" s="2">
        <f ca="1"/>
        <v>0.92788903350749075</v>
      </c>
      <c r="O9424" s="2">
        <f ca="1"/>
        <v>-0.86770072463421599</v>
      </c>
      <c r="X9424" s="2">
        <f ca="1"/>
        <v>67.658326911837136</v>
      </c>
      <c r="AG9424" s="2">
        <f ca="1"/>
        <v>6.4927583155029778E-2</v>
      </c>
      <c r="AH9424" s="2" t="str">
        <f ca="1"/>
        <v>OK</v>
      </c>
    </row>
    <row r="9425" spans="2:34" x14ac:dyDescent="0.2">
      <c r="B9425" s="2">
        <f ca="1"/>
        <v>0.72980925145808628</v>
      </c>
      <c r="O9425" s="2">
        <f ca="1"/>
        <v>-1.045027473047921</v>
      </c>
      <c r="X9425" s="2">
        <f ca="1"/>
        <v>70.292649844090022</v>
      </c>
      <c r="AG9425" s="2">
        <f ca="1"/>
        <v>0.61761171113322888</v>
      </c>
      <c r="AH9425" s="2" t="str">
        <f ca="1"/>
        <v>Bad</v>
      </c>
    </row>
    <row r="9426" spans="2:34" x14ac:dyDescent="0.2">
      <c r="B9426" s="2">
        <f ca="1"/>
        <v>0.71108727519280612</v>
      </c>
      <c r="O9426" s="2">
        <f ca="1"/>
        <v>-1.6775817562564335</v>
      </c>
      <c r="X9426" s="2">
        <f ca="1"/>
        <v>51.801418658723534</v>
      </c>
      <c r="AG9426" s="2">
        <f ca="1"/>
        <v>5.3991251416904307E-2</v>
      </c>
      <c r="AH9426" s="2" t="str">
        <f ca="1"/>
        <v>OK</v>
      </c>
    </row>
    <row r="9427" spans="2:34" x14ac:dyDescent="0.2">
      <c r="B9427" s="2">
        <f ca="1"/>
        <v>0.32508618236187181</v>
      </c>
      <c r="O9427" s="2">
        <f ca="1"/>
        <v>-0.41102427264301095</v>
      </c>
      <c r="X9427" s="2">
        <f ca="1"/>
        <v>31.326432670166284</v>
      </c>
      <c r="AG9427" s="2">
        <f ca="1"/>
        <v>0.61842328788520318</v>
      </c>
      <c r="AH9427" s="2" t="str">
        <f ca="1"/>
        <v>Bad</v>
      </c>
    </row>
    <row r="9428" spans="2:34" x14ac:dyDescent="0.2">
      <c r="B9428" s="2">
        <f ca="1"/>
        <v>0.68443257575356853</v>
      </c>
      <c r="O9428" s="2">
        <f ca="1"/>
        <v>0.34281237128668141</v>
      </c>
      <c r="X9428" s="2">
        <f ca="1"/>
        <v>49.447498486706259</v>
      </c>
      <c r="AG9428" s="2">
        <f ca="1"/>
        <v>0.73940232601359224</v>
      </c>
      <c r="AH9428" s="2" t="str">
        <f ca="1"/>
        <v>Bad</v>
      </c>
    </row>
    <row r="9429" spans="2:34" x14ac:dyDescent="0.2">
      <c r="B9429" s="2">
        <f ca="1"/>
        <v>2.6201540617925012E-3</v>
      </c>
      <c r="O9429" s="2">
        <f ca="1"/>
        <v>0.58904734814922444</v>
      </c>
      <c r="X9429" s="2">
        <f ca="1"/>
        <v>49.375829111891385</v>
      </c>
      <c r="AG9429" s="2">
        <f ca="1"/>
        <v>0.537284635817739</v>
      </c>
      <c r="AH9429" s="2" t="str">
        <f ca="1"/>
        <v>Bad</v>
      </c>
    </row>
    <row r="9430" spans="2:34" x14ac:dyDescent="0.2">
      <c r="B9430" s="2">
        <f ca="1"/>
        <v>0.28829027099917304</v>
      </c>
      <c r="O9430" s="2">
        <f ca="1"/>
        <v>-0.45498750284696471</v>
      </c>
      <c r="X9430" s="2">
        <f ca="1"/>
        <v>45.746197921989406</v>
      </c>
      <c r="AG9430" s="2">
        <f ca="1"/>
        <v>0.50488850649238537</v>
      </c>
      <c r="AH9430" s="2" t="str">
        <f ca="1"/>
        <v>Bad</v>
      </c>
    </row>
    <row r="9431" spans="2:34" x14ac:dyDescent="0.2">
      <c r="B9431" s="2">
        <f ca="1"/>
        <v>6.0877737018990574E-2</v>
      </c>
      <c r="O9431" s="2">
        <f ca="1"/>
        <v>0.68626847096596966</v>
      </c>
      <c r="X9431" s="2">
        <f ca="1"/>
        <v>73.081281397612145</v>
      </c>
      <c r="AG9431" s="2">
        <f ca="1"/>
        <v>0.34447651470282747</v>
      </c>
      <c r="AH9431" s="2" t="str">
        <f ca="1"/>
        <v>OK</v>
      </c>
    </row>
    <row r="9432" spans="2:34" x14ac:dyDescent="0.2">
      <c r="B9432" s="2">
        <f ca="1"/>
        <v>0.38146397124545417</v>
      </c>
      <c r="O9432" s="2">
        <f ca="1"/>
        <v>0.51946411028820927</v>
      </c>
      <c r="X9432" s="2">
        <f ca="1"/>
        <v>54.671931495577255</v>
      </c>
      <c r="AG9432" s="2">
        <f ca="1"/>
        <v>0.22360240632646966</v>
      </c>
      <c r="AH9432" s="2" t="str">
        <f ca="1"/>
        <v>OK</v>
      </c>
    </row>
    <row r="9433" spans="2:34" x14ac:dyDescent="0.2">
      <c r="B9433" s="2">
        <f ca="1"/>
        <v>0.92619326716687556</v>
      </c>
      <c r="O9433" s="2">
        <f ca="1"/>
        <v>1.0678116945903846</v>
      </c>
      <c r="X9433" s="2">
        <f ca="1"/>
        <v>53.472786165559967</v>
      </c>
      <c r="AG9433" s="2">
        <f ca="1"/>
        <v>0.77376091812798009</v>
      </c>
      <c r="AH9433" s="2" t="str">
        <f ca="1"/>
        <v>Bad</v>
      </c>
    </row>
    <row r="9434" spans="2:34" x14ac:dyDescent="0.2">
      <c r="B9434" s="2">
        <f ca="1"/>
        <v>7.6530291763132752E-4</v>
      </c>
      <c r="O9434" s="2">
        <f ca="1"/>
        <v>1.4819180473758746</v>
      </c>
      <c r="X9434" s="2">
        <f ca="1"/>
        <v>40.691841479770623</v>
      </c>
      <c r="AG9434" s="2">
        <f ca="1"/>
        <v>0.1032235920298521</v>
      </c>
      <c r="AH9434" s="2" t="str">
        <f ca="1"/>
        <v>OK</v>
      </c>
    </row>
    <row r="9435" spans="2:34" x14ac:dyDescent="0.2">
      <c r="B9435" s="2">
        <f ca="1"/>
        <v>0.27058991791271203</v>
      </c>
      <c r="O9435" s="2">
        <f ca="1"/>
        <v>7.5069226993975419E-2</v>
      </c>
      <c r="X9435" s="2">
        <f ca="1"/>
        <v>53.909340636127112</v>
      </c>
      <c r="AG9435" s="2">
        <f ca="1"/>
        <v>0.93902873943436549</v>
      </c>
      <c r="AH9435" s="2" t="str">
        <f ca="1"/>
        <v>Bad</v>
      </c>
    </row>
    <row r="9436" spans="2:34" x14ac:dyDescent="0.2">
      <c r="B9436" s="2">
        <f ca="1"/>
        <v>0.85258395001316156</v>
      </c>
      <c r="O9436" s="2">
        <f ca="1"/>
        <v>-1.7895446262815633</v>
      </c>
      <c r="X9436" s="2">
        <f ca="1"/>
        <v>67.069243296658229</v>
      </c>
      <c r="AG9436" s="2">
        <f ca="1"/>
        <v>0.51020944238780874</v>
      </c>
      <c r="AH9436" s="2" t="str">
        <f ca="1"/>
        <v>Bad</v>
      </c>
    </row>
    <row r="9437" spans="2:34" x14ac:dyDescent="0.2">
      <c r="B9437" s="2">
        <f ca="1"/>
        <v>0.6841671551084203</v>
      </c>
      <c r="O9437" s="2">
        <f ca="1"/>
        <v>-0.73060681172667463</v>
      </c>
      <c r="X9437" s="2">
        <f ca="1"/>
        <v>58.163996172900056</v>
      </c>
      <c r="AG9437" s="2">
        <f ca="1"/>
        <v>0.84305065672006774</v>
      </c>
      <c r="AH9437" s="2" t="str">
        <f ca="1"/>
        <v>Bad</v>
      </c>
    </row>
    <row r="9438" spans="2:34" x14ac:dyDescent="0.2">
      <c r="B9438" s="2">
        <f ca="1"/>
        <v>0.71584671023443414</v>
      </c>
      <c r="O9438" s="2">
        <f ca="1"/>
        <v>1.2602708830486626</v>
      </c>
      <c r="X9438" s="2">
        <f ca="1"/>
        <v>33.952153644995974</v>
      </c>
      <c r="AG9438" s="2">
        <f ca="1"/>
        <v>0.72688750304801353</v>
      </c>
      <c r="AH9438" s="2" t="str">
        <f ca="1"/>
        <v>Bad</v>
      </c>
    </row>
    <row r="9439" spans="2:34" x14ac:dyDescent="0.2">
      <c r="B9439" s="2">
        <f ca="1"/>
        <v>0.15080841843589088</v>
      </c>
      <c r="O9439" s="2">
        <f ca="1"/>
        <v>0.2729109769961679</v>
      </c>
      <c r="X9439" s="2">
        <f ca="1"/>
        <v>40.75267655639383</v>
      </c>
      <c r="AG9439" s="2">
        <f ca="1"/>
        <v>0.17494973882418896</v>
      </c>
      <c r="AH9439" s="2" t="str">
        <f ca="1"/>
        <v>OK</v>
      </c>
    </row>
    <row r="9440" spans="2:34" x14ac:dyDescent="0.2">
      <c r="B9440" s="2">
        <f ca="1"/>
        <v>2.9036067924803399E-2</v>
      </c>
      <c r="O9440" s="2">
        <f ca="1"/>
        <v>-0.70585497032636069</v>
      </c>
      <c r="X9440" s="2">
        <f ca="1"/>
        <v>47.539093194581014</v>
      </c>
      <c r="AG9440" s="2">
        <f ca="1"/>
        <v>0.65962639975179815</v>
      </c>
      <c r="AH9440" s="2" t="str">
        <f ca="1"/>
        <v>Bad</v>
      </c>
    </row>
    <row r="9441" spans="2:34" x14ac:dyDescent="0.2">
      <c r="B9441" s="2">
        <f ca="1"/>
        <v>0.47661529960659377</v>
      </c>
      <c r="O9441" s="2">
        <f ca="1"/>
        <v>0.31878603569007485</v>
      </c>
      <c r="X9441" s="2">
        <f ca="1"/>
        <v>58.059955885619765</v>
      </c>
      <c r="AG9441" s="2">
        <f ca="1"/>
        <v>0.15513346156317143</v>
      </c>
      <c r="AH9441" s="2" t="str">
        <f ca="1"/>
        <v>OK</v>
      </c>
    </row>
    <row r="9442" spans="2:34" x14ac:dyDescent="0.2">
      <c r="B9442" s="2">
        <f ca="1"/>
        <v>0.5625974364857047</v>
      </c>
      <c r="O9442" s="2">
        <f ca="1"/>
        <v>1.0438049913892906</v>
      </c>
      <c r="X9442" s="2">
        <f ca="1"/>
        <v>68.696264980221173</v>
      </c>
      <c r="AG9442" s="2">
        <f ca="1"/>
        <v>0.65746567061286321</v>
      </c>
      <c r="AH9442" s="2" t="str">
        <f ca="1"/>
        <v>Bad</v>
      </c>
    </row>
    <row r="9443" spans="2:34" x14ac:dyDescent="0.2">
      <c r="B9443" s="2">
        <f ca="1"/>
        <v>0.96303599748521118</v>
      </c>
      <c r="O9443" s="2">
        <f ca="1"/>
        <v>0.46434251852938385</v>
      </c>
      <c r="X9443" s="2">
        <f ca="1"/>
        <v>41.211383808213725</v>
      </c>
      <c r="AG9443" s="2">
        <f ca="1"/>
        <v>0.99038660409148216</v>
      </c>
      <c r="AH9443" s="2" t="str">
        <f ca="1"/>
        <v>Bad</v>
      </c>
    </row>
    <row r="9444" spans="2:34" x14ac:dyDescent="0.2">
      <c r="B9444" s="2">
        <f ca="1"/>
        <v>0.78605889452024447</v>
      </c>
      <c r="O9444" s="2">
        <f ca="1"/>
        <v>0.2572341974341108</v>
      </c>
      <c r="X9444" s="2">
        <f ca="1"/>
        <v>43.77715268406093</v>
      </c>
      <c r="AG9444" s="2">
        <f ca="1"/>
        <v>0.96613553924599671</v>
      </c>
      <c r="AH9444" s="2" t="str">
        <f ca="1"/>
        <v>Bad</v>
      </c>
    </row>
    <row r="9445" spans="2:34" x14ac:dyDescent="0.2">
      <c r="B9445" s="2">
        <f ca="1"/>
        <v>0.41684048773891469</v>
      </c>
      <c r="O9445" s="2">
        <f ca="1"/>
        <v>1.3177971199729552</v>
      </c>
      <c r="X9445" s="2">
        <f ca="1"/>
        <v>50.853968799698812</v>
      </c>
      <c r="AG9445" s="2">
        <f ca="1"/>
        <v>0.65645259403856704</v>
      </c>
      <c r="AH9445" s="2" t="str">
        <f ca="1"/>
        <v>Bad</v>
      </c>
    </row>
    <row r="9446" spans="2:34" x14ac:dyDescent="0.2">
      <c r="B9446" s="2">
        <f ca="1"/>
        <v>0.53234624169379652</v>
      </c>
      <c r="O9446" s="2">
        <f ca="1"/>
        <v>-1.1725376226980404</v>
      </c>
      <c r="X9446" s="2">
        <f ca="1"/>
        <v>34.951216003340086</v>
      </c>
      <c r="AG9446" s="2">
        <f ca="1"/>
        <v>6.4940360055550927E-2</v>
      </c>
      <c r="AH9446" s="2" t="str">
        <f ca="1"/>
        <v>OK</v>
      </c>
    </row>
    <row r="9447" spans="2:34" x14ac:dyDescent="0.2">
      <c r="B9447" s="2">
        <f ca="1"/>
        <v>0.98433596707899063</v>
      </c>
      <c r="O9447" s="2">
        <f ca="1"/>
        <v>-4.6819201458148572E-2</v>
      </c>
      <c r="X9447" s="2">
        <f ca="1"/>
        <v>71.386061491542733</v>
      </c>
      <c r="AG9447" s="2">
        <f ca="1"/>
        <v>0.98130048932854352</v>
      </c>
      <c r="AH9447" s="2" t="str">
        <f ca="1"/>
        <v>Bad</v>
      </c>
    </row>
    <row r="9448" spans="2:34" x14ac:dyDescent="0.2">
      <c r="B9448" s="2">
        <f ca="1"/>
        <v>0.58412860090821628</v>
      </c>
      <c r="O9448" s="2">
        <f ca="1"/>
        <v>0.2223498278424785</v>
      </c>
      <c r="X9448" s="2">
        <f ca="1"/>
        <v>68.668682497907895</v>
      </c>
      <c r="AG9448" s="2">
        <f ca="1"/>
        <v>0.86125353413558514</v>
      </c>
      <c r="AH9448" s="2" t="str">
        <f ca="1"/>
        <v>Bad</v>
      </c>
    </row>
    <row r="9449" spans="2:34" x14ac:dyDescent="0.2">
      <c r="B9449" s="2">
        <f ca="1"/>
        <v>0.48508226726463621</v>
      </c>
      <c r="O9449" s="2">
        <f ca="1"/>
        <v>-0.60856288115194968</v>
      </c>
      <c r="X9449" s="2">
        <f ca="1"/>
        <v>39.023827397338849</v>
      </c>
      <c r="AG9449" s="2">
        <f ca="1"/>
        <v>0.31142685224402022</v>
      </c>
      <c r="AH9449" s="2" t="str">
        <f ca="1"/>
        <v>OK</v>
      </c>
    </row>
    <row r="9450" spans="2:34" x14ac:dyDescent="0.2">
      <c r="B9450" s="2">
        <f ca="1"/>
        <v>0.93388058275754737</v>
      </c>
      <c r="O9450" s="2">
        <f ca="1"/>
        <v>-0.19139024500463581</v>
      </c>
      <c r="X9450" s="2">
        <f ca="1"/>
        <v>38.338811384983153</v>
      </c>
      <c r="AG9450" s="2">
        <f ca="1"/>
        <v>0.60148821667973507</v>
      </c>
      <c r="AH9450" s="2" t="str">
        <f ca="1"/>
        <v>Bad</v>
      </c>
    </row>
    <row r="9451" spans="2:34" x14ac:dyDescent="0.2">
      <c r="B9451" s="2">
        <f ca="1"/>
        <v>0.2294371477575059</v>
      </c>
      <c r="O9451" s="2">
        <f ca="1"/>
        <v>-1.5862173804944324</v>
      </c>
      <c r="X9451" s="2">
        <f ca="1"/>
        <v>31.901434379872629</v>
      </c>
      <c r="AG9451" s="2">
        <f ca="1"/>
        <v>3.9942959844869064E-2</v>
      </c>
      <c r="AH9451" s="2" t="str">
        <f ca="1"/>
        <v>Good</v>
      </c>
    </row>
    <row r="9452" spans="2:34" x14ac:dyDescent="0.2">
      <c r="B9452" s="2">
        <f ca="1"/>
        <v>0.79971022508699874</v>
      </c>
      <c r="O9452" s="2">
        <f ca="1"/>
        <v>-1.9642066536810474</v>
      </c>
      <c r="X9452" s="2">
        <f ca="1"/>
        <v>42.94590447820525</v>
      </c>
      <c r="AG9452" s="2">
        <f ca="1"/>
        <v>0.38744131184306108</v>
      </c>
      <c r="AH9452" s="2" t="str">
        <f ca="1"/>
        <v>OK</v>
      </c>
    </row>
    <row r="9453" spans="2:34" x14ac:dyDescent="0.2">
      <c r="B9453" s="2">
        <f ca="1"/>
        <v>0.30488452156691692</v>
      </c>
      <c r="O9453" s="2">
        <f ca="1"/>
        <v>-0.47078459564926561</v>
      </c>
      <c r="X9453" s="2">
        <f ca="1"/>
        <v>53.436809724433616</v>
      </c>
      <c r="AG9453" s="2">
        <f ca="1"/>
        <v>4.6725058615100235E-2</v>
      </c>
      <c r="AH9453" s="2" t="str">
        <f ca="1"/>
        <v>Good</v>
      </c>
    </row>
    <row r="9454" spans="2:34" x14ac:dyDescent="0.2">
      <c r="B9454" s="2">
        <f ca="1"/>
        <v>0.20904748147671426</v>
      </c>
      <c r="O9454" s="2">
        <f ca="1"/>
        <v>1.3181296332882164</v>
      </c>
      <c r="X9454" s="2">
        <f ca="1"/>
        <v>56.801496422375841</v>
      </c>
      <c r="AG9454" s="2">
        <f ca="1"/>
        <v>0.43737304350672757</v>
      </c>
      <c r="AH9454" s="2" t="str">
        <f ca="1"/>
        <v>Bad</v>
      </c>
    </row>
    <row r="9455" spans="2:34" x14ac:dyDescent="0.2">
      <c r="B9455" s="2">
        <f ca="1"/>
        <v>0.60886472559847093</v>
      </c>
      <c r="O9455" s="2">
        <f ca="1"/>
        <v>0.51114900937361774</v>
      </c>
      <c r="X9455" s="2">
        <f ca="1"/>
        <v>57.409383104837907</v>
      </c>
      <c r="AG9455" s="2">
        <f ca="1"/>
        <v>0.10856194518736495</v>
      </c>
      <c r="AH9455" s="2" t="str">
        <f ca="1"/>
        <v>OK</v>
      </c>
    </row>
    <row r="9456" spans="2:34" x14ac:dyDescent="0.2">
      <c r="B9456" s="2">
        <f ca="1"/>
        <v>0.77258947017362978</v>
      </c>
      <c r="O9456" s="2">
        <f ca="1"/>
        <v>-0.23183167135230612</v>
      </c>
      <c r="X9456" s="2">
        <f ca="1"/>
        <v>56.926729424588949</v>
      </c>
      <c r="AG9456" s="2">
        <f ca="1"/>
        <v>0.35398020943671549</v>
      </c>
      <c r="AH9456" s="2" t="str">
        <f ca="1"/>
        <v>OK</v>
      </c>
    </row>
    <row r="9457" spans="2:34" x14ac:dyDescent="0.2">
      <c r="B9457" s="2">
        <f ca="1"/>
        <v>0.45755199402864988</v>
      </c>
      <c r="O9457" s="2">
        <f ca="1"/>
        <v>0.8249221073891766</v>
      </c>
      <c r="X9457" s="2">
        <f ca="1"/>
        <v>39.206673533555367</v>
      </c>
      <c r="AG9457" s="2">
        <f ca="1"/>
        <v>0.98459275162105175</v>
      </c>
      <c r="AH9457" s="2" t="str">
        <f ca="1"/>
        <v>Bad</v>
      </c>
    </row>
    <row r="9458" spans="2:34" x14ac:dyDescent="0.2">
      <c r="B9458" s="2">
        <f ca="1"/>
        <v>0.72550424891011489</v>
      </c>
      <c r="O9458" s="2">
        <f ca="1"/>
        <v>0.94205592526756254</v>
      </c>
      <c r="X9458" s="2">
        <f ca="1"/>
        <v>50.5252990950504</v>
      </c>
      <c r="AG9458" s="2">
        <f ca="1"/>
        <v>0.96206625945563662</v>
      </c>
      <c r="AH9458" s="2" t="str">
        <f ca="1"/>
        <v>Bad</v>
      </c>
    </row>
    <row r="9459" spans="2:34" x14ac:dyDescent="0.2">
      <c r="B9459" s="2">
        <f ca="1"/>
        <v>0.66103365811991299</v>
      </c>
      <c r="O9459" s="2">
        <f ca="1"/>
        <v>1.4171034400633926</v>
      </c>
      <c r="X9459" s="2">
        <f ca="1"/>
        <v>27.740295617088439</v>
      </c>
      <c r="AG9459" s="2">
        <f ca="1"/>
        <v>2.7760601794374784E-2</v>
      </c>
      <c r="AH9459" s="2" t="str">
        <f ca="1"/>
        <v>Good</v>
      </c>
    </row>
    <row r="9460" spans="2:34" x14ac:dyDescent="0.2">
      <c r="B9460" s="2">
        <f ca="1"/>
        <v>0.46475735130067797</v>
      </c>
      <c r="O9460" s="2">
        <f ca="1"/>
        <v>0.17396502544296244</v>
      </c>
      <c r="X9460" s="2">
        <f ca="1"/>
        <v>57.725478470068801</v>
      </c>
      <c r="AG9460" s="2">
        <f ca="1"/>
        <v>0.50989634178984655</v>
      </c>
      <c r="AH9460" s="2" t="str">
        <f ca="1"/>
        <v>Bad</v>
      </c>
    </row>
    <row r="9461" spans="2:34" x14ac:dyDescent="0.2">
      <c r="B9461" s="2">
        <f ca="1"/>
        <v>0.93685021687177494</v>
      </c>
      <c r="O9461" s="2">
        <f ca="1"/>
        <v>-0.65304879643899605</v>
      </c>
      <c r="X9461" s="2">
        <f ca="1"/>
        <v>25.307738342732261</v>
      </c>
      <c r="AG9461" s="2">
        <f ca="1"/>
        <v>0.24965466763520427</v>
      </c>
      <c r="AH9461" s="2" t="str">
        <f ca="1"/>
        <v>OK</v>
      </c>
    </row>
    <row r="9462" spans="2:34" x14ac:dyDescent="0.2">
      <c r="B9462" s="2">
        <f ca="1"/>
        <v>0.25388420417858715</v>
      </c>
      <c r="O9462" s="2">
        <f ca="1"/>
        <v>-1.3438827243433287</v>
      </c>
      <c r="X9462" s="2">
        <f ca="1"/>
        <v>60.089124842858048</v>
      </c>
      <c r="AG9462" s="2">
        <f ca="1"/>
        <v>0.89602293098657637</v>
      </c>
      <c r="AH9462" s="2" t="str">
        <f ca="1"/>
        <v>Bad</v>
      </c>
    </row>
    <row r="9463" spans="2:34" x14ac:dyDescent="0.2">
      <c r="B9463" s="2">
        <f ca="1"/>
        <v>0.19529181382006455</v>
      </c>
      <c r="O9463" s="2">
        <f ca="1"/>
        <v>-1.0577317161192581</v>
      </c>
      <c r="X9463" s="2">
        <f ca="1"/>
        <v>63.540648141006926</v>
      </c>
      <c r="AG9463" s="2">
        <f ca="1"/>
        <v>0.40216045168032188</v>
      </c>
      <c r="AH9463" s="2" t="str">
        <f ca="1"/>
        <v>Bad</v>
      </c>
    </row>
    <row r="9464" spans="2:34" x14ac:dyDescent="0.2">
      <c r="B9464" s="2">
        <f ca="1"/>
        <v>0.61567849679089015</v>
      </c>
      <c r="O9464" s="2">
        <f ca="1"/>
        <v>-3.6183343688095747E-2</v>
      </c>
      <c r="X9464" s="2">
        <f ca="1"/>
        <v>77.600593524885781</v>
      </c>
      <c r="AG9464" s="2">
        <f ca="1"/>
        <v>0.87558773373882204</v>
      </c>
      <c r="AH9464" s="2" t="str">
        <f ca="1"/>
        <v>Bad</v>
      </c>
    </row>
    <row r="9465" spans="2:34" x14ac:dyDescent="0.2">
      <c r="B9465" s="2">
        <f ca="1"/>
        <v>4.9016946726470723E-2</v>
      </c>
      <c r="O9465" s="2">
        <f ca="1"/>
        <v>-0.17629303874398061</v>
      </c>
      <c r="X9465" s="2">
        <f ca="1"/>
        <v>58.639048481340119</v>
      </c>
      <c r="AG9465" s="2">
        <f ca="1"/>
        <v>0.61260441157945689</v>
      </c>
      <c r="AH9465" s="2" t="str">
        <f ca="1"/>
        <v>Bad</v>
      </c>
    </row>
    <row r="9466" spans="2:34" x14ac:dyDescent="0.2">
      <c r="B9466" s="2">
        <f ca="1"/>
        <v>0.97020169730244166</v>
      </c>
      <c r="O9466" s="2">
        <f ca="1"/>
        <v>-0.45725771003493776</v>
      </c>
      <c r="X9466" s="2">
        <f ca="1"/>
        <v>24.203559674326289</v>
      </c>
      <c r="AG9466" s="2">
        <f ca="1"/>
        <v>0.70933610258512392</v>
      </c>
      <c r="AH9466" s="2" t="str">
        <f ca="1"/>
        <v>Bad</v>
      </c>
    </row>
    <row r="9467" spans="2:34" x14ac:dyDescent="0.2">
      <c r="B9467" s="2">
        <f ca="1"/>
        <v>0.12778094574800369</v>
      </c>
      <c r="O9467" s="2">
        <f ca="1"/>
        <v>0.41369257128160719</v>
      </c>
      <c r="X9467" s="2">
        <f ca="1"/>
        <v>66.613201102341449</v>
      </c>
      <c r="AG9467" s="2">
        <f ca="1"/>
        <v>0.69566168395995787</v>
      </c>
      <c r="AH9467" s="2" t="str">
        <f ca="1"/>
        <v>Bad</v>
      </c>
    </row>
    <row r="9468" spans="2:34" x14ac:dyDescent="0.2">
      <c r="B9468" s="2">
        <f ca="1"/>
        <v>0.28733593001622815</v>
      </c>
      <c r="O9468" s="2">
        <f ca="1"/>
        <v>1.1224478038096037</v>
      </c>
      <c r="X9468" s="2">
        <f ca="1"/>
        <v>39.346293827914891</v>
      </c>
      <c r="AG9468" s="2">
        <f ca="1"/>
        <v>0.30390419032672922</v>
      </c>
      <c r="AH9468" s="2" t="str">
        <f ca="1"/>
        <v>OK</v>
      </c>
    </row>
    <row r="9469" spans="2:34" x14ac:dyDescent="0.2">
      <c r="B9469" s="2">
        <f ca="1"/>
        <v>0.42226838834567748</v>
      </c>
      <c r="O9469" s="2">
        <f ca="1"/>
        <v>1.2880826691420857</v>
      </c>
      <c r="X9469" s="2">
        <f ca="1"/>
        <v>54.783440129837224</v>
      </c>
      <c r="AG9469" s="2">
        <f ca="1"/>
        <v>0.98062644295408696</v>
      </c>
      <c r="AH9469" s="2" t="str">
        <f ca="1"/>
        <v>Bad</v>
      </c>
    </row>
    <row r="9470" spans="2:34" x14ac:dyDescent="0.2">
      <c r="B9470" s="2">
        <f ca="1"/>
        <v>9.9032238191334887E-2</v>
      </c>
      <c r="O9470" s="2">
        <f ca="1"/>
        <v>1.8503140919622301</v>
      </c>
      <c r="X9470" s="2">
        <f ca="1"/>
        <v>50.179143609913481</v>
      </c>
      <c r="AG9470" s="2">
        <f ca="1"/>
        <v>0.15631609580428729</v>
      </c>
      <c r="AH9470" s="2" t="str">
        <f ca="1"/>
        <v>OK</v>
      </c>
    </row>
    <row r="9471" spans="2:34" x14ac:dyDescent="0.2">
      <c r="B9471" s="2">
        <f ca="1"/>
        <v>0.25430501368076808</v>
      </c>
      <c r="O9471" s="2">
        <f ca="1"/>
        <v>1.4353147098106782</v>
      </c>
      <c r="X9471" s="2">
        <f ca="1"/>
        <v>38.907701230831073</v>
      </c>
      <c r="AG9471" s="2">
        <f ca="1"/>
        <v>0.65631211095138964</v>
      </c>
      <c r="AH9471" s="2" t="str">
        <f ca="1"/>
        <v>Bad</v>
      </c>
    </row>
    <row r="9472" spans="2:34" x14ac:dyDescent="0.2">
      <c r="B9472" s="2">
        <f ca="1"/>
        <v>0.62166957894663666</v>
      </c>
      <c r="O9472" s="2">
        <f ca="1"/>
        <v>0.2321042343065314</v>
      </c>
      <c r="X9472" s="2">
        <f ca="1"/>
        <v>43.573108742726816</v>
      </c>
      <c r="AG9472" s="2">
        <f ca="1"/>
        <v>0.48832126366933237</v>
      </c>
      <c r="AH9472" s="2" t="str">
        <f ca="1"/>
        <v>Bad</v>
      </c>
    </row>
    <row r="9473" spans="2:34" x14ac:dyDescent="0.2">
      <c r="B9473" s="2">
        <f ca="1"/>
        <v>7.6349518959824225E-2</v>
      </c>
      <c r="O9473" s="2">
        <f ca="1"/>
        <v>-1.0493457128001009</v>
      </c>
      <c r="X9473" s="2">
        <f ca="1"/>
        <v>43.413012110560459</v>
      </c>
      <c r="AG9473" s="2">
        <f ca="1"/>
        <v>6.4736216406664271E-2</v>
      </c>
      <c r="AH9473" s="2" t="str">
        <f ca="1"/>
        <v>OK</v>
      </c>
    </row>
    <row r="9474" spans="2:34" x14ac:dyDescent="0.2">
      <c r="B9474" s="2">
        <f ca="1"/>
        <v>0.76021828103681943</v>
      </c>
      <c r="O9474" s="2">
        <f ca="1"/>
        <v>0.32472677431792979</v>
      </c>
      <c r="X9474" s="2">
        <f ca="1"/>
        <v>39.723892718633628</v>
      </c>
      <c r="AG9474" s="2">
        <f ca="1"/>
        <v>0.18417530872029109</v>
      </c>
      <c r="AH9474" s="2" t="str">
        <f ca="1"/>
        <v>OK</v>
      </c>
    </row>
    <row r="9475" spans="2:34" x14ac:dyDescent="0.2">
      <c r="B9475" s="2">
        <f ca="1"/>
        <v>1.1520673210854593E-2</v>
      </c>
      <c r="O9475" s="2">
        <f ca="1"/>
        <v>0.88479389224547245</v>
      </c>
      <c r="X9475" s="2">
        <f ca="1"/>
        <v>39.427894506362634</v>
      </c>
      <c r="AG9475" s="2">
        <f ca="1"/>
        <v>0.79711906340557181</v>
      </c>
      <c r="AH9475" s="2" t="str">
        <f ca="1"/>
        <v>Bad</v>
      </c>
    </row>
    <row r="9476" spans="2:34" x14ac:dyDescent="0.2">
      <c r="B9476" s="2">
        <f ca="1"/>
        <v>0.468463492284658</v>
      </c>
      <c r="O9476" s="2">
        <f ca="1"/>
        <v>0.92097176207260301</v>
      </c>
      <c r="X9476" s="2">
        <f ca="1"/>
        <v>61.830817068226629</v>
      </c>
      <c r="AG9476" s="2">
        <f ca="1"/>
        <v>0.72929704489185299</v>
      </c>
      <c r="AH9476" s="2" t="str">
        <f ca="1"/>
        <v>Bad</v>
      </c>
    </row>
    <row r="9477" spans="2:34" x14ac:dyDescent="0.2">
      <c r="B9477" s="2">
        <f ca="1"/>
        <v>0.41053866047152465</v>
      </c>
      <c r="O9477" s="2">
        <f ca="1"/>
        <v>-0.45924418691368463</v>
      </c>
      <c r="X9477" s="2">
        <f ca="1"/>
        <v>66.03222915453857</v>
      </c>
      <c r="AG9477" s="2">
        <f ca="1"/>
        <v>0.43702783573234516</v>
      </c>
      <c r="AH9477" s="2" t="str">
        <f ca="1"/>
        <v>Bad</v>
      </c>
    </row>
    <row r="9478" spans="2:34" x14ac:dyDescent="0.2">
      <c r="B9478" s="2">
        <f ca="1"/>
        <v>8.6495233908729263E-2</v>
      </c>
      <c r="O9478" s="2">
        <f ca="1"/>
        <v>-0.1962718209913871</v>
      </c>
      <c r="X9478" s="2">
        <f ca="1"/>
        <v>46.984848101104284</v>
      </c>
      <c r="AG9478" s="2">
        <f ca="1"/>
        <v>5.4865088236112358E-2</v>
      </c>
      <c r="AH9478" s="2" t="str">
        <f ca="1"/>
        <v>OK</v>
      </c>
    </row>
    <row r="9479" spans="2:34" x14ac:dyDescent="0.2">
      <c r="B9479" s="2">
        <f ca="1"/>
        <v>0.76825813620159522</v>
      </c>
      <c r="O9479" s="2">
        <f ca="1"/>
        <v>2.7247737896425539</v>
      </c>
      <c r="X9479" s="2">
        <f ca="1"/>
        <v>42.634851238629224</v>
      </c>
      <c r="AG9479" s="2">
        <f ca="1"/>
        <v>0.58243757898694559</v>
      </c>
      <c r="AH9479" s="2" t="str">
        <f ca="1"/>
        <v>Bad</v>
      </c>
    </row>
    <row r="9480" spans="2:34" x14ac:dyDescent="0.2">
      <c r="B9480" s="2">
        <f ca="1"/>
        <v>3.2264900292839904E-2</v>
      </c>
      <c r="O9480" s="2">
        <f ca="1"/>
        <v>1.8453754817401651</v>
      </c>
      <c r="X9480" s="2">
        <f ca="1"/>
        <v>33.802181910902519</v>
      </c>
      <c r="AG9480" s="2">
        <f ca="1"/>
        <v>0.68179861072692582</v>
      </c>
      <c r="AH9480" s="2" t="str">
        <f ca="1"/>
        <v>Bad</v>
      </c>
    </row>
    <row r="9481" spans="2:34" x14ac:dyDescent="0.2">
      <c r="B9481" s="2">
        <f ca="1"/>
        <v>0.12379771084973479</v>
      </c>
      <c r="O9481" s="2">
        <f ca="1"/>
        <v>-0.26665988247956712</v>
      </c>
      <c r="X9481" s="2">
        <f ca="1"/>
        <v>56.57933407493951</v>
      </c>
      <c r="AG9481" s="2">
        <f ca="1"/>
        <v>0.94506731315307047</v>
      </c>
      <c r="AH9481" s="2" t="str">
        <f ca="1"/>
        <v>Bad</v>
      </c>
    </row>
    <row r="9482" spans="2:34" x14ac:dyDescent="0.2">
      <c r="B9482" s="2">
        <f ca="1"/>
        <v>0.76199998821202075</v>
      </c>
      <c r="O9482" s="2">
        <f ca="1"/>
        <v>0.18017993321111858</v>
      </c>
      <c r="X9482" s="2">
        <f ca="1"/>
        <v>58.706381234785184</v>
      </c>
      <c r="AG9482" s="2">
        <f ca="1"/>
        <v>0.37582446563495076</v>
      </c>
      <c r="AH9482" s="2" t="str">
        <f ca="1"/>
        <v>OK</v>
      </c>
    </row>
    <row r="9483" spans="2:34" x14ac:dyDescent="0.2">
      <c r="B9483" s="2">
        <f ca="1"/>
        <v>0.25818174159712881</v>
      </c>
      <c r="O9483" s="2">
        <f ca="1"/>
        <v>0.73452414619860595</v>
      </c>
      <c r="X9483" s="2">
        <f ca="1"/>
        <v>34.61063603749578</v>
      </c>
      <c r="AG9483" s="2">
        <f ca="1"/>
        <v>0.67653999268476284</v>
      </c>
      <c r="AH9483" s="2" t="str">
        <f ca="1"/>
        <v>Bad</v>
      </c>
    </row>
    <row r="9484" spans="2:34" x14ac:dyDescent="0.2">
      <c r="B9484" s="2">
        <f ca="1"/>
        <v>0.72849200598387043</v>
      </c>
      <c r="O9484" s="2">
        <f ca="1"/>
        <v>1.5934673602724401</v>
      </c>
      <c r="X9484" s="2">
        <f ca="1"/>
        <v>30.5567914979395</v>
      </c>
      <c r="AG9484" s="2">
        <f ca="1"/>
        <v>0.31817248279947408</v>
      </c>
      <c r="AH9484" s="2" t="str">
        <f ca="1"/>
        <v>OK</v>
      </c>
    </row>
    <row r="9485" spans="2:34" x14ac:dyDescent="0.2">
      <c r="B9485" s="2">
        <f ca="1"/>
        <v>0.49666635726963149</v>
      </c>
      <c r="O9485" s="2">
        <f ca="1"/>
        <v>0.45324481628457947</v>
      </c>
      <c r="X9485" s="2">
        <f ca="1"/>
        <v>38.586303922094359</v>
      </c>
      <c r="AG9485" s="2">
        <f ca="1"/>
        <v>0.89303622976543662</v>
      </c>
      <c r="AH9485" s="2" t="str">
        <f ca="1"/>
        <v>Bad</v>
      </c>
    </row>
    <row r="9486" spans="2:34" x14ac:dyDescent="0.2">
      <c r="B9486" s="2">
        <f ca="1"/>
        <v>0.93780393904755632</v>
      </c>
      <c r="O9486" s="2">
        <f ca="1"/>
        <v>1.0860606651105937</v>
      </c>
      <c r="X9486" s="2">
        <f ca="1"/>
        <v>87.950370026695225</v>
      </c>
      <c r="AG9486" s="2">
        <f ca="1"/>
        <v>5.4581876660816375E-2</v>
      </c>
      <c r="AH9486" s="2" t="str">
        <f ca="1"/>
        <v>OK</v>
      </c>
    </row>
    <row r="9487" spans="2:34" x14ac:dyDescent="0.2">
      <c r="B9487" s="2">
        <f ca="1"/>
        <v>0.49525350589468076</v>
      </c>
      <c r="O9487" s="2">
        <f ca="1"/>
        <v>1.424099423689237</v>
      </c>
      <c r="X9487" s="2">
        <f ca="1"/>
        <v>70.706088796707888</v>
      </c>
      <c r="AG9487" s="2">
        <f ca="1"/>
        <v>8.1366481639714605E-2</v>
      </c>
      <c r="AH9487" s="2" t="str">
        <f ca="1"/>
        <v>OK</v>
      </c>
    </row>
    <row r="9488" spans="2:34" x14ac:dyDescent="0.2">
      <c r="B9488" s="2">
        <f ca="1"/>
        <v>0.32985608182535309</v>
      </c>
      <c r="O9488" s="2">
        <f ca="1"/>
        <v>-1.0578244211634931</v>
      </c>
      <c r="X9488" s="2">
        <f ca="1"/>
        <v>46.869086270293955</v>
      </c>
      <c r="AG9488" s="2">
        <f ca="1"/>
        <v>0.31402442272259723</v>
      </c>
      <c r="AH9488" s="2" t="str">
        <f ca="1"/>
        <v>OK</v>
      </c>
    </row>
    <row r="9489" spans="2:34" x14ac:dyDescent="0.2">
      <c r="B9489" s="2">
        <f ca="1"/>
        <v>4.3973867643696929E-2</v>
      </c>
      <c r="O9489" s="2">
        <f ca="1"/>
        <v>0.14154009918216146</v>
      </c>
      <c r="X9489" s="2">
        <f ca="1"/>
        <v>53.581359558901639</v>
      </c>
      <c r="AG9489" s="2">
        <f ca="1"/>
        <v>0.18593758999587284</v>
      </c>
      <c r="AH9489" s="2" t="str">
        <f ca="1"/>
        <v>OK</v>
      </c>
    </row>
    <row r="9490" spans="2:34" x14ac:dyDescent="0.2">
      <c r="B9490" s="2">
        <f ca="1"/>
        <v>0.63924974589714489</v>
      </c>
      <c r="O9490" s="2">
        <f ca="1"/>
        <v>-0.84483465444230821</v>
      </c>
      <c r="X9490" s="2">
        <f ca="1"/>
        <v>40.583828321473263</v>
      </c>
      <c r="AG9490" s="2">
        <f ca="1"/>
        <v>0.11826309560477277</v>
      </c>
      <c r="AH9490" s="2" t="str">
        <f ca="1"/>
        <v>OK</v>
      </c>
    </row>
    <row r="9491" spans="2:34" x14ac:dyDescent="0.2">
      <c r="B9491" s="2">
        <f ca="1"/>
        <v>0.27816793210580726</v>
      </c>
      <c r="O9491" s="2">
        <f ca="1"/>
        <v>-0.65319443283503942</v>
      </c>
      <c r="X9491" s="2">
        <f ca="1"/>
        <v>63.094458021872477</v>
      </c>
      <c r="AG9491" s="2">
        <f ca="1"/>
        <v>0.35011263073111487</v>
      </c>
      <c r="AH9491" s="2" t="str">
        <f ca="1"/>
        <v>OK</v>
      </c>
    </row>
    <row r="9492" spans="2:34" x14ac:dyDescent="0.2">
      <c r="B9492" s="2">
        <f ca="1"/>
        <v>0.10459400622267179</v>
      </c>
      <c r="O9492" s="2">
        <f ca="1"/>
        <v>-1.1856490710321075</v>
      </c>
      <c r="X9492" s="2">
        <f ca="1"/>
        <v>48.093735151340894</v>
      </c>
      <c r="AG9492" s="2">
        <f ca="1"/>
        <v>0.88431095857580111</v>
      </c>
      <c r="AH9492" s="2" t="str">
        <f ca="1"/>
        <v>Bad</v>
      </c>
    </row>
    <row r="9493" spans="2:34" x14ac:dyDescent="0.2">
      <c r="B9493" s="2">
        <f ca="1"/>
        <v>0.42715284533583309</v>
      </c>
      <c r="O9493" s="2">
        <f ca="1"/>
        <v>1.1971742811715023</v>
      </c>
      <c r="X9493" s="2">
        <f ca="1"/>
        <v>34.452793688814666</v>
      </c>
      <c r="AG9493" s="2">
        <f ca="1"/>
        <v>0.69060155227088305</v>
      </c>
      <c r="AH9493" s="2" t="str">
        <f ca="1"/>
        <v>Bad</v>
      </c>
    </row>
    <row r="9494" spans="2:34" x14ac:dyDescent="0.2">
      <c r="B9494" s="2">
        <f ca="1"/>
        <v>0.52727091220999855</v>
      </c>
      <c r="O9494" s="2">
        <f ca="1"/>
        <v>-1.7476615545516709</v>
      </c>
      <c r="X9494" s="2">
        <f ca="1"/>
        <v>44.509416455038689</v>
      </c>
      <c r="AG9494" s="2">
        <f ca="1"/>
        <v>0.77250216384779069</v>
      </c>
      <c r="AH9494" s="2" t="str">
        <f ca="1"/>
        <v>Bad</v>
      </c>
    </row>
    <row r="9495" spans="2:34" x14ac:dyDescent="0.2">
      <c r="B9495" s="2">
        <f ca="1"/>
        <v>0.70944686023362835</v>
      </c>
      <c r="O9495" s="2">
        <f ca="1"/>
        <v>-0.59470973492007473</v>
      </c>
      <c r="X9495" s="2">
        <f ca="1"/>
        <v>27.811442634829845</v>
      </c>
      <c r="AG9495" s="2">
        <f ca="1"/>
        <v>0.34827665875592451</v>
      </c>
      <c r="AH9495" s="2" t="str">
        <f ca="1"/>
        <v>OK</v>
      </c>
    </row>
    <row r="9496" spans="2:34" x14ac:dyDescent="0.2">
      <c r="B9496" s="2">
        <f ca="1"/>
        <v>0.9844286284483541</v>
      </c>
      <c r="O9496" s="2">
        <f ca="1"/>
        <v>0.92222848685300651</v>
      </c>
      <c r="X9496" s="2">
        <f ca="1"/>
        <v>28.6434035728333</v>
      </c>
      <c r="AG9496" s="2">
        <f ca="1"/>
        <v>0.7529112393245827</v>
      </c>
      <c r="AH9496" s="2" t="str">
        <f ca="1"/>
        <v>Bad</v>
      </c>
    </row>
    <row r="9497" spans="2:34" x14ac:dyDescent="0.2">
      <c r="B9497" s="2">
        <f ca="1"/>
        <v>0.89754910172133018</v>
      </c>
      <c r="O9497" s="2">
        <f ca="1"/>
        <v>1.5531476779598221</v>
      </c>
      <c r="X9497" s="2">
        <f ca="1"/>
        <v>52.178277967182083</v>
      </c>
      <c r="AG9497" s="2">
        <f ca="1"/>
        <v>0.37743211435331814</v>
      </c>
      <c r="AH9497" s="2" t="str">
        <f ca="1"/>
        <v>OK</v>
      </c>
    </row>
    <row r="9498" spans="2:34" x14ac:dyDescent="0.2">
      <c r="B9498" s="2">
        <f ca="1"/>
        <v>0.72123967748324125</v>
      </c>
      <c r="O9498" s="2">
        <f ca="1"/>
        <v>-0.81231565435417352</v>
      </c>
      <c r="X9498" s="2">
        <f ca="1"/>
        <v>69.559395626428383</v>
      </c>
      <c r="AG9498" s="2">
        <f ca="1"/>
        <v>0.30057006444154744</v>
      </c>
      <c r="AH9498" s="2" t="str">
        <f ca="1"/>
        <v>OK</v>
      </c>
    </row>
    <row r="9499" spans="2:34" x14ac:dyDescent="0.2">
      <c r="B9499" s="2">
        <f ca="1"/>
        <v>0.27451572099224464</v>
      </c>
      <c r="O9499" s="2">
        <f ca="1"/>
        <v>-0.99988585306214628</v>
      </c>
      <c r="X9499" s="2">
        <f ca="1"/>
        <v>28.823895098855576</v>
      </c>
      <c r="AG9499" s="2">
        <f ca="1"/>
        <v>0.9597337421201948</v>
      </c>
      <c r="AH9499" s="2" t="str">
        <f ca="1"/>
        <v>Bad</v>
      </c>
    </row>
    <row r="9500" spans="2:34" x14ac:dyDescent="0.2">
      <c r="B9500" s="2">
        <f ca="1"/>
        <v>0.31417031710060628</v>
      </c>
      <c r="O9500" s="2">
        <f ca="1"/>
        <v>0.50906654869086376</v>
      </c>
      <c r="X9500" s="2">
        <f ca="1"/>
        <v>21.683618072411349</v>
      </c>
      <c r="AG9500" s="2">
        <f ca="1"/>
        <v>0.92144611573620328</v>
      </c>
      <c r="AH9500" s="2" t="str">
        <f ca="1"/>
        <v>Bad</v>
      </c>
    </row>
    <row r="9501" spans="2:34" x14ac:dyDescent="0.2">
      <c r="B9501" s="2">
        <f ca="1"/>
        <v>0.5788411363407493</v>
      </c>
      <c r="O9501" s="2">
        <f ca="1"/>
        <v>0.54393753874294304</v>
      </c>
      <c r="X9501" s="2">
        <f ca="1"/>
        <v>84.165035871219317</v>
      </c>
      <c r="AG9501" s="2">
        <f ca="1"/>
        <v>0.52034711654732502</v>
      </c>
      <c r="AH9501" s="2" t="str">
        <f ca="1"/>
        <v>Bad</v>
      </c>
    </row>
    <row r="9502" spans="2:34" x14ac:dyDescent="0.2">
      <c r="B9502" s="2">
        <f ca="1"/>
        <v>0.77347148484250483</v>
      </c>
      <c r="O9502" s="2">
        <f ca="1"/>
        <v>1.677403436416695</v>
      </c>
      <c r="X9502" s="2">
        <f ca="1"/>
        <v>61.64315368039</v>
      </c>
      <c r="AG9502" s="2">
        <f ca="1"/>
        <v>0.28636404930227943</v>
      </c>
      <c r="AH9502" s="2" t="str">
        <f ca="1"/>
        <v>OK</v>
      </c>
    </row>
    <row r="9503" spans="2:34" x14ac:dyDescent="0.2">
      <c r="B9503" s="2">
        <f ca="1"/>
        <v>0.43243101342372481</v>
      </c>
      <c r="O9503" s="2">
        <f ca="1"/>
        <v>-0.4521811018886</v>
      </c>
      <c r="X9503" s="2">
        <f ca="1"/>
        <v>35.249115918222131</v>
      </c>
      <c r="AG9503" s="2">
        <f ca="1"/>
        <v>0.41864555670357606</v>
      </c>
      <c r="AH9503" s="2" t="str">
        <f ca="1"/>
        <v>Bad</v>
      </c>
    </row>
    <row r="9504" spans="2:34" x14ac:dyDescent="0.2">
      <c r="B9504" s="2">
        <f ca="1"/>
        <v>0.91039433761558364</v>
      </c>
      <c r="O9504" s="2">
        <f ca="1"/>
        <v>1.4819211379627484</v>
      </c>
      <c r="X9504" s="2">
        <f ca="1"/>
        <v>46.858197836916574</v>
      </c>
      <c r="AG9504" s="2">
        <f ca="1"/>
        <v>0.76003056644076961</v>
      </c>
      <c r="AH9504" s="2" t="str">
        <f ca="1"/>
        <v>Bad</v>
      </c>
    </row>
    <row r="9505" spans="2:34" x14ac:dyDescent="0.2">
      <c r="B9505" s="2">
        <f ca="1"/>
        <v>0.98915946344374506</v>
      </c>
      <c r="O9505" s="2">
        <f ca="1"/>
        <v>-0.30663017705622059</v>
      </c>
      <c r="X9505" s="2">
        <f ca="1"/>
        <v>64.623198609528899</v>
      </c>
      <c r="AG9505" s="2">
        <f ca="1"/>
        <v>0.19124617628996732</v>
      </c>
      <c r="AH9505" s="2" t="str">
        <f ca="1"/>
        <v>OK</v>
      </c>
    </row>
    <row r="9506" spans="2:34" x14ac:dyDescent="0.2">
      <c r="B9506" s="2">
        <f ca="1"/>
        <v>0.86590521131673293</v>
      </c>
      <c r="O9506" s="2">
        <f ca="1"/>
        <v>0.43416643417258305</v>
      </c>
      <c r="X9506" s="2">
        <f ca="1"/>
        <v>43.856951808698753</v>
      </c>
      <c r="AG9506" s="2">
        <f ca="1"/>
        <v>0.72802215594083086</v>
      </c>
      <c r="AH9506" s="2" t="str">
        <f ca="1"/>
        <v>Bad</v>
      </c>
    </row>
    <row r="9507" spans="2:34" x14ac:dyDescent="0.2">
      <c r="B9507" s="2">
        <f ca="1"/>
        <v>2.4049019617826684E-2</v>
      </c>
      <c r="O9507" s="2">
        <f ca="1"/>
        <v>-0.15198082569124219</v>
      </c>
      <c r="X9507" s="2">
        <f ca="1"/>
        <v>45.848491627253324</v>
      </c>
      <c r="AG9507" s="2">
        <f ca="1"/>
        <v>0.44123766501671025</v>
      </c>
      <c r="AH9507" s="2" t="str">
        <f ca="1"/>
        <v>Bad</v>
      </c>
    </row>
    <row r="9508" spans="2:34" x14ac:dyDescent="0.2">
      <c r="B9508" s="2">
        <f ca="1"/>
        <v>0.65180679707175559</v>
      </c>
      <c r="O9508" s="2">
        <f ca="1"/>
        <v>1.6661363540429828</v>
      </c>
      <c r="X9508" s="2">
        <f ca="1"/>
        <v>32.161176713781373</v>
      </c>
      <c r="AG9508" s="2">
        <f ca="1"/>
        <v>0.83871821856126316</v>
      </c>
      <c r="AH9508" s="2" t="str">
        <f ca="1"/>
        <v>Bad</v>
      </c>
    </row>
    <row r="9509" spans="2:34" x14ac:dyDescent="0.2">
      <c r="B9509" s="2">
        <f ca="1"/>
        <v>0.24029148227463204</v>
      </c>
      <c r="O9509" s="2">
        <f ca="1"/>
        <v>1.5949259531153326</v>
      </c>
      <c r="X9509" s="2">
        <f ca="1"/>
        <v>61.184275487157336</v>
      </c>
      <c r="AG9509" s="2">
        <f ca="1"/>
        <v>0.70061417613823962</v>
      </c>
      <c r="AH9509" s="2" t="str">
        <f ca="1"/>
        <v>Bad</v>
      </c>
    </row>
    <row r="9510" spans="2:34" x14ac:dyDescent="0.2">
      <c r="B9510" s="2">
        <f ca="1"/>
        <v>0.79506815883695592</v>
      </c>
      <c r="O9510" s="2">
        <f ca="1"/>
        <v>0.60684945035170124</v>
      </c>
      <c r="X9510" s="2">
        <f ca="1"/>
        <v>36.119696439678911</v>
      </c>
      <c r="AG9510" s="2">
        <f ca="1"/>
        <v>6.2528119999832876E-2</v>
      </c>
      <c r="AH9510" s="2" t="str">
        <f ca="1"/>
        <v>OK</v>
      </c>
    </row>
    <row r="9511" spans="2:34" x14ac:dyDescent="0.2">
      <c r="B9511" s="2">
        <f ca="1"/>
        <v>0.96169555894285397</v>
      </c>
      <c r="O9511" s="2">
        <f ca="1"/>
        <v>-0.50129027146524385</v>
      </c>
      <c r="X9511" s="2">
        <f ca="1"/>
        <v>38.522627281217979</v>
      </c>
      <c r="AG9511" s="2">
        <f ca="1"/>
        <v>0.32013264141007225</v>
      </c>
      <c r="AH9511" s="2" t="str">
        <f ca="1"/>
        <v>OK</v>
      </c>
    </row>
    <row r="9512" spans="2:34" x14ac:dyDescent="0.2">
      <c r="B9512" s="2">
        <f ca="1"/>
        <v>0.96197022669573706</v>
      </c>
      <c r="O9512" s="2">
        <f ca="1"/>
        <v>-6.3487241721630672E-2</v>
      </c>
      <c r="X9512" s="2">
        <f ca="1"/>
        <v>69.792450565805694</v>
      </c>
      <c r="AG9512" s="2">
        <f ca="1"/>
        <v>0.91844629410294787</v>
      </c>
      <c r="AH9512" s="2" t="str">
        <f ca="1"/>
        <v>Bad</v>
      </c>
    </row>
    <row r="9513" spans="2:34" x14ac:dyDescent="0.2">
      <c r="B9513" s="2">
        <f ca="1"/>
        <v>0.6670978772465479</v>
      </c>
      <c r="O9513" s="2">
        <f ca="1"/>
        <v>1.3703081091578011</v>
      </c>
      <c r="X9513" s="2">
        <f ca="1"/>
        <v>52.205285006562612</v>
      </c>
      <c r="AG9513" s="2">
        <f ca="1"/>
        <v>1.343791125005267E-2</v>
      </c>
      <c r="AH9513" s="2" t="str">
        <f ca="1"/>
        <v>Good</v>
      </c>
    </row>
    <row r="9514" spans="2:34" x14ac:dyDescent="0.2">
      <c r="B9514" s="2">
        <f ca="1"/>
        <v>0.52819472345598117</v>
      </c>
      <c r="O9514" s="2">
        <f ca="1"/>
        <v>-1.8501073951505771</v>
      </c>
      <c r="X9514" s="2">
        <f ca="1"/>
        <v>28.632857853423882</v>
      </c>
      <c r="AG9514" s="2">
        <f ca="1"/>
        <v>0.62266925840425968</v>
      </c>
      <c r="AH9514" s="2" t="str">
        <f ca="1"/>
        <v>Bad</v>
      </c>
    </row>
    <row r="9515" spans="2:34" x14ac:dyDescent="0.2">
      <c r="B9515" s="2">
        <f ca="1"/>
        <v>5.9060419614824777E-3</v>
      </c>
      <c r="O9515" s="2">
        <f ca="1"/>
        <v>-1.3707285230288875</v>
      </c>
      <c r="X9515" s="2">
        <f ca="1"/>
        <v>60.401669215421009</v>
      </c>
      <c r="AG9515" s="2">
        <f ca="1"/>
        <v>8.6138662969237112E-2</v>
      </c>
      <c r="AH9515" s="2" t="str">
        <f ca="1"/>
        <v>OK</v>
      </c>
    </row>
    <row r="9516" spans="2:34" x14ac:dyDescent="0.2">
      <c r="B9516" s="2">
        <f ca="1"/>
        <v>3.372817149163776E-2</v>
      </c>
      <c r="O9516" s="2">
        <f ca="1"/>
        <v>-0.22737189665598492</v>
      </c>
      <c r="X9516" s="2">
        <f ca="1"/>
        <v>56.576342668830492</v>
      </c>
      <c r="AG9516" s="2">
        <f ca="1"/>
        <v>0.10189523872739992</v>
      </c>
      <c r="AH9516" s="2" t="str">
        <f ca="1"/>
        <v>OK</v>
      </c>
    </row>
    <row r="9517" spans="2:34" x14ac:dyDescent="0.2">
      <c r="B9517" s="2">
        <f ca="1"/>
        <v>0.41866031735312648</v>
      </c>
      <c r="O9517" s="2">
        <f ca="1"/>
        <v>0.14224518159141186</v>
      </c>
      <c r="X9517" s="2">
        <f ca="1"/>
        <v>82.789910073472555</v>
      </c>
      <c r="AG9517" s="2">
        <f ca="1"/>
        <v>0.56074580297532739</v>
      </c>
      <c r="AH9517" s="2" t="str">
        <f ca="1"/>
        <v>Bad</v>
      </c>
    </row>
    <row r="9518" spans="2:34" x14ac:dyDescent="0.2">
      <c r="B9518" s="2">
        <f ca="1"/>
        <v>0.91995435999002551</v>
      </c>
      <c r="O9518" s="2">
        <f ca="1"/>
        <v>0.77979568956454104</v>
      </c>
      <c r="X9518" s="2">
        <f ca="1"/>
        <v>60.817123416250212</v>
      </c>
      <c r="AG9518" s="2">
        <f ca="1"/>
        <v>6.4708180444453589E-2</v>
      </c>
      <c r="AH9518" s="2" t="str">
        <f ca="1"/>
        <v>OK</v>
      </c>
    </row>
    <row r="9519" spans="2:34" x14ac:dyDescent="0.2">
      <c r="B9519" s="2">
        <f ca="1"/>
        <v>0.9225424111114342</v>
      </c>
      <c r="O9519" s="2">
        <f ca="1"/>
        <v>1.201813408380304</v>
      </c>
      <c r="X9519" s="2">
        <f ca="1"/>
        <v>80.081050253276672</v>
      </c>
      <c r="AG9519" s="2">
        <f ca="1"/>
        <v>0.32855228456651764</v>
      </c>
      <c r="AH9519" s="2" t="str">
        <f ca="1"/>
        <v>OK</v>
      </c>
    </row>
    <row r="9520" spans="2:34" x14ac:dyDescent="0.2">
      <c r="B9520" s="2">
        <f ca="1"/>
        <v>0.92806488352426264</v>
      </c>
      <c r="O9520" s="2">
        <f ca="1"/>
        <v>-0.40129037109156024</v>
      </c>
      <c r="X9520" s="2">
        <f ca="1"/>
        <v>43.829622801931684</v>
      </c>
      <c r="AG9520" s="2">
        <f ca="1"/>
        <v>0.95658883506280401</v>
      </c>
      <c r="AH9520" s="2" t="str">
        <f ca="1"/>
        <v>Bad</v>
      </c>
    </row>
    <row r="9521" spans="2:34" x14ac:dyDescent="0.2">
      <c r="B9521" s="2">
        <f ca="1"/>
        <v>0.77536883274787827</v>
      </c>
      <c r="O9521" s="2">
        <f ca="1"/>
        <v>-0.44955041924792816</v>
      </c>
      <c r="X9521" s="2">
        <f ca="1"/>
        <v>38.163465934476172</v>
      </c>
      <c r="AG9521" s="2">
        <f ca="1"/>
        <v>0.68960070941410945</v>
      </c>
      <c r="AH9521" s="2" t="str">
        <f ca="1"/>
        <v>Bad</v>
      </c>
    </row>
    <row r="9522" spans="2:34" x14ac:dyDescent="0.2">
      <c r="B9522" s="2">
        <f ca="1"/>
        <v>0.67285668646980223</v>
      </c>
      <c r="O9522" s="2">
        <f ca="1"/>
        <v>1.1722791076447461</v>
      </c>
      <c r="X9522" s="2">
        <f ca="1"/>
        <v>38.614066462413334</v>
      </c>
      <c r="AG9522" s="2">
        <f ca="1"/>
        <v>0.65171493018921667</v>
      </c>
      <c r="AH9522" s="2" t="str">
        <f ca="1"/>
        <v>Bad</v>
      </c>
    </row>
    <row r="9523" spans="2:34" x14ac:dyDescent="0.2">
      <c r="B9523" s="2">
        <f ca="1"/>
        <v>0.23844487904541811</v>
      </c>
      <c r="O9523" s="2">
        <f ca="1"/>
        <v>0.49657783455316906</v>
      </c>
      <c r="X9523" s="2">
        <f ca="1"/>
        <v>60.330752583883729</v>
      </c>
      <c r="AG9523" s="2">
        <f ca="1"/>
        <v>8.8951376651631664E-2</v>
      </c>
      <c r="AH9523" s="2" t="str">
        <f ca="1"/>
        <v>OK</v>
      </c>
    </row>
    <row r="9524" spans="2:34" x14ac:dyDescent="0.2">
      <c r="B9524" s="2">
        <f ca="1"/>
        <v>1.304415802030312E-2</v>
      </c>
      <c r="O9524" s="2">
        <f ca="1"/>
        <v>2.7960980648088316E-2</v>
      </c>
      <c r="X9524" s="2">
        <f ca="1"/>
        <v>58.742589007297916</v>
      </c>
      <c r="AG9524" s="2">
        <f ca="1"/>
        <v>4.800364485627262E-2</v>
      </c>
      <c r="AH9524" s="2" t="str">
        <f ca="1"/>
        <v>Good</v>
      </c>
    </row>
    <row r="9525" spans="2:34" x14ac:dyDescent="0.2">
      <c r="B9525" s="2">
        <f ca="1"/>
        <v>0.25358838891946922</v>
      </c>
      <c r="O9525" s="2">
        <f ca="1"/>
        <v>-0.75869819959604479</v>
      </c>
      <c r="X9525" s="2">
        <f ca="1"/>
        <v>44.685381082965833</v>
      </c>
      <c r="AG9525" s="2">
        <f ca="1"/>
        <v>0.4260059889337473</v>
      </c>
      <c r="AH9525" s="2" t="str">
        <f ca="1"/>
        <v>Bad</v>
      </c>
    </row>
    <row r="9526" spans="2:34" x14ac:dyDescent="0.2">
      <c r="B9526" s="2">
        <f ca="1"/>
        <v>0.43465751779112982</v>
      </c>
      <c r="O9526" s="2">
        <f ca="1"/>
        <v>0.46296016804999002</v>
      </c>
      <c r="X9526" s="2">
        <f ca="1"/>
        <v>76.888464447208349</v>
      </c>
      <c r="AG9526" s="2">
        <f ca="1"/>
        <v>0.25927521646812313</v>
      </c>
      <c r="AH9526" s="2" t="str">
        <f ca="1"/>
        <v>OK</v>
      </c>
    </row>
    <row r="9527" spans="2:34" x14ac:dyDescent="0.2">
      <c r="B9527" s="2">
        <f ca="1"/>
        <v>0.29814450935693571</v>
      </c>
      <c r="O9527" s="2">
        <f ca="1"/>
        <v>0.21463792302356707</v>
      </c>
      <c r="X9527" s="2">
        <f ca="1"/>
        <v>60.313543717472854</v>
      </c>
      <c r="AG9527" s="2">
        <f ca="1"/>
        <v>0.5898051265766755</v>
      </c>
      <c r="AH9527" s="2" t="str">
        <f ca="1"/>
        <v>Bad</v>
      </c>
    </row>
    <row r="9528" spans="2:34" x14ac:dyDescent="0.2">
      <c r="B9528" s="2">
        <f ca="1"/>
        <v>0.11844170574812329</v>
      </c>
      <c r="O9528" s="2">
        <f ca="1"/>
        <v>0.74623272421573605</v>
      </c>
      <c r="X9528" s="2">
        <f ca="1"/>
        <v>60.237332562597487</v>
      </c>
      <c r="AG9528" s="2">
        <f ca="1"/>
        <v>0.88922744533972087</v>
      </c>
      <c r="AH9528" s="2" t="str">
        <f ca="1"/>
        <v>Bad</v>
      </c>
    </row>
    <row r="9529" spans="2:34" x14ac:dyDescent="0.2">
      <c r="B9529" s="2">
        <f ca="1"/>
        <v>0.19704884114085375</v>
      </c>
      <c r="O9529" s="2">
        <f ca="1"/>
        <v>-0.92302915557421783</v>
      </c>
      <c r="X9529" s="2">
        <f ca="1"/>
        <v>64.033524901115541</v>
      </c>
      <c r="AG9529" s="2">
        <f ca="1"/>
        <v>0.11590188567631143</v>
      </c>
      <c r="AH9529" s="2" t="str">
        <f ca="1"/>
        <v>OK</v>
      </c>
    </row>
    <row r="9530" spans="2:34" x14ac:dyDescent="0.2">
      <c r="B9530" s="2">
        <f ca="1"/>
        <v>1.1363038712797646E-2</v>
      </c>
      <c r="O9530" s="2">
        <f ca="1"/>
        <v>-0.53922895439640817</v>
      </c>
      <c r="X9530" s="2">
        <f ca="1"/>
        <v>56.990940021211145</v>
      </c>
      <c r="AG9530" s="2">
        <f ca="1"/>
        <v>0.49862832776830412</v>
      </c>
      <c r="AH9530" s="2" t="str">
        <f ca="1"/>
        <v>Bad</v>
      </c>
    </row>
    <row r="9531" spans="2:34" x14ac:dyDescent="0.2">
      <c r="B9531" s="2">
        <f ca="1"/>
        <v>0.97446985946671116</v>
      </c>
      <c r="O9531" s="2">
        <f ca="1"/>
        <v>1.1897073444769257</v>
      </c>
      <c r="X9531" s="2">
        <f ca="1"/>
        <v>104.54503387481459</v>
      </c>
      <c r="AG9531" s="2">
        <f ca="1"/>
        <v>0.68149410226000851</v>
      </c>
      <c r="AH9531" s="2" t="str">
        <f ca="1"/>
        <v>Bad</v>
      </c>
    </row>
    <row r="9532" spans="2:34" x14ac:dyDescent="0.2">
      <c r="B9532" s="2">
        <f ca="1"/>
        <v>0.67478967453691729</v>
      </c>
      <c r="O9532" s="2">
        <f ca="1"/>
        <v>-0.17292929113548039</v>
      </c>
      <c r="X9532" s="2">
        <f ca="1"/>
        <v>50.404367766357502</v>
      </c>
      <c r="AG9532" s="2">
        <f ca="1"/>
        <v>0.73232775840817332</v>
      </c>
      <c r="AH9532" s="2" t="str">
        <f ca="1"/>
        <v>Bad</v>
      </c>
    </row>
    <row r="9533" spans="2:34" x14ac:dyDescent="0.2">
      <c r="B9533" s="2">
        <f ca="1"/>
        <v>0.10371009088405292</v>
      </c>
      <c r="O9533" s="2">
        <f ca="1"/>
        <v>0.62333605415499549</v>
      </c>
      <c r="X9533" s="2">
        <f ca="1"/>
        <v>46.585872559028886</v>
      </c>
      <c r="AG9533" s="2">
        <f ca="1"/>
        <v>0.34977255944338403</v>
      </c>
      <c r="AH9533" s="2" t="str">
        <f ca="1"/>
        <v>OK</v>
      </c>
    </row>
    <row r="9534" spans="2:34" x14ac:dyDescent="0.2">
      <c r="B9534" s="2">
        <f ca="1"/>
        <v>0.49718490201750276</v>
      </c>
      <c r="O9534" s="2">
        <f ca="1"/>
        <v>-0.2204789363954634</v>
      </c>
      <c r="X9534" s="2">
        <f ca="1"/>
        <v>42.734007241583342</v>
      </c>
      <c r="AG9534" s="2">
        <f ca="1"/>
        <v>0.52017365974578977</v>
      </c>
      <c r="AH9534" s="2" t="str">
        <f ca="1"/>
        <v>Bad</v>
      </c>
    </row>
    <row r="9535" spans="2:34" x14ac:dyDescent="0.2">
      <c r="B9535" s="2">
        <f ca="1"/>
        <v>0.1139181009885708</v>
      </c>
      <c r="O9535" s="2">
        <f ca="1"/>
        <v>-0.58770880037290429</v>
      </c>
      <c r="X9535" s="2">
        <f ca="1"/>
        <v>51.040793422369582</v>
      </c>
      <c r="AG9535" s="2">
        <f ca="1"/>
        <v>0.65644521142153467</v>
      </c>
      <c r="AH9535" s="2" t="str">
        <f ca="1"/>
        <v>Bad</v>
      </c>
    </row>
    <row r="9536" spans="2:34" x14ac:dyDescent="0.2">
      <c r="B9536" s="2">
        <f ca="1"/>
        <v>0.64818820920908404</v>
      </c>
      <c r="O9536" s="2">
        <f ca="1"/>
        <v>-1.0076529147386344</v>
      </c>
      <c r="X9536" s="2">
        <f ca="1"/>
        <v>66.696256098130405</v>
      </c>
      <c r="AG9536" s="2">
        <f ca="1"/>
        <v>0.98991961335495215</v>
      </c>
      <c r="AH9536" s="2" t="str">
        <f ca="1"/>
        <v>Bad</v>
      </c>
    </row>
    <row r="9537" spans="2:34" x14ac:dyDescent="0.2">
      <c r="B9537" s="2">
        <f ca="1"/>
        <v>0.70288801396984857</v>
      </c>
      <c r="O9537" s="2">
        <f ca="1"/>
        <v>-0.11778926429390704</v>
      </c>
      <c r="X9537" s="2">
        <f ca="1"/>
        <v>54.38670718744816</v>
      </c>
      <c r="AG9537" s="2">
        <f ca="1"/>
        <v>0.23230577733369739</v>
      </c>
      <c r="AH9537" s="2" t="str">
        <f ca="1"/>
        <v>OK</v>
      </c>
    </row>
    <row r="9538" spans="2:34" x14ac:dyDescent="0.2">
      <c r="B9538" s="2">
        <f ca="1"/>
        <v>0.75362626647456676</v>
      </c>
      <c r="O9538" s="2">
        <f ca="1"/>
        <v>-0.92886192393833611</v>
      </c>
      <c r="X9538" s="2">
        <f ca="1"/>
        <v>27.198483747014784</v>
      </c>
      <c r="AG9538" s="2">
        <f ca="1"/>
        <v>6.9385422622929571E-3</v>
      </c>
      <c r="AH9538" s="2" t="str">
        <f ca="1"/>
        <v>Good</v>
      </c>
    </row>
    <row r="9539" spans="2:34" x14ac:dyDescent="0.2">
      <c r="B9539" s="2">
        <f ca="1"/>
        <v>0.52713362723653012</v>
      </c>
      <c r="O9539" s="2">
        <f ca="1"/>
        <v>0.95356576671170834</v>
      </c>
      <c r="X9539" s="2">
        <f ca="1"/>
        <v>58.21256414073801</v>
      </c>
      <c r="AG9539" s="2">
        <f ca="1"/>
        <v>0.49785129122919347</v>
      </c>
      <c r="AH9539" s="2" t="str">
        <f ca="1"/>
        <v>Bad</v>
      </c>
    </row>
    <row r="9540" spans="2:34" x14ac:dyDescent="0.2">
      <c r="B9540" s="2">
        <f ca="1"/>
        <v>0.62465643117830028</v>
      </c>
      <c r="O9540" s="2">
        <f ca="1"/>
        <v>-0.94521735532004314</v>
      </c>
      <c r="X9540" s="2">
        <f ca="1"/>
        <v>50.17059334552053</v>
      </c>
      <c r="AG9540" s="2">
        <f ca="1"/>
        <v>0.42983280708171701</v>
      </c>
      <c r="AH9540" s="2" t="str">
        <f ca="1"/>
        <v>Bad</v>
      </c>
    </row>
    <row r="9541" spans="2:34" x14ac:dyDescent="0.2">
      <c r="B9541" s="2">
        <f ca="1"/>
        <v>0.85406308096182371</v>
      </c>
      <c r="O9541" s="2">
        <f ca="1"/>
        <v>1.0308918527533548</v>
      </c>
      <c r="X9541" s="2">
        <f ca="1"/>
        <v>60.783292432565702</v>
      </c>
      <c r="AG9541" s="2">
        <f ca="1"/>
        <v>0.75512144792012781</v>
      </c>
      <c r="AH9541" s="2" t="str">
        <f ca="1"/>
        <v>Bad</v>
      </c>
    </row>
    <row r="9542" spans="2:34" x14ac:dyDescent="0.2">
      <c r="B9542" s="2">
        <f ca="1"/>
        <v>0.70778088881930157</v>
      </c>
      <c r="O9542" s="2">
        <f ca="1"/>
        <v>0.17029826422864761</v>
      </c>
      <c r="X9542" s="2">
        <f ca="1"/>
        <v>81.498724460351269</v>
      </c>
      <c r="AG9542" s="2">
        <f ca="1"/>
        <v>0.24046164194099018</v>
      </c>
      <c r="AH9542" s="2" t="str">
        <f ca="1"/>
        <v>OK</v>
      </c>
    </row>
    <row r="9543" spans="2:34" x14ac:dyDescent="0.2">
      <c r="B9543" s="2">
        <f ca="1"/>
        <v>0.18648587899737623</v>
      </c>
      <c r="O9543" s="2">
        <f ca="1"/>
        <v>1.0028635630329046</v>
      </c>
      <c r="X9543" s="2">
        <f ca="1"/>
        <v>46.389195160457405</v>
      </c>
      <c r="AG9543" s="2">
        <f ca="1"/>
        <v>0.56498075096300715</v>
      </c>
      <c r="AH9543" s="2" t="str">
        <f ca="1"/>
        <v>Bad</v>
      </c>
    </row>
    <row r="9544" spans="2:34" x14ac:dyDescent="0.2">
      <c r="B9544" s="2">
        <f ca="1"/>
        <v>0.49697699186530642</v>
      </c>
      <c r="O9544" s="2">
        <f ca="1"/>
        <v>1.5169589751354065</v>
      </c>
      <c r="X9544" s="2">
        <f ca="1"/>
        <v>63.486163394655961</v>
      </c>
      <c r="AG9544" s="2">
        <f ca="1"/>
        <v>0.14716683311719647</v>
      </c>
      <c r="AH9544" s="2" t="str">
        <f ca="1"/>
        <v>OK</v>
      </c>
    </row>
    <row r="9545" spans="2:34" x14ac:dyDescent="0.2">
      <c r="B9545" s="2">
        <f ca="1"/>
        <v>0.57581084785662995</v>
      </c>
      <c r="O9545" s="2">
        <f ca="1"/>
        <v>0.52752136011773232</v>
      </c>
      <c r="X9545" s="2">
        <f ca="1"/>
        <v>73.418254986425211</v>
      </c>
      <c r="AG9545" s="2">
        <f ca="1"/>
        <v>0.55267433052199499</v>
      </c>
      <c r="AH9545" s="2" t="str">
        <f ca="1"/>
        <v>Bad</v>
      </c>
    </row>
    <row r="9546" spans="2:34" x14ac:dyDescent="0.2">
      <c r="B9546" s="2">
        <f ca="1"/>
        <v>0.32361314848430101</v>
      </c>
      <c r="O9546" s="2">
        <f ca="1"/>
        <v>0.39019536184765508</v>
      </c>
      <c r="X9546" s="2">
        <f ca="1"/>
        <v>58.070553439855168</v>
      </c>
      <c r="AG9546" s="2">
        <f ca="1"/>
        <v>0.39841392044862234</v>
      </c>
      <c r="AH9546" s="2" t="str">
        <f ca="1"/>
        <v>OK</v>
      </c>
    </row>
    <row r="9547" spans="2:34" x14ac:dyDescent="0.2">
      <c r="B9547" s="2">
        <f ca="1"/>
        <v>0.43374738905189436</v>
      </c>
      <c r="O9547" s="2">
        <f ca="1"/>
        <v>0.77979062763753815</v>
      </c>
      <c r="X9547" s="2">
        <f ca="1"/>
        <v>54.528297393080727</v>
      </c>
      <c r="AG9547" s="2">
        <f ca="1"/>
        <v>9.4836703558523805E-2</v>
      </c>
      <c r="AH9547" s="2" t="str">
        <f ca="1"/>
        <v>OK</v>
      </c>
    </row>
    <row r="9548" spans="2:34" x14ac:dyDescent="0.2">
      <c r="B9548" s="2">
        <f ca="1"/>
        <v>0.8695953288744549</v>
      </c>
      <c r="O9548" s="2">
        <f ca="1"/>
        <v>-1.5252096597358076</v>
      </c>
      <c r="X9548" s="2">
        <f ca="1"/>
        <v>32.888803272462162</v>
      </c>
      <c r="AG9548" s="2">
        <f ca="1"/>
        <v>0.18841482825249756</v>
      </c>
      <c r="AH9548" s="2" t="str">
        <f ca="1"/>
        <v>OK</v>
      </c>
    </row>
    <row r="9549" spans="2:34" x14ac:dyDescent="0.2">
      <c r="B9549" s="2">
        <f ca="1"/>
        <v>0.99849840394002864</v>
      </c>
      <c r="O9549" s="2">
        <f ca="1"/>
        <v>0.30122261158815661</v>
      </c>
      <c r="X9549" s="2">
        <f ca="1"/>
        <v>54.665547286935194</v>
      </c>
      <c r="AG9549" s="2">
        <f ca="1"/>
        <v>0.30565318385130547</v>
      </c>
      <c r="AH9549" s="2" t="str">
        <f ca="1"/>
        <v>OK</v>
      </c>
    </row>
    <row r="9550" spans="2:34" x14ac:dyDescent="0.2">
      <c r="B9550" s="2">
        <f ca="1"/>
        <v>0.50408462490400252</v>
      </c>
      <c r="O9550" s="2">
        <f ca="1"/>
        <v>-1.2873058073188302</v>
      </c>
      <c r="X9550" s="2">
        <f ca="1"/>
        <v>80.57645171626163</v>
      </c>
      <c r="AG9550" s="2">
        <f ca="1"/>
        <v>0.85437568719634549</v>
      </c>
      <c r="AH9550" s="2" t="str">
        <f ca="1"/>
        <v>Bad</v>
      </c>
    </row>
    <row r="9551" spans="2:34" x14ac:dyDescent="0.2">
      <c r="B9551" s="2">
        <f ca="1"/>
        <v>0.97009667218129447</v>
      </c>
      <c r="O9551" s="2">
        <f ca="1"/>
        <v>1.5855032494262409</v>
      </c>
      <c r="X9551" s="2">
        <f ca="1"/>
        <v>34.955006054819684</v>
      </c>
      <c r="AG9551" s="2">
        <f ca="1"/>
        <v>0.41093890595708937</v>
      </c>
      <c r="AH9551" s="2" t="str">
        <f ca="1"/>
        <v>Bad</v>
      </c>
    </row>
    <row r="9552" spans="2:34" x14ac:dyDescent="0.2">
      <c r="B9552" s="2">
        <f ca="1"/>
        <v>0.11747679545578715</v>
      </c>
      <c r="O9552" s="2">
        <f ca="1"/>
        <v>-0.27445000703032629</v>
      </c>
      <c r="X9552" s="2">
        <f ca="1"/>
        <v>48.286535011072388</v>
      </c>
      <c r="AG9552" s="2">
        <f ca="1"/>
        <v>0.8976659743548483</v>
      </c>
      <c r="AH9552" s="2" t="str">
        <f ca="1"/>
        <v>Bad</v>
      </c>
    </row>
    <row r="9553" spans="2:34" x14ac:dyDescent="0.2">
      <c r="B9553" s="2">
        <f ca="1"/>
        <v>0.83432958675199465</v>
      </c>
      <c r="O9553" s="2">
        <f ca="1"/>
        <v>-0.31383057197805297</v>
      </c>
      <c r="X9553" s="2">
        <f ca="1"/>
        <v>23.647516027912708</v>
      </c>
      <c r="AG9553" s="2">
        <f ca="1"/>
        <v>0.69835335724186121</v>
      </c>
      <c r="AH9553" s="2" t="str">
        <f ca="1"/>
        <v>Bad</v>
      </c>
    </row>
    <row r="9554" spans="2:34" x14ac:dyDescent="0.2">
      <c r="B9554" s="2">
        <f ca="1"/>
        <v>0.85816523317988369</v>
      </c>
      <c r="O9554" s="2">
        <f ca="1"/>
        <v>0.79626033190301937</v>
      </c>
      <c r="X9554" s="2">
        <f ca="1"/>
        <v>48.515557410307402</v>
      </c>
      <c r="AG9554" s="2">
        <f ca="1"/>
        <v>0.36873022948045864</v>
      </c>
      <c r="AH9554" s="2" t="str">
        <f ca="1"/>
        <v>OK</v>
      </c>
    </row>
    <row r="9555" spans="2:34" x14ac:dyDescent="0.2">
      <c r="B9555" s="2">
        <f ca="1"/>
        <v>6.1626822666059899E-2</v>
      </c>
      <c r="O9555" s="2">
        <f ca="1"/>
        <v>1.4009422968189007</v>
      </c>
      <c r="X9555" s="2">
        <f ca="1"/>
        <v>60.784201044728192</v>
      </c>
      <c r="AG9555" s="2">
        <f ca="1"/>
        <v>0.53300343871345168</v>
      </c>
      <c r="AH9555" s="2" t="str">
        <f ca="1"/>
        <v>Bad</v>
      </c>
    </row>
    <row r="9556" spans="2:34" x14ac:dyDescent="0.2">
      <c r="B9556" s="2">
        <f ca="1"/>
        <v>0.53148257852056036</v>
      </c>
      <c r="O9556" s="2">
        <f ca="1"/>
        <v>-0.33065817304630435</v>
      </c>
      <c r="X9556" s="2">
        <f ca="1"/>
        <v>66.035367795600905</v>
      </c>
      <c r="AG9556" s="2">
        <f ca="1"/>
        <v>0.70029218310009833</v>
      </c>
      <c r="AH9556" s="2" t="str">
        <f ca="1"/>
        <v>Bad</v>
      </c>
    </row>
    <row r="9557" spans="2:34" x14ac:dyDescent="0.2">
      <c r="B9557" s="2">
        <f ca="1"/>
        <v>0.3864609794255176</v>
      </c>
      <c r="O9557" s="2">
        <f ca="1"/>
        <v>-0.48371975582162746</v>
      </c>
      <c r="X9557" s="2">
        <f ca="1"/>
        <v>67.381725758735072</v>
      </c>
      <c r="AG9557" s="2">
        <f ca="1"/>
        <v>0.74175599844467044</v>
      </c>
      <c r="AH9557" s="2" t="str">
        <f ca="1"/>
        <v>Bad</v>
      </c>
    </row>
    <row r="9558" spans="2:34" x14ac:dyDescent="0.2">
      <c r="B9558" s="2">
        <f ca="1"/>
        <v>0.88781891784510902</v>
      </c>
      <c r="O9558" s="2">
        <f ca="1"/>
        <v>-0.90124501733668139</v>
      </c>
      <c r="X9558" s="2">
        <f ca="1"/>
        <v>80.937976917977494</v>
      </c>
      <c r="AG9558" s="2">
        <f ca="1"/>
        <v>0.55671108479670739</v>
      </c>
      <c r="AH9558" s="2" t="str">
        <f ca="1"/>
        <v>Bad</v>
      </c>
    </row>
    <row r="9559" spans="2:34" x14ac:dyDescent="0.2">
      <c r="B9559" s="2">
        <f ca="1"/>
        <v>0.63636422430433859</v>
      </c>
      <c r="O9559" s="2">
        <f ca="1"/>
        <v>0.78053711322410158</v>
      </c>
      <c r="X9559" s="2">
        <f ca="1"/>
        <v>43.28478943408291</v>
      </c>
      <c r="AG9559" s="2">
        <f ca="1"/>
        <v>0.13192296247535662</v>
      </c>
      <c r="AH9559" s="2" t="str">
        <f ca="1"/>
        <v>OK</v>
      </c>
    </row>
    <row r="9560" spans="2:34" x14ac:dyDescent="0.2">
      <c r="B9560" s="2">
        <f ca="1"/>
        <v>0.61748314479170419</v>
      </c>
      <c r="O9560" s="2">
        <f ca="1"/>
        <v>0.36344526450363029</v>
      </c>
      <c r="X9560" s="2">
        <f ca="1"/>
        <v>19.528488302734974</v>
      </c>
      <c r="AG9560" s="2">
        <f ca="1"/>
        <v>1.300758370696431E-2</v>
      </c>
      <c r="AH9560" s="2" t="str">
        <f ca="1"/>
        <v>Good</v>
      </c>
    </row>
    <row r="9561" spans="2:34" x14ac:dyDescent="0.2">
      <c r="B9561" s="2">
        <f ca="1"/>
        <v>0.89106507161253146</v>
      </c>
      <c r="O9561" s="2">
        <f ca="1"/>
        <v>0.62536786441775738</v>
      </c>
      <c r="X9561" s="2">
        <f ca="1"/>
        <v>28.916083302160093</v>
      </c>
      <c r="AG9561" s="2">
        <f ca="1"/>
        <v>0.26203114823015095</v>
      </c>
      <c r="AH9561" s="2" t="str">
        <f ca="1"/>
        <v>OK</v>
      </c>
    </row>
    <row r="9562" spans="2:34" x14ac:dyDescent="0.2">
      <c r="B9562" s="2">
        <f ca="1"/>
        <v>0.24212174380521212</v>
      </c>
      <c r="O9562" s="2">
        <f ca="1"/>
        <v>0.74117173608205178</v>
      </c>
      <c r="X9562" s="2">
        <f ca="1"/>
        <v>42.227265816034382</v>
      </c>
      <c r="AG9562" s="2">
        <f ca="1"/>
        <v>0.70303192249638258</v>
      </c>
      <c r="AH9562" s="2" t="str">
        <f ca="1"/>
        <v>Bad</v>
      </c>
    </row>
    <row r="9563" spans="2:34" x14ac:dyDescent="0.2">
      <c r="B9563" s="2">
        <f ca="1"/>
        <v>0.10384281112878035</v>
      </c>
      <c r="O9563" s="2">
        <f ca="1"/>
        <v>-0.47050333550420159</v>
      </c>
      <c r="X9563" s="2">
        <f ca="1"/>
        <v>61.001918946364938</v>
      </c>
      <c r="AG9563" s="2">
        <f ca="1"/>
        <v>0.3386697551953215</v>
      </c>
      <c r="AH9563" s="2" t="str">
        <f ca="1"/>
        <v>OK</v>
      </c>
    </row>
    <row r="9564" spans="2:34" x14ac:dyDescent="0.2">
      <c r="B9564" s="2">
        <f ca="1"/>
        <v>3.2361457850356823E-2</v>
      </c>
      <c r="O9564" s="2">
        <f ca="1"/>
        <v>-9.3496200971763144E-2</v>
      </c>
      <c r="X9564" s="2">
        <f ca="1"/>
        <v>51.426143964824327</v>
      </c>
      <c r="AG9564" s="2">
        <f ca="1"/>
        <v>0.8181504325122646</v>
      </c>
      <c r="AH9564" s="2" t="str">
        <f ca="1"/>
        <v>Bad</v>
      </c>
    </row>
    <row r="9565" spans="2:34" x14ac:dyDescent="0.2">
      <c r="B9565" s="2">
        <f ca="1"/>
        <v>4.313047864488273E-2</v>
      </c>
      <c r="O9565" s="2">
        <f ca="1"/>
        <v>-0.42014355732904496</v>
      </c>
      <c r="X9565" s="2">
        <f ca="1"/>
        <v>71.500071935232612</v>
      </c>
      <c r="AG9565" s="2">
        <f ca="1"/>
        <v>0.31575234338580471</v>
      </c>
      <c r="AH9565" s="2" t="str">
        <f ca="1"/>
        <v>OK</v>
      </c>
    </row>
    <row r="9566" spans="2:34" x14ac:dyDescent="0.2">
      <c r="B9566" s="2">
        <f ca="1"/>
        <v>0.55645617255585811</v>
      </c>
      <c r="O9566" s="2">
        <f ca="1"/>
        <v>1.147317519561716</v>
      </c>
      <c r="X9566" s="2">
        <f ca="1"/>
        <v>45.550087490787305</v>
      </c>
      <c r="AG9566" s="2">
        <f ca="1"/>
        <v>0.48477778189088583</v>
      </c>
      <c r="AH9566" s="2" t="str">
        <f ca="1"/>
        <v>Bad</v>
      </c>
    </row>
    <row r="9567" spans="2:34" x14ac:dyDescent="0.2">
      <c r="B9567" s="2">
        <f ca="1"/>
        <v>0.40286457622469762</v>
      </c>
      <c r="O9567" s="2">
        <f ca="1"/>
        <v>-6.0571223659008584E-2</v>
      </c>
      <c r="X9567" s="2">
        <f ca="1"/>
        <v>26.824244623310229</v>
      </c>
      <c r="AG9567" s="2">
        <f ca="1"/>
        <v>0.34030203397896486</v>
      </c>
      <c r="AH9567" s="2" t="str">
        <f ca="1"/>
        <v>OK</v>
      </c>
    </row>
    <row r="9568" spans="2:34" x14ac:dyDescent="0.2">
      <c r="B9568" s="2">
        <f ca="1"/>
        <v>0.62349067883654485</v>
      </c>
      <c r="O9568" s="2">
        <f ca="1"/>
        <v>-0.49829948703887966</v>
      </c>
      <c r="X9568" s="2">
        <f ca="1"/>
        <v>43.014972070767584</v>
      </c>
      <c r="AG9568" s="2">
        <f ca="1"/>
        <v>0.79129349885411537</v>
      </c>
      <c r="AH9568" s="2" t="str">
        <f ca="1"/>
        <v>Bad</v>
      </c>
    </row>
    <row r="9569" spans="2:34" x14ac:dyDescent="0.2">
      <c r="B9569" s="2">
        <f ca="1"/>
        <v>0.89919272098984848</v>
      </c>
      <c r="O9569" s="2">
        <f ca="1"/>
        <v>1.7643713512966794</v>
      </c>
      <c r="X9569" s="2">
        <f ca="1"/>
        <v>77.231638604121315</v>
      </c>
      <c r="AG9569" s="2">
        <f ca="1"/>
        <v>0.68066508031576833</v>
      </c>
      <c r="AH9569" s="2" t="str">
        <f ca="1"/>
        <v>Bad</v>
      </c>
    </row>
    <row r="9570" spans="2:34" x14ac:dyDescent="0.2">
      <c r="B9570" s="2">
        <f ca="1"/>
        <v>0.54286182201877486</v>
      </c>
      <c r="O9570" s="2">
        <f ca="1"/>
        <v>1.4363415625849179</v>
      </c>
      <c r="X9570" s="2">
        <f ca="1"/>
        <v>67.989809623523399</v>
      </c>
      <c r="AG9570" s="2">
        <f ca="1"/>
        <v>0.57601112444396607</v>
      </c>
      <c r="AH9570" s="2" t="str">
        <f ca="1"/>
        <v>Bad</v>
      </c>
    </row>
    <row r="9571" spans="2:34" x14ac:dyDescent="0.2">
      <c r="B9571" s="2">
        <f ca="1"/>
        <v>0.39474757840358277</v>
      </c>
      <c r="O9571" s="2">
        <f ca="1"/>
        <v>2.4162988875235606E-2</v>
      </c>
      <c r="X9571" s="2">
        <f ca="1"/>
        <v>43.521288872030183</v>
      </c>
      <c r="AG9571" s="2">
        <f ca="1"/>
        <v>0.87325138872043295</v>
      </c>
      <c r="AH9571" s="2" t="str">
        <f ca="1"/>
        <v>Bad</v>
      </c>
    </row>
    <row r="9572" spans="2:34" x14ac:dyDescent="0.2">
      <c r="B9572" s="2">
        <f ca="1"/>
        <v>0.63769490314686239</v>
      </c>
      <c r="O9572" s="2">
        <f ca="1"/>
        <v>0.72812849097506038</v>
      </c>
      <c r="X9572" s="2">
        <f ca="1"/>
        <v>29.679102861006932</v>
      </c>
      <c r="AG9572" s="2">
        <f ca="1"/>
        <v>0.40115279207523424</v>
      </c>
      <c r="AH9572" s="2" t="str">
        <f ca="1"/>
        <v>Bad</v>
      </c>
    </row>
    <row r="9573" spans="2:34" x14ac:dyDescent="0.2">
      <c r="B9573" s="2">
        <f ca="1"/>
        <v>0.10610723299053904</v>
      </c>
      <c r="O9573" s="2">
        <f ca="1"/>
        <v>0.15631327415808527</v>
      </c>
      <c r="X9573" s="2">
        <f ca="1"/>
        <v>55.839691819635803</v>
      </c>
      <c r="AG9573" s="2">
        <f ca="1"/>
        <v>0.65870188417613051</v>
      </c>
      <c r="AH9573" s="2" t="str">
        <f ca="1"/>
        <v>Bad</v>
      </c>
    </row>
    <row r="9574" spans="2:34" x14ac:dyDescent="0.2">
      <c r="B9574" s="2">
        <f ca="1"/>
        <v>0.35555926355342127</v>
      </c>
      <c r="O9574" s="2">
        <f ca="1"/>
        <v>0.31013793037677839</v>
      </c>
      <c r="X9574" s="2">
        <f ca="1"/>
        <v>75.755421522991085</v>
      </c>
      <c r="AG9574" s="2">
        <f ca="1"/>
        <v>0.19777701256856539</v>
      </c>
      <c r="AH9574" s="2" t="str">
        <f ca="1"/>
        <v>OK</v>
      </c>
    </row>
    <row r="9575" spans="2:34" x14ac:dyDescent="0.2">
      <c r="B9575" s="2">
        <f ca="1"/>
        <v>0.648471298648579</v>
      </c>
      <c r="O9575" s="2">
        <f ca="1"/>
        <v>0.32220826722213564</v>
      </c>
      <c r="X9575" s="2">
        <f ca="1"/>
        <v>53.32883311804639</v>
      </c>
      <c r="AG9575" s="2">
        <f ca="1"/>
        <v>0.9813622348128721</v>
      </c>
      <c r="AH9575" s="2" t="str">
        <f ca="1"/>
        <v>Bad</v>
      </c>
    </row>
    <row r="9576" spans="2:34" x14ac:dyDescent="0.2">
      <c r="B9576" s="2">
        <f ca="1"/>
        <v>0.14751057385676414</v>
      </c>
      <c r="O9576" s="2">
        <f ca="1"/>
        <v>-0.68305284988285841</v>
      </c>
      <c r="X9576" s="2">
        <f ca="1"/>
        <v>40.597651576536265</v>
      </c>
      <c r="AG9576" s="2">
        <f ca="1"/>
        <v>0.75393126749963435</v>
      </c>
      <c r="AH9576" s="2" t="str">
        <f ca="1"/>
        <v>Bad</v>
      </c>
    </row>
    <row r="9577" spans="2:34" x14ac:dyDescent="0.2">
      <c r="B9577" s="2">
        <f ca="1"/>
        <v>0.99836052084371807</v>
      </c>
      <c r="O9577" s="2">
        <f ca="1"/>
        <v>6.2914156207261138E-2</v>
      </c>
      <c r="X9577" s="2">
        <f ca="1"/>
        <v>49.105836498827799</v>
      </c>
      <c r="AG9577" s="2">
        <f ca="1"/>
        <v>0.33561276847505606</v>
      </c>
      <c r="AH9577" s="2" t="str">
        <f ca="1"/>
        <v>OK</v>
      </c>
    </row>
    <row r="9578" spans="2:34" x14ac:dyDescent="0.2">
      <c r="B9578" s="2">
        <f ca="1"/>
        <v>0.63657093786979635</v>
      </c>
      <c r="O9578" s="2">
        <f ca="1"/>
        <v>-0.22084209308260477</v>
      </c>
      <c r="X9578" s="2">
        <f ca="1"/>
        <v>74.503042369408305</v>
      </c>
      <c r="AG9578" s="2">
        <f ca="1"/>
        <v>0.11622578207418255</v>
      </c>
      <c r="AH9578" s="2" t="str">
        <f ca="1"/>
        <v>OK</v>
      </c>
    </row>
    <row r="9579" spans="2:34" x14ac:dyDescent="0.2">
      <c r="B9579" s="2">
        <f ca="1"/>
        <v>0.3708207706776967</v>
      </c>
      <c r="O9579" s="2">
        <f ca="1"/>
        <v>1.7516237932442416</v>
      </c>
      <c r="X9579" s="2">
        <f ca="1"/>
        <v>82.702986968760399</v>
      </c>
      <c r="AG9579" s="2">
        <f ca="1"/>
        <v>6.192928864077607E-2</v>
      </c>
      <c r="AH9579" s="2" t="str">
        <f ca="1"/>
        <v>OK</v>
      </c>
    </row>
    <row r="9580" spans="2:34" x14ac:dyDescent="0.2">
      <c r="B9580" s="2">
        <f ca="1"/>
        <v>0.85153654574832038</v>
      </c>
      <c r="O9580" s="2">
        <f ca="1"/>
        <v>-1.3874065065583645</v>
      </c>
      <c r="X9580" s="2">
        <f ca="1"/>
        <v>49.520257280043737</v>
      </c>
      <c r="AG9580" s="2">
        <f ca="1"/>
        <v>0.76642982925722469</v>
      </c>
      <c r="AH9580" s="2" t="str">
        <f ca="1"/>
        <v>Bad</v>
      </c>
    </row>
    <row r="9581" spans="2:34" x14ac:dyDescent="0.2">
      <c r="B9581" s="2">
        <f ca="1"/>
        <v>0.25589608182410228</v>
      </c>
      <c r="O9581" s="2">
        <f ca="1"/>
        <v>0.25895277193122695</v>
      </c>
      <c r="X9581" s="2">
        <f ca="1"/>
        <v>53.064129587722384</v>
      </c>
      <c r="AG9581" s="2">
        <f ca="1"/>
        <v>0.74507261663578017</v>
      </c>
      <c r="AH9581" s="2" t="str">
        <f ca="1"/>
        <v>Bad</v>
      </c>
    </row>
    <row r="9582" spans="2:34" x14ac:dyDescent="0.2">
      <c r="B9582" s="2">
        <f ca="1"/>
        <v>0.51784609395802716</v>
      </c>
      <c r="O9582" s="2">
        <f ca="1"/>
        <v>-0.66060168011825071</v>
      </c>
      <c r="X9582" s="2">
        <f ca="1"/>
        <v>59.428164122098288</v>
      </c>
      <c r="AG9582" s="2">
        <f ca="1"/>
        <v>0.61023044118335701</v>
      </c>
      <c r="AH9582" s="2" t="str">
        <f ca="1"/>
        <v>Bad</v>
      </c>
    </row>
    <row r="9583" spans="2:34" x14ac:dyDescent="0.2">
      <c r="B9583" s="2">
        <f ca="1"/>
        <v>0.27187229944848235</v>
      </c>
      <c r="O9583" s="2">
        <f ca="1"/>
        <v>-0.84391346594475714</v>
      </c>
      <c r="X9583" s="2">
        <f ca="1"/>
        <v>59.19290013487749</v>
      </c>
      <c r="AG9583" s="2">
        <f ca="1"/>
        <v>0.5909065212165594</v>
      </c>
      <c r="AH9583" s="2" t="str">
        <f ca="1"/>
        <v>Bad</v>
      </c>
    </row>
    <row r="9584" spans="2:34" x14ac:dyDescent="0.2">
      <c r="B9584" s="2">
        <f ca="1"/>
        <v>0.14756195156989538</v>
      </c>
      <c r="O9584" s="2">
        <f ca="1"/>
        <v>0.78851191000240861</v>
      </c>
      <c r="X9584" s="2">
        <f ca="1"/>
        <v>69.412485990722686</v>
      </c>
      <c r="AG9584" s="2">
        <f ca="1"/>
        <v>0.15397854118109522</v>
      </c>
      <c r="AH9584" s="2" t="str">
        <f ca="1"/>
        <v>OK</v>
      </c>
    </row>
    <row r="9585" spans="2:34" x14ac:dyDescent="0.2">
      <c r="B9585" s="2">
        <f ca="1"/>
        <v>0.54098228293536899</v>
      </c>
      <c r="O9585" s="2">
        <f ca="1"/>
        <v>-0.72639305019835143</v>
      </c>
      <c r="X9585" s="2">
        <f ca="1"/>
        <v>52.260745645952511</v>
      </c>
      <c r="AG9585" s="2">
        <f ca="1"/>
        <v>0.3073991824540987</v>
      </c>
      <c r="AH9585" s="2" t="str">
        <f ca="1"/>
        <v>OK</v>
      </c>
    </row>
    <row r="9586" spans="2:34" x14ac:dyDescent="0.2">
      <c r="B9586" s="2">
        <f ca="1"/>
        <v>0.66141764874795062</v>
      </c>
      <c r="O9586" s="2">
        <f ca="1"/>
        <v>0.21367257453958199</v>
      </c>
      <c r="X9586" s="2">
        <f ca="1"/>
        <v>48.387157777934249</v>
      </c>
      <c r="AG9586" s="2">
        <f ca="1"/>
        <v>0.63028926610161995</v>
      </c>
      <c r="AH9586" s="2" t="str">
        <f ca="1"/>
        <v>Bad</v>
      </c>
    </row>
    <row r="9587" spans="2:34" x14ac:dyDescent="0.2">
      <c r="B9587" s="2">
        <f ca="1"/>
        <v>0.60914561004155243</v>
      </c>
      <c r="O9587" s="2">
        <f ca="1"/>
        <v>-8.6671721756405792E-2</v>
      </c>
      <c r="X9587" s="2">
        <f ca="1"/>
        <v>52.216266627734235</v>
      </c>
      <c r="AG9587" s="2">
        <f ca="1"/>
        <v>0.77948418902016714</v>
      </c>
      <c r="AH9587" s="2" t="str">
        <f ca="1"/>
        <v>Bad</v>
      </c>
    </row>
    <row r="9588" spans="2:34" x14ac:dyDescent="0.2">
      <c r="B9588" s="2">
        <f ca="1"/>
        <v>0.23265168952749371</v>
      </c>
      <c r="O9588" s="2">
        <f ca="1"/>
        <v>-0.51308360383361318</v>
      </c>
      <c r="X9588" s="2">
        <f ca="1"/>
        <v>53.182226527329775</v>
      </c>
      <c r="AG9588" s="2">
        <f ca="1"/>
        <v>0.35972543496086495</v>
      </c>
      <c r="AH9588" s="2" t="str">
        <f ca="1"/>
        <v>OK</v>
      </c>
    </row>
    <row r="9589" spans="2:34" x14ac:dyDescent="0.2">
      <c r="B9589" s="2">
        <f ca="1"/>
        <v>0.83333596133895349</v>
      </c>
      <c r="O9589" s="2">
        <f ca="1"/>
        <v>1.3256444675172121</v>
      </c>
      <c r="X9589" s="2">
        <f ca="1"/>
        <v>22.175936682775284</v>
      </c>
      <c r="AG9589" s="2">
        <f ca="1"/>
        <v>0.15139651047967195</v>
      </c>
      <c r="AH9589" s="2" t="str">
        <f ca="1"/>
        <v>OK</v>
      </c>
    </row>
    <row r="9590" spans="2:34" x14ac:dyDescent="0.2">
      <c r="B9590" s="2">
        <f ca="1"/>
        <v>0.45323349869405516</v>
      </c>
      <c r="O9590" s="2">
        <f ca="1"/>
        <v>0.59670042519322097</v>
      </c>
      <c r="X9590" s="2">
        <f ca="1"/>
        <v>29.035443740102025</v>
      </c>
      <c r="AG9590" s="2">
        <f ca="1"/>
        <v>0.31520457466953578</v>
      </c>
      <c r="AH9590" s="2" t="str">
        <f ca="1"/>
        <v>OK</v>
      </c>
    </row>
    <row r="9591" spans="2:34" x14ac:dyDescent="0.2">
      <c r="B9591" s="2">
        <f ca="1"/>
        <v>0.4702567039277461</v>
      </c>
      <c r="O9591" s="2">
        <f ca="1"/>
        <v>-0.59483229479282251</v>
      </c>
      <c r="X9591" s="2">
        <f ca="1"/>
        <v>76.243212070673749</v>
      </c>
      <c r="AG9591" s="2">
        <f ca="1"/>
        <v>0.38462912505076852</v>
      </c>
      <c r="AH9591" s="2" t="str">
        <f ca="1"/>
        <v>OK</v>
      </c>
    </row>
    <row r="9592" spans="2:34" x14ac:dyDescent="0.2">
      <c r="B9592" s="2">
        <f ca="1"/>
        <v>0.51804026095626132</v>
      </c>
      <c r="O9592" s="2">
        <f ca="1"/>
        <v>1.6231995161058788</v>
      </c>
      <c r="X9592" s="2">
        <f ca="1"/>
        <v>39.054362687065165</v>
      </c>
      <c r="AG9592" s="2">
        <f ca="1"/>
        <v>0.63668728662686602</v>
      </c>
      <c r="AH9592" s="2" t="str">
        <f ca="1"/>
        <v>Bad</v>
      </c>
    </row>
    <row r="9593" spans="2:34" x14ac:dyDescent="0.2">
      <c r="B9593" s="2">
        <f ca="1"/>
        <v>0.82998022184714371</v>
      </c>
      <c r="O9593" s="2">
        <f ca="1"/>
        <v>0.69527724032462201</v>
      </c>
      <c r="X9593" s="2">
        <f ca="1"/>
        <v>43.041428431466883</v>
      </c>
      <c r="AG9593" s="2">
        <f ca="1"/>
        <v>0.39136148950904026</v>
      </c>
      <c r="AH9593" s="2" t="str">
        <f ca="1"/>
        <v>OK</v>
      </c>
    </row>
    <row r="9594" spans="2:34" x14ac:dyDescent="0.2">
      <c r="B9594" s="2">
        <f ca="1"/>
        <v>0.64847231435240671</v>
      </c>
      <c r="O9594" s="2">
        <f ca="1"/>
        <v>0.7068081687640736</v>
      </c>
      <c r="X9594" s="2">
        <f ca="1"/>
        <v>27.473835637738347</v>
      </c>
      <c r="AG9594" s="2">
        <f ca="1"/>
        <v>0.43236560703175497</v>
      </c>
      <c r="AH9594" s="2" t="str">
        <f ca="1"/>
        <v>Bad</v>
      </c>
    </row>
    <row r="9595" spans="2:34" x14ac:dyDescent="0.2">
      <c r="B9595" s="2">
        <f ca="1"/>
        <v>0.42492248753597051</v>
      </c>
      <c r="O9595" s="2">
        <f ca="1"/>
        <v>-0.63533464788820404</v>
      </c>
      <c r="X9595" s="2">
        <f ca="1"/>
        <v>56.047974453726432</v>
      </c>
      <c r="AG9595" s="2">
        <f ca="1"/>
        <v>0.49336571436424714</v>
      </c>
      <c r="AH9595" s="2" t="str">
        <f ca="1"/>
        <v>Bad</v>
      </c>
    </row>
    <row r="9596" spans="2:34" x14ac:dyDescent="0.2">
      <c r="B9596" s="2">
        <f ca="1"/>
        <v>0.35482468029949543</v>
      </c>
      <c r="O9596" s="2">
        <f ca="1"/>
        <v>0.54296246673033211</v>
      </c>
      <c r="X9596" s="2">
        <f ca="1"/>
        <v>49.085968936130378</v>
      </c>
      <c r="AG9596" s="2">
        <f ca="1"/>
        <v>0.31718245626446118</v>
      </c>
      <c r="AH9596" s="2" t="str">
        <f ca="1"/>
        <v>OK</v>
      </c>
    </row>
    <row r="9597" spans="2:34" x14ac:dyDescent="0.2">
      <c r="B9597" s="2">
        <f ca="1"/>
        <v>0.79541935210088277</v>
      </c>
      <c r="O9597" s="2">
        <f ca="1"/>
        <v>1.3956555507898716</v>
      </c>
      <c r="X9597" s="2">
        <f ca="1"/>
        <v>36.06793043187627</v>
      </c>
      <c r="AG9597" s="2">
        <f ca="1"/>
        <v>0.59421273935103014</v>
      </c>
      <c r="AH9597" s="2" t="str">
        <f ca="1"/>
        <v>Bad</v>
      </c>
    </row>
    <row r="9598" spans="2:34" x14ac:dyDescent="0.2">
      <c r="B9598" s="2">
        <f ca="1"/>
        <v>0.41099057200730282</v>
      </c>
      <c r="O9598" s="2">
        <f ca="1"/>
        <v>0.7238055496331034</v>
      </c>
      <c r="X9598" s="2">
        <f ca="1"/>
        <v>56.365350974424011</v>
      </c>
      <c r="AG9598" s="2">
        <f ca="1"/>
        <v>0.48702334188523344</v>
      </c>
      <c r="AH9598" s="2" t="str">
        <f ca="1"/>
        <v>Bad</v>
      </c>
    </row>
    <row r="9599" spans="2:34" x14ac:dyDescent="0.2">
      <c r="B9599" s="2">
        <f ca="1"/>
        <v>0.30250101139252816</v>
      </c>
      <c r="O9599" s="2">
        <f ca="1"/>
        <v>0.81534318354620261</v>
      </c>
      <c r="X9599" s="2">
        <f ca="1"/>
        <v>43.517827910501062</v>
      </c>
      <c r="AG9599" s="2">
        <f ca="1"/>
        <v>7.987717617255008E-2</v>
      </c>
      <c r="AH9599" s="2" t="str">
        <f ca="1"/>
        <v>OK</v>
      </c>
    </row>
    <row r="9600" spans="2:34" x14ac:dyDescent="0.2">
      <c r="B9600" s="2">
        <f ca="1"/>
        <v>0.9179305800928228</v>
      </c>
      <c r="O9600" s="2">
        <f ca="1"/>
        <v>-0.42358413775818066</v>
      </c>
      <c r="X9600" s="2">
        <f ca="1"/>
        <v>43.996905203630007</v>
      </c>
      <c r="AG9600" s="2">
        <f ca="1"/>
        <v>0.3054623354954682</v>
      </c>
      <c r="AH9600" s="2" t="str">
        <f ca="1"/>
        <v>OK</v>
      </c>
    </row>
    <row r="9601" spans="2:34" x14ac:dyDescent="0.2">
      <c r="B9601" s="2">
        <f ca="1"/>
        <v>0.52028128079877312</v>
      </c>
      <c r="O9601" s="2">
        <f ca="1"/>
        <v>-1.4367026334308151</v>
      </c>
      <c r="X9601" s="2">
        <f ca="1"/>
        <v>47.20904957595156</v>
      </c>
      <c r="AG9601" s="2">
        <f ca="1"/>
        <v>0.51335907550640614</v>
      </c>
      <c r="AH9601" s="2" t="str">
        <f ca="1"/>
        <v>Bad</v>
      </c>
    </row>
    <row r="9602" spans="2:34" x14ac:dyDescent="0.2">
      <c r="B9602" s="2">
        <f ca="1"/>
        <v>0.69784320268602995</v>
      </c>
      <c r="O9602" s="2">
        <f ca="1"/>
        <v>-0.19354810227352182</v>
      </c>
      <c r="X9602" s="2">
        <f ca="1"/>
        <v>66.809590431523546</v>
      </c>
      <c r="AG9602" s="2">
        <f ca="1"/>
        <v>1.7559180277260777E-2</v>
      </c>
      <c r="AH9602" s="2" t="str">
        <f ca="1"/>
        <v>Good</v>
      </c>
    </row>
    <row r="9603" spans="2:34" x14ac:dyDescent="0.2">
      <c r="B9603" s="2">
        <f ca="1"/>
        <v>0.54854874885883409</v>
      </c>
      <c r="O9603" s="2">
        <f ca="1"/>
        <v>0.65816064103979377</v>
      </c>
      <c r="X9603" s="2">
        <f ca="1"/>
        <v>57.336995256791859</v>
      </c>
      <c r="AG9603" s="2">
        <f ca="1"/>
        <v>0.48534045679880378</v>
      </c>
      <c r="AH9603" s="2" t="str">
        <f ca="1"/>
        <v>Bad</v>
      </c>
    </row>
    <row r="9604" spans="2:34" x14ac:dyDescent="0.2">
      <c r="B9604" s="2">
        <f ca="1"/>
        <v>0.79476492238961449</v>
      </c>
      <c r="O9604" s="2">
        <f ca="1"/>
        <v>-2.200966225125375</v>
      </c>
      <c r="X9604" s="2">
        <f ca="1"/>
        <v>46.868155113396682</v>
      </c>
      <c r="AG9604" s="2">
        <f ca="1"/>
        <v>0.32588372783957098</v>
      </c>
      <c r="AH9604" s="2" t="str">
        <f ca="1"/>
        <v>OK</v>
      </c>
    </row>
    <row r="9605" spans="2:34" x14ac:dyDescent="0.2">
      <c r="B9605" s="2">
        <f ca="1"/>
        <v>0.71630757737000406</v>
      </c>
      <c r="O9605" s="2">
        <f ca="1"/>
        <v>-9.5888853235510149E-2</v>
      </c>
      <c r="X9605" s="2">
        <f ca="1"/>
        <v>72.608004235980999</v>
      </c>
      <c r="AG9605" s="2">
        <f ca="1"/>
        <v>2.3029498548201577E-2</v>
      </c>
      <c r="AH9605" s="2" t="str">
        <f ca="1"/>
        <v>Good</v>
      </c>
    </row>
    <row r="9606" spans="2:34" x14ac:dyDescent="0.2">
      <c r="B9606" s="2">
        <f ca="1"/>
        <v>0.61017104496776686</v>
      </c>
      <c r="O9606" s="2">
        <f ca="1"/>
        <v>-0.66173521175726147</v>
      </c>
      <c r="X9606" s="2">
        <f ca="1"/>
        <v>32.092532175707198</v>
      </c>
      <c r="AG9606" s="2">
        <f ca="1"/>
        <v>0.88502272329353482</v>
      </c>
      <c r="AH9606" s="2" t="str">
        <f ca="1"/>
        <v>Bad</v>
      </c>
    </row>
    <row r="9607" spans="2:34" x14ac:dyDescent="0.2">
      <c r="B9607" s="2">
        <f ca="1"/>
        <v>0.28689245688832554</v>
      </c>
      <c r="O9607" s="2">
        <f ca="1"/>
        <v>0.8844669750123797</v>
      </c>
      <c r="X9607" s="2">
        <f ca="1"/>
        <v>54.096566645062254</v>
      </c>
      <c r="AG9607" s="2">
        <f ca="1"/>
        <v>0.54267645528497255</v>
      </c>
      <c r="AH9607" s="2" t="str">
        <f ca="1"/>
        <v>Bad</v>
      </c>
    </row>
    <row r="9608" spans="2:34" x14ac:dyDescent="0.2">
      <c r="B9608" s="2">
        <f ca="1"/>
        <v>0.68121602165654438</v>
      </c>
      <c r="O9608" s="2">
        <f ca="1"/>
        <v>-0.38867886959235404</v>
      </c>
      <c r="X9608" s="2">
        <f ca="1"/>
        <v>43.544780094777991</v>
      </c>
      <c r="AG9608" s="2">
        <f ca="1"/>
        <v>0.73720519385340788</v>
      </c>
      <c r="AH9608" s="2" t="str">
        <f ca="1"/>
        <v>Bad</v>
      </c>
    </row>
    <row r="9609" spans="2:34" x14ac:dyDescent="0.2">
      <c r="B9609" s="2">
        <f ca="1"/>
        <v>0.42290487419907929</v>
      </c>
      <c r="O9609" s="2">
        <f ca="1"/>
        <v>0.33303886806257466</v>
      </c>
      <c r="X9609" s="2">
        <f ca="1"/>
        <v>75.902611463629086</v>
      </c>
      <c r="AG9609" s="2">
        <f ca="1"/>
        <v>0.3811795137352052</v>
      </c>
      <c r="AH9609" s="2" t="str">
        <f ca="1"/>
        <v>OK</v>
      </c>
    </row>
    <row r="9610" spans="2:34" x14ac:dyDescent="0.2">
      <c r="B9610" s="2">
        <f ca="1"/>
        <v>0.2057240706387804</v>
      </c>
      <c r="O9610" s="2">
        <f ca="1"/>
        <v>-1.2709318995911787</v>
      </c>
      <c r="X9610" s="2">
        <f ca="1"/>
        <v>36.742603992508819</v>
      </c>
      <c r="AG9610" s="2">
        <f ca="1"/>
        <v>0.55097663378165396</v>
      </c>
      <c r="AH9610" s="2" t="str">
        <f ca="1"/>
        <v>Bad</v>
      </c>
    </row>
    <row r="9611" spans="2:34" x14ac:dyDescent="0.2">
      <c r="B9611" s="2">
        <f ca="1"/>
        <v>4.0435573776331113E-2</v>
      </c>
      <c r="O9611" s="2">
        <f ca="1"/>
        <v>0.98543385880039336</v>
      </c>
      <c r="X9611" s="2">
        <f ca="1"/>
        <v>50.303539444538444</v>
      </c>
      <c r="AG9611" s="2">
        <f ca="1"/>
        <v>0.17520734999569521</v>
      </c>
      <c r="AH9611" s="2" t="str">
        <f ca="1"/>
        <v>OK</v>
      </c>
    </row>
    <row r="9612" spans="2:34" x14ac:dyDescent="0.2">
      <c r="B9612" s="2">
        <f ca="1"/>
        <v>0.56807646654188848</v>
      </c>
      <c r="O9612" s="2">
        <f ca="1"/>
        <v>0.7559997801894579</v>
      </c>
      <c r="X9612" s="2">
        <f ca="1"/>
        <v>60.36913407618303</v>
      </c>
      <c r="AG9612" s="2">
        <f ca="1"/>
        <v>2.5554887497518219E-2</v>
      </c>
      <c r="AH9612" s="2" t="str">
        <f ca="1"/>
        <v>Good</v>
      </c>
    </row>
    <row r="9613" spans="2:34" x14ac:dyDescent="0.2">
      <c r="B9613" s="2">
        <f ca="1"/>
        <v>0.25104416631242432</v>
      </c>
      <c r="O9613" s="2">
        <f ca="1"/>
        <v>0.53455931837321069</v>
      </c>
      <c r="X9613" s="2">
        <f ca="1"/>
        <v>49.339625423056511</v>
      </c>
      <c r="AG9613" s="2">
        <f ca="1"/>
        <v>0.46215888640180958</v>
      </c>
      <c r="AH9613" s="2" t="str">
        <f ca="1"/>
        <v>Bad</v>
      </c>
    </row>
    <row r="9614" spans="2:34" x14ac:dyDescent="0.2">
      <c r="B9614" s="2">
        <f ca="1"/>
        <v>0.11934269129195729</v>
      </c>
      <c r="O9614" s="2">
        <f ca="1"/>
        <v>-0.19702500013070642</v>
      </c>
      <c r="X9614" s="2">
        <f ca="1"/>
        <v>31.777942861142868</v>
      </c>
      <c r="AG9614" s="2">
        <f ca="1"/>
        <v>0.6966067215729872</v>
      </c>
      <c r="AH9614" s="2" t="str">
        <f ca="1"/>
        <v>Bad</v>
      </c>
    </row>
    <row r="9615" spans="2:34" x14ac:dyDescent="0.2">
      <c r="B9615" s="2">
        <f ca="1"/>
        <v>0.25616880747244353</v>
      </c>
      <c r="O9615" s="2">
        <f ca="1"/>
        <v>-0.75821836949935062</v>
      </c>
      <c r="X9615" s="2">
        <f ca="1"/>
        <v>67.253894406397777</v>
      </c>
      <c r="AG9615" s="2">
        <f ca="1"/>
        <v>5.3987095520229511E-2</v>
      </c>
      <c r="AH9615" s="2" t="str">
        <f ca="1"/>
        <v>OK</v>
      </c>
    </row>
    <row r="9616" spans="2:34" x14ac:dyDescent="0.2">
      <c r="B9616" s="2">
        <f ca="1"/>
        <v>4.3588613652377317E-2</v>
      </c>
      <c r="O9616" s="2">
        <f ca="1"/>
        <v>-0.94140657208577738</v>
      </c>
      <c r="X9616" s="2">
        <f ca="1"/>
        <v>69.260716294477973</v>
      </c>
      <c r="AG9616" s="2">
        <f ca="1"/>
        <v>0.72122872415200656</v>
      </c>
      <c r="AH9616" s="2" t="str">
        <f ca="1"/>
        <v>Bad</v>
      </c>
    </row>
    <row r="9617" spans="2:34" x14ac:dyDescent="0.2">
      <c r="B9617" s="2">
        <f ca="1"/>
        <v>2.9788363822755182E-2</v>
      </c>
      <c r="O9617" s="2">
        <f ca="1"/>
        <v>1.9231969641714801</v>
      </c>
      <c r="X9617" s="2">
        <f ca="1"/>
        <v>18.308854829873951</v>
      </c>
      <c r="AG9617" s="2">
        <f ca="1"/>
        <v>0.50849687259696741</v>
      </c>
      <c r="AH9617" s="2" t="str">
        <f ca="1"/>
        <v>Bad</v>
      </c>
    </row>
    <row r="9618" spans="2:34" x14ac:dyDescent="0.2">
      <c r="B9618" s="2">
        <f ca="1"/>
        <v>0.49263127120405148</v>
      </c>
      <c r="O9618" s="2">
        <f ca="1"/>
        <v>1.5244655811174719</v>
      </c>
      <c r="X9618" s="2">
        <f ca="1"/>
        <v>52.271811264577238</v>
      </c>
      <c r="AG9618" s="2">
        <f ca="1"/>
        <v>0.64814098376098062</v>
      </c>
      <c r="AH9618" s="2" t="str">
        <f ca="1"/>
        <v>Bad</v>
      </c>
    </row>
    <row r="9619" spans="2:34" x14ac:dyDescent="0.2">
      <c r="B9619" s="2">
        <f ca="1"/>
        <v>0.24340566646045536</v>
      </c>
      <c r="O9619" s="2">
        <f ca="1"/>
        <v>1.6516107405500162</v>
      </c>
      <c r="X9619" s="2">
        <f ca="1"/>
        <v>41.52986973416543</v>
      </c>
      <c r="AG9619" s="2">
        <f ca="1"/>
        <v>0.47880827079496036</v>
      </c>
      <c r="AH9619" s="2" t="str">
        <f ca="1"/>
        <v>Bad</v>
      </c>
    </row>
    <row r="9620" spans="2:34" x14ac:dyDescent="0.2">
      <c r="B9620" s="2">
        <f ca="1"/>
        <v>0.78837925051236035</v>
      </c>
      <c r="O9620" s="2">
        <f ca="1"/>
        <v>0.6110825762492349</v>
      </c>
      <c r="X9620" s="2">
        <f ca="1"/>
        <v>45.609195708262476</v>
      </c>
      <c r="AG9620" s="2">
        <f ca="1"/>
        <v>0.34109019029749965</v>
      </c>
      <c r="AH9620" s="2" t="str">
        <f ca="1"/>
        <v>OK</v>
      </c>
    </row>
    <row r="9621" spans="2:34" x14ac:dyDescent="0.2">
      <c r="B9621" s="2">
        <f ca="1"/>
        <v>0.36683712604393826</v>
      </c>
      <c r="O9621" s="2">
        <f ca="1"/>
        <v>-0.34270764729219122</v>
      </c>
      <c r="X9621" s="2">
        <f ca="1"/>
        <v>50.167895081565902</v>
      </c>
      <c r="AG9621" s="2">
        <f ca="1"/>
        <v>0.11341588972728678</v>
      </c>
      <c r="AH9621" s="2" t="str">
        <f ca="1"/>
        <v>OK</v>
      </c>
    </row>
    <row r="9622" spans="2:34" x14ac:dyDescent="0.2">
      <c r="B9622" s="2">
        <f ca="1"/>
        <v>0.66473359810493116</v>
      </c>
      <c r="O9622" s="2">
        <f ca="1"/>
        <v>0.18729384486843489</v>
      </c>
      <c r="X9622" s="2">
        <f ca="1"/>
        <v>55.151284185813587</v>
      </c>
      <c r="AG9622" s="2">
        <f ca="1"/>
        <v>0.29912712253190077</v>
      </c>
      <c r="AH9622" s="2" t="str">
        <f ca="1"/>
        <v>OK</v>
      </c>
    </row>
    <row r="9623" spans="2:34" x14ac:dyDescent="0.2">
      <c r="B9623" s="2">
        <f ca="1"/>
        <v>0.78744228610516998</v>
      </c>
      <c r="O9623" s="2">
        <f ca="1"/>
        <v>-0.17157313640880498</v>
      </c>
      <c r="X9623" s="2">
        <f ca="1"/>
        <v>44.579710089926081</v>
      </c>
      <c r="AG9623" s="2">
        <f ca="1"/>
        <v>0.45449553369438522</v>
      </c>
      <c r="AH9623" s="2" t="str">
        <f ca="1"/>
        <v>Bad</v>
      </c>
    </row>
    <row r="9624" spans="2:34" x14ac:dyDescent="0.2">
      <c r="B9624" s="2">
        <f ca="1"/>
        <v>0.3330506537734772</v>
      </c>
      <c r="O9624" s="2">
        <f ca="1"/>
        <v>1.1237184675810123</v>
      </c>
      <c r="X9624" s="2">
        <f ca="1"/>
        <v>48.899868393419233</v>
      </c>
      <c r="AG9624" s="2">
        <f ca="1"/>
        <v>0.30572339052877795</v>
      </c>
      <c r="AH9624" s="2" t="str">
        <f ca="1"/>
        <v>OK</v>
      </c>
    </row>
    <row r="9625" spans="2:34" x14ac:dyDescent="0.2">
      <c r="B9625" s="2">
        <f ca="1"/>
        <v>0.58484609644370344</v>
      </c>
      <c r="O9625" s="2">
        <f ca="1"/>
        <v>-6.9163324775475793E-2</v>
      </c>
      <c r="X9625" s="2">
        <f ca="1"/>
        <v>41.854323923193192</v>
      </c>
      <c r="AG9625" s="2">
        <f ca="1"/>
        <v>0.12066998188221034</v>
      </c>
      <c r="AH9625" s="2" t="str">
        <f ca="1"/>
        <v>OK</v>
      </c>
    </row>
    <row r="9626" spans="2:34" x14ac:dyDescent="0.2">
      <c r="B9626" s="2">
        <f ca="1"/>
        <v>0.99410781587277586</v>
      </c>
      <c r="O9626" s="2">
        <f ca="1"/>
        <v>1.3227769833898402</v>
      </c>
      <c r="X9626" s="2">
        <f ca="1"/>
        <v>23.641784278313402</v>
      </c>
      <c r="AG9626" s="2">
        <f ca="1"/>
        <v>0.72517924620651519</v>
      </c>
      <c r="AH9626" s="2" t="str">
        <f ca="1"/>
        <v>Bad</v>
      </c>
    </row>
    <row r="9627" spans="2:34" x14ac:dyDescent="0.2">
      <c r="B9627" s="2">
        <f ca="1"/>
        <v>0.28703859694473421</v>
      </c>
      <c r="O9627" s="2">
        <f ca="1"/>
        <v>0.43841888445696559</v>
      </c>
      <c r="X9627" s="2">
        <f ca="1"/>
        <v>60.751230596934107</v>
      </c>
      <c r="AG9627" s="2">
        <f ca="1"/>
        <v>5.599200787682812E-2</v>
      </c>
      <c r="AH9627" s="2" t="str">
        <f ca="1"/>
        <v>OK</v>
      </c>
    </row>
    <row r="9628" spans="2:34" x14ac:dyDescent="0.2">
      <c r="B9628" s="2">
        <f ca="1"/>
        <v>0.1232452519320193</v>
      </c>
      <c r="O9628" s="2">
        <f ca="1"/>
        <v>-0.60322998389616012</v>
      </c>
      <c r="X9628" s="2">
        <f ca="1"/>
        <v>69.630217248718097</v>
      </c>
      <c r="AG9628" s="2">
        <f ca="1"/>
        <v>0.28138505888491627</v>
      </c>
      <c r="AH9628" s="2" t="str">
        <f ca="1"/>
        <v>OK</v>
      </c>
    </row>
    <row r="9629" spans="2:34" x14ac:dyDescent="0.2">
      <c r="B9629" s="2">
        <f ca="1"/>
        <v>0.97836663136598268</v>
      </c>
      <c r="O9629" s="2">
        <f ca="1"/>
        <v>-5.150155937621341E-2</v>
      </c>
      <c r="X9629" s="2">
        <f ca="1"/>
        <v>13.049213991385361</v>
      </c>
      <c r="AG9629" s="2">
        <f ca="1"/>
        <v>0.36393294978091117</v>
      </c>
      <c r="AH9629" s="2" t="str">
        <f ca="1"/>
        <v>OK</v>
      </c>
    </row>
    <row r="9630" spans="2:34" x14ac:dyDescent="0.2">
      <c r="B9630" s="2">
        <f ca="1"/>
        <v>0.84240916547628553</v>
      </c>
      <c r="O9630" s="2">
        <f ca="1"/>
        <v>1.3451969466163149</v>
      </c>
      <c r="X9630" s="2">
        <f ca="1"/>
        <v>66.586703287296373</v>
      </c>
      <c r="AG9630" s="2">
        <f ca="1"/>
        <v>0.32078995236156227</v>
      </c>
      <c r="AH9630" s="2" t="str">
        <f ca="1"/>
        <v>OK</v>
      </c>
    </row>
    <row r="9631" spans="2:34" x14ac:dyDescent="0.2">
      <c r="B9631" s="2">
        <f ca="1"/>
        <v>0.23551756282657532</v>
      </c>
      <c r="O9631" s="2">
        <f ca="1"/>
        <v>-0.49722051827864805</v>
      </c>
      <c r="X9631" s="2">
        <f ca="1"/>
        <v>32.551140938116134</v>
      </c>
      <c r="AG9631" s="2">
        <f ca="1"/>
        <v>0.58709917435095171</v>
      </c>
      <c r="AH9631" s="2" t="str">
        <f ca="1"/>
        <v>Bad</v>
      </c>
    </row>
    <row r="9632" spans="2:34" x14ac:dyDescent="0.2">
      <c r="B9632" s="2">
        <f ca="1"/>
        <v>0.48125878206119244</v>
      </c>
      <c r="O9632" s="2">
        <f ca="1"/>
        <v>-1.4357350305385064</v>
      </c>
      <c r="X9632" s="2">
        <f ca="1"/>
        <v>30.818178407928393</v>
      </c>
      <c r="AG9632" s="2">
        <f ca="1"/>
        <v>0.95612914088723189</v>
      </c>
      <c r="AH9632" s="2" t="str">
        <f ca="1"/>
        <v>Bad</v>
      </c>
    </row>
    <row r="9633" spans="2:34" x14ac:dyDescent="0.2">
      <c r="B9633" s="2">
        <f ca="1"/>
        <v>0.587586745519737</v>
      </c>
      <c r="O9633" s="2">
        <f ca="1"/>
        <v>-0.15611041654852589</v>
      </c>
      <c r="X9633" s="2">
        <f ca="1"/>
        <v>47.614441794813303</v>
      </c>
      <c r="AG9633" s="2">
        <f ca="1"/>
        <v>0.36660272632930035</v>
      </c>
      <c r="AH9633" s="2" t="str">
        <f ca="1"/>
        <v>OK</v>
      </c>
    </row>
    <row r="9634" spans="2:34" x14ac:dyDescent="0.2">
      <c r="B9634" s="2">
        <f ca="1"/>
        <v>0.54513492957469789</v>
      </c>
      <c r="O9634" s="2">
        <f ca="1"/>
        <v>0.36692906357983746</v>
      </c>
      <c r="X9634" s="2">
        <f ca="1"/>
        <v>47.946721017605036</v>
      </c>
      <c r="AG9634" s="2">
        <f ca="1"/>
        <v>0.82171121955137805</v>
      </c>
      <c r="AH9634" s="2" t="str">
        <f ca="1"/>
        <v>Bad</v>
      </c>
    </row>
    <row r="9635" spans="2:34" x14ac:dyDescent="0.2">
      <c r="B9635" s="2">
        <f ca="1"/>
        <v>0.15200005538262196</v>
      </c>
      <c r="O9635" s="2">
        <f ca="1"/>
        <v>-1.7919003679354033</v>
      </c>
      <c r="X9635" s="2">
        <f ca="1"/>
        <v>54.766269513312992</v>
      </c>
      <c r="AG9635" s="2">
        <f ca="1"/>
        <v>0.88264118010546455</v>
      </c>
      <c r="AH9635" s="2" t="str">
        <f ca="1"/>
        <v>Bad</v>
      </c>
    </row>
    <row r="9636" spans="2:34" x14ac:dyDescent="0.2">
      <c r="B9636" s="2">
        <f ca="1"/>
        <v>0.45365769298090219</v>
      </c>
      <c r="O9636" s="2">
        <f ca="1"/>
        <v>1.129530452743605</v>
      </c>
      <c r="X9636" s="2">
        <f ca="1"/>
        <v>68.945427145908511</v>
      </c>
      <c r="AG9636" s="2">
        <f ca="1"/>
        <v>0.64015973029862416</v>
      </c>
      <c r="AH9636" s="2" t="str">
        <f ca="1"/>
        <v>Bad</v>
      </c>
    </row>
    <row r="9637" spans="2:34" x14ac:dyDescent="0.2">
      <c r="B9637" s="2">
        <f ca="1"/>
        <v>3.6521526332452536E-2</v>
      </c>
      <c r="O9637" s="2">
        <f ca="1"/>
        <v>-2.4799133198458792E-2</v>
      </c>
      <c r="X9637" s="2">
        <f ca="1"/>
        <v>40.133446976816458</v>
      </c>
      <c r="AG9637" s="2">
        <f ca="1"/>
        <v>0.63866863975640009</v>
      </c>
      <c r="AH9637" s="2" t="str">
        <f ca="1"/>
        <v>Bad</v>
      </c>
    </row>
    <row r="9638" spans="2:34" x14ac:dyDescent="0.2">
      <c r="B9638" s="2">
        <f ca="1"/>
        <v>0.76265975853044288</v>
      </c>
      <c r="O9638" s="2">
        <f ca="1"/>
        <v>2.1157053280199216</v>
      </c>
      <c r="X9638" s="2">
        <f ca="1"/>
        <v>53.034481958913304</v>
      </c>
      <c r="AG9638" s="2">
        <f ca="1"/>
        <v>1.5287946452622547E-2</v>
      </c>
      <c r="AH9638" s="2" t="str">
        <f ca="1"/>
        <v>Good</v>
      </c>
    </row>
    <row r="9639" spans="2:34" x14ac:dyDescent="0.2">
      <c r="B9639" s="2">
        <f ca="1"/>
        <v>0.48401698035438323</v>
      </c>
      <c r="O9639" s="2">
        <f ca="1"/>
        <v>-0.35348188694792781</v>
      </c>
      <c r="X9639" s="2">
        <f ca="1"/>
        <v>45.423708349858927</v>
      </c>
      <c r="AG9639" s="2">
        <f ca="1"/>
        <v>0.64357641863956361</v>
      </c>
      <c r="AH9639" s="2" t="str">
        <f ca="1"/>
        <v>Bad</v>
      </c>
    </row>
    <row r="9640" spans="2:34" x14ac:dyDescent="0.2">
      <c r="B9640" s="2">
        <f ca="1"/>
        <v>0.83537516878906515</v>
      </c>
      <c r="O9640" s="2">
        <f ca="1"/>
        <v>-1.4593619321997799</v>
      </c>
      <c r="X9640" s="2">
        <f ca="1"/>
        <v>48.609924016867069</v>
      </c>
      <c r="AG9640" s="2">
        <f ca="1"/>
        <v>2.4638804946629955E-2</v>
      </c>
      <c r="AH9640" s="2" t="str">
        <f ca="1"/>
        <v>Good</v>
      </c>
    </row>
    <row r="9641" spans="2:34" x14ac:dyDescent="0.2">
      <c r="B9641" s="2">
        <f ca="1"/>
        <v>0.19477950025969659</v>
      </c>
      <c r="O9641" s="2">
        <f ca="1"/>
        <v>3.1500860025603282E-2</v>
      </c>
      <c r="X9641" s="2">
        <f ca="1"/>
        <v>35.356443541622511</v>
      </c>
      <c r="AG9641" s="2">
        <f ca="1"/>
        <v>0.99646007894003175</v>
      </c>
      <c r="AH9641" s="2" t="str">
        <f ca="1"/>
        <v>Bad</v>
      </c>
    </row>
    <row r="9642" spans="2:34" x14ac:dyDescent="0.2">
      <c r="B9642" s="2">
        <f ca="1"/>
        <v>0.28889718571525913</v>
      </c>
      <c r="O9642" s="2">
        <f ca="1"/>
        <v>-2.7387563409173632</v>
      </c>
      <c r="X9642" s="2">
        <f ca="1"/>
        <v>39.423837507694628</v>
      </c>
      <c r="AG9642" s="2">
        <f ca="1"/>
        <v>0.37586512471574784</v>
      </c>
      <c r="AH9642" s="2" t="str">
        <f ca="1"/>
        <v>OK</v>
      </c>
    </row>
    <row r="9643" spans="2:34" x14ac:dyDescent="0.2">
      <c r="B9643" s="2">
        <f ca="1"/>
        <v>0.98665098206187252</v>
      </c>
      <c r="O9643" s="2">
        <f ca="1"/>
        <v>0.21887456584440323</v>
      </c>
      <c r="X9643" s="2">
        <f ca="1"/>
        <v>27.843980611311938</v>
      </c>
      <c r="AG9643" s="2">
        <f ca="1"/>
        <v>0.27492154732882979</v>
      </c>
      <c r="AH9643" s="2" t="str">
        <f ca="1"/>
        <v>OK</v>
      </c>
    </row>
    <row r="9644" spans="2:34" x14ac:dyDescent="0.2">
      <c r="B9644" s="2">
        <f ca="1"/>
        <v>0.23156421042827913</v>
      </c>
      <c r="O9644" s="2">
        <f ca="1"/>
        <v>1.2851954304354425</v>
      </c>
      <c r="X9644" s="2">
        <f ca="1"/>
        <v>21.532174815282964</v>
      </c>
      <c r="AG9644" s="2">
        <f ca="1"/>
        <v>0.41565185174162922</v>
      </c>
      <c r="AH9644" s="2" t="str">
        <f ca="1"/>
        <v>Bad</v>
      </c>
    </row>
    <row r="9645" spans="2:34" x14ac:dyDescent="0.2">
      <c r="B9645" s="2">
        <f ca="1"/>
        <v>0.55671509292827026</v>
      </c>
      <c r="O9645" s="2">
        <f ca="1"/>
        <v>0.43570787662599403</v>
      </c>
      <c r="X9645" s="2">
        <f ca="1"/>
        <v>85.919360825558215</v>
      </c>
      <c r="AG9645" s="2">
        <f ca="1"/>
        <v>0.91257246802004355</v>
      </c>
      <c r="AH9645" s="2" t="str">
        <f ca="1"/>
        <v>Bad</v>
      </c>
    </row>
    <row r="9646" spans="2:34" x14ac:dyDescent="0.2">
      <c r="B9646" s="2">
        <f ca="1"/>
        <v>0.79931593120213185</v>
      </c>
      <c r="O9646" s="2">
        <f ca="1"/>
        <v>-0.5155782982277114</v>
      </c>
      <c r="X9646" s="2">
        <f ca="1"/>
        <v>48.248139390239089</v>
      </c>
      <c r="AG9646" s="2">
        <f ca="1"/>
        <v>0.72691555812636155</v>
      </c>
      <c r="AH9646" s="2" t="str">
        <f ca="1"/>
        <v>Bad</v>
      </c>
    </row>
    <row r="9647" spans="2:34" x14ac:dyDescent="0.2">
      <c r="B9647" s="2">
        <f ca="1"/>
        <v>1.0315017602982257E-2</v>
      </c>
      <c r="O9647" s="2">
        <f ca="1"/>
        <v>-0.18759994990960316</v>
      </c>
      <c r="X9647" s="2">
        <f ca="1"/>
        <v>64.793844447618696</v>
      </c>
      <c r="AG9647" s="2">
        <f ca="1"/>
        <v>0.2588902523368013</v>
      </c>
      <c r="AH9647" s="2" t="str">
        <f ca="1"/>
        <v>OK</v>
      </c>
    </row>
    <row r="9648" spans="2:34" x14ac:dyDescent="0.2">
      <c r="B9648" s="2">
        <f ca="1"/>
        <v>0.31256378199894641</v>
      </c>
      <c r="O9648" s="2">
        <f ca="1"/>
        <v>-0.7022301640025026</v>
      </c>
      <c r="X9648" s="2">
        <f ca="1"/>
        <v>48.695110984605428</v>
      </c>
      <c r="AG9648" s="2">
        <f ca="1"/>
        <v>0.42665999313796421</v>
      </c>
      <c r="AH9648" s="2" t="str">
        <f ca="1"/>
        <v>Bad</v>
      </c>
    </row>
    <row r="9649" spans="2:34" x14ac:dyDescent="0.2">
      <c r="B9649" s="2">
        <f ca="1"/>
        <v>0.82322798767982786</v>
      </c>
      <c r="O9649" s="2">
        <f ca="1"/>
        <v>2.7142286384226159E-3</v>
      </c>
      <c r="X9649" s="2">
        <f ca="1"/>
        <v>34.203238568236578</v>
      </c>
      <c r="AG9649" s="2">
        <f ca="1"/>
        <v>0.76203088087743165</v>
      </c>
      <c r="AH9649" s="2" t="str">
        <f ca="1"/>
        <v>Bad</v>
      </c>
    </row>
    <row r="9650" spans="2:34" x14ac:dyDescent="0.2">
      <c r="B9650" s="2">
        <f ca="1"/>
        <v>0.67867057181073598</v>
      </c>
      <c r="O9650" s="2">
        <f ca="1"/>
        <v>0.61147482907298978</v>
      </c>
      <c r="X9650" s="2">
        <f ca="1"/>
        <v>48.757946747263702</v>
      </c>
      <c r="AG9650" s="2">
        <f ca="1"/>
        <v>0.98542834847577887</v>
      </c>
      <c r="AH9650" s="2" t="str">
        <f ca="1"/>
        <v>Bad</v>
      </c>
    </row>
    <row r="9651" spans="2:34" x14ac:dyDescent="0.2">
      <c r="B9651" s="2">
        <f ca="1"/>
        <v>0.74987046378968114</v>
      </c>
      <c r="O9651" s="2">
        <f ca="1"/>
        <v>-0.78288178241421902</v>
      </c>
      <c r="X9651" s="2">
        <f ca="1"/>
        <v>45.289185892101457</v>
      </c>
      <c r="AG9651" s="2">
        <f ca="1"/>
        <v>0.32180790548854454</v>
      </c>
      <c r="AH9651" s="2" t="str">
        <f ca="1"/>
        <v>OK</v>
      </c>
    </row>
    <row r="9652" spans="2:34" x14ac:dyDescent="0.2">
      <c r="B9652" s="2">
        <f ca="1"/>
        <v>0.36419695275552</v>
      </c>
      <c r="O9652" s="2">
        <f ca="1"/>
        <v>-0.88763025601796841</v>
      </c>
      <c r="X9652" s="2">
        <f ca="1"/>
        <v>56.813683938074746</v>
      </c>
      <c r="AG9652" s="2">
        <f ca="1"/>
        <v>0.21913282788890087</v>
      </c>
      <c r="AH9652" s="2" t="str">
        <f ca="1"/>
        <v>OK</v>
      </c>
    </row>
    <row r="9653" spans="2:34" x14ac:dyDescent="0.2">
      <c r="B9653" s="2">
        <f ca="1"/>
        <v>0.6957739216723644</v>
      </c>
      <c r="O9653" s="2">
        <f ca="1"/>
        <v>0.75507636348347107</v>
      </c>
      <c r="X9653" s="2">
        <f ca="1"/>
        <v>58.625690465987034</v>
      </c>
      <c r="AG9653" s="2">
        <f ca="1"/>
        <v>0.69642495241173896</v>
      </c>
      <c r="AH9653" s="2" t="str">
        <f ca="1"/>
        <v>Bad</v>
      </c>
    </row>
    <row r="9654" spans="2:34" x14ac:dyDescent="0.2">
      <c r="B9654" s="2">
        <f ca="1"/>
        <v>0.67950716559197888</v>
      </c>
      <c r="O9654" s="2">
        <f ca="1"/>
        <v>2.3850070422855802</v>
      </c>
      <c r="X9654" s="2">
        <f ca="1"/>
        <v>60.491353090906003</v>
      </c>
      <c r="AG9654" s="2">
        <f ca="1"/>
        <v>0.54468414309575652</v>
      </c>
      <c r="AH9654" s="2" t="str">
        <f ca="1"/>
        <v>Bad</v>
      </c>
    </row>
    <row r="9655" spans="2:34" x14ac:dyDescent="0.2">
      <c r="B9655" s="2">
        <f ca="1"/>
        <v>0.84712882153465863</v>
      </c>
      <c r="O9655" s="2">
        <f ca="1"/>
        <v>-0.40753569623545943</v>
      </c>
      <c r="X9655" s="2">
        <f ca="1"/>
        <v>49.993883966128301</v>
      </c>
      <c r="AG9655" s="2">
        <f ca="1"/>
        <v>0.77158761644085727</v>
      </c>
      <c r="AH9655" s="2" t="str">
        <f ca="1"/>
        <v>Bad</v>
      </c>
    </row>
    <row r="9656" spans="2:34" x14ac:dyDescent="0.2">
      <c r="B9656" s="2">
        <f ca="1"/>
        <v>0.87666397324958467</v>
      </c>
      <c r="O9656" s="2">
        <f ca="1"/>
        <v>1.6252735090611246</v>
      </c>
      <c r="X9656" s="2">
        <f ca="1"/>
        <v>32.428263090066821</v>
      </c>
      <c r="AG9656" s="2">
        <f ca="1"/>
        <v>1.7525368626950311E-2</v>
      </c>
      <c r="AH9656" s="2" t="str">
        <f ca="1"/>
        <v>Good</v>
      </c>
    </row>
    <row r="9657" spans="2:34" x14ac:dyDescent="0.2">
      <c r="B9657" s="2">
        <f ca="1"/>
        <v>5.949819083903618E-2</v>
      </c>
      <c r="O9657" s="2">
        <f ca="1"/>
        <v>0.98514289392785781</v>
      </c>
      <c r="X9657" s="2">
        <f ca="1"/>
        <v>51.651666225236397</v>
      </c>
      <c r="AG9657" s="2">
        <f ca="1"/>
        <v>0.56626499883323222</v>
      </c>
      <c r="AH9657" s="2" t="str">
        <f ca="1"/>
        <v>Bad</v>
      </c>
    </row>
    <row r="9658" spans="2:34" x14ac:dyDescent="0.2">
      <c r="B9658" s="2">
        <f ca="1"/>
        <v>0.49589527973525294</v>
      </c>
      <c r="O9658" s="2">
        <f ca="1"/>
        <v>6.1737779484945896E-2</v>
      </c>
      <c r="X9658" s="2">
        <f ca="1"/>
        <v>37.366299785232826</v>
      </c>
      <c r="AG9658" s="2">
        <f ca="1"/>
        <v>0.9623239917774391</v>
      </c>
      <c r="AH9658" s="2" t="str">
        <f ca="1"/>
        <v>Bad</v>
      </c>
    </row>
    <row r="9659" spans="2:34" x14ac:dyDescent="0.2">
      <c r="B9659" s="2">
        <f ca="1"/>
        <v>0.90768418559402919</v>
      </c>
      <c r="O9659" s="2">
        <f ca="1"/>
        <v>-0.47296202850841718</v>
      </c>
      <c r="X9659" s="2">
        <f ca="1"/>
        <v>31.671405305609831</v>
      </c>
      <c r="AG9659" s="2">
        <f ca="1"/>
        <v>0.69061020467169487</v>
      </c>
      <c r="AH9659" s="2" t="str">
        <f ca="1"/>
        <v>Bad</v>
      </c>
    </row>
    <row r="9660" spans="2:34" x14ac:dyDescent="0.2">
      <c r="B9660" s="2">
        <f ca="1"/>
        <v>0.62149551139663184</v>
      </c>
      <c r="O9660" s="2">
        <f ca="1"/>
        <v>0.46938001262961487</v>
      </c>
      <c r="X9660" s="2">
        <f ca="1"/>
        <v>53.31148013703362</v>
      </c>
      <c r="AG9660" s="2">
        <f ca="1"/>
        <v>0.76704375869501096</v>
      </c>
      <c r="AH9660" s="2" t="str">
        <f ca="1"/>
        <v>Bad</v>
      </c>
    </row>
    <row r="9661" spans="2:34" x14ac:dyDescent="0.2">
      <c r="B9661" s="2">
        <f ca="1"/>
        <v>0.63318575353201245</v>
      </c>
      <c r="O9661" s="2">
        <f ca="1"/>
        <v>1.0744227864237021</v>
      </c>
      <c r="X9661" s="2">
        <f ca="1"/>
        <v>53.882927744776403</v>
      </c>
      <c r="AG9661" s="2">
        <f ca="1"/>
        <v>0.83200979628705096</v>
      </c>
      <c r="AH9661" s="2" t="str">
        <f ca="1"/>
        <v>Bad</v>
      </c>
    </row>
    <row r="9662" spans="2:34" x14ac:dyDescent="0.2">
      <c r="B9662" s="2">
        <f ca="1"/>
        <v>0.45830403458500957</v>
      </c>
      <c r="O9662" s="2">
        <f ca="1"/>
        <v>0.89150579147825171</v>
      </c>
      <c r="X9662" s="2">
        <f ca="1"/>
        <v>47.225612554393408</v>
      </c>
      <c r="AG9662" s="2">
        <f ca="1"/>
        <v>0.33892622665436023</v>
      </c>
      <c r="AH9662" s="2" t="str">
        <f ca="1"/>
        <v>OK</v>
      </c>
    </row>
    <row r="9663" spans="2:34" x14ac:dyDescent="0.2">
      <c r="B9663" s="2">
        <f ca="1"/>
        <v>0.58181450130358447</v>
      </c>
      <c r="O9663" s="2">
        <f ca="1"/>
        <v>0.44246288758736418</v>
      </c>
      <c r="X9663" s="2">
        <f ca="1"/>
        <v>35.862896138471584</v>
      </c>
      <c r="AG9663" s="2">
        <f ca="1"/>
        <v>0.66187245469735867</v>
      </c>
      <c r="AH9663" s="2" t="str">
        <f ca="1"/>
        <v>Bad</v>
      </c>
    </row>
    <row r="9664" spans="2:34" x14ac:dyDescent="0.2">
      <c r="B9664" s="2">
        <f ca="1"/>
        <v>0.56463950459020462</v>
      </c>
      <c r="O9664" s="2">
        <f ca="1"/>
        <v>0.67692156117593327</v>
      </c>
      <c r="X9664" s="2">
        <f ca="1"/>
        <v>73.536093773879657</v>
      </c>
      <c r="AG9664" s="2">
        <f ca="1"/>
        <v>4.7732203554412767E-2</v>
      </c>
      <c r="AH9664" s="2" t="str">
        <f ca="1"/>
        <v>Good</v>
      </c>
    </row>
    <row r="9665" spans="2:34" x14ac:dyDescent="0.2">
      <c r="B9665" s="2">
        <f ca="1"/>
        <v>0.97310159449478895</v>
      </c>
      <c r="O9665" s="2">
        <f ca="1"/>
        <v>0.1500641475959292</v>
      </c>
      <c r="X9665" s="2">
        <f ca="1"/>
        <v>51.386960467922556</v>
      </c>
      <c r="AG9665" s="2">
        <f ca="1"/>
        <v>0.89145702593852638</v>
      </c>
      <c r="AH9665" s="2" t="str">
        <f ca="1"/>
        <v>Bad</v>
      </c>
    </row>
    <row r="9666" spans="2:34" x14ac:dyDescent="0.2">
      <c r="B9666" s="2">
        <f ca="1"/>
        <v>0.11720165973601726</v>
      </c>
      <c r="O9666" s="2">
        <f ca="1"/>
        <v>0.18980959935571232</v>
      </c>
      <c r="X9666" s="2">
        <f ca="1"/>
        <v>46.982040348415609</v>
      </c>
      <c r="AG9666" s="2">
        <f ca="1"/>
        <v>0.32785606711731141</v>
      </c>
      <c r="AH9666" s="2" t="str">
        <f ca="1"/>
        <v>OK</v>
      </c>
    </row>
    <row r="9667" spans="2:34" x14ac:dyDescent="0.2">
      <c r="B9667" s="2">
        <f ca="1"/>
        <v>0.5455683273542542</v>
      </c>
      <c r="O9667" s="2">
        <f ca="1"/>
        <v>0.36575874259028807</v>
      </c>
      <c r="X9667" s="2">
        <f ca="1"/>
        <v>34.806308024975358</v>
      </c>
      <c r="AG9667" s="2">
        <f ca="1"/>
        <v>5.7151373581307396E-2</v>
      </c>
      <c r="AH9667" s="2" t="str">
        <f ca="1"/>
        <v>OK</v>
      </c>
    </row>
    <row r="9668" spans="2:34" x14ac:dyDescent="0.2">
      <c r="B9668" s="2">
        <f ca="1"/>
        <v>0.71389821030933476</v>
      </c>
      <c r="O9668" s="2">
        <f ca="1"/>
        <v>-0.27482469004936944</v>
      </c>
      <c r="X9668" s="2">
        <f ca="1"/>
        <v>54.521464192896445</v>
      </c>
      <c r="AG9668" s="2">
        <f ca="1"/>
        <v>0.20064359280379773</v>
      </c>
      <c r="AH9668" s="2" t="str">
        <f ca="1"/>
        <v>OK</v>
      </c>
    </row>
    <row r="9669" spans="2:34" x14ac:dyDescent="0.2">
      <c r="B9669" s="2">
        <f ca="1"/>
        <v>0.31038239214399455</v>
      </c>
      <c r="O9669" s="2">
        <f ca="1"/>
        <v>-4.8172930889306395E-2</v>
      </c>
      <c r="X9669" s="2">
        <f ca="1"/>
        <v>51.044085818799232</v>
      </c>
      <c r="AG9669" s="2">
        <f ca="1"/>
        <v>0.35675036496356749</v>
      </c>
      <c r="AH9669" s="2" t="str">
        <f ca="1"/>
        <v>OK</v>
      </c>
    </row>
    <row r="9670" spans="2:34" x14ac:dyDescent="0.2">
      <c r="B9670" s="2">
        <f ca="1"/>
        <v>0.28916231721328378</v>
      </c>
      <c r="O9670" s="2">
        <f ca="1"/>
        <v>0.58519060194814987</v>
      </c>
      <c r="X9670" s="2">
        <f ca="1"/>
        <v>25.802613571592005</v>
      </c>
      <c r="AG9670" s="2">
        <f ca="1"/>
        <v>0.98778242427817298</v>
      </c>
      <c r="AH9670" s="2" t="str">
        <f ca="1"/>
        <v>Bad</v>
      </c>
    </row>
    <row r="9671" spans="2:34" x14ac:dyDescent="0.2">
      <c r="B9671" s="2">
        <f ca="1"/>
        <v>0.35112401277678962</v>
      </c>
      <c r="O9671" s="2">
        <f ca="1"/>
        <v>0.9322372850453553</v>
      </c>
      <c r="X9671" s="2">
        <f ca="1"/>
        <v>35.078095489706598</v>
      </c>
      <c r="AG9671" s="2">
        <f ca="1"/>
        <v>0.98696207016411841</v>
      </c>
      <c r="AH9671" s="2" t="str">
        <f ca="1"/>
        <v>Bad</v>
      </c>
    </row>
    <row r="9672" spans="2:34" x14ac:dyDescent="0.2">
      <c r="B9672" s="2">
        <f ca="1"/>
        <v>0.41841848840912932</v>
      </c>
      <c r="O9672" s="2">
        <f ca="1"/>
        <v>-0.86154398453086634</v>
      </c>
      <c r="X9672" s="2">
        <f ca="1"/>
        <v>51.084024756549134</v>
      </c>
      <c r="AG9672" s="2">
        <f ca="1"/>
        <v>0.40673448170557269</v>
      </c>
      <c r="AH9672" s="2" t="str">
        <f ca="1"/>
        <v>Bad</v>
      </c>
    </row>
    <row r="9673" spans="2:34" x14ac:dyDescent="0.2">
      <c r="B9673" s="2">
        <f ca="1"/>
        <v>0.53893203249710764</v>
      </c>
      <c r="O9673" s="2">
        <f ca="1"/>
        <v>6.9394625733903717E-2</v>
      </c>
      <c r="X9673" s="2">
        <f ca="1"/>
        <v>52.248866292800109</v>
      </c>
      <c r="AG9673" s="2">
        <f ca="1"/>
        <v>0.93660151581123796</v>
      </c>
      <c r="AH9673" s="2" t="str">
        <f ca="1"/>
        <v>Bad</v>
      </c>
    </row>
    <row r="9674" spans="2:34" x14ac:dyDescent="0.2">
      <c r="B9674" s="2">
        <f ca="1"/>
        <v>0.25966228026184734</v>
      </c>
      <c r="O9674" s="2">
        <f ca="1"/>
        <v>-2.0998666328656892</v>
      </c>
      <c r="X9674" s="2">
        <f ca="1"/>
        <v>50.391204038230192</v>
      </c>
      <c r="AG9674" s="2">
        <f ca="1"/>
        <v>8.9936437367073463E-2</v>
      </c>
      <c r="AH9674" s="2" t="str">
        <f ca="1"/>
        <v>OK</v>
      </c>
    </row>
    <row r="9675" spans="2:34" x14ac:dyDescent="0.2">
      <c r="B9675" s="2">
        <f ca="1"/>
        <v>0.46832666522100674</v>
      </c>
      <c r="O9675" s="2">
        <f ca="1"/>
        <v>-7.03817177823262E-2</v>
      </c>
      <c r="X9675" s="2">
        <f ca="1"/>
        <v>41.282295771166638</v>
      </c>
      <c r="AG9675" s="2">
        <f ca="1"/>
        <v>0.68798978704641178</v>
      </c>
      <c r="AH9675" s="2" t="str">
        <f ca="1"/>
        <v>Bad</v>
      </c>
    </row>
    <row r="9676" spans="2:34" x14ac:dyDescent="0.2">
      <c r="B9676" s="2">
        <f ca="1"/>
        <v>0.38928982994146866</v>
      </c>
      <c r="O9676" s="2">
        <f ca="1"/>
        <v>0.86790505730597667</v>
      </c>
      <c r="X9676" s="2">
        <f ca="1"/>
        <v>55.532009137758124</v>
      </c>
      <c r="AG9676" s="2">
        <f ca="1"/>
        <v>0.28253766806034375</v>
      </c>
      <c r="AH9676" s="2" t="str">
        <f ca="1"/>
        <v>OK</v>
      </c>
    </row>
    <row r="9677" spans="2:34" x14ac:dyDescent="0.2">
      <c r="B9677" s="2">
        <f ca="1"/>
        <v>0.730455710091372</v>
      </c>
      <c r="O9677" s="2">
        <f ca="1"/>
        <v>-0.85495495175742653</v>
      </c>
      <c r="X9677" s="2">
        <f ca="1"/>
        <v>21.200364685289298</v>
      </c>
      <c r="AG9677" s="2">
        <f ca="1"/>
        <v>7.8433924884306894E-2</v>
      </c>
      <c r="AH9677" s="2" t="str">
        <f ca="1"/>
        <v>OK</v>
      </c>
    </row>
    <row r="9678" spans="2:34" x14ac:dyDescent="0.2">
      <c r="B9678" s="2">
        <f ca="1"/>
        <v>0.54564702837549017</v>
      </c>
      <c r="O9678" s="2">
        <f ca="1"/>
        <v>-4.7543364978858398E-3</v>
      </c>
      <c r="X9678" s="2">
        <f ca="1"/>
        <v>52.417038212365632</v>
      </c>
      <c r="AG9678" s="2">
        <f ca="1"/>
        <v>0.39691475632060347</v>
      </c>
      <c r="AH9678" s="2" t="str">
        <f ca="1"/>
        <v>OK</v>
      </c>
    </row>
    <row r="9679" spans="2:34" x14ac:dyDescent="0.2">
      <c r="B9679" s="2">
        <f ca="1"/>
        <v>0.83404435676275757</v>
      </c>
      <c r="O9679" s="2">
        <f ca="1"/>
        <v>0.58085136658403114</v>
      </c>
      <c r="X9679" s="2">
        <f ca="1"/>
        <v>61.020499867641902</v>
      </c>
      <c r="AG9679" s="2">
        <f ca="1"/>
        <v>0.16499496074385966</v>
      </c>
      <c r="AH9679" s="2" t="str">
        <f ca="1"/>
        <v>OK</v>
      </c>
    </row>
    <row r="9680" spans="2:34" x14ac:dyDescent="0.2">
      <c r="B9680" s="2">
        <f ca="1"/>
        <v>0.80441380723551892</v>
      </c>
      <c r="O9680" s="2">
        <f ca="1"/>
        <v>9.4534291671013904E-2</v>
      </c>
      <c r="X9680" s="2">
        <f ca="1"/>
        <v>58.46395741904135</v>
      </c>
      <c r="AG9680" s="2">
        <f ca="1"/>
        <v>0.12304253109234686</v>
      </c>
      <c r="AH9680" s="2" t="str">
        <f ca="1"/>
        <v>OK</v>
      </c>
    </row>
    <row r="9681" spans="2:34" x14ac:dyDescent="0.2">
      <c r="B9681" s="2">
        <f ca="1"/>
        <v>0.40978393699014926</v>
      </c>
      <c r="O9681" s="2">
        <f ca="1"/>
        <v>0.38098588207676143</v>
      </c>
      <c r="X9681" s="2">
        <f ca="1"/>
        <v>78.936471974073285</v>
      </c>
      <c r="AG9681" s="2">
        <f ca="1"/>
        <v>0.31830585380919496</v>
      </c>
      <c r="AH9681" s="2" t="str">
        <f ca="1"/>
        <v>OK</v>
      </c>
    </row>
    <row r="9682" spans="2:34" x14ac:dyDescent="0.2">
      <c r="B9682" s="2">
        <f ca="1"/>
        <v>9.293236712263786E-2</v>
      </c>
      <c r="O9682" s="2">
        <f ca="1"/>
        <v>0.27122835526039685</v>
      </c>
      <c r="X9682" s="2">
        <f ca="1"/>
        <v>51.605070234504893</v>
      </c>
      <c r="AG9682" s="2">
        <f ca="1"/>
        <v>0.65146156282820011</v>
      </c>
      <c r="AH9682" s="2" t="str">
        <f ca="1"/>
        <v>Bad</v>
      </c>
    </row>
    <row r="9683" spans="2:34" x14ac:dyDescent="0.2">
      <c r="B9683" s="2">
        <f ca="1"/>
        <v>0.1124611512283451</v>
      </c>
      <c r="O9683" s="2">
        <f ca="1"/>
        <v>1.2642184459974111</v>
      </c>
      <c r="X9683" s="2">
        <f ca="1"/>
        <v>50.75197718307875</v>
      </c>
      <c r="AG9683" s="2">
        <f ca="1"/>
        <v>0.12232927587622622</v>
      </c>
      <c r="AH9683" s="2" t="str">
        <f ca="1"/>
        <v>OK</v>
      </c>
    </row>
    <row r="9684" spans="2:34" x14ac:dyDescent="0.2">
      <c r="B9684" s="2">
        <f ca="1"/>
        <v>3.0513111511865088E-3</v>
      </c>
      <c r="O9684" s="2">
        <f ca="1"/>
        <v>-0.95718571274650599</v>
      </c>
      <c r="X9684" s="2">
        <f ca="1"/>
        <v>36.006915545450369</v>
      </c>
      <c r="AG9684" s="2">
        <f ca="1"/>
        <v>0.68103344079932393</v>
      </c>
      <c r="AH9684" s="2" t="str">
        <f ca="1"/>
        <v>Bad</v>
      </c>
    </row>
    <row r="9685" spans="2:34" x14ac:dyDescent="0.2">
      <c r="B9685" s="2">
        <f ca="1"/>
        <v>5.3909047693634804E-2</v>
      </c>
      <c r="O9685" s="2">
        <f ca="1"/>
        <v>-0.1230075528162746</v>
      </c>
      <c r="X9685" s="2">
        <f ca="1"/>
        <v>32.470444296387406</v>
      </c>
      <c r="AG9685" s="2">
        <f ca="1"/>
        <v>0.93812292293774235</v>
      </c>
      <c r="AH9685" s="2" t="str">
        <f ca="1"/>
        <v>Bad</v>
      </c>
    </row>
    <row r="9686" spans="2:34" x14ac:dyDescent="0.2">
      <c r="B9686" s="2">
        <f ca="1"/>
        <v>0.24102597785744195</v>
      </c>
      <c r="O9686" s="2">
        <f ca="1"/>
        <v>-0.28779117765588763</v>
      </c>
      <c r="X9686" s="2">
        <f ca="1"/>
        <v>32.885481685541222</v>
      </c>
      <c r="AG9686" s="2">
        <f ca="1"/>
        <v>0.90325079108158635</v>
      </c>
      <c r="AH9686" s="2" t="str">
        <f ca="1"/>
        <v>Bad</v>
      </c>
    </row>
    <row r="9687" spans="2:34" x14ac:dyDescent="0.2">
      <c r="B9687" s="2">
        <f ca="1"/>
        <v>0.1523388616930903</v>
      </c>
      <c r="O9687" s="2">
        <f ca="1"/>
        <v>-0.99176861162172381</v>
      </c>
      <c r="X9687" s="2">
        <f ca="1"/>
        <v>52.414268671351827</v>
      </c>
      <c r="AG9687" s="2">
        <f ca="1"/>
        <v>0.94040276139400358</v>
      </c>
      <c r="AH9687" s="2" t="str">
        <f ca="1"/>
        <v>Bad</v>
      </c>
    </row>
    <row r="9688" spans="2:34" x14ac:dyDescent="0.2">
      <c r="B9688" s="2">
        <f ca="1"/>
        <v>0.24816756490632641</v>
      </c>
      <c r="O9688" s="2">
        <f ca="1"/>
        <v>-0.83057357537870002</v>
      </c>
      <c r="X9688" s="2">
        <f ca="1"/>
        <v>66.655043564549672</v>
      </c>
      <c r="AG9688" s="2">
        <f ca="1"/>
        <v>0.55872182560994155</v>
      </c>
      <c r="AH9688" s="2" t="str">
        <f ca="1"/>
        <v>Bad</v>
      </c>
    </row>
    <row r="9689" spans="2:34" x14ac:dyDescent="0.2">
      <c r="B9689" s="2">
        <f ca="1"/>
        <v>0.15813288759475541</v>
      </c>
      <c r="O9689" s="2">
        <f ca="1"/>
        <v>-0.23742556146181609</v>
      </c>
      <c r="X9689" s="2">
        <f ca="1"/>
        <v>60.057706347601759</v>
      </c>
      <c r="AG9689" s="2">
        <f ca="1"/>
        <v>0.15040128838390188</v>
      </c>
      <c r="AH9689" s="2" t="str">
        <f ca="1"/>
        <v>OK</v>
      </c>
    </row>
    <row r="9690" spans="2:34" x14ac:dyDescent="0.2">
      <c r="B9690" s="2">
        <f ca="1"/>
        <v>0.89311136248684608</v>
      </c>
      <c r="O9690" s="2">
        <f ca="1"/>
        <v>0.33933911429773378</v>
      </c>
      <c r="X9690" s="2">
        <f ca="1"/>
        <v>27.151465687070001</v>
      </c>
      <c r="AG9690" s="2">
        <f ca="1"/>
        <v>0.43171073666715554</v>
      </c>
      <c r="AH9690" s="2" t="str">
        <f ca="1"/>
        <v>Bad</v>
      </c>
    </row>
    <row r="9691" spans="2:34" x14ac:dyDescent="0.2">
      <c r="B9691" s="2">
        <f ca="1"/>
        <v>0.15922018511910507</v>
      </c>
      <c r="O9691" s="2">
        <f ca="1"/>
        <v>0.42675752470982647</v>
      </c>
      <c r="X9691" s="2">
        <f ca="1"/>
        <v>79.545570979332027</v>
      </c>
      <c r="AG9691" s="2">
        <f ca="1"/>
        <v>0.26038033134770999</v>
      </c>
      <c r="AH9691" s="2" t="str">
        <f ca="1"/>
        <v>OK</v>
      </c>
    </row>
    <row r="9692" spans="2:34" x14ac:dyDescent="0.2">
      <c r="B9692" s="2">
        <f ca="1"/>
        <v>0.57397790774391266</v>
      </c>
      <c r="O9692" s="2">
        <f ca="1"/>
        <v>0.99770844528596392</v>
      </c>
      <c r="X9692" s="2">
        <f ca="1"/>
        <v>36.553637587198054</v>
      </c>
      <c r="AG9692" s="2">
        <f ca="1"/>
        <v>2.1047273982996106E-2</v>
      </c>
      <c r="AH9692" s="2" t="str">
        <f ca="1"/>
        <v>Good</v>
      </c>
    </row>
    <row r="9693" spans="2:34" x14ac:dyDescent="0.2">
      <c r="B9693" s="2">
        <f ca="1"/>
        <v>0.2075878052703144</v>
      </c>
      <c r="O9693" s="2">
        <f ca="1"/>
        <v>0.37090698166125124</v>
      </c>
      <c r="X9693" s="2">
        <f ca="1"/>
        <v>54.788242629419955</v>
      </c>
      <c r="AG9693" s="2">
        <f ca="1"/>
        <v>9.1593293190431302E-2</v>
      </c>
      <c r="AH9693" s="2" t="str">
        <f ca="1"/>
        <v>OK</v>
      </c>
    </row>
    <row r="9694" spans="2:34" x14ac:dyDescent="0.2">
      <c r="B9694" s="2">
        <f ca="1"/>
        <v>0.56061862030726695</v>
      </c>
      <c r="O9694" s="2">
        <f ca="1"/>
        <v>-0.49070139447521732</v>
      </c>
      <c r="X9694" s="2">
        <f ca="1"/>
        <v>30.15775332401677</v>
      </c>
      <c r="AG9694" s="2">
        <f ca="1"/>
        <v>0.79395220191583515</v>
      </c>
      <c r="AH9694" s="2" t="str">
        <f ca="1"/>
        <v>Bad</v>
      </c>
    </row>
    <row r="9695" spans="2:34" x14ac:dyDescent="0.2">
      <c r="B9695" s="2">
        <f ca="1"/>
        <v>0.92525285103182076</v>
      </c>
      <c r="O9695" s="2">
        <f ca="1"/>
        <v>-1.1302790530950628</v>
      </c>
      <c r="X9695" s="2">
        <f ca="1"/>
        <v>46.14164993683697</v>
      </c>
      <c r="AG9695" s="2">
        <f ca="1"/>
        <v>0.4951827457849971</v>
      </c>
      <c r="AH9695" s="2" t="str">
        <f ca="1"/>
        <v>Bad</v>
      </c>
    </row>
    <row r="9696" spans="2:34" x14ac:dyDescent="0.2">
      <c r="B9696" s="2">
        <f ca="1"/>
        <v>3.7876436703127236E-2</v>
      </c>
      <c r="O9696" s="2">
        <f ca="1"/>
        <v>-0.47899518687461712</v>
      </c>
      <c r="X9696" s="2">
        <f ca="1"/>
        <v>50.192517627556924</v>
      </c>
      <c r="AG9696" s="2">
        <f ca="1"/>
        <v>0.65910262503707151</v>
      </c>
      <c r="AH9696" s="2" t="str">
        <f ca="1"/>
        <v>Bad</v>
      </c>
    </row>
    <row r="9697" spans="2:34" x14ac:dyDescent="0.2">
      <c r="B9697" s="2">
        <f ca="1"/>
        <v>0.82448563177250755</v>
      </c>
      <c r="O9697" s="2">
        <f ca="1"/>
        <v>-3.4761031754908377E-2</v>
      </c>
      <c r="X9697" s="2">
        <f ca="1"/>
        <v>33.626308772640215</v>
      </c>
      <c r="AG9697" s="2">
        <f ca="1"/>
        <v>0.83335559345940147</v>
      </c>
      <c r="AH9697" s="2" t="str">
        <f ca="1"/>
        <v>Bad</v>
      </c>
    </row>
    <row r="9698" spans="2:34" x14ac:dyDescent="0.2">
      <c r="B9698" s="2">
        <f ca="1"/>
        <v>0.32458673970279084</v>
      </c>
      <c r="O9698" s="2">
        <f ca="1"/>
        <v>0.66151282804169254</v>
      </c>
      <c r="X9698" s="2">
        <f ca="1"/>
        <v>40.579584122301036</v>
      </c>
      <c r="AG9698" s="2">
        <f ca="1"/>
        <v>0.46578158377100576</v>
      </c>
      <c r="AH9698" s="2" t="str">
        <f ca="1"/>
        <v>Bad</v>
      </c>
    </row>
    <row r="9699" spans="2:34" x14ac:dyDescent="0.2">
      <c r="B9699" s="2">
        <f ca="1"/>
        <v>0.65556961738101327</v>
      </c>
      <c r="O9699" s="2">
        <f ca="1"/>
        <v>1.3379402658187245</v>
      </c>
      <c r="X9699" s="2">
        <f ca="1"/>
        <v>38.681746524586103</v>
      </c>
      <c r="AG9699" s="2">
        <f ca="1"/>
        <v>0.11040235450633995</v>
      </c>
      <c r="AH9699" s="2" t="str">
        <f ca="1"/>
        <v>OK</v>
      </c>
    </row>
    <row r="9700" spans="2:34" x14ac:dyDescent="0.2">
      <c r="B9700" s="2">
        <f ca="1"/>
        <v>0.64181606061099838</v>
      </c>
      <c r="O9700" s="2">
        <f ca="1"/>
        <v>0.87523008278818082</v>
      </c>
      <c r="X9700" s="2">
        <f ca="1"/>
        <v>43.91285513439837</v>
      </c>
      <c r="AG9700" s="2">
        <f ca="1"/>
        <v>0.48144252332152404</v>
      </c>
      <c r="AH9700" s="2" t="str">
        <f ca="1"/>
        <v>Bad</v>
      </c>
    </row>
    <row r="9701" spans="2:34" x14ac:dyDescent="0.2">
      <c r="B9701" s="2">
        <f ca="1"/>
        <v>0.67609034327797501</v>
      </c>
      <c r="O9701" s="2">
        <f ca="1"/>
        <v>-0.5074163112768707</v>
      </c>
      <c r="X9701" s="2">
        <f ca="1"/>
        <v>45.32357283620928</v>
      </c>
      <c r="AG9701" s="2">
        <f ca="1"/>
        <v>0.52356833868550323</v>
      </c>
      <c r="AH9701" s="2" t="str">
        <f ca="1"/>
        <v>Bad</v>
      </c>
    </row>
    <row r="9702" spans="2:34" x14ac:dyDescent="0.2">
      <c r="B9702" s="2">
        <f ca="1"/>
        <v>0.292320833280862</v>
      </c>
      <c r="O9702" s="2">
        <f ca="1"/>
        <v>1.4067707777879739</v>
      </c>
      <c r="X9702" s="2">
        <f ca="1"/>
        <v>26.781052629549983</v>
      </c>
      <c r="AG9702" s="2">
        <f ca="1"/>
        <v>0.1187078716748573</v>
      </c>
      <c r="AH9702" s="2" t="str">
        <f ca="1"/>
        <v>OK</v>
      </c>
    </row>
    <row r="9703" spans="2:34" x14ac:dyDescent="0.2">
      <c r="B9703" s="2">
        <f ca="1"/>
        <v>0.52211092261919179</v>
      </c>
      <c r="O9703" s="2">
        <f ca="1"/>
        <v>6.4425173479484649E-2</v>
      </c>
      <c r="X9703" s="2">
        <f ca="1"/>
        <v>35.417024703048405</v>
      </c>
      <c r="AG9703" s="2">
        <f ca="1"/>
        <v>0.2695005940423294</v>
      </c>
      <c r="AH9703" s="2" t="str">
        <f ca="1"/>
        <v>OK</v>
      </c>
    </row>
    <row r="9704" spans="2:34" x14ac:dyDescent="0.2">
      <c r="B9704" s="2">
        <f ca="1"/>
        <v>0.90732829484214528</v>
      </c>
      <c r="O9704" s="2">
        <f ca="1"/>
        <v>-0.23976883121316886</v>
      </c>
      <c r="X9704" s="2">
        <f ca="1"/>
        <v>31.860030280908042</v>
      </c>
      <c r="AG9704" s="2">
        <f ca="1"/>
        <v>0.3101629133375261</v>
      </c>
      <c r="AH9704" s="2" t="str">
        <f ca="1"/>
        <v>OK</v>
      </c>
    </row>
    <row r="9705" spans="2:34" x14ac:dyDescent="0.2">
      <c r="B9705" s="2">
        <f ca="1"/>
        <v>0.68409510631663606</v>
      </c>
      <c r="O9705" s="2">
        <f ca="1"/>
        <v>-0.27937132053553115</v>
      </c>
      <c r="X9705" s="2">
        <f ca="1"/>
        <v>64.435413838339912</v>
      </c>
      <c r="AG9705" s="2">
        <f ca="1"/>
        <v>0.10380876402574279</v>
      </c>
      <c r="AH9705" s="2" t="str">
        <f ca="1"/>
        <v>OK</v>
      </c>
    </row>
    <row r="9706" spans="2:34" x14ac:dyDescent="0.2">
      <c r="B9706" s="2">
        <f ca="1"/>
        <v>0.6923072540191888</v>
      </c>
      <c r="O9706" s="2">
        <f ca="1"/>
        <v>0.79068270629832438</v>
      </c>
      <c r="X9706" s="2">
        <f ca="1"/>
        <v>28.54546088447448</v>
      </c>
      <c r="AG9706" s="2">
        <f ca="1"/>
        <v>0.1118976414385604</v>
      </c>
      <c r="AH9706" s="2" t="str">
        <f ca="1"/>
        <v>OK</v>
      </c>
    </row>
    <row r="9707" spans="2:34" x14ac:dyDescent="0.2">
      <c r="B9707" s="2">
        <f ca="1"/>
        <v>0.24413445415008206</v>
      </c>
      <c r="O9707" s="2">
        <f ca="1"/>
        <v>1.0972634704993804</v>
      </c>
      <c r="X9707" s="2">
        <f ca="1"/>
        <v>33.87890354809641</v>
      </c>
      <c r="AG9707" s="2">
        <f ca="1"/>
        <v>0.59630572651741232</v>
      </c>
      <c r="AH9707" s="2" t="str">
        <f ca="1"/>
        <v>Bad</v>
      </c>
    </row>
    <row r="9708" spans="2:34" x14ac:dyDescent="0.2">
      <c r="B9708" s="2">
        <f ca="1"/>
        <v>0.75359913365301612</v>
      </c>
      <c r="O9708" s="2">
        <f ca="1"/>
        <v>-1.418717145741883</v>
      </c>
      <c r="X9708" s="2">
        <f ca="1"/>
        <v>48.910981885378206</v>
      </c>
      <c r="AG9708" s="2">
        <f ca="1"/>
        <v>0.51681789694882352</v>
      </c>
      <c r="AH9708" s="2" t="str">
        <f ca="1"/>
        <v>Bad</v>
      </c>
    </row>
    <row r="9709" spans="2:34" x14ac:dyDescent="0.2">
      <c r="B9709" s="2">
        <f ca="1"/>
        <v>0.80308685528392432</v>
      </c>
      <c r="O9709" s="2">
        <f ca="1"/>
        <v>-0.99790637200490528</v>
      </c>
      <c r="X9709" s="2">
        <f ca="1"/>
        <v>47.455867761203969</v>
      </c>
      <c r="AG9709" s="2">
        <f ca="1"/>
        <v>0.32767045587082166</v>
      </c>
      <c r="AH9709" s="2" t="str">
        <f ca="1"/>
        <v>OK</v>
      </c>
    </row>
    <row r="9710" spans="2:34" x14ac:dyDescent="0.2">
      <c r="B9710" s="2">
        <f ca="1"/>
        <v>0.10548061199677283</v>
      </c>
      <c r="O9710" s="2">
        <f ca="1"/>
        <v>-0.78866333050088822</v>
      </c>
      <c r="X9710" s="2">
        <f ca="1"/>
        <v>63.232233541528224</v>
      </c>
      <c r="AG9710" s="2">
        <f ca="1"/>
        <v>0.58981855904183833</v>
      </c>
      <c r="AH9710" s="2" t="str">
        <f ca="1"/>
        <v>Bad</v>
      </c>
    </row>
    <row r="9711" spans="2:34" x14ac:dyDescent="0.2">
      <c r="B9711" s="2">
        <f ca="1"/>
        <v>0.86661049142567048</v>
      </c>
      <c r="O9711" s="2">
        <f ca="1"/>
        <v>-1.3121115577934814</v>
      </c>
      <c r="X9711" s="2">
        <f ca="1"/>
        <v>47.287267002474948</v>
      </c>
      <c r="AG9711" s="2">
        <f ca="1"/>
        <v>0.27075060405953222</v>
      </c>
      <c r="AH9711" s="2" t="str">
        <f ca="1"/>
        <v>OK</v>
      </c>
    </row>
    <row r="9712" spans="2:34" x14ac:dyDescent="0.2">
      <c r="B9712" s="2">
        <f ca="1"/>
        <v>0.90673466914801581</v>
      </c>
      <c r="O9712" s="2">
        <f ca="1"/>
        <v>0.17982837170565857</v>
      </c>
      <c r="X9712" s="2">
        <f ca="1"/>
        <v>70.100964167985055</v>
      </c>
      <c r="AG9712" s="2">
        <f ca="1"/>
        <v>0.85189592069690656</v>
      </c>
      <c r="AH9712" s="2" t="str">
        <f ca="1"/>
        <v>Bad</v>
      </c>
    </row>
    <row r="9713" spans="2:34" x14ac:dyDescent="0.2">
      <c r="B9713" s="2">
        <f ca="1"/>
        <v>0.3816574085500386</v>
      </c>
      <c r="O9713" s="2">
        <f ca="1"/>
        <v>-1.743988023506664</v>
      </c>
      <c r="X9713" s="2">
        <f ca="1"/>
        <v>47.404842382134269</v>
      </c>
      <c r="AG9713" s="2">
        <f ca="1"/>
        <v>0.17393133435626251</v>
      </c>
      <c r="AH9713" s="2" t="str">
        <f ca="1"/>
        <v>OK</v>
      </c>
    </row>
    <row r="9714" spans="2:34" x14ac:dyDescent="0.2">
      <c r="B9714" s="2">
        <f ca="1"/>
        <v>0.34864889493684381</v>
      </c>
      <c r="O9714" s="2">
        <f ca="1"/>
        <v>-0.57147338305915774</v>
      </c>
      <c r="X9714" s="2">
        <f ca="1"/>
        <v>48.173194690210906</v>
      </c>
      <c r="AG9714" s="2">
        <f ca="1"/>
        <v>0.60248499050384852</v>
      </c>
      <c r="AH9714" s="2" t="str">
        <f ca="1"/>
        <v>Bad</v>
      </c>
    </row>
    <row r="9715" spans="2:34" x14ac:dyDescent="0.2">
      <c r="B9715" s="2">
        <f ca="1"/>
        <v>4.4924376882959693E-2</v>
      </c>
      <c r="O9715" s="2">
        <f ca="1"/>
        <v>-2.2059421778920618</v>
      </c>
      <c r="X9715" s="2">
        <f ca="1"/>
        <v>34.444612940786911</v>
      </c>
      <c r="AG9715" s="2">
        <f ca="1"/>
        <v>0.13421397782466382</v>
      </c>
      <c r="AH9715" s="2" t="str">
        <f ca="1"/>
        <v>OK</v>
      </c>
    </row>
    <row r="9716" spans="2:34" x14ac:dyDescent="0.2">
      <c r="B9716" s="2">
        <f ca="1"/>
        <v>0.10587679291826979</v>
      </c>
      <c r="O9716" s="2">
        <f ca="1"/>
        <v>1.1934677500596516</v>
      </c>
      <c r="X9716" s="2">
        <f ca="1"/>
        <v>78.080664369613046</v>
      </c>
      <c r="AG9716" s="2">
        <f ca="1"/>
        <v>0.23598166563623124</v>
      </c>
      <c r="AH9716" s="2" t="str">
        <f ca="1"/>
        <v>OK</v>
      </c>
    </row>
    <row r="9717" spans="2:34" x14ac:dyDescent="0.2">
      <c r="B9717" s="2">
        <f ca="1"/>
        <v>0.43092762849696165</v>
      </c>
      <c r="O9717" s="2">
        <f ca="1"/>
        <v>0.45216193898371254</v>
      </c>
      <c r="X9717" s="2">
        <f ca="1"/>
        <v>32.422021739918407</v>
      </c>
      <c r="AG9717" s="2">
        <f ca="1"/>
        <v>0.14551617804958816</v>
      </c>
      <c r="AH9717" s="2" t="str">
        <f ca="1"/>
        <v>OK</v>
      </c>
    </row>
    <row r="9718" spans="2:34" x14ac:dyDescent="0.2">
      <c r="B9718" s="2">
        <f ca="1"/>
        <v>0.33036026447205935</v>
      </c>
      <c r="O9718" s="2">
        <f ca="1"/>
        <v>-0.31368969439432987</v>
      </c>
      <c r="X9718" s="2">
        <f ca="1"/>
        <v>68.27572967657818</v>
      </c>
      <c r="AG9718" s="2">
        <f ca="1"/>
        <v>0.72186409474065161</v>
      </c>
      <c r="AH9718" s="2" t="str">
        <f ca="1"/>
        <v>Bad</v>
      </c>
    </row>
    <row r="9719" spans="2:34" x14ac:dyDescent="0.2">
      <c r="B9719" s="2">
        <f ca="1"/>
        <v>0.50299202519795649</v>
      </c>
      <c r="O9719" s="2">
        <f ca="1"/>
        <v>-0.60162360327561593</v>
      </c>
      <c r="X9719" s="2">
        <f ca="1"/>
        <v>59.455606153364478</v>
      </c>
      <c r="AG9719" s="2">
        <f ca="1"/>
        <v>0.65904618559847572</v>
      </c>
      <c r="AH9719" s="2" t="str">
        <f ca="1"/>
        <v>Bad</v>
      </c>
    </row>
    <row r="9720" spans="2:34" x14ac:dyDescent="0.2">
      <c r="B9720" s="2">
        <f ca="1"/>
        <v>0.32572612649805599</v>
      </c>
      <c r="O9720" s="2">
        <f ca="1"/>
        <v>-0.34138460513006813</v>
      </c>
      <c r="X9720" s="2">
        <f ca="1"/>
        <v>38.752853114500688</v>
      </c>
      <c r="AG9720" s="2">
        <f ca="1"/>
        <v>0.95107250898513707</v>
      </c>
      <c r="AH9720" s="2" t="str">
        <f ca="1"/>
        <v>Bad</v>
      </c>
    </row>
    <row r="9721" spans="2:34" x14ac:dyDescent="0.2">
      <c r="B9721" s="2">
        <f ca="1"/>
        <v>8.5774752564529155E-3</v>
      </c>
      <c r="O9721" s="2">
        <f ca="1"/>
        <v>0.32435179352924703</v>
      </c>
      <c r="X9721" s="2">
        <f ca="1"/>
        <v>42.365115287973012</v>
      </c>
      <c r="AG9721" s="2">
        <f ca="1"/>
        <v>0.62778474150759478</v>
      </c>
      <c r="AH9721" s="2" t="str">
        <f ca="1"/>
        <v>Bad</v>
      </c>
    </row>
    <row r="9722" spans="2:34" x14ac:dyDescent="0.2">
      <c r="B9722" s="2">
        <f ca="1"/>
        <v>7.6322882436299366E-2</v>
      </c>
      <c r="O9722" s="2">
        <f ca="1"/>
        <v>-1.5582732937147368</v>
      </c>
      <c r="X9722" s="2">
        <f ca="1"/>
        <v>50.869898766674162</v>
      </c>
      <c r="AG9722" s="2">
        <f ca="1"/>
        <v>0.96591677140889431</v>
      </c>
      <c r="AH9722" s="2" t="str">
        <f ca="1"/>
        <v>Bad</v>
      </c>
    </row>
    <row r="9723" spans="2:34" x14ac:dyDescent="0.2">
      <c r="B9723" s="2">
        <f ca="1"/>
        <v>0.67188989841506142</v>
      </c>
      <c r="O9723" s="2">
        <f ca="1"/>
        <v>1.6175947373310122</v>
      </c>
      <c r="X9723" s="2">
        <f ca="1"/>
        <v>35.901038014202065</v>
      </c>
      <c r="AG9723" s="2">
        <f ca="1"/>
        <v>0.51148872575921889</v>
      </c>
      <c r="AH9723" s="2" t="str">
        <f ca="1"/>
        <v>Bad</v>
      </c>
    </row>
    <row r="9724" spans="2:34" x14ac:dyDescent="0.2">
      <c r="B9724" s="2">
        <f ca="1"/>
        <v>0.62859129846636641</v>
      </c>
      <c r="O9724" s="2">
        <f ca="1"/>
        <v>1.2175935625263683</v>
      </c>
      <c r="X9724" s="2">
        <f ca="1"/>
        <v>70.356668517929307</v>
      </c>
      <c r="AG9724" s="2">
        <f ca="1"/>
        <v>5.8215495090857328E-2</v>
      </c>
      <c r="AH9724" s="2" t="str">
        <f ca="1"/>
        <v>OK</v>
      </c>
    </row>
    <row r="9725" spans="2:34" x14ac:dyDescent="0.2">
      <c r="B9725" s="2">
        <f ca="1"/>
        <v>0.19401284051262979</v>
      </c>
      <c r="O9725" s="2">
        <f ca="1"/>
        <v>2.491209961055501</v>
      </c>
      <c r="X9725" s="2">
        <f ca="1"/>
        <v>54.244595291871114</v>
      </c>
      <c r="AG9725" s="2">
        <f ca="1"/>
        <v>0.36262410600217909</v>
      </c>
      <c r="AH9725" s="2" t="str">
        <f ca="1"/>
        <v>OK</v>
      </c>
    </row>
    <row r="9726" spans="2:34" x14ac:dyDescent="0.2">
      <c r="B9726" s="2">
        <f ca="1"/>
        <v>2.9513280865072655E-2</v>
      </c>
      <c r="O9726" s="2">
        <f ca="1"/>
        <v>1.6232432189645742</v>
      </c>
      <c r="X9726" s="2">
        <f ca="1"/>
        <v>34.565858843918591</v>
      </c>
      <c r="AG9726" s="2">
        <f ca="1"/>
        <v>0.47202949057389221</v>
      </c>
      <c r="AH9726" s="2" t="str">
        <f ca="1"/>
        <v>Bad</v>
      </c>
    </row>
    <row r="9727" spans="2:34" x14ac:dyDescent="0.2">
      <c r="B9727" s="2">
        <f ca="1"/>
        <v>6.6086980422882524E-2</v>
      </c>
      <c r="O9727" s="2">
        <f ca="1"/>
        <v>-0.11105408023455783</v>
      </c>
      <c r="X9727" s="2">
        <f ca="1"/>
        <v>65.717361895619163</v>
      </c>
      <c r="AG9727" s="2">
        <f ca="1"/>
        <v>0.2712966191290358</v>
      </c>
      <c r="AH9727" s="2" t="str">
        <f ca="1"/>
        <v>OK</v>
      </c>
    </row>
    <row r="9728" spans="2:34" x14ac:dyDescent="0.2">
      <c r="B9728" s="2">
        <f ca="1"/>
        <v>0.32410665807848105</v>
      </c>
      <c r="O9728" s="2">
        <f ca="1"/>
        <v>0.18876283976675676</v>
      </c>
      <c r="X9728" s="2">
        <f ca="1"/>
        <v>40.7432727267839</v>
      </c>
      <c r="AG9728" s="2">
        <f ca="1"/>
        <v>0.633821198276453</v>
      </c>
      <c r="AH9728" s="2" t="str">
        <f ca="1"/>
        <v>Bad</v>
      </c>
    </row>
    <row r="9729" spans="2:34" x14ac:dyDescent="0.2">
      <c r="B9729" s="2">
        <f ca="1"/>
        <v>0.59571249426849948</v>
      </c>
      <c r="O9729" s="2">
        <f ca="1"/>
        <v>-0.73286411838784804</v>
      </c>
      <c r="X9729" s="2">
        <f ca="1"/>
        <v>49.604834012094187</v>
      </c>
      <c r="AG9729" s="2">
        <f ca="1"/>
        <v>0.79357995206537946</v>
      </c>
      <c r="AH9729" s="2" t="str">
        <f ca="1"/>
        <v>Bad</v>
      </c>
    </row>
    <row r="9730" spans="2:34" x14ac:dyDescent="0.2">
      <c r="B9730" s="2">
        <f ca="1"/>
        <v>0.87883331270314846</v>
      </c>
      <c r="O9730" s="2">
        <f ca="1"/>
        <v>0.92159139710256643</v>
      </c>
      <c r="X9730" s="2">
        <f ca="1"/>
        <v>55.875608126677093</v>
      </c>
      <c r="AG9730" s="2">
        <f ca="1"/>
        <v>0.96799488333276762</v>
      </c>
      <c r="AH9730" s="2" t="str">
        <f ca="1"/>
        <v>Bad</v>
      </c>
    </row>
    <row r="9731" spans="2:34" x14ac:dyDescent="0.2">
      <c r="B9731" s="2">
        <f ca="1"/>
        <v>0.19522496007830981</v>
      </c>
      <c r="O9731" s="2">
        <f ca="1"/>
        <v>-0.93218601361733611</v>
      </c>
      <c r="X9731" s="2">
        <f ca="1"/>
        <v>41.996813096066731</v>
      </c>
      <c r="AG9731" s="2">
        <f ca="1"/>
        <v>0.82334628915877772</v>
      </c>
      <c r="AH9731" s="2" t="str">
        <f ca="1"/>
        <v>Bad</v>
      </c>
    </row>
    <row r="9732" spans="2:34" x14ac:dyDescent="0.2">
      <c r="B9732" s="2">
        <f ca="1"/>
        <v>0.23350583610496201</v>
      </c>
      <c r="O9732" s="2">
        <f ca="1"/>
        <v>-1.2127040069904556</v>
      </c>
      <c r="X9732" s="2">
        <f ca="1"/>
        <v>43.977652669569281</v>
      </c>
      <c r="AG9732" s="2">
        <f ca="1"/>
        <v>0.76535524417458523</v>
      </c>
      <c r="AH9732" s="2" t="str">
        <f ca="1"/>
        <v>Bad</v>
      </c>
    </row>
    <row r="9733" spans="2:34" x14ac:dyDescent="0.2">
      <c r="B9733" s="2">
        <f ca="1"/>
        <v>0.32319699984881778</v>
      </c>
      <c r="O9733" s="2">
        <f ca="1"/>
        <v>-1.5415862662448923</v>
      </c>
      <c r="X9733" s="2">
        <f ca="1"/>
        <v>64.58501906277283</v>
      </c>
      <c r="AG9733" s="2">
        <f ca="1"/>
        <v>0.54070233308645288</v>
      </c>
      <c r="AH9733" s="2" t="str">
        <f ca="1"/>
        <v>Bad</v>
      </c>
    </row>
    <row r="9734" spans="2:34" x14ac:dyDescent="0.2">
      <c r="B9734" s="2">
        <f ca="1"/>
        <v>0.39087616680931192</v>
      </c>
      <c r="O9734" s="2">
        <f ca="1"/>
        <v>-0.14701663295702994</v>
      </c>
      <c r="X9734" s="2">
        <f ca="1"/>
        <v>53.990548619295716</v>
      </c>
      <c r="AG9734" s="2">
        <f ca="1"/>
        <v>0.23734456904032064</v>
      </c>
      <c r="AH9734" s="2" t="str">
        <f ca="1"/>
        <v>OK</v>
      </c>
    </row>
    <row r="9735" spans="2:34" x14ac:dyDescent="0.2">
      <c r="B9735" s="2">
        <f ca="1"/>
        <v>0.50260985760292676</v>
      </c>
      <c r="O9735" s="2">
        <f ca="1"/>
        <v>-5.0913579051811222E-2</v>
      </c>
      <c r="X9735" s="2">
        <f ca="1"/>
        <v>60.350689299944129</v>
      </c>
      <c r="AG9735" s="2">
        <f ca="1"/>
        <v>0.72859225383602544</v>
      </c>
      <c r="AH9735" s="2" t="str">
        <f ca="1"/>
        <v>Bad</v>
      </c>
    </row>
    <row r="9736" spans="2:34" x14ac:dyDescent="0.2">
      <c r="B9736" s="2">
        <f ca="1"/>
        <v>0.56128929214206558</v>
      </c>
      <c r="O9736" s="2">
        <f ca="1"/>
        <v>1.0051584054203513</v>
      </c>
      <c r="X9736" s="2">
        <f ca="1"/>
        <v>42.109998094485057</v>
      </c>
      <c r="AG9736" s="2">
        <f ca="1"/>
        <v>0.47102119461642178</v>
      </c>
      <c r="AH9736" s="2" t="str">
        <f ca="1"/>
        <v>Bad</v>
      </c>
    </row>
    <row r="9737" spans="2:34" x14ac:dyDescent="0.2">
      <c r="B9737" s="2">
        <f ca="1"/>
        <v>0.63417877695999514</v>
      </c>
      <c r="O9737" s="2">
        <f ca="1"/>
        <v>-0.97368692305572935</v>
      </c>
      <c r="X9737" s="2">
        <f ca="1"/>
        <v>31.721809697774429</v>
      </c>
      <c r="AG9737" s="2">
        <f ca="1"/>
        <v>0.12934104136754954</v>
      </c>
      <c r="AH9737" s="2" t="str">
        <f ca="1"/>
        <v>OK</v>
      </c>
    </row>
    <row r="9738" spans="2:34" x14ac:dyDescent="0.2">
      <c r="B9738" s="2">
        <f ca="1"/>
        <v>0.47834408132596828</v>
      </c>
      <c r="O9738" s="2">
        <f ca="1"/>
        <v>0.40827656522690481</v>
      </c>
      <c r="X9738" s="2">
        <f ca="1"/>
        <v>47.518391779347269</v>
      </c>
      <c r="AG9738" s="2">
        <f ca="1"/>
        <v>0.35426693269746456</v>
      </c>
      <c r="AH9738" s="2" t="str">
        <f ca="1"/>
        <v>OK</v>
      </c>
    </row>
    <row r="9739" spans="2:34" x14ac:dyDescent="0.2">
      <c r="B9739" s="2">
        <f ca="1"/>
        <v>1.3728337057138162E-2</v>
      </c>
      <c r="O9739" s="2">
        <f ca="1"/>
        <v>0.49620485544268916</v>
      </c>
      <c r="X9739" s="2">
        <f ca="1"/>
        <v>46.879271187442264</v>
      </c>
      <c r="AG9739" s="2">
        <f ca="1"/>
        <v>0.92780980165500471</v>
      </c>
      <c r="AH9739" s="2" t="str">
        <f ca="1"/>
        <v>Bad</v>
      </c>
    </row>
    <row r="9740" spans="2:34" x14ac:dyDescent="0.2">
      <c r="B9740" s="2">
        <f ca="1"/>
        <v>0.52891557228155128</v>
      </c>
      <c r="O9740" s="2">
        <f ca="1"/>
        <v>0.6268449374847942</v>
      </c>
      <c r="X9740" s="2">
        <f ca="1"/>
        <v>27.063627317742217</v>
      </c>
      <c r="AG9740" s="2">
        <f ca="1"/>
        <v>0.96297179613161776</v>
      </c>
      <c r="AH9740" s="2" t="str">
        <f ca="1"/>
        <v>Bad</v>
      </c>
    </row>
    <row r="9741" spans="2:34" x14ac:dyDescent="0.2">
      <c r="B9741" s="2">
        <f ca="1"/>
        <v>0.46676816276322008</v>
      </c>
      <c r="O9741" s="2">
        <f ca="1"/>
        <v>-0.2746385578312952</v>
      </c>
      <c r="X9741" s="2">
        <f ca="1"/>
        <v>60.135045117305914</v>
      </c>
      <c r="AG9741" s="2">
        <f ca="1"/>
        <v>0.9146149868689013</v>
      </c>
      <c r="AH9741" s="2" t="str">
        <f ca="1"/>
        <v>Bad</v>
      </c>
    </row>
    <row r="9742" spans="2:34" x14ac:dyDescent="0.2">
      <c r="B9742" s="2">
        <f ca="1"/>
        <v>0.92415663990733155</v>
      </c>
      <c r="O9742" s="2">
        <f ca="1"/>
        <v>-5.5704758691573399E-3</v>
      </c>
      <c r="X9742" s="2">
        <f ca="1"/>
        <v>44.550585394586619</v>
      </c>
      <c r="AG9742" s="2">
        <f ca="1"/>
        <v>0.77273974602850348</v>
      </c>
      <c r="AH9742" s="2" t="str">
        <f ca="1"/>
        <v>Bad</v>
      </c>
    </row>
    <row r="9743" spans="2:34" x14ac:dyDescent="0.2">
      <c r="B9743" s="2">
        <f ca="1"/>
        <v>0.94971885851498072</v>
      </c>
      <c r="O9743" s="2">
        <f ca="1"/>
        <v>1.9867480293451996</v>
      </c>
      <c r="X9743" s="2">
        <f ca="1"/>
        <v>33.387545720370724</v>
      </c>
      <c r="AG9743" s="2">
        <f ca="1"/>
        <v>0.3713139054331871</v>
      </c>
      <c r="AH9743" s="2" t="str">
        <f ca="1"/>
        <v>OK</v>
      </c>
    </row>
    <row r="9744" spans="2:34" x14ac:dyDescent="0.2">
      <c r="B9744" s="2">
        <f ca="1"/>
        <v>3.9440101706624819E-3</v>
      </c>
      <c r="O9744" s="2">
        <f ca="1"/>
        <v>-2.0277531626594376</v>
      </c>
      <c r="X9744" s="2">
        <f ca="1"/>
        <v>35.856934400027143</v>
      </c>
      <c r="AG9744" s="2">
        <f ca="1"/>
        <v>0.8580808265544142</v>
      </c>
      <c r="AH9744" s="2" t="str">
        <f ca="1"/>
        <v>Bad</v>
      </c>
    </row>
    <row r="9745" spans="2:34" x14ac:dyDescent="0.2">
      <c r="B9745" s="2">
        <f ca="1"/>
        <v>0.60637391536621577</v>
      </c>
      <c r="O9745" s="2">
        <f ca="1"/>
        <v>4.9502572600645008E-2</v>
      </c>
      <c r="X9745" s="2">
        <f ca="1"/>
        <v>55.720693114846952</v>
      </c>
      <c r="AG9745" s="2">
        <f ca="1"/>
        <v>0.25542909114702228</v>
      </c>
      <c r="AH9745" s="2" t="str">
        <f ca="1"/>
        <v>OK</v>
      </c>
    </row>
    <row r="9746" spans="2:34" x14ac:dyDescent="0.2">
      <c r="B9746" s="2">
        <f ca="1"/>
        <v>0.86494191205213578</v>
      </c>
      <c r="O9746" s="2">
        <f ca="1"/>
        <v>-7.641772434898203E-2</v>
      </c>
      <c r="X9746" s="2">
        <f ca="1"/>
        <v>38.453250307327423</v>
      </c>
      <c r="AG9746" s="2">
        <f ca="1"/>
        <v>0.93900407535582775</v>
      </c>
      <c r="AH9746" s="2" t="str">
        <f ca="1"/>
        <v>Bad</v>
      </c>
    </row>
    <row r="9747" spans="2:34" x14ac:dyDescent="0.2">
      <c r="B9747" s="2">
        <f ca="1"/>
        <v>0.43422046677983195</v>
      </c>
      <c r="O9747" s="2">
        <f ca="1"/>
        <v>1.8168844165693678</v>
      </c>
      <c r="X9747" s="2">
        <f ca="1"/>
        <v>57.460497123555932</v>
      </c>
      <c r="AG9747" s="2">
        <f ca="1"/>
        <v>0.3248294038727686</v>
      </c>
      <c r="AH9747" s="2" t="str">
        <f ca="1"/>
        <v>OK</v>
      </c>
    </row>
    <row r="9748" spans="2:34" x14ac:dyDescent="0.2">
      <c r="B9748" s="2">
        <f ca="1"/>
        <v>7.4389571685479439E-2</v>
      </c>
      <c r="O9748" s="2">
        <f ca="1"/>
        <v>0.51071997461845886</v>
      </c>
      <c r="X9748" s="2">
        <f ca="1"/>
        <v>45.290935859419051</v>
      </c>
      <c r="AG9748" s="2">
        <f ca="1"/>
        <v>0.13714482846088427</v>
      </c>
      <c r="AH9748" s="2" t="str">
        <f ca="1"/>
        <v>OK</v>
      </c>
    </row>
    <row r="9749" spans="2:34" x14ac:dyDescent="0.2">
      <c r="B9749" s="2">
        <f ca="1"/>
        <v>0.94426894769026171</v>
      </c>
      <c r="O9749" s="2">
        <f ca="1"/>
        <v>1.1173546117860533</v>
      </c>
      <c r="X9749" s="2">
        <f ca="1"/>
        <v>36.414466171250758</v>
      </c>
      <c r="AG9749" s="2">
        <f ca="1"/>
        <v>0.20767644003466423</v>
      </c>
      <c r="AH9749" s="2" t="str">
        <f ca="1"/>
        <v>OK</v>
      </c>
    </row>
    <row r="9750" spans="2:34" x14ac:dyDescent="0.2">
      <c r="B9750" s="2">
        <f ca="1"/>
        <v>0.77631448687018745</v>
      </c>
      <c r="O9750" s="2">
        <f ca="1"/>
        <v>-0.58330367380839032</v>
      </c>
      <c r="X9750" s="2">
        <f ca="1"/>
        <v>67.709010823816882</v>
      </c>
      <c r="AG9750" s="2">
        <f ca="1"/>
        <v>0.6841947604333094</v>
      </c>
      <c r="AH9750" s="2" t="str">
        <f ca="1"/>
        <v>Bad</v>
      </c>
    </row>
    <row r="9751" spans="2:34" x14ac:dyDescent="0.2">
      <c r="B9751" s="2">
        <f ca="1"/>
        <v>5.7732304045301275E-2</v>
      </c>
      <c r="O9751" s="2">
        <f ca="1"/>
        <v>2.101174063072921</v>
      </c>
      <c r="X9751" s="2">
        <f ca="1"/>
        <v>39.974593585915812</v>
      </c>
      <c r="AG9751" s="2">
        <f ca="1"/>
        <v>0.51344663357249898</v>
      </c>
      <c r="AH9751" s="2" t="str">
        <f ca="1"/>
        <v>Bad</v>
      </c>
    </row>
    <row r="9752" spans="2:34" x14ac:dyDescent="0.2">
      <c r="B9752" s="2">
        <f ca="1"/>
        <v>0.79618874828599817</v>
      </c>
      <c r="O9752" s="2">
        <f ca="1"/>
        <v>-0.29986381061069606</v>
      </c>
      <c r="X9752" s="2">
        <f ca="1"/>
        <v>55.532126198708553</v>
      </c>
      <c r="AG9752" s="2">
        <f ca="1"/>
        <v>0.57822629777200119</v>
      </c>
      <c r="AH9752" s="2" t="str">
        <f ca="1"/>
        <v>Bad</v>
      </c>
    </row>
    <row r="9753" spans="2:34" x14ac:dyDescent="0.2">
      <c r="B9753" s="2">
        <f ca="1"/>
        <v>0.54640790814434026</v>
      </c>
      <c r="O9753" s="2">
        <f ca="1"/>
        <v>0.34828246027280529</v>
      </c>
      <c r="X9753" s="2">
        <f ca="1"/>
        <v>42.796870531313324</v>
      </c>
      <c r="AG9753" s="2">
        <f ca="1"/>
        <v>0.73213639703384858</v>
      </c>
      <c r="AH9753" s="2" t="str">
        <f ca="1"/>
        <v>Bad</v>
      </c>
    </row>
    <row r="9754" spans="2:34" x14ac:dyDescent="0.2">
      <c r="B9754" s="2">
        <f ca="1"/>
        <v>0.74530572013925012</v>
      </c>
      <c r="O9754" s="2">
        <f ca="1"/>
        <v>-0.1992895770397306</v>
      </c>
      <c r="X9754" s="2">
        <f ca="1"/>
        <v>73.159325178268062</v>
      </c>
      <c r="AG9754" s="2">
        <f ca="1"/>
        <v>8.7372034811628474E-2</v>
      </c>
      <c r="AH9754" s="2" t="str">
        <f ca="1"/>
        <v>OK</v>
      </c>
    </row>
    <row r="9755" spans="2:34" x14ac:dyDescent="0.2">
      <c r="B9755" s="2">
        <f ca="1"/>
        <v>0.75871332558724469</v>
      </c>
      <c r="O9755" s="2">
        <f ca="1"/>
        <v>1.0913722933375398</v>
      </c>
      <c r="X9755" s="2">
        <f ca="1"/>
        <v>45.078900984030525</v>
      </c>
      <c r="AG9755" s="2">
        <f ca="1"/>
        <v>0.30086041137395658</v>
      </c>
      <c r="AH9755" s="2" t="str">
        <f ca="1"/>
        <v>OK</v>
      </c>
    </row>
    <row r="9756" spans="2:34" x14ac:dyDescent="0.2">
      <c r="B9756" s="2">
        <f ca="1"/>
        <v>0.26378006333796211</v>
      </c>
      <c r="O9756" s="2">
        <f ca="1"/>
        <v>0.74792107694493903</v>
      </c>
      <c r="X9756" s="2">
        <f ca="1"/>
        <v>33.75293361240314</v>
      </c>
      <c r="AG9756" s="2">
        <f ca="1"/>
        <v>6.4555460521961372E-2</v>
      </c>
      <c r="AH9756" s="2" t="str">
        <f ca="1"/>
        <v>OK</v>
      </c>
    </row>
    <row r="9757" spans="2:34" x14ac:dyDescent="0.2">
      <c r="B9757" s="2">
        <f ca="1"/>
        <v>0.45201698940017154</v>
      </c>
      <c r="O9757" s="2">
        <f ca="1"/>
        <v>-0.68041647106255221</v>
      </c>
      <c r="X9757" s="2">
        <f ca="1"/>
        <v>94.987992985510857</v>
      </c>
      <c r="AG9757" s="2">
        <f ca="1"/>
        <v>0.89751542996541778</v>
      </c>
      <c r="AH9757" s="2" t="str">
        <f ca="1"/>
        <v>Bad</v>
      </c>
    </row>
    <row r="9758" spans="2:34" x14ac:dyDescent="0.2">
      <c r="B9758" s="2">
        <f ca="1"/>
        <v>0.46479001023880695</v>
      </c>
      <c r="O9758" s="2">
        <f ca="1"/>
        <v>-0.64372649801233539</v>
      </c>
      <c r="X9758" s="2">
        <f ca="1"/>
        <v>35.358181068255647</v>
      </c>
      <c r="AG9758" s="2">
        <f ca="1"/>
        <v>0.8084942982766854</v>
      </c>
      <c r="AH9758" s="2" t="str">
        <f ca="1"/>
        <v>Bad</v>
      </c>
    </row>
    <row r="9759" spans="2:34" x14ac:dyDescent="0.2">
      <c r="B9759" s="2">
        <f ca="1"/>
        <v>5.1323974506246817E-2</v>
      </c>
      <c r="O9759" s="2">
        <f ca="1"/>
        <v>2.7545070366199864</v>
      </c>
      <c r="X9759" s="2">
        <f ca="1"/>
        <v>37.944636117589326</v>
      </c>
      <c r="AG9759" s="2">
        <f ca="1"/>
        <v>0.29981895066103736</v>
      </c>
      <c r="AH9759" s="2" t="str">
        <f ca="1"/>
        <v>OK</v>
      </c>
    </row>
    <row r="9760" spans="2:34" x14ac:dyDescent="0.2">
      <c r="B9760" s="2">
        <f ca="1"/>
        <v>0.45516769617300512</v>
      </c>
      <c r="O9760" s="2">
        <f ca="1"/>
        <v>-0.39895680357931118</v>
      </c>
      <c r="X9760" s="2">
        <f ca="1"/>
        <v>70.781466093032904</v>
      </c>
      <c r="AG9760" s="2">
        <f ca="1"/>
        <v>0.13535181300053112</v>
      </c>
      <c r="AH9760" s="2" t="str">
        <f ca="1"/>
        <v>OK</v>
      </c>
    </row>
    <row r="9761" spans="2:34" x14ac:dyDescent="0.2">
      <c r="B9761" s="2">
        <f ca="1"/>
        <v>0.35873039553498787</v>
      </c>
      <c r="O9761" s="2">
        <f ca="1"/>
        <v>8.5557668130636019E-2</v>
      </c>
      <c r="X9761" s="2">
        <f ca="1"/>
        <v>44.922359568923355</v>
      </c>
      <c r="AG9761" s="2">
        <f ca="1"/>
        <v>0.39597230875224554</v>
      </c>
      <c r="AH9761" s="2" t="str">
        <f ca="1"/>
        <v>OK</v>
      </c>
    </row>
    <row r="9762" spans="2:34" x14ac:dyDescent="0.2">
      <c r="B9762" s="2">
        <f ca="1"/>
        <v>0.62796820041305823</v>
      </c>
      <c r="O9762" s="2">
        <f ca="1"/>
        <v>1.8454437128469507</v>
      </c>
      <c r="X9762" s="2">
        <f ca="1"/>
        <v>38.464822328657043</v>
      </c>
      <c r="AG9762" s="2">
        <f ca="1"/>
        <v>7.624639532937949E-2</v>
      </c>
      <c r="AH9762" s="2" t="str">
        <f ca="1"/>
        <v>OK</v>
      </c>
    </row>
    <row r="9763" spans="2:34" x14ac:dyDescent="0.2">
      <c r="B9763" s="2">
        <f ca="1"/>
        <v>0.57042783363978566</v>
      </c>
      <c r="O9763" s="2">
        <f ca="1"/>
        <v>1.5933870141494813</v>
      </c>
      <c r="X9763" s="2">
        <f ca="1"/>
        <v>43.687392114057729</v>
      </c>
      <c r="AG9763" s="2">
        <f ca="1"/>
        <v>0.95636532938229157</v>
      </c>
      <c r="AH9763" s="2" t="str">
        <f ca="1"/>
        <v>Bad</v>
      </c>
    </row>
    <row r="9764" spans="2:34" x14ac:dyDescent="0.2">
      <c r="B9764" s="2">
        <f ca="1"/>
        <v>0.25508595925976629</v>
      </c>
      <c r="O9764" s="2">
        <f ca="1"/>
        <v>2.4309001678655764</v>
      </c>
      <c r="X9764" s="2">
        <f ca="1"/>
        <v>38.120715697376497</v>
      </c>
      <c r="AG9764" s="2">
        <f ca="1"/>
        <v>0.20669192523280455</v>
      </c>
      <c r="AH9764" s="2" t="str">
        <f ca="1"/>
        <v>OK</v>
      </c>
    </row>
    <row r="9765" spans="2:34" x14ac:dyDescent="0.2">
      <c r="B9765" s="2">
        <f ca="1"/>
        <v>0.91655596029512942</v>
      </c>
      <c r="O9765" s="2">
        <f ca="1"/>
        <v>-1.0622649478989301</v>
      </c>
      <c r="X9765" s="2">
        <f ca="1"/>
        <v>23.173511917020335</v>
      </c>
      <c r="AG9765" s="2">
        <f ca="1"/>
        <v>0.80550924065570473</v>
      </c>
      <c r="AH9765" s="2" t="str">
        <f ca="1"/>
        <v>Bad</v>
      </c>
    </row>
    <row r="9766" spans="2:34" x14ac:dyDescent="0.2">
      <c r="B9766" s="2">
        <f ca="1"/>
        <v>0.30506848541761933</v>
      </c>
      <c r="O9766" s="2">
        <f ca="1"/>
        <v>0.47870585478484506</v>
      </c>
      <c r="X9766" s="2">
        <f ca="1"/>
        <v>45.473355759731916</v>
      </c>
      <c r="AG9766" s="2">
        <f ca="1"/>
        <v>0.96849734776364982</v>
      </c>
      <c r="AH9766" s="2" t="str">
        <f ca="1"/>
        <v>Bad</v>
      </c>
    </row>
    <row r="9767" spans="2:34" x14ac:dyDescent="0.2">
      <c r="B9767" s="2">
        <f ca="1"/>
        <v>0.13503111051831551</v>
      </c>
      <c r="O9767" s="2">
        <f ca="1"/>
        <v>-0.90070364568855699</v>
      </c>
      <c r="X9767" s="2">
        <f ca="1"/>
        <v>46.48240753706483</v>
      </c>
      <c r="AG9767" s="2">
        <f ca="1"/>
        <v>0.63627788352303027</v>
      </c>
      <c r="AH9767" s="2" t="str">
        <f ca="1"/>
        <v>Bad</v>
      </c>
    </row>
    <row r="9768" spans="2:34" x14ac:dyDescent="0.2">
      <c r="B9768" s="2">
        <f ca="1"/>
        <v>9.6721046148864342E-3</v>
      </c>
      <c r="O9768" s="2">
        <f ca="1"/>
        <v>1.1716880556412117</v>
      </c>
      <c r="X9768" s="2">
        <f ca="1"/>
        <v>37.573609506551911</v>
      </c>
      <c r="AG9768" s="2">
        <f ca="1"/>
        <v>0.73386177456019008</v>
      </c>
      <c r="AH9768" s="2" t="str">
        <f ca="1"/>
        <v>Bad</v>
      </c>
    </row>
    <row r="9769" spans="2:34" x14ac:dyDescent="0.2">
      <c r="B9769" s="2">
        <f ca="1"/>
        <v>0.77050967055221276</v>
      </c>
      <c r="O9769" s="2">
        <f ca="1"/>
        <v>-0.45377957885348574</v>
      </c>
      <c r="X9769" s="2">
        <f ca="1"/>
        <v>35.838799641780582</v>
      </c>
      <c r="AG9769" s="2">
        <f ca="1"/>
        <v>0.2880668136127309</v>
      </c>
      <c r="AH9769" s="2" t="str">
        <f ca="1"/>
        <v>OK</v>
      </c>
    </row>
    <row r="9770" spans="2:34" x14ac:dyDescent="0.2">
      <c r="B9770" s="2">
        <f ca="1"/>
        <v>8.0999436271085301E-3</v>
      </c>
      <c r="O9770" s="2">
        <f ca="1"/>
        <v>0.47977688441536487</v>
      </c>
      <c r="X9770" s="2">
        <f ca="1"/>
        <v>33.915804288938325</v>
      </c>
      <c r="AG9770" s="2">
        <f ca="1"/>
        <v>0.47413912778421552</v>
      </c>
      <c r="AH9770" s="2" t="str">
        <f ca="1"/>
        <v>Bad</v>
      </c>
    </row>
    <row r="9771" spans="2:34" x14ac:dyDescent="0.2">
      <c r="B9771" s="2">
        <f ca="1"/>
        <v>0.6255206010826988</v>
      </c>
      <c r="O9771" s="2">
        <f ca="1"/>
        <v>1.0301758903194473</v>
      </c>
      <c r="X9771" s="2">
        <f ca="1"/>
        <v>68.998633378415207</v>
      </c>
      <c r="AG9771" s="2">
        <f ca="1"/>
        <v>0.82638628528486091</v>
      </c>
      <c r="AH9771" s="2" t="str">
        <f ca="1"/>
        <v>Bad</v>
      </c>
    </row>
    <row r="9772" spans="2:34" x14ac:dyDescent="0.2">
      <c r="B9772" s="2">
        <f ca="1"/>
        <v>0.20241573801588419</v>
      </c>
      <c r="O9772" s="2">
        <f ca="1"/>
        <v>0.90519886893567014</v>
      </c>
      <c r="X9772" s="2">
        <f ca="1"/>
        <v>58.758011545132135</v>
      </c>
      <c r="AG9772" s="2">
        <f ca="1"/>
        <v>0.63089143588206253</v>
      </c>
      <c r="AH9772" s="2" t="str">
        <f ca="1"/>
        <v>Bad</v>
      </c>
    </row>
    <row r="9773" spans="2:34" x14ac:dyDescent="0.2">
      <c r="B9773" s="2">
        <f ca="1"/>
        <v>0.39295096135718577</v>
      </c>
      <c r="O9773" s="2">
        <f ca="1"/>
        <v>-0.85121640853274305</v>
      </c>
      <c r="X9773" s="2">
        <f ca="1"/>
        <v>20.152772347635597</v>
      </c>
      <c r="AG9773" s="2">
        <f ca="1"/>
        <v>0.19247478130217077</v>
      </c>
      <c r="AH9773" s="2" t="str">
        <f ca="1"/>
        <v>OK</v>
      </c>
    </row>
    <row r="9774" spans="2:34" x14ac:dyDescent="0.2">
      <c r="B9774" s="2">
        <f ca="1"/>
        <v>0.16626926726220037</v>
      </c>
      <c r="O9774" s="2">
        <f ca="1"/>
        <v>2.26348769903995</v>
      </c>
      <c r="X9774" s="2">
        <f ca="1"/>
        <v>72.17342766060996</v>
      </c>
      <c r="AG9774" s="2">
        <f ca="1"/>
        <v>0.9465141384819511</v>
      </c>
      <c r="AH9774" s="2" t="str">
        <f ca="1"/>
        <v>Bad</v>
      </c>
    </row>
    <row r="9775" spans="2:34" x14ac:dyDescent="0.2">
      <c r="B9775" s="2">
        <f ca="1"/>
        <v>0.47078502569495151</v>
      </c>
      <c r="O9775" s="2">
        <f ca="1"/>
        <v>0.29109399235598737</v>
      </c>
      <c r="X9775" s="2">
        <f ca="1"/>
        <v>48.80209716017653</v>
      </c>
      <c r="AG9775" s="2">
        <f ca="1"/>
        <v>0.37315600370535451</v>
      </c>
      <c r="AH9775" s="2" t="str">
        <f ca="1"/>
        <v>OK</v>
      </c>
    </row>
    <row r="9776" spans="2:34" x14ac:dyDescent="0.2">
      <c r="B9776" s="2">
        <f ca="1"/>
        <v>0.75717688072015421</v>
      </c>
      <c r="O9776" s="2">
        <f ca="1"/>
        <v>0.37561543708100587</v>
      </c>
      <c r="X9776" s="2">
        <f ca="1"/>
        <v>89.775308606697962</v>
      </c>
      <c r="AG9776" s="2">
        <f ca="1"/>
        <v>0.97643171996835276</v>
      </c>
      <c r="AH9776" s="2" t="str">
        <f ca="1"/>
        <v>Bad</v>
      </c>
    </row>
    <row r="9777" spans="2:34" x14ac:dyDescent="0.2">
      <c r="B9777" s="2">
        <f ca="1"/>
        <v>0.12219526276270676</v>
      </c>
      <c r="O9777" s="2">
        <f ca="1"/>
        <v>0.59188739396860146</v>
      </c>
      <c r="X9777" s="2">
        <f ca="1"/>
        <v>32.921709554600646</v>
      </c>
      <c r="AG9777" s="2">
        <f ca="1"/>
        <v>0.96636917552873092</v>
      </c>
      <c r="AH9777" s="2" t="str">
        <f ca="1"/>
        <v>Bad</v>
      </c>
    </row>
    <row r="9778" spans="2:34" x14ac:dyDescent="0.2">
      <c r="B9778" s="2">
        <f ca="1"/>
        <v>0.29866776378398074</v>
      </c>
      <c r="O9778" s="2">
        <f ca="1"/>
        <v>1.3725400114589432</v>
      </c>
      <c r="X9778" s="2">
        <f ca="1"/>
        <v>46.169213499236967</v>
      </c>
      <c r="AG9778" s="2">
        <f ca="1"/>
        <v>0.53559966334321296</v>
      </c>
      <c r="AH9778" s="2" t="str">
        <f ca="1"/>
        <v>Bad</v>
      </c>
    </row>
    <row r="9779" spans="2:34" x14ac:dyDescent="0.2">
      <c r="B9779" s="2">
        <f ca="1"/>
        <v>0.69951466558763831</v>
      </c>
      <c r="O9779" s="2">
        <f ca="1"/>
        <v>1.7241393827579037</v>
      </c>
      <c r="X9779" s="2">
        <f ca="1"/>
        <v>75.052458215948818</v>
      </c>
      <c r="AG9779" s="2">
        <f ca="1"/>
        <v>0.81258837808854523</v>
      </c>
      <c r="AH9779" s="2" t="str">
        <f ca="1"/>
        <v>Bad</v>
      </c>
    </row>
    <row r="9780" spans="2:34" x14ac:dyDescent="0.2">
      <c r="B9780" s="2">
        <f ca="1"/>
        <v>0.47775672496618071</v>
      </c>
      <c r="O9780" s="2">
        <f ca="1"/>
        <v>-0.71171530146667839</v>
      </c>
      <c r="X9780" s="2">
        <f ca="1"/>
        <v>26.325740777092392</v>
      </c>
      <c r="AG9780" s="2">
        <f ca="1"/>
        <v>0.87332049254686472</v>
      </c>
      <c r="AH9780" s="2" t="str">
        <f ca="1"/>
        <v>Bad</v>
      </c>
    </row>
    <row r="9781" spans="2:34" x14ac:dyDescent="0.2">
      <c r="B9781" s="2">
        <f ca="1"/>
        <v>0.819719211314339</v>
      </c>
      <c r="O9781" s="2">
        <f ca="1"/>
        <v>-0.84435389295800134</v>
      </c>
      <c r="X9781" s="2">
        <f ca="1"/>
        <v>55.277178278477308</v>
      </c>
      <c r="AG9781" s="2">
        <f ca="1"/>
        <v>0.16294219278222144</v>
      </c>
      <c r="AH9781" s="2" t="str">
        <f ca="1"/>
        <v>OK</v>
      </c>
    </row>
    <row r="9782" spans="2:34" x14ac:dyDescent="0.2">
      <c r="B9782" s="2">
        <f ca="1"/>
        <v>0.42195288214947801</v>
      </c>
      <c r="O9782" s="2">
        <f ca="1"/>
        <v>-3.6343351440174141</v>
      </c>
      <c r="X9782" s="2">
        <f ca="1"/>
        <v>57.835408301508018</v>
      </c>
      <c r="AG9782" s="2">
        <f ca="1"/>
        <v>0.16882020060258052</v>
      </c>
      <c r="AH9782" s="2" t="str">
        <f ca="1"/>
        <v>OK</v>
      </c>
    </row>
    <row r="9783" spans="2:34" x14ac:dyDescent="0.2">
      <c r="B9783" s="2">
        <f ca="1"/>
        <v>0.98733622107927221</v>
      </c>
      <c r="O9783" s="2">
        <f ca="1"/>
        <v>0.53064634219189377</v>
      </c>
      <c r="X9783" s="2">
        <f ca="1"/>
        <v>71.110582093789418</v>
      </c>
      <c r="AG9783" s="2">
        <f ca="1"/>
        <v>0.14625474060105215</v>
      </c>
      <c r="AH9783" s="2" t="str">
        <f ca="1"/>
        <v>OK</v>
      </c>
    </row>
    <row r="9784" spans="2:34" x14ac:dyDescent="0.2">
      <c r="B9784" s="2">
        <f ca="1"/>
        <v>0.11131172503024089</v>
      </c>
      <c r="O9784" s="2">
        <f ca="1"/>
        <v>1.0958310047828927</v>
      </c>
      <c r="X9784" s="2">
        <f ca="1"/>
        <v>51.457155882630651</v>
      </c>
      <c r="AG9784" s="2">
        <f ca="1"/>
        <v>0.47986338343366741</v>
      </c>
      <c r="AH9784" s="2" t="str">
        <f ca="1"/>
        <v>Bad</v>
      </c>
    </row>
    <row r="9785" spans="2:34" x14ac:dyDescent="0.2">
      <c r="B9785" s="2">
        <f ca="1"/>
        <v>0.17690108783784653</v>
      </c>
      <c r="O9785" s="2">
        <f ca="1"/>
        <v>-1.3083087196042638</v>
      </c>
      <c r="X9785" s="2">
        <f ca="1"/>
        <v>66.767242672540007</v>
      </c>
      <c r="AG9785" s="2">
        <f ca="1"/>
        <v>0.23928240512529775</v>
      </c>
      <c r="AH9785" s="2" t="str">
        <f ca="1"/>
        <v>OK</v>
      </c>
    </row>
    <row r="9786" spans="2:34" x14ac:dyDescent="0.2">
      <c r="B9786" s="2">
        <f ca="1"/>
        <v>0.59242999974849631</v>
      </c>
      <c r="O9786" s="2">
        <f ca="1"/>
        <v>-0.35950795897437898</v>
      </c>
      <c r="X9786" s="2">
        <f ca="1"/>
        <v>55.105966551105745</v>
      </c>
      <c r="AG9786" s="2">
        <f ca="1"/>
        <v>0.31290982776366261</v>
      </c>
      <c r="AH9786" s="2" t="str">
        <f ca="1"/>
        <v>OK</v>
      </c>
    </row>
    <row r="9787" spans="2:34" x14ac:dyDescent="0.2">
      <c r="B9787" s="2">
        <f ca="1"/>
        <v>0.27853223661682902</v>
      </c>
      <c r="O9787" s="2">
        <f ca="1"/>
        <v>-0.56443197033934722</v>
      </c>
      <c r="X9787" s="2">
        <f ca="1"/>
        <v>37.35722392616384</v>
      </c>
      <c r="AG9787" s="2">
        <f ca="1"/>
        <v>0.14766308452167531</v>
      </c>
      <c r="AH9787" s="2" t="str">
        <f ca="1"/>
        <v>OK</v>
      </c>
    </row>
    <row r="9788" spans="2:34" x14ac:dyDescent="0.2">
      <c r="B9788" s="2">
        <f ca="1"/>
        <v>0.55141391385692673</v>
      </c>
      <c r="O9788" s="2">
        <f ca="1"/>
        <v>2.0460584054698834</v>
      </c>
      <c r="X9788" s="2">
        <f ca="1"/>
        <v>54.15428188673544</v>
      </c>
      <c r="AG9788" s="2">
        <f ca="1"/>
        <v>0.19994932942339472</v>
      </c>
      <c r="AH9788" s="2" t="str">
        <f ca="1"/>
        <v>OK</v>
      </c>
    </row>
    <row r="9789" spans="2:34" x14ac:dyDescent="0.2">
      <c r="B9789" s="2">
        <f ca="1"/>
        <v>0.46909401365378312</v>
      </c>
      <c r="O9789" s="2">
        <f ca="1"/>
        <v>0.69686837387486666</v>
      </c>
      <c r="X9789" s="2">
        <f ca="1"/>
        <v>49.048589725482692</v>
      </c>
      <c r="AG9789" s="2">
        <f ca="1"/>
        <v>0.39282742176595065</v>
      </c>
      <c r="AH9789" s="2" t="str">
        <f ca="1"/>
        <v>OK</v>
      </c>
    </row>
    <row r="9790" spans="2:34" x14ac:dyDescent="0.2">
      <c r="B9790" s="2">
        <f ca="1"/>
        <v>2.9660165151570883E-2</v>
      </c>
      <c r="O9790" s="2">
        <f ca="1"/>
        <v>-1.6517239860393749</v>
      </c>
      <c r="X9790" s="2">
        <f ca="1"/>
        <v>52.039013775277994</v>
      </c>
      <c r="AG9790" s="2">
        <f ca="1"/>
        <v>0.97420505233110277</v>
      </c>
      <c r="AH9790" s="2" t="str">
        <f ca="1"/>
        <v>Bad</v>
      </c>
    </row>
    <row r="9791" spans="2:34" x14ac:dyDescent="0.2">
      <c r="B9791" s="2">
        <f ca="1"/>
        <v>0.88356669059829618</v>
      </c>
      <c r="O9791" s="2">
        <f ca="1"/>
        <v>-1.5550757629960859</v>
      </c>
      <c r="X9791" s="2">
        <f ca="1"/>
        <v>76.184963754988772</v>
      </c>
      <c r="AG9791" s="2">
        <f ca="1"/>
        <v>0.88933129452228243</v>
      </c>
      <c r="AH9791" s="2" t="str">
        <f ca="1"/>
        <v>Bad</v>
      </c>
    </row>
    <row r="9792" spans="2:34" x14ac:dyDescent="0.2">
      <c r="B9792" s="2">
        <f ca="1"/>
        <v>0.93012170014254436</v>
      </c>
      <c r="O9792" s="2">
        <f ca="1"/>
        <v>0.22847919659149038</v>
      </c>
      <c r="X9792" s="2">
        <f ca="1"/>
        <v>73.235001588803868</v>
      </c>
      <c r="AG9792" s="2">
        <f ca="1"/>
        <v>0.78673968818291384</v>
      </c>
      <c r="AH9792" s="2" t="str">
        <f ca="1"/>
        <v>Bad</v>
      </c>
    </row>
    <row r="9793" spans="2:34" x14ac:dyDescent="0.2">
      <c r="B9793" s="2">
        <f ca="1"/>
        <v>8.7164899806765783E-2</v>
      </c>
      <c r="O9793" s="2">
        <f ca="1"/>
        <v>-1.4300665074618921</v>
      </c>
      <c r="X9793" s="2">
        <f ca="1"/>
        <v>46.669074423585563</v>
      </c>
      <c r="AG9793" s="2">
        <f ca="1"/>
        <v>0.30819079372250391</v>
      </c>
      <c r="AH9793" s="2" t="str">
        <f ca="1"/>
        <v>OK</v>
      </c>
    </row>
    <row r="9794" spans="2:34" x14ac:dyDescent="0.2">
      <c r="B9794" s="2">
        <f ca="1"/>
        <v>0.42745796955943938</v>
      </c>
      <c r="O9794" s="2">
        <f ca="1"/>
        <v>1.1003009701623903</v>
      </c>
      <c r="X9794" s="2">
        <f ca="1"/>
        <v>54.222948406565898</v>
      </c>
      <c r="AG9794" s="2">
        <f ca="1"/>
        <v>0.32598155128342698</v>
      </c>
      <c r="AH9794" s="2" t="str">
        <f ca="1"/>
        <v>OK</v>
      </c>
    </row>
    <row r="9795" spans="2:34" x14ac:dyDescent="0.2">
      <c r="B9795" s="2">
        <f ca="1"/>
        <v>0.29511545594993471</v>
      </c>
      <c r="O9795" s="2">
        <f ca="1"/>
        <v>0.33917419515958547</v>
      </c>
      <c r="X9795" s="2">
        <f ca="1"/>
        <v>41.565259268012994</v>
      </c>
      <c r="AG9795" s="2">
        <f ca="1"/>
        <v>0.22234352381095213</v>
      </c>
      <c r="AH9795" s="2" t="str">
        <f ca="1"/>
        <v>OK</v>
      </c>
    </row>
    <row r="9796" spans="2:34" x14ac:dyDescent="0.2">
      <c r="B9796" s="2">
        <f ca="1"/>
        <v>0.22821670347056267</v>
      </c>
      <c r="O9796" s="2">
        <f ca="1"/>
        <v>1.911039706586636</v>
      </c>
      <c r="X9796" s="2">
        <f ca="1"/>
        <v>39.612134215599141</v>
      </c>
      <c r="AG9796" s="2">
        <f ca="1"/>
        <v>0.68113641753698873</v>
      </c>
      <c r="AH9796" s="2" t="str">
        <f ca="1"/>
        <v>Bad</v>
      </c>
    </row>
    <row r="9797" spans="2:34" x14ac:dyDescent="0.2">
      <c r="B9797" s="2">
        <f ca="1"/>
        <v>0.18504187680571982</v>
      </c>
      <c r="O9797" s="2">
        <f ca="1"/>
        <v>-0.18407298724398719</v>
      </c>
      <c r="X9797" s="2">
        <f ca="1"/>
        <v>62.758598957324168</v>
      </c>
      <c r="AG9797" s="2">
        <f ca="1"/>
        <v>0.10491890406409521</v>
      </c>
      <c r="AH9797" s="2" t="str">
        <f ca="1"/>
        <v>OK</v>
      </c>
    </row>
    <row r="9798" spans="2:34" x14ac:dyDescent="0.2">
      <c r="B9798" s="2">
        <f ca="1"/>
        <v>0.97216235234988546</v>
      </c>
      <c r="O9798" s="2">
        <f ca="1"/>
        <v>-0.33621819655454677</v>
      </c>
      <c r="X9798" s="2">
        <f ca="1"/>
        <v>73.39296781570728</v>
      </c>
      <c r="AG9798" s="2">
        <f ca="1"/>
        <v>0.2577597910759224</v>
      </c>
      <c r="AH9798" s="2" t="str">
        <f ca="1"/>
        <v>OK</v>
      </c>
    </row>
    <row r="9799" spans="2:34" x14ac:dyDescent="0.2">
      <c r="B9799" s="2">
        <f ca="1"/>
        <v>0.63654803619493006</v>
      </c>
      <c r="O9799" s="2">
        <f ca="1"/>
        <v>-0.63303685860984715</v>
      </c>
      <c r="X9799" s="2">
        <f ca="1"/>
        <v>49.552585955190764</v>
      </c>
      <c r="AG9799" s="2">
        <f ca="1"/>
        <v>0.28283729966482474</v>
      </c>
      <c r="AH9799" s="2" t="str">
        <f ca="1"/>
        <v>OK</v>
      </c>
    </row>
    <row r="9800" spans="2:34" x14ac:dyDescent="0.2">
      <c r="B9800" s="2">
        <f ca="1"/>
        <v>0.52391503150980934</v>
      </c>
      <c r="O9800" s="2">
        <f ca="1"/>
        <v>-0.31340296637931653</v>
      </c>
      <c r="X9800" s="2">
        <f ca="1"/>
        <v>21.871326053653597</v>
      </c>
      <c r="AG9800" s="2">
        <f ca="1"/>
        <v>0.90354213423265506</v>
      </c>
      <c r="AH9800" s="2" t="str">
        <f ca="1"/>
        <v>Bad</v>
      </c>
    </row>
    <row r="9801" spans="2:34" x14ac:dyDescent="0.2">
      <c r="B9801" s="2">
        <f ca="1"/>
        <v>0.74940640784470758</v>
      </c>
      <c r="O9801" s="2">
        <f ca="1"/>
        <v>1.4998211649272459</v>
      </c>
      <c r="X9801" s="2">
        <f ca="1"/>
        <v>34.634608781396452</v>
      </c>
      <c r="AG9801" s="2">
        <f ca="1"/>
        <v>0.89518940485810194</v>
      </c>
      <c r="AH9801" s="2" t="str">
        <f ca="1"/>
        <v>Bad</v>
      </c>
    </row>
    <row r="9802" spans="2:34" x14ac:dyDescent="0.2">
      <c r="B9802" s="2">
        <f ca="1"/>
        <v>1.1989106572416919E-2</v>
      </c>
      <c r="O9802" s="2">
        <f ca="1"/>
        <v>0.59752697256668663</v>
      </c>
      <c r="X9802" s="2">
        <f ca="1"/>
        <v>40.539482684925147</v>
      </c>
      <c r="AG9802" s="2">
        <f ca="1"/>
        <v>0.558283292455102</v>
      </c>
      <c r="AH9802" s="2" t="str">
        <f ca="1"/>
        <v>Bad</v>
      </c>
    </row>
    <row r="9803" spans="2:34" x14ac:dyDescent="0.2">
      <c r="B9803" s="2">
        <f ca="1"/>
        <v>8.9009927590448124E-2</v>
      </c>
      <c r="O9803" s="2">
        <f ca="1"/>
        <v>1.2314019702193906</v>
      </c>
      <c r="X9803" s="2">
        <f ca="1"/>
        <v>56.95890872810083</v>
      </c>
      <c r="AG9803" s="2">
        <f ca="1"/>
        <v>9.9926474970854828E-2</v>
      </c>
      <c r="AH9803" s="2" t="str">
        <f ca="1"/>
        <v>OK</v>
      </c>
    </row>
    <row r="9804" spans="2:34" x14ac:dyDescent="0.2">
      <c r="B9804" s="2">
        <f ca="1"/>
        <v>4.5641626544440594E-2</v>
      </c>
      <c r="O9804" s="2">
        <f ca="1"/>
        <v>0.88620756312057924</v>
      </c>
      <c r="X9804" s="2">
        <f ca="1"/>
        <v>31.61916488615633</v>
      </c>
      <c r="AG9804" s="2">
        <f ca="1"/>
        <v>0.79824780060790101</v>
      </c>
      <c r="AH9804" s="2" t="str">
        <f ca="1"/>
        <v>Bad</v>
      </c>
    </row>
    <row r="9805" spans="2:34" x14ac:dyDescent="0.2">
      <c r="B9805" s="2">
        <f ca="1"/>
        <v>0.28779132106398397</v>
      </c>
      <c r="O9805" s="2">
        <f ca="1"/>
        <v>0.78536709534609284</v>
      </c>
      <c r="X9805" s="2">
        <f ca="1"/>
        <v>57.075493614050941</v>
      </c>
      <c r="AG9805" s="2">
        <f ca="1"/>
        <v>2.6384472911007428E-2</v>
      </c>
      <c r="AH9805" s="2" t="str">
        <f ca="1"/>
        <v>Good</v>
      </c>
    </row>
    <row r="9806" spans="2:34" x14ac:dyDescent="0.2">
      <c r="B9806" s="2">
        <f ca="1"/>
        <v>0.7119283556256637</v>
      </c>
      <c r="O9806" s="2">
        <f ca="1"/>
        <v>0.91323810407365191</v>
      </c>
      <c r="X9806" s="2">
        <f ca="1"/>
        <v>55.238465063788802</v>
      </c>
      <c r="AG9806" s="2">
        <f ca="1"/>
        <v>0.40062788841918962</v>
      </c>
      <c r="AH9806" s="2" t="str">
        <f ca="1"/>
        <v>Bad</v>
      </c>
    </row>
    <row r="9807" spans="2:34" x14ac:dyDescent="0.2">
      <c r="B9807" s="2">
        <f ca="1"/>
        <v>0.5381984574319183</v>
      </c>
      <c r="O9807" s="2">
        <f ca="1"/>
        <v>2.0277186376071277</v>
      </c>
      <c r="X9807" s="2">
        <f ca="1"/>
        <v>83.358900646014291</v>
      </c>
      <c r="AG9807" s="2">
        <f ca="1"/>
        <v>0.34646005418084158</v>
      </c>
      <c r="AH9807" s="2" t="str">
        <f ca="1"/>
        <v>OK</v>
      </c>
    </row>
    <row r="9808" spans="2:34" x14ac:dyDescent="0.2">
      <c r="B9808" s="2">
        <f ca="1"/>
        <v>0.95209145293052488</v>
      </c>
      <c r="O9808" s="2">
        <f ca="1"/>
        <v>0.24046149143885034</v>
      </c>
      <c r="X9808" s="2">
        <f ca="1"/>
        <v>42.561583786547118</v>
      </c>
      <c r="AG9808" s="2">
        <f ca="1"/>
        <v>0.62054872918640402</v>
      </c>
      <c r="AH9808" s="2" t="str">
        <f ca="1"/>
        <v>Bad</v>
      </c>
    </row>
    <row r="9809" spans="2:34" x14ac:dyDescent="0.2">
      <c r="B9809" s="2">
        <f ca="1"/>
        <v>0.25494570280872053</v>
      </c>
      <c r="O9809" s="2">
        <f ca="1"/>
        <v>-0.15792185447593343</v>
      </c>
      <c r="X9809" s="2">
        <f ca="1"/>
        <v>46.546695195419083</v>
      </c>
      <c r="AG9809" s="2">
        <f ca="1"/>
        <v>0.23012261645915011</v>
      </c>
      <c r="AH9809" s="2" t="str">
        <f ca="1"/>
        <v>OK</v>
      </c>
    </row>
    <row r="9810" spans="2:34" x14ac:dyDescent="0.2">
      <c r="B9810" s="2">
        <f ca="1"/>
        <v>0.37473196274937082</v>
      </c>
      <c r="O9810" s="2">
        <f ca="1"/>
        <v>-0.76197618096517439</v>
      </c>
      <c r="X9810" s="2">
        <f ca="1"/>
        <v>29.631569356101643</v>
      </c>
      <c r="AG9810" s="2">
        <f ca="1"/>
        <v>0.42803916159128796</v>
      </c>
      <c r="AH9810" s="2" t="str">
        <f ca="1"/>
        <v>Bad</v>
      </c>
    </row>
    <row r="9811" spans="2:34" x14ac:dyDescent="0.2">
      <c r="B9811" s="2">
        <f ca="1"/>
        <v>0.39505772904762559</v>
      </c>
      <c r="O9811" s="2">
        <f ca="1"/>
        <v>-2.1722057823681635</v>
      </c>
      <c r="X9811" s="2">
        <f ca="1"/>
        <v>50.411287672501182</v>
      </c>
      <c r="AG9811" s="2">
        <f ca="1"/>
        <v>0.9035724448145328</v>
      </c>
      <c r="AH9811" s="2" t="str">
        <f ca="1"/>
        <v>Bad</v>
      </c>
    </row>
    <row r="9812" spans="2:34" x14ac:dyDescent="0.2">
      <c r="B9812" s="2">
        <f ca="1"/>
        <v>0.30700076053785885</v>
      </c>
      <c r="O9812" s="2">
        <f ca="1"/>
        <v>1.2137870185981325</v>
      </c>
      <c r="X9812" s="2">
        <f ca="1"/>
        <v>45.272008529267922</v>
      </c>
      <c r="AG9812" s="2">
        <f ca="1"/>
        <v>0.37604318780379575</v>
      </c>
      <c r="AH9812" s="2" t="str">
        <f ca="1"/>
        <v>OK</v>
      </c>
    </row>
    <row r="9813" spans="2:34" x14ac:dyDescent="0.2">
      <c r="B9813" s="2">
        <f ca="1"/>
        <v>0.84262171719600554</v>
      </c>
      <c r="O9813" s="2">
        <f ca="1"/>
        <v>-0.27720353612242954</v>
      </c>
      <c r="X9813" s="2">
        <f ca="1"/>
        <v>55.547397596736083</v>
      </c>
      <c r="AG9813" s="2">
        <f ca="1"/>
        <v>0.26428919660751071</v>
      </c>
      <c r="AH9813" s="2" t="str">
        <f ca="1"/>
        <v>OK</v>
      </c>
    </row>
    <row r="9814" spans="2:34" x14ac:dyDescent="0.2">
      <c r="B9814" s="2">
        <f ca="1"/>
        <v>0.90443838318748804</v>
      </c>
      <c r="O9814" s="2">
        <f ca="1"/>
        <v>1.1242810565658885</v>
      </c>
      <c r="X9814" s="2">
        <f ca="1"/>
        <v>32.225542376258034</v>
      </c>
      <c r="AG9814" s="2">
        <f ca="1"/>
        <v>0.83758012565931939</v>
      </c>
      <c r="AH9814" s="2" t="str">
        <f ca="1"/>
        <v>Bad</v>
      </c>
    </row>
    <row r="9815" spans="2:34" x14ac:dyDescent="0.2">
      <c r="B9815" s="2">
        <f ca="1"/>
        <v>0.60346466273899235</v>
      </c>
      <c r="O9815" s="2">
        <f ca="1"/>
        <v>2.7454103589171845</v>
      </c>
      <c r="X9815" s="2">
        <f ca="1"/>
        <v>46.02314964093695</v>
      </c>
      <c r="AG9815" s="2">
        <f ca="1"/>
        <v>0.74745077836672946</v>
      </c>
      <c r="AH9815" s="2" t="str">
        <f ca="1"/>
        <v>Bad</v>
      </c>
    </row>
    <row r="9816" spans="2:34" x14ac:dyDescent="0.2">
      <c r="B9816" s="2">
        <f ca="1"/>
        <v>0.71197355769546466</v>
      </c>
      <c r="O9816" s="2">
        <f ca="1"/>
        <v>-0.81833167137973928</v>
      </c>
      <c r="X9816" s="2">
        <f ca="1"/>
        <v>46.308978005320881</v>
      </c>
      <c r="AG9816" s="2">
        <f ca="1"/>
        <v>0.48945681218270964</v>
      </c>
      <c r="AH9816" s="2" t="str">
        <f ca="1"/>
        <v>Bad</v>
      </c>
    </row>
    <row r="9817" spans="2:34" x14ac:dyDescent="0.2">
      <c r="B9817" s="2">
        <f ca="1"/>
        <v>0.57071596327742347</v>
      </c>
      <c r="O9817" s="2">
        <f ca="1"/>
        <v>-1.209279363275406</v>
      </c>
      <c r="X9817" s="2">
        <f ca="1"/>
        <v>31.802818978957376</v>
      </c>
      <c r="AG9817" s="2">
        <f ca="1"/>
        <v>0.64486889474052989</v>
      </c>
      <c r="AH9817" s="2" t="str">
        <f ca="1"/>
        <v>Bad</v>
      </c>
    </row>
    <row r="9818" spans="2:34" x14ac:dyDescent="0.2">
      <c r="B9818" s="2">
        <f ca="1"/>
        <v>0.58908514764195807</v>
      </c>
      <c r="O9818" s="2">
        <f ca="1"/>
        <v>0.65222137125094859</v>
      </c>
      <c r="X9818" s="2">
        <f ca="1"/>
        <v>30.570217212177631</v>
      </c>
      <c r="AG9818" s="2">
        <f ca="1"/>
        <v>0.26089911625500939</v>
      </c>
      <c r="AH9818" s="2" t="str">
        <f ca="1"/>
        <v>OK</v>
      </c>
    </row>
    <row r="9819" spans="2:34" x14ac:dyDescent="0.2">
      <c r="B9819" s="2">
        <f ca="1"/>
        <v>0.91223823659608949</v>
      </c>
      <c r="O9819" s="2">
        <f ca="1"/>
        <v>0.95229981524572149</v>
      </c>
      <c r="X9819" s="2">
        <f ca="1"/>
        <v>72.302405432742262</v>
      </c>
      <c r="AG9819" s="2">
        <f ca="1"/>
        <v>0.7280617642552254</v>
      </c>
      <c r="AH9819" s="2" t="str">
        <f ca="1"/>
        <v>Bad</v>
      </c>
    </row>
    <row r="9820" spans="2:34" x14ac:dyDescent="0.2">
      <c r="B9820" s="2">
        <f ca="1"/>
        <v>0.38608392226781096</v>
      </c>
      <c r="O9820" s="2">
        <f ca="1"/>
        <v>1.3526162380372502</v>
      </c>
      <c r="X9820" s="2">
        <f ca="1"/>
        <v>55.183346017214959</v>
      </c>
      <c r="AG9820" s="2">
        <f ca="1"/>
        <v>0.36401549148479528</v>
      </c>
      <c r="AH9820" s="2" t="str">
        <f ca="1"/>
        <v>OK</v>
      </c>
    </row>
    <row r="9821" spans="2:34" x14ac:dyDescent="0.2">
      <c r="B9821" s="2">
        <f ca="1"/>
        <v>0.6521769311914476</v>
      </c>
      <c r="O9821" s="2">
        <f ca="1"/>
        <v>-1.7401959033518302</v>
      </c>
      <c r="X9821" s="2">
        <f ca="1"/>
        <v>39.033954701561463</v>
      </c>
      <c r="AG9821" s="2">
        <f ca="1"/>
        <v>0.59727741596817374</v>
      </c>
      <c r="AH9821" s="2" t="str">
        <f ca="1"/>
        <v>Bad</v>
      </c>
    </row>
    <row r="9822" spans="2:34" x14ac:dyDescent="0.2">
      <c r="B9822" s="2">
        <f ca="1"/>
        <v>0.23854482966368273</v>
      </c>
      <c r="O9822" s="2">
        <f ca="1"/>
        <v>-0.42583528480494587</v>
      </c>
      <c r="X9822" s="2">
        <f ca="1"/>
        <v>88.089679504435281</v>
      </c>
      <c r="AG9822" s="2">
        <f ca="1"/>
        <v>0.92628149474934807</v>
      </c>
      <c r="AH9822" s="2" t="str">
        <f ca="1"/>
        <v>Bad</v>
      </c>
    </row>
    <row r="9823" spans="2:34" x14ac:dyDescent="0.2">
      <c r="B9823" s="2">
        <f ca="1"/>
        <v>0.39509413615368483</v>
      </c>
      <c r="O9823" s="2">
        <f ca="1"/>
        <v>-0.17341228484262547</v>
      </c>
      <c r="X9823" s="2">
        <f ca="1"/>
        <v>42.681704741808218</v>
      </c>
      <c r="AG9823" s="2">
        <f ca="1"/>
        <v>0.94134400391850614</v>
      </c>
      <c r="AH9823" s="2" t="str">
        <f ca="1"/>
        <v>Bad</v>
      </c>
    </row>
    <row r="9824" spans="2:34" x14ac:dyDescent="0.2">
      <c r="B9824" s="2">
        <f ca="1"/>
        <v>0.29438839435069464</v>
      </c>
      <c r="O9824" s="2">
        <f ca="1"/>
        <v>-0.53488337688254473</v>
      </c>
      <c r="X9824" s="2">
        <f ca="1"/>
        <v>53.142285188930629</v>
      </c>
      <c r="AG9824" s="2">
        <f ca="1"/>
        <v>0.9813444893436658</v>
      </c>
      <c r="AH9824" s="2" t="str">
        <f ca="1"/>
        <v>Bad</v>
      </c>
    </row>
    <row r="9825" spans="2:34" x14ac:dyDescent="0.2">
      <c r="B9825" s="2">
        <f ca="1"/>
        <v>8.5274710659146713E-3</v>
      </c>
      <c r="O9825" s="2">
        <f ca="1"/>
        <v>1.7630238063769854</v>
      </c>
      <c r="X9825" s="2">
        <f ca="1"/>
        <v>56.008221495509211</v>
      </c>
      <c r="AG9825" s="2">
        <f ca="1"/>
        <v>0.788237388717826</v>
      </c>
      <c r="AH9825" s="2" t="str">
        <f ca="1"/>
        <v>Bad</v>
      </c>
    </row>
    <row r="9826" spans="2:34" x14ac:dyDescent="0.2">
      <c r="B9826" s="2">
        <f ca="1"/>
        <v>6.2267340053592912E-2</v>
      </c>
      <c r="O9826" s="2">
        <f ca="1"/>
        <v>-0.61125406142511507</v>
      </c>
      <c r="X9826" s="2">
        <f ca="1"/>
        <v>69.948321387392483</v>
      </c>
      <c r="AG9826" s="2">
        <f ca="1"/>
        <v>0.39982596129656289</v>
      </c>
      <c r="AH9826" s="2" t="str">
        <f ca="1"/>
        <v>OK</v>
      </c>
    </row>
    <row r="9827" spans="2:34" x14ac:dyDescent="0.2">
      <c r="B9827" s="2">
        <f ca="1"/>
        <v>0.17405978194824834</v>
      </c>
      <c r="O9827" s="2">
        <f ca="1"/>
        <v>-1.1931649769365497E-2</v>
      </c>
      <c r="X9827" s="2">
        <f ca="1"/>
        <v>31.798576289375507</v>
      </c>
      <c r="AG9827" s="2">
        <f ca="1"/>
        <v>0.39398219453958161</v>
      </c>
      <c r="AH9827" s="2" t="str">
        <f ca="1"/>
        <v>OK</v>
      </c>
    </row>
    <row r="9828" spans="2:34" x14ac:dyDescent="0.2">
      <c r="B9828" s="2">
        <f ca="1"/>
        <v>0.6062195398881276</v>
      </c>
      <c r="O9828" s="2">
        <f ca="1"/>
        <v>-0.89299767039581679</v>
      </c>
      <c r="X9828" s="2">
        <f ca="1"/>
        <v>87.597977914349471</v>
      </c>
      <c r="AG9828" s="2">
        <f ca="1"/>
        <v>0.38933597847562207</v>
      </c>
      <c r="AH9828" s="2" t="str">
        <f ca="1"/>
        <v>OK</v>
      </c>
    </row>
    <row r="9829" spans="2:34" x14ac:dyDescent="0.2">
      <c r="B9829" s="2">
        <f ca="1"/>
        <v>0.49361478504418055</v>
      </c>
      <c r="O9829" s="2">
        <f ca="1"/>
        <v>1.0252392972612383</v>
      </c>
      <c r="X9829" s="2">
        <f ca="1"/>
        <v>72.419128124961077</v>
      </c>
      <c r="AG9829" s="2">
        <f ca="1"/>
        <v>0.73398054236967991</v>
      </c>
      <c r="AH9829" s="2" t="str">
        <f ca="1"/>
        <v>Bad</v>
      </c>
    </row>
    <row r="9830" spans="2:34" x14ac:dyDescent="0.2">
      <c r="B9830" s="2">
        <f ca="1"/>
        <v>0.43255584654526191</v>
      </c>
      <c r="O9830" s="2">
        <f ca="1"/>
        <v>-0.39984982945586067</v>
      </c>
      <c r="X9830" s="2">
        <f ca="1"/>
        <v>114.47133803535519</v>
      </c>
      <c r="AG9830" s="2">
        <f ca="1"/>
        <v>0.86316074433751444</v>
      </c>
      <c r="AH9830" s="2" t="str">
        <f ca="1"/>
        <v>Bad</v>
      </c>
    </row>
    <row r="9831" spans="2:34" x14ac:dyDescent="0.2">
      <c r="B9831" s="2">
        <f ca="1"/>
        <v>0.10466404864874512</v>
      </c>
      <c r="O9831" s="2">
        <f ca="1"/>
        <v>-0.6321368233765372</v>
      </c>
      <c r="X9831" s="2">
        <f ca="1"/>
        <v>82.700543520821213</v>
      </c>
      <c r="AG9831" s="2">
        <f ca="1"/>
        <v>0.16954904188068687</v>
      </c>
      <c r="AH9831" s="2" t="str">
        <f ca="1"/>
        <v>OK</v>
      </c>
    </row>
    <row r="9832" spans="2:34" x14ac:dyDescent="0.2">
      <c r="B9832" s="2">
        <f ca="1"/>
        <v>0.77150632106484096</v>
      </c>
      <c r="O9832" s="2">
        <f ca="1"/>
        <v>0.52963761213256122</v>
      </c>
      <c r="X9832" s="2">
        <f ca="1"/>
        <v>51.460496629787599</v>
      </c>
      <c r="AG9832" s="2">
        <f ca="1"/>
        <v>0.49587160211096037</v>
      </c>
      <c r="AH9832" s="2" t="str">
        <f ca="1"/>
        <v>Bad</v>
      </c>
    </row>
    <row r="9833" spans="2:34" x14ac:dyDescent="0.2">
      <c r="B9833" s="2">
        <f ca="1"/>
        <v>0.3728362435730479</v>
      </c>
      <c r="O9833" s="2">
        <f ca="1"/>
        <v>0.297261020760337</v>
      </c>
      <c r="X9833" s="2">
        <f ca="1"/>
        <v>30.291536869140685</v>
      </c>
      <c r="AG9833" s="2">
        <f ca="1"/>
        <v>0.53012805567308696</v>
      </c>
      <c r="AH9833" s="2" t="str">
        <f ca="1"/>
        <v>Bad</v>
      </c>
    </row>
    <row r="9834" spans="2:34" x14ac:dyDescent="0.2">
      <c r="B9834" s="2">
        <f ca="1"/>
        <v>0.24548931985820621</v>
      </c>
      <c r="O9834" s="2">
        <f ca="1"/>
        <v>0.41928780777945901</v>
      </c>
      <c r="X9834" s="2">
        <f ca="1"/>
        <v>41.653022107867024</v>
      </c>
      <c r="AG9834" s="2">
        <f ca="1"/>
        <v>0.35517938244060798</v>
      </c>
      <c r="AH9834" s="2" t="str">
        <f ca="1"/>
        <v>OK</v>
      </c>
    </row>
    <row r="9835" spans="2:34" x14ac:dyDescent="0.2">
      <c r="B9835" s="2">
        <f ca="1"/>
        <v>0.72419894757701808</v>
      </c>
      <c r="O9835" s="2">
        <f ca="1"/>
        <v>-0.76947310180327366</v>
      </c>
      <c r="X9835" s="2">
        <f ca="1"/>
        <v>39.545755271297502</v>
      </c>
      <c r="AG9835" s="2">
        <f ca="1"/>
        <v>0.69745082178495044</v>
      </c>
      <c r="AH9835" s="2" t="str">
        <f ca="1"/>
        <v>Bad</v>
      </c>
    </row>
    <row r="9836" spans="2:34" x14ac:dyDescent="0.2">
      <c r="B9836" s="2">
        <f ca="1"/>
        <v>0.46608705825175467</v>
      </c>
      <c r="O9836" s="2">
        <f ca="1"/>
        <v>-1.0860048892679044</v>
      </c>
      <c r="X9836" s="2">
        <f ca="1"/>
        <v>41.914256149833989</v>
      </c>
      <c r="AG9836" s="2">
        <f ca="1"/>
        <v>0.52198383570607731</v>
      </c>
      <c r="AH9836" s="2" t="str">
        <f ca="1"/>
        <v>Bad</v>
      </c>
    </row>
    <row r="9837" spans="2:34" x14ac:dyDescent="0.2">
      <c r="B9837" s="2">
        <f ca="1"/>
        <v>0.61017466505483808</v>
      </c>
      <c r="O9837" s="2">
        <f ca="1"/>
        <v>0.37663347741011693</v>
      </c>
      <c r="X9837" s="2">
        <f ca="1"/>
        <v>65.433301925633771</v>
      </c>
      <c r="AG9837" s="2">
        <f ca="1"/>
        <v>0.90596205187155587</v>
      </c>
      <c r="AH9837" s="2" t="str">
        <f ca="1"/>
        <v>Bad</v>
      </c>
    </row>
    <row r="9838" spans="2:34" x14ac:dyDescent="0.2">
      <c r="B9838" s="2">
        <f ca="1"/>
        <v>0.56362568358346876</v>
      </c>
      <c r="O9838" s="2">
        <f ca="1"/>
        <v>8.8777535498561627E-2</v>
      </c>
      <c r="X9838" s="2">
        <f ca="1"/>
        <v>46.224555523561364</v>
      </c>
      <c r="AG9838" s="2">
        <f ca="1"/>
        <v>0.79280282150877501</v>
      </c>
      <c r="AH9838" s="2" t="str">
        <f ca="1"/>
        <v>Bad</v>
      </c>
    </row>
    <row r="9839" spans="2:34" x14ac:dyDescent="0.2">
      <c r="B9839" s="2">
        <f ca="1"/>
        <v>0.35392101166500223</v>
      </c>
      <c r="O9839" s="2">
        <f ca="1"/>
        <v>1.4535042152350279</v>
      </c>
      <c r="X9839" s="2">
        <f ca="1"/>
        <v>42.729551942335313</v>
      </c>
      <c r="AG9839" s="2">
        <f ca="1"/>
        <v>0.40478690937634232</v>
      </c>
      <c r="AH9839" s="2" t="str">
        <f ca="1"/>
        <v>Bad</v>
      </c>
    </row>
    <row r="9840" spans="2:34" x14ac:dyDescent="0.2">
      <c r="B9840" s="2">
        <f ca="1"/>
        <v>0.28561052852445923</v>
      </c>
      <c r="O9840" s="2">
        <f ca="1"/>
        <v>-0.41796614556719341</v>
      </c>
      <c r="X9840" s="2">
        <f ca="1"/>
        <v>54.114845124563089</v>
      </c>
      <c r="AG9840" s="2">
        <f ca="1"/>
        <v>0.85394116290324118</v>
      </c>
      <c r="AH9840" s="2" t="str">
        <f ca="1"/>
        <v>Bad</v>
      </c>
    </row>
    <row r="9841" spans="2:34" x14ac:dyDescent="0.2">
      <c r="B9841" s="2">
        <f ca="1"/>
        <v>0.76879747392496189</v>
      </c>
      <c r="O9841" s="2">
        <f ca="1"/>
        <v>-0.95546750325297314</v>
      </c>
      <c r="X9841" s="2">
        <f ca="1"/>
        <v>58.382188637769524</v>
      </c>
      <c r="AG9841" s="2">
        <f ca="1"/>
        <v>0.71965328481876845</v>
      </c>
      <c r="AH9841" s="2" t="str">
        <f ca="1"/>
        <v>Bad</v>
      </c>
    </row>
    <row r="9842" spans="2:34" x14ac:dyDescent="0.2">
      <c r="B9842" s="2">
        <f ca="1"/>
        <v>0.90553235187357983</v>
      </c>
      <c r="O9842" s="2">
        <f ca="1"/>
        <v>-0.1486405965355441</v>
      </c>
      <c r="X9842" s="2">
        <f ca="1"/>
        <v>41.394011747301093</v>
      </c>
      <c r="AG9842" s="2">
        <f ca="1"/>
        <v>0.29109262709454198</v>
      </c>
      <c r="AH9842" s="2" t="str">
        <f ca="1"/>
        <v>OK</v>
      </c>
    </row>
    <row r="9843" spans="2:34" x14ac:dyDescent="0.2">
      <c r="B9843" s="2">
        <f ca="1"/>
        <v>0.97866395547945628</v>
      </c>
      <c r="O9843" s="2">
        <f ca="1"/>
        <v>0.18080499579968312</v>
      </c>
      <c r="X9843" s="2">
        <f ca="1"/>
        <v>80.154284431707964</v>
      </c>
      <c r="AG9843" s="2">
        <f ca="1"/>
        <v>0.426507422748994</v>
      </c>
      <c r="AH9843" s="2" t="str">
        <f ca="1"/>
        <v>Bad</v>
      </c>
    </row>
    <row r="9844" spans="2:34" x14ac:dyDescent="0.2">
      <c r="B9844" s="2">
        <f ca="1"/>
        <v>0.74402051469556874</v>
      </c>
      <c r="O9844" s="2">
        <f ca="1"/>
        <v>0.95387725479146257</v>
      </c>
      <c r="X9844" s="2">
        <f ca="1"/>
        <v>55.846058870615252</v>
      </c>
      <c r="AG9844" s="2">
        <f ca="1"/>
        <v>0.10392995576070319</v>
      </c>
      <c r="AH9844" s="2" t="str">
        <f ca="1"/>
        <v>OK</v>
      </c>
    </row>
    <row r="9845" spans="2:34" x14ac:dyDescent="0.2">
      <c r="B9845" s="2">
        <f ca="1"/>
        <v>0.78409158943915358</v>
      </c>
      <c r="O9845" s="2">
        <f ca="1"/>
        <v>0.35630774657755648</v>
      </c>
      <c r="X9845" s="2">
        <f ca="1"/>
        <v>43.848051800079951</v>
      </c>
      <c r="AG9845" s="2">
        <f ca="1"/>
        <v>0.46573645355268001</v>
      </c>
      <c r="AH9845" s="2" t="str">
        <f ca="1"/>
        <v>Bad</v>
      </c>
    </row>
    <row r="9846" spans="2:34" x14ac:dyDescent="0.2">
      <c r="B9846" s="2">
        <f ca="1"/>
        <v>0.32978068838625152</v>
      </c>
      <c r="O9846" s="2">
        <f ca="1"/>
        <v>-0.4028703350586143</v>
      </c>
      <c r="X9846" s="2">
        <f ca="1"/>
        <v>34.135193586302435</v>
      </c>
      <c r="AG9846" s="2">
        <f ca="1"/>
        <v>0.33030957406213601</v>
      </c>
      <c r="AH9846" s="2" t="str">
        <f ca="1"/>
        <v>OK</v>
      </c>
    </row>
    <row r="9847" spans="2:34" x14ac:dyDescent="0.2">
      <c r="B9847" s="2">
        <f ca="1"/>
        <v>0.91365529117810484</v>
      </c>
      <c r="O9847" s="2">
        <f ca="1"/>
        <v>-0.77148073677396711</v>
      </c>
      <c r="X9847" s="2">
        <f ca="1"/>
        <v>66.424172285422202</v>
      </c>
      <c r="AG9847" s="2">
        <f ca="1"/>
        <v>0.5378099488925594</v>
      </c>
      <c r="AH9847" s="2" t="str">
        <f ca="1"/>
        <v>Bad</v>
      </c>
    </row>
    <row r="9848" spans="2:34" x14ac:dyDescent="0.2">
      <c r="B9848" s="2">
        <f ca="1"/>
        <v>0.47931353514381625</v>
      </c>
      <c r="O9848" s="2">
        <f ca="1"/>
        <v>0.19935782194893842</v>
      </c>
      <c r="X9848" s="2">
        <f ca="1"/>
        <v>68.446736298100987</v>
      </c>
      <c r="AG9848" s="2">
        <f ca="1"/>
        <v>0.73359872325652087</v>
      </c>
      <c r="AH9848" s="2" t="str">
        <f ca="1"/>
        <v>Bad</v>
      </c>
    </row>
    <row r="9849" spans="2:34" x14ac:dyDescent="0.2">
      <c r="B9849" s="2">
        <f ca="1"/>
        <v>0.45648995594384267</v>
      </c>
      <c r="O9849" s="2">
        <f ca="1"/>
        <v>-0.27294585527407494</v>
      </c>
      <c r="X9849" s="2">
        <f ca="1"/>
        <v>30.477636231844919</v>
      </c>
      <c r="AG9849" s="2">
        <f ca="1"/>
        <v>0.21994292985039965</v>
      </c>
      <c r="AH9849" s="2" t="str">
        <f ca="1"/>
        <v>OK</v>
      </c>
    </row>
    <row r="9850" spans="2:34" x14ac:dyDescent="0.2">
      <c r="B9850" s="2">
        <f ca="1"/>
        <v>0.45209983168011614</v>
      </c>
      <c r="O9850" s="2">
        <f ca="1"/>
        <v>0.91442065258205552</v>
      </c>
      <c r="X9850" s="2">
        <f ca="1"/>
        <v>47.327310108183909</v>
      </c>
      <c r="AG9850" s="2">
        <f ca="1"/>
        <v>0.33155531554152207</v>
      </c>
      <c r="AH9850" s="2" t="str">
        <f ca="1"/>
        <v>OK</v>
      </c>
    </row>
    <row r="9851" spans="2:34" x14ac:dyDescent="0.2">
      <c r="B9851" s="2">
        <f ca="1"/>
        <v>0.9692377640771801</v>
      </c>
      <c r="O9851" s="2">
        <f ca="1"/>
        <v>0.8192345072999162</v>
      </c>
      <c r="X9851" s="2">
        <f ca="1"/>
        <v>56.320735610833907</v>
      </c>
      <c r="AG9851" s="2">
        <f ca="1"/>
        <v>0.35798205146410722</v>
      </c>
      <c r="AH9851" s="2" t="str">
        <f ca="1"/>
        <v>OK</v>
      </c>
    </row>
    <row r="9852" spans="2:34" x14ac:dyDescent="0.2">
      <c r="B9852" s="2">
        <f ca="1"/>
        <v>0.65817028302190561</v>
      </c>
      <c r="O9852" s="2">
        <f ca="1"/>
        <v>-0.67229959786564064</v>
      </c>
      <c r="X9852" s="2">
        <f ca="1"/>
        <v>30.552332965959167</v>
      </c>
      <c r="AG9852" s="2">
        <f ca="1"/>
        <v>0.96160125291009768</v>
      </c>
      <c r="AH9852" s="2" t="str">
        <f ca="1"/>
        <v>Bad</v>
      </c>
    </row>
    <row r="9853" spans="2:34" x14ac:dyDescent="0.2">
      <c r="B9853" s="2">
        <f ca="1"/>
        <v>0.24295219015902458</v>
      </c>
      <c r="O9853" s="2">
        <f ca="1"/>
        <v>0.12613802836055876</v>
      </c>
      <c r="X9853" s="2">
        <f ca="1"/>
        <v>49.175735767714315</v>
      </c>
      <c r="AG9853" s="2">
        <f ca="1"/>
        <v>0.23782867566170807</v>
      </c>
      <c r="AH9853" s="2" t="str">
        <f ca="1"/>
        <v>OK</v>
      </c>
    </row>
    <row r="9854" spans="2:34" x14ac:dyDescent="0.2">
      <c r="B9854" s="2">
        <f ca="1"/>
        <v>0.17743099334073231</v>
      </c>
      <c r="O9854" s="2">
        <f ca="1"/>
        <v>-0.97436162843943652</v>
      </c>
      <c r="X9854" s="2">
        <f ca="1"/>
        <v>56.992321672590087</v>
      </c>
      <c r="AG9854" s="2">
        <f ca="1"/>
        <v>3.7205321775948264E-3</v>
      </c>
      <c r="AH9854" s="2" t="str">
        <f ca="1"/>
        <v>Good</v>
      </c>
    </row>
    <row r="9855" spans="2:34" x14ac:dyDescent="0.2">
      <c r="B9855" s="2">
        <f ca="1"/>
        <v>9.5286073180712361E-2</v>
      </c>
      <c r="O9855" s="2">
        <f ca="1"/>
        <v>-0.87367752419667077</v>
      </c>
      <c r="X9855" s="2">
        <f ca="1"/>
        <v>23.469649576967633</v>
      </c>
      <c r="AG9855" s="2">
        <f ca="1"/>
        <v>0.86995454323826826</v>
      </c>
      <c r="AH9855" s="2" t="str">
        <f ca="1"/>
        <v>Bad</v>
      </c>
    </row>
    <row r="9856" spans="2:34" x14ac:dyDescent="0.2">
      <c r="B9856" s="2">
        <f ca="1"/>
        <v>0.67852056677329409</v>
      </c>
      <c r="O9856" s="2">
        <f ca="1"/>
        <v>0.59331311727566272</v>
      </c>
      <c r="X9856" s="2">
        <f ca="1"/>
        <v>83.91684475805549</v>
      </c>
      <c r="AG9856" s="2">
        <f ca="1"/>
        <v>0.50910589208298429</v>
      </c>
      <c r="AH9856" s="2" t="str">
        <f ca="1"/>
        <v>Bad</v>
      </c>
    </row>
    <row r="9857" spans="2:34" x14ac:dyDescent="0.2">
      <c r="B9857" s="2">
        <f ca="1"/>
        <v>0.98892421901284244</v>
      </c>
      <c r="O9857" s="2">
        <f ca="1"/>
        <v>-0.86677148403018367</v>
      </c>
      <c r="X9857" s="2">
        <f ca="1"/>
        <v>75.333186822292276</v>
      </c>
      <c r="AG9857" s="2">
        <f ca="1"/>
        <v>0.1782057281323326</v>
      </c>
      <c r="AH9857" s="2" t="str">
        <f ca="1"/>
        <v>OK</v>
      </c>
    </row>
    <row r="9858" spans="2:34" x14ac:dyDescent="0.2">
      <c r="B9858" s="2">
        <f ca="1"/>
        <v>0.82232454729014703</v>
      </c>
      <c r="O9858" s="2">
        <f ca="1"/>
        <v>-1.1167889895677452</v>
      </c>
      <c r="X9858" s="2">
        <f ca="1"/>
        <v>50.263590335552621</v>
      </c>
      <c r="AG9858" s="2">
        <f ca="1"/>
        <v>0.65481986234992973</v>
      </c>
      <c r="AH9858" s="2" t="str">
        <f ca="1"/>
        <v>Bad</v>
      </c>
    </row>
    <row r="9859" spans="2:34" x14ac:dyDescent="0.2">
      <c r="B9859" s="2">
        <f ca="1"/>
        <v>0.52863205198354435</v>
      </c>
      <c r="O9859" s="2">
        <f ca="1"/>
        <v>0.9688761554214409</v>
      </c>
      <c r="X9859" s="2">
        <f ca="1"/>
        <v>45.171449571337078</v>
      </c>
      <c r="AG9859" s="2">
        <f ca="1"/>
        <v>0.91749816097006698</v>
      </c>
      <c r="AH9859" s="2" t="str">
        <f ca="1"/>
        <v>Bad</v>
      </c>
    </row>
    <row r="9860" spans="2:34" x14ac:dyDescent="0.2">
      <c r="B9860" s="2">
        <f ca="1"/>
        <v>0.76496490104660819</v>
      </c>
      <c r="O9860" s="2">
        <f ca="1"/>
        <v>-0.67679925219684434</v>
      </c>
      <c r="X9860" s="2">
        <f ca="1"/>
        <v>58.251298291603106</v>
      </c>
      <c r="AG9860" s="2">
        <f ca="1"/>
        <v>9.262517970322004E-2</v>
      </c>
      <c r="AH9860" s="2" t="str">
        <f ca="1"/>
        <v>OK</v>
      </c>
    </row>
    <row r="9861" spans="2:34" x14ac:dyDescent="0.2">
      <c r="B9861" s="2">
        <f ca="1"/>
        <v>0.57478935911330686</v>
      </c>
      <c r="O9861" s="2">
        <f ca="1"/>
        <v>0.94426468185792667</v>
      </c>
      <c r="X9861" s="2">
        <f ca="1"/>
        <v>60.412882062481252</v>
      </c>
      <c r="AG9861" s="2">
        <f ca="1"/>
        <v>0.8857398692448788</v>
      </c>
      <c r="AH9861" s="2" t="str">
        <f ca="1"/>
        <v>Bad</v>
      </c>
    </row>
    <row r="9862" spans="2:34" x14ac:dyDescent="0.2">
      <c r="B9862" s="2">
        <f ca="1"/>
        <v>0.115819631157565</v>
      </c>
      <c r="O9862" s="2">
        <f ca="1"/>
        <v>0.59080964370036759</v>
      </c>
      <c r="X9862" s="2">
        <f ca="1"/>
        <v>57.188361450310445</v>
      </c>
      <c r="AG9862" s="2">
        <f ca="1"/>
        <v>4.3680409898764427E-2</v>
      </c>
      <c r="AH9862" s="2" t="str">
        <f ca="1"/>
        <v>Good</v>
      </c>
    </row>
    <row r="9863" spans="2:34" x14ac:dyDescent="0.2">
      <c r="B9863" s="2">
        <f ca="1"/>
        <v>0.39854146260532497</v>
      </c>
      <c r="O9863" s="2">
        <f ca="1"/>
        <v>-0.86316955141083229</v>
      </c>
      <c r="X9863" s="2">
        <f ca="1"/>
        <v>58.833129385273537</v>
      </c>
      <c r="AG9863" s="2">
        <f ca="1"/>
        <v>0.10004579780462497</v>
      </c>
      <c r="AH9863" s="2" t="str">
        <f ca="1"/>
        <v>OK</v>
      </c>
    </row>
    <row r="9864" spans="2:34" x14ac:dyDescent="0.2">
      <c r="B9864" s="2">
        <f ca="1"/>
        <v>0.98990487751833611</v>
      </c>
      <c r="O9864" s="2">
        <f ca="1"/>
        <v>0.18046427728395162</v>
      </c>
      <c r="X9864" s="2">
        <f ca="1"/>
        <v>61.534041738582758</v>
      </c>
      <c r="AG9864" s="2">
        <f ca="1"/>
        <v>0.90861702610620587</v>
      </c>
      <c r="AH9864" s="2" t="str">
        <f ca="1"/>
        <v>Bad</v>
      </c>
    </row>
    <row r="9865" spans="2:34" x14ac:dyDescent="0.2">
      <c r="B9865" s="2">
        <f ca="1"/>
        <v>1.7668483160027559E-2</v>
      </c>
      <c r="O9865" s="2">
        <f ca="1"/>
        <v>1.3059129146274957</v>
      </c>
      <c r="X9865" s="2">
        <f ca="1"/>
        <v>37.655122952575852</v>
      </c>
      <c r="AG9865" s="2">
        <f ca="1"/>
        <v>0.22979249778442123</v>
      </c>
      <c r="AH9865" s="2" t="str">
        <f ca="1"/>
        <v>OK</v>
      </c>
    </row>
    <row r="9866" spans="2:34" x14ac:dyDescent="0.2">
      <c r="B9866" s="2">
        <f ca="1"/>
        <v>0.56921961056156434</v>
      </c>
      <c r="O9866" s="2">
        <f ca="1"/>
        <v>-1.0770029190354113</v>
      </c>
      <c r="X9866" s="2">
        <f ca="1"/>
        <v>36.156373935259111</v>
      </c>
      <c r="AG9866" s="2">
        <f ca="1"/>
        <v>3.906932633385507E-2</v>
      </c>
      <c r="AH9866" s="2" t="str">
        <f ca="1"/>
        <v>Good</v>
      </c>
    </row>
    <row r="9867" spans="2:34" x14ac:dyDescent="0.2">
      <c r="B9867" s="2">
        <f ca="1"/>
        <v>0.76008265226455052</v>
      </c>
      <c r="O9867" s="2">
        <f ca="1"/>
        <v>-0.20777410641520952</v>
      </c>
      <c r="X9867" s="2">
        <f ca="1"/>
        <v>66.540830160001207</v>
      </c>
      <c r="AG9867" s="2">
        <f ca="1"/>
        <v>0.40343270171482959</v>
      </c>
      <c r="AH9867" s="2" t="str">
        <f ca="1"/>
        <v>Bad</v>
      </c>
    </row>
    <row r="9868" spans="2:34" x14ac:dyDescent="0.2">
      <c r="B9868" s="2">
        <f ca="1"/>
        <v>0.36759949352036569</v>
      </c>
      <c r="O9868" s="2">
        <f ca="1"/>
        <v>0.32986702176856558</v>
      </c>
      <c r="X9868" s="2">
        <f ca="1"/>
        <v>79.215965698952346</v>
      </c>
      <c r="AG9868" s="2">
        <f ca="1"/>
        <v>0.57923552656336841</v>
      </c>
      <c r="AH9868" s="2" t="str">
        <f ca="1"/>
        <v>Bad</v>
      </c>
    </row>
    <row r="9869" spans="2:34" x14ac:dyDescent="0.2">
      <c r="B9869" s="2">
        <f ca="1"/>
        <v>1.9251529384917809E-2</v>
      </c>
      <c r="O9869" s="2">
        <f ca="1"/>
        <v>0.97166077579519217</v>
      </c>
      <c r="X9869" s="2">
        <f ca="1"/>
        <v>73.351327795196624</v>
      </c>
      <c r="AG9869" s="2">
        <f ca="1"/>
        <v>0.58456303226174899</v>
      </c>
      <c r="AH9869" s="2" t="str">
        <f ca="1"/>
        <v>Bad</v>
      </c>
    </row>
    <row r="9870" spans="2:34" x14ac:dyDescent="0.2">
      <c r="B9870" s="2">
        <f ca="1"/>
        <v>0.90783272626790845</v>
      </c>
      <c r="O9870" s="2">
        <f ca="1"/>
        <v>2.1948806255254816</v>
      </c>
      <c r="X9870" s="2">
        <f ca="1"/>
        <v>38.575544702905404</v>
      </c>
      <c r="AG9870" s="2">
        <f ca="1"/>
        <v>0.67620656757055797</v>
      </c>
      <c r="AH9870" s="2" t="str">
        <f ca="1"/>
        <v>Bad</v>
      </c>
    </row>
    <row r="9871" spans="2:34" x14ac:dyDescent="0.2">
      <c r="B9871" s="2">
        <f ca="1"/>
        <v>0.88647435467174351</v>
      </c>
      <c r="O9871" s="2">
        <f ca="1"/>
        <v>3.5298361847699099E-2</v>
      </c>
      <c r="X9871" s="2">
        <f ca="1"/>
        <v>54.859698360871498</v>
      </c>
      <c r="AG9871" s="2">
        <f ca="1"/>
        <v>0.69911763989740972</v>
      </c>
      <c r="AH9871" s="2" t="str">
        <f ca="1"/>
        <v>Bad</v>
      </c>
    </row>
    <row r="9872" spans="2:34" x14ac:dyDescent="0.2">
      <c r="B9872" s="2">
        <f ca="1"/>
        <v>0.5332695692182261</v>
      </c>
      <c r="O9872" s="2">
        <f ca="1"/>
        <v>2.0543718495245442</v>
      </c>
      <c r="X9872" s="2">
        <f ca="1"/>
        <v>35.366414081785742</v>
      </c>
      <c r="AG9872" s="2">
        <f ca="1"/>
        <v>0.2789872551807524</v>
      </c>
      <c r="AH9872" s="2" t="str">
        <f ca="1"/>
        <v>OK</v>
      </c>
    </row>
    <row r="9873" spans="2:34" x14ac:dyDescent="0.2">
      <c r="B9873" s="2">
        <f ca="1"/>
        <v>0.20541968319920456</v>
      </c>
      <c r="O9873" s="2">
        <f ca="1"/>
        <v>0.56623397802897191</v>
      </c>
      <c r="X9873" s="2">
        <f ca="1"/>
        <v>44.240709232306273</v>
      </c>
      <c r="AG9873" s="2">
        <f ca="1"/>
        <v>0.32030368319357105</v>
      </c>
      <c r="AH9873" s="2" t="str">
        <f ca="1"/>
        <v>OK</v>
      </c>
    </row>
    <row r="9874" spans="2:34" x14ac:dyDescent="0.2">
      <c r="B9874" s="2">
        <f ca="1"/>
        <v>0.93257303186800877</v>
      </c>
      <c r="O9874" s="2">
        <f ca="1"/>
        <v>-0.86256082781371479</v>
      </c>
      <c r="X9874" s="2">
        <f ca="1"/>
        <v>42.630004378958375</v>
      </c>
      <c r="AG9874" s="2">
        <f ca="1"/>
        <v>0.80887596384498517</v>
      </c>
      <c r="AH9874" s="2" t="str">
        <f ca="1"/>
        <v>Bad</v>
      </c>
    </row>
    <row r="9875" spans="2:34" x14ac:dyDescent="0.2">
      <c r="B9875" s="2">
        <f ca="1"/>
        <v>0.44727596894651489</v>
      </c>
      <c r="O9875" s="2">
        <f ca="1"/>
        <v>0.33193158437692744</v>
      </c>
      <c r="X9875" s="2">
        <f ca="1"/>
        <v>69.859559255008932</v>
      </c>
      <c r="AG9875" s="2">
        <f ca="1"/>
        <v>0.47656831359424934</v>
      </c>
      <c r="AH9875" s="2" t="str">
        <f ca="1"/>
        <v>Bad</v>
      </c>
    </row>
    <row r="9876" spans="2:34" x14ac:dyDescent="0.2">
      <c r="B9876" s="2">
        <f ca="1"/>
        <v>0.29269370854972787</v>
      </c>
      <c r="O9876" s="2">
        <f ca="1"/>
        <v>-2.1412742218761123</v>
      </c>
      <c r="X9876" s="2">
        <f ca="1"/>
        <v>36.059669623237284</v>
      </c>
      <c r="AG9876" s="2">
        <f ca="1"/>
        <v>0.66218661187770245</v>
      </c>
      <c r="AH9876" s="2" t="str">
        <f ca="1"/>
        <v>Bad</v>
      </c>
    </row>
    <row r="9877" spans="2:34" x14ac:dyDescent="0.2">
      <c r="B9877" s="2">
        <f ca="1"/>
        <v>0.86180037237565776</v>
      </c>
      <c r="O9877" s="2">
        <f ca="1"/>
        <v>-9.7620605241537286E-3</v>
      </c>
      <c r="X9877" s="2">
        <f ca="1"/>
        <v>45.657333471732535</v>
      </c>
      <c r="AG9877" s="2">
        <f ca="1"/>
        <v>0.58734930192444579</v>
      </c>
      <c r="AH9877" s="2" t="str">
        <f ca="1"/>
        <v>Bad</v>
      </c>
    </row>
    <row r="9878" spans="2:34" x14ac:dyDescent="0.2">
      <c r="B9878" s="2">
        <f ca="1"/>
        <v>0.18510344236506326</v>
      </c>
      <c r="O9878" s="2">
        <f ca="1"/>
        <v>1.2377946769858716</v>
      </c>
      <c r="X9878" s="2">
        <f ca="1"/>
        <v>62.784659648235809</v>
      </c>
      <c r="AG9878" s="2">
        <f ca="1"/>
        <v>0.26471620177243449</v>
      </c>
      <c r="AH9878" s="2" t="str">
        <f ca="1"/>
        <v>OK</v>
      </c>
    </row>
    <row r="9879" spans="2:34" x14ac:dyDescent="0.2">
      <c r="B9879" s="2">
        <f ca="1"/>
        <v>0.43972704414434682</v>
      </c>
      <c r="O9879" s="2">
        <f ca="1"/>
        <v>1.1261005187176669</v>
      </c>
      <c r="X9879" s="2">
        <f ca="1"/>
        <v>55.189371971679819</v>
      </c>
      <c r="AG9879" s="2">
        <f ca="1"/>
        <v>0.57750847884478018</v>
      </c>
      <c r="AH9879" s="2" t="str">
        <f ca="1"/>
        <v>Bad</v>
      </c>
    </row>
    <row r="9880" spans="2:34" x14ac:dyDescent="0.2">
      <c r="B9880" s="2">
        <f ca="1"/>
        <v>3.6635507864627881E-2</v>
      </c>
      <c r="O9880" s="2">
        <f ca="1"/>
        <v>-0.39302860716796012</v>
      </c>
      <c r="X9880" s="2">
        <f ca="1"/>
        <v>45.361400188540088</v>
      </c>
      <c r="AG9880" s="2">
        <f ca="1"/>
        <v>0.53276582339155287</v>
      </c>
      <c r="AH9880" s="2" t="str">
        <f ca="1"/>
        <v>Bad</v>
      </c>
    </row>
    <row r="9881" spans="2:34" x14ac:dyDescent="0.2">
      <c r="B9881" s="2">
        <f ca="1"/>
        <v>0.28438791020087439</v>
      </c>
      <c r="O9881" s="2">
        <f ca="1"/>
        <v>0.61083975874212704</v>
      </c>
      <c r="X9881" s="2">
        <f ca="1"/>
        <v>25.122715951902983</v>
      </c>
      <c r="AG9881" s="2">
        <f ca="1"/>
        <v>0.7537357694337683</v>
      </c>
      <c r="AH9881" s="2" t="str">
        <f ca="1"/>
        <v>Bad</v>
      </c>
    </row>
    <row r="9882" spans="2:34" x14ac:dyDescent="0.2">
      <c r="B9882" s="2">
        <f ca="1"/>
        <v>0.95736620826410346</v>
      </c>
      <c r="O9882" s="2">
        <f ca="1"/>
        <v>2.1013761118546115</v>
      </c>
      <c r="X9882" s="2">
        <f ca="1"/>
        <v>62.313980646362104</v>
      </c>
      <c r="AG9882" s="2">
        <f ca="1"/>
        <v>0.40056577882541156</v>
      </c>
      <c r="AH9882" s="2" t="str">
        <f ca="1"/>
        <v>Bad</v>
      </c>
    </row>
    <row r="9883" spans="2:34" x14ac:dyDescent="0.2">
      <c r="B9883" s="2">
        <f ca="1"/>
        <v>0.77193290200276743</v>
      </c>
      <c r="O9883" s="2">
        <f ca="1"/>
        <v>-0.4783710420527757</v>
      </c>
      <c r="X9883" s="2">
        <f ca="1"/>
        <v>73.24144968453659</v>
      </c>
      <c r="AG9883" s="2">
        <f ca="1"/>
        <v>0.99352018235308903</v>
      </c>
      <c r="AH9883" s="2" t="str">
        <f ca="1"/>
        <v>Bad</v>
      </c>
    </row>
    <row r="9884" spans="2:34" x14ac:dyDescent="0.2">
      <c r="B9884" s="2">
        <f ca="1"/>
        <v>0.14786106836479562</v>
      </c>
      <c r="O9884" s="2">
        <f ca="1"/>
        <v>0.65393396144193561</v>
      </c>
      <c r="X9884" s="2">
        <f ca="1"/>
        <v>48.948985281674489</v>
      </c>
      <c r="AG9884" s="2">
        <f ca="1"/>
        <v>0.73299736990460329</v>
      </c>
      <c r="AH9884" s="2" t="str">
        <f ca="1"/>
        <v>Bad</v>
      </c>
    </row>
    <row r="9885" spans="2:34" x14ac:dyDescent="0.2">
      <c r="B9885" s="2">
        <f ca="1"/>
        <v>0.43598272609141797</v>
      </c>
      <c r="O9885" s="2">
        <f ca="1"/>
        <v>5.7294957271276245E-2</v>
      </c>
      <c r="X9885" s="2">
        <f ca="1"/>
        <v>47.484739389727253</v>
      </c>
      <c r="AG9885" s="2">
        <f ca="1"/>
        <v>0.47508101111075307</v>
      </c>
      <c r="AH9885" s="2" t="str">
        <f ca="1"/>
        <v>Bad</v>
      </c>
    </row>
    <row r="9886" spans="2:34" x14ac:dyDescent="0.2">
      <c r="B9886" s="2">
        <f ca="1"/>
        <v>0.14664425233434919</v>
      </c>
      <c r="O9886" s="2">
        <f ca="1"/>
        <v>1.3554024310678727</v>
      </c>
      <c r="X9886" s="2">
        <f ca="1"/>
        <v>88.639456968112029</v>
      </c>
      <c r="AG9886" s="2">
        <f ca="1"/>
        <v>0.48990673499425985</v>
      </c>
      <c r="AH9886" s="2" t="str">
        <f ca="1"/>
        <v>Bad</v>
      </c>
    </row>
    <row r="9887" spans="2:34" x14ac:dyDescent="0.2">
      <c r="B9887" s="2">
        <f ca="1"/>
        <v>0.98686681968614698</v>
      </c>
      <c r="O9887" s="2">
        <f ca="1"/>
        <v>-0.12973985052430317</v>
      </c>
      <c r="X9887" s="2">
        <f ca="1"/>
        <v>44.537444005595361</v>
      </c>
      <c r="AG9887" s="2">
        <f ca="1"/>
        <v>0.32971015900780531</v>
      </c>
      <c r="AH9887" s="2" t="str">
        <f ca="1"/>
        <v>OK</v>
      </c>
    </row>
    <row r="9888" spans="2:34" x14ac:dyDescent="0.2">
      <c r="B9888" s="2">
        <f ca="1"/>
        <v>7.6383478511657499E-2</v>
      </c>
      <c r="O9888" s="2">
        <f ca="1"/>
        <v>-0.47532893759197287</v>
      </c>
      <c r="X9888" s="2">
        <f ca="1"/>
        <v>50.330225297620707</v>
      </c>
      <c r="AG9888" s="2">
        <f ca="1"/>
        <v>1.3814940182294677E-2</v>
      </c>
      <c r="AH9888" s="2" t="str">
        <f ca="1"/>
        <v>Good</v>
      </c>
    </row>
    <row r="9889" spans="2:34" x14ac:dyDescent="0.2">
      <c r="B9889" s="2">
        <f ca="1"/>
        <v>0.63159195929465395</v>
      </c>
      <c r="O9889" s="2">
        <f ca="1"/>
        <v>0.13949623035830949</v>
      </c>
      <c r="X9889" s="2">
        <f ca="1"/>
        <v>30.096706162736076</v>
      </c>
      <c r="AG9889" s="2">
        <f ca="1"/>
        <v>0.48935866698036445</v>
      </c>
      <c r="AH9889" s="2" t="str">
        <f ca="1"/>
        <v>Bad</v>
      </c>
    </row>
    <row r="9890" spans="2:34" x14ac:dyDescent="0.2">
      <c r="B9890" s="2">
        <f ca="1"/>
        <v>0.69381448781574306</v>
      </c>
      <c r="O9890" s="2">
        <f ca="1"/>
        <v>0.3673653654379998</v>
      </c>
      <c r="X9890" s="2">
        <f ca="1"/>
        <v>48.501593593574306</v>
      </c>
      <c r="AG9890" s="2">
        <f ca="1"/>
        <v>0.44751535063214565</v>
      </c>
      <c r="AH9890" s="2" t="str">
        <f ca="1"/>
        <v>Bad</v>
      </c>
    </row>
    <row r="9891" spans="2:34" x14ac:dyDescent="0.2">
      <c r="B9891" s="2">
        <f ca="1"/>
        <v>0.23578443727958764</v>
      </c>
      <c r="O9891" s="2">
        <f ca="1"/>
        <v>0.64082588867715917</v>
      </c>
      <c r="X9891" s="2">
        <f ca="1"/>
        <v>40.022959780734475</v>
      </c>
      <c r="AG9891" s="2">
        <f ca="1"/>
        <v>0.84651747862400861</v>
      </c>
      <c r="AH9891" s="2" t="str">
        <f ca="1"/>
        <v>Bad</v>
      </c>
    </row>
    <row r="9892" spans="2:34" x14ac:dyDescent="0.2">
      <c r="B9892" s="2">
        <f ca="1"/>
        <v>0.37940361656481314</v>
      </c>
      <c r="O9892" s="2">
        <f ca="1"/>
        <v>0.22625605240519167</v>
      </c>
      <c r="X9892" s="2">
        <f ca="1"/>
        <v>37.57692685362364</v>
      </c>
      <c r="AG9892" s="2">
        <f ca="1"/>
        <v>0.32320719192359282</v>
      </c>
      <c r="AH9892" s="2" t="str">
        <f ca="1"/>
        <v>OK</v>
      </c>
    </row>
    <row r="9893" spans="2:34" x14ac:dyDescent="0.2">
      <c r="B9893" s="2">
        <f ca="1"/>
        <v>0.96974109413639464</v>
      </c>
      <c r="O9893" s="2">
        <f ca="1"/>
        <v>0.38587633635789115</v>
      </c>
      <c r="X9893" s="2">
        <f ca="1"/>
        <v>64.038868668691464</v>
      </c>
      <c r="AG9893" s="2">
        <f ca="1"/>
        <v>0.39587230777775129</v>
      </c>
      <c r="AH9893" s="2" t="str">
        <f ca="1"/>
        <v>OK</v>
      </c>
    </row>
    <row r="9894" spans="2:34" x14ac:dyDescent="0.2">
      <c r="B9894" s="2">
        <f ca="1"/>
        <v>0.69674736716767338</v>
      </c>
      <c r="O9894" s="2">
        <f ca="1"/>
        <v>-0.35469239622378718</v>
      </c>
      <c r="X9894" s="2">
        <f ca="1"/>
        <v>45.449839311588072</v>
      </c>
      <c r="AG9894" s="2">
        <f ca="1"/>
        <v>0.71256452540073689</v>
      </c>
      <c r="AH9894" s="2" t="str">
        <f ca="1"/>
        <v>Bad</v>
      </c>
    </row>
    <row r="9895" spans="2:34" x14ac:dyDescent="0.2">
      <c r="B9895" s="2">
        <f ca="1"/>
        <v>0.9085854509702731</v>
      </c>
      <c r="O9895" s="2">
        <f ca="1"/>
        <v>1.2243318630478501</v>
      </c>
      <c r="X9895" s="2">
        <f ca="1"/>
        <v>27.40846518042791</v>
      </c>
      <c r="AG9895" s="2">
        <f ca="1"/>
        <v>0.68018363000379645</v>
      </c>
      <c r="AH9895" s="2" t="str">
        <f ca="1"/>
        <v>Bad</v>
      </c>
    </row>
    <row r="9896" spans="2:34" x14ac:dyDescent="0.2">
      <c r="B9896" s="2">
        <f ca="1"/>
        <v>0.49312917070129614</v>
      </c>
      <c r="O9896" s="2">
        <f ca="1"/>
        <v>0.56819570900360628</v>
      </c>
      <c r="X9896" s="2">
        <f ca="1"/>
        <v>33.463301317532327</v>
      </c>
      <c r="AG9896" s="2">
        <f ca="1"/>
        <v>0.31219700187417865</v>
      </c>
      <c r="AH9896" s="2" t="str">
        <f ca="1"/>
        <v>OK</v>
      </c>
    </row>
    <row r="9897" spans="2:34" x14ac:dyDescent="0.2">
      <c r="B9897" s="2">
        <f ca="1"/>
        <v>0.43428511796986125</v>
      </c>
      <c r="O9897" s="2">
        <f ca="1"/>
        <v>-0.2758027617727879</v>
      </c>
      <c r="X9897" s="2">
        <f ca="1"/>
        <v>47.924496893173952</v>
      </c>
      <c r="AG9897" s="2">
        <f ca="1"/>
        <v>0.3753475688282244</v>
      </c>
      <c r="AH9897" s="2" t="str">
        <f ca="1"/>
        <v>OK</v>
      </c>
    </row>
    <row r="9898" spans="2:34" x14ac:dyDescent="0.2">
      <c r="B9898" s="2">
        <f ca="1"/>
        <v>0.9129764191041827</v>
      </c>
      <c r="O9898" s="2">
        <f ca="1"/>
        <v>1.3379579191918127</v>
      </c>
      <c r="X9898" s="2">
        <f ca="1"/>
        <v>28.74518681394315</v>
      </c>
      <c r="AG9898" s="2">
        <f ca="1"/>
        <v>0.98395207619011349</v>
      </c>
      <c r="AH9898" s="2" t="str">
        <f ca="1"/>
        <v>Bad</v>
      </c>
    </row>
    <row r="9899" spans="2:34" x14ac:dyDescent="0.2">
      <c r="B9899" s="2">
        <f ca="1"/>
        <v>0.93231089925046362</v>
      </c>
      <c r="O9899" s="2">
        <f ca="1"/>
        <v>0.16242005452992794</v>
      </c>
      <c r="X9899" s="2">
        <f ca="1"/>
        <v>47.629061296844199</v>
      </c>
      <c r="AG9899" s="2">
        <f ca="1"/>
        <v>0.16856737081411755</v>
      </c>
      <c r="AH9899" s="2" t="str">
        <f ca="1"/>
        <v>OK</v>
      </c>
    </row>
    <row r="9900" spans="2:34" x14ac:dyDescent="0.2">
      <c r="B9900" s="2">
        <f ca="1"/>
        <v>0.36038582179382916</v>
      </c>
      <c r="O9900" s="2">
        <f ca="1"/>
        <v>-0.22512405348925738</v>
      </c>
      <c r="X9900" s="2">
        <f ca="1"/>
        <v>70.668818442359125</v>
      </c>
      <c r="AG9900" s="2">
        <f ca="1"/>
        <v>0.64530797481350732</v>
      </c>
      <c r="AH9900" s="2" t="str">
        <f ca="1"/>
        <v>Bad</v>
      </c>
    </row>
    <row r="9901" spans="2:34" x14ac:dyDescent="0.2">
      <c r="B9901" s="2">
        <f ca="1"/>
        <v>0.29146552124519332</v>
      </c>
      <c r="O9901" s="2">
        <f ca="1"/>
        <v>-1.1202581532551188</v>
      </c>
      <c r="X9901" s="2">
        <f ca="1"/>
        <v>34.861243425059513</v>
      </c>
      <c r="AG9901" s="2">
        <f ca="1"/>
        <v>0.74235946907060879</v>
      </c>
      <c r="AH9901" s="2" t="str">
        <f ca="1"/>
        <v>Bad</v>
      </c>
    </row>
    <row r="9902" spans="2:34" x14ac:dyDescent="0.2">
      <c r="B9902" s="2">
        <f ca="1"/>
        <v>5.1357555150162604E-2</v>
      </c>
      <c r="O9902" s="2">
        <f ca="1"/>
        <v>0.71514846597828963</v>
      </c>
      <c r="X9902" s="2">
        <f ca="1"/>
        <v>58.524561987263169</v>
      </c>
      <c r="AG9902" s="2">
        <f ca="1"/>
        <v>0.91153091476801662</v>
      </c>
      <c r="AH9902" s="2" t="str">
        <f ca="1"/>
        <v>Bad</v>
      </c>
    </row>
    <row r="9903" spans="2:34" x14ac:dyDescent="0.2">
      <c r="B9903" s="2">
        <f ca="1"/>
        <v>0.70284576444393076</v>
      </c>
      <c r="O9903" s="2">
        <f ca="1"/>
        <v>1.8718375011440556E-3</v>
      </c>
      <c r="X9903" s="2">
        <f ca="1"/>
        <v>48.245176522093388</v>
      </c>
      <c r="AG9903" s="2">
        <f ca="1"/>
        <v>0.96670118200557065</v>
      </c>
      <c r="AH9903" s="2" t="str">
        <f ca="1"/>
        <v>Bad</v>
      </c>
    </row>
    <row r="9904" spans="2:34" x14ac:dyDescent="0.2">
      <c r="B9904" s="2">
        <f ca="1"/>
        <v>0.10021097480426744</v>
      </c>
      <c r="O9904" s="2">
        <f ca="1"/>
        <v>-0.31170569439555357</v>
      </c>
      <c r="X9904" s="2">
        <f ca="1"/>
        <v>64.424935519393657</v>
      </c>
      <c r="AG9904" s="2">
        <f ca="1"/>
        <v>0.91457133206306152</v>
      </c>
      <c r="AH9904" s="2" t="str">
        <f ca="1"/>
        <v>Bad</v>
      </c>
    </row>
    <row r="9905" spans="2:34" x14ac:dyDescent="0.2">
      <c r="B9905" s="2">
        <f ca="1"/>
        <v>0.48215968180995672</v>
      </c>
      <c r="O9905" s="2">
        <f ca="1"/>
        <v>0.83269476155406974</v>
      </c>
      <c r="X9905" s="2">
        <f ca="1"/>
        <v>50.898268038212294</v>
      </c>
      <c r="AG9905" s="2">
        <f ca="1"/>
        <v>0.17920716667399361</v>
      </c>
      <c r="AH9905" s="2" t="str">
        <f ca="1"/>
        <v>OK</v>
      </c>
    </row>
    <row r="9906" spans="2:34" x14ac:dyDescent="0.2">
      <c r="B9906" s="2">
        <f ca="1"/>
        <v>0.101688793909958</v>
      </c>
      <c r="O9906" s="2">
        <f ca="1"/>
        <v>0.26749204972697543</v>
      </c>
      <c r="X9906" s="2">
        <f ca="1"/>
        <v>87.810452552438022</v>
      </c>
      <c r="AG9906" s="2">
        <f ca="1"/>
        <v>0.6125748234383388</v>
      </c>
      <c r="AH9906" s="2" t="str">
        <f ca="1"/>
        <v>Bad</v>
      </c>
    </row>
    <row r="9907" spans="2:34" x14ac:dyDescent="0.2">
      <c r="B9907" s="2">
        <f ca="1"/>
        <v>0.41848955610640992</v>
      </c>
      <c r="O9907" s="2">
        <f ca="1"/>
        <v>1.0099918864661994</v>
      </c>
      <c r="X9907" s="2">
        <f ca="1"/>
        <v>82.444205116466307</v>
      </c>
      <c r="AG9907" s="2">
        <f ca="1"/>
        <v>0.16503521038340385</v>
      </c>
      <c r="AH9907" s="2" t="str">
        <f ca="1"/>
        <v>OK</v>
      </c>
    </row>
    <row r="9908" spans="2:34" x14ac:dyDescent="0.2">
      <c r="B9908" s="2">
        <f ca="1"/>
        <v>0.71902339138767624</v>
      </c>
      <c r="O9908" s="2">
        <f ca="1"/>
        <v>-0.54689814908507783</v>
      </c>
      <c r="X9908" s="2">
        <f ca="1"/>
        <v>36.372776426616333</v>
      </c>
      <c r="AG9908" s="2">
        <f ca="1"/>
        <v>0.73463781601154987</v>
      </c>
      <c r="AH9908" s="2" t="str">
        <f ca="1"/>
        <v>Bad</v>
      </c>
    </row>
    <row r="9909" spans="2:34" x14ac:dyDescent="0.2">
      <c r="B9909" s="2">
        <f ca="1"/>
        <v>8.697494849525822E-2</v>
      </c>
      <c r="O9909" s="2">
        <f ca="1"/>
        <v>-0.50010464833377621</v>
      </c>
      <c r="X9909" s="2">
        <f ca="1"/>
        <v>61.326485950504519</v>
      </c>
      <c r="AG9909" s="2">
        <f ca="1"/>
        <v>0.17930224015684959</v>
      </c>
      <c r="AH9909" s="2" t="str">
        <f ca="1"/>
        <v>OK</v>
      </c>
    </row>
    <row r="9910" spans="2:34" x14ac:dyDescent="0.2">
      <c r="B9910" s="2">
        <f ca="1"/>
        <v>0.68206168832346803</v>
      </c>
      <c r="O9910" s="2">
        <f ca="1"/>
        <v>0.29891092210632475</v>
      </c>
      <c r="X9910" s="2">
        <f ca="1"/>
        <v>40.212714107125962</v>
      </c>
      <c r="AG9910" s="2">
        <f ca="1"/>
        <v>4.9542955779011688E-2</v>
      </c>
      <c r="AH9910" s="2" t="str">
        <f ca="1"/>
        <v>Good</v>
      </c>
    </row>
    <row r="9911" spans="2:34" x14ac:dyDescent="0.2">
      <c r="B9911" s="2">
        <f ca="1"/>
        <v>0.89806753148650986</v>
      </c>
      <c r="O9911" s="2">
        <f ca="1"/>
        <v>0.18505474888337969</v>
      </c>
      <c r="X9911" s="2">
        <f ca="1"/>
        <v>60.83037189021195</v>
      </c>
      <c r="AG9911" s="2">
        <f ca="1"/>
        <v>2.7162183201768109E-2</v>
      </c>
      <c r="AH9911" s="2" t="str">
        <f ca="1"/>
        <v>Good</v>
      </c>
    </row>
    <row r="9912" spans="2:34" x14ac:dyDescent="0.2">
      <c r="B9912" s="2">
        <f ca="1"/>
        <v>0.20727021480987884</v>
      </c>
      <c r="O9912" s="2">
        <f ca="1"/>
        <v>0.32417633298636028</v>
      </c>
      <c r="X9912" s="2">
        <f ca="1"/>
        <v>26.704627223357647</v>
      </c>
      <c r="AG9912" s="2">
        <f ca="1"/>
        <v>0.53853033350500623</v>
      </c>
      <c r="AH9912" s="2" t="str">
        <f ca="1"/>
        <v>Bad</v>
      </c>
    </row>
    <row r="9913" spans="2:34" x14ac:dyDescent="0.2">
      <c r="B9913" s="2">
        <f ca="1"/>
        <v>6.3643399591647665E-2</v>
      </c>
      <c r="O9913" s="2">
        <f ca="1"/>
        <v>-0.57041382320082568</v>
      </c>
      <c r="X9913" s="2">
        <f ca="1"/>
        <v>86.590262216493713</v>
      </c>
      <c r="AG9913" s="2">
        <f ca="1"/>
        <v>0.34434418417775703</v>
      </c>
      <c r="AH9913" s="2" t="str">
        <f ca="1"/>
        <v>OK</v>
      </c>
    </row>
    <row r="9914" spans="2:34" x14ac:dyDescent="0.2">
      <c r="B9914" s="2">
        <f ca="1"/>
        <v>0.48901070921027689</v>
      </c>
      <c r="O9914" s="2">
        <f ca="1"/>
        <v>0.42165627845239884</v>
      </c>
      <c r="X9914" s="2">
        <f ca="1"/>
        <v>73.816936964682711</v>
      </c>
      <c r="AG9914" s="2">
        <f ca="1"/>
        <v>0.89087738708373854</v>
      </c>
      <c r="AH9914" s="2" t="str">
        <f ca="1"/>
        <v>Bad</v>
      </c>
    </row>
    <row r="9915" spans="2:34" x14ac:dyDescent="0.2">
      <c r="B9915" s="2">
        <f ca="1"/>
        <v>0.60465714642226787</v>
      </c>
      <c r="O9915" s="2">
        <f ca="1"/>
        <v>-0.80524641834563893</v>
      </c>
      <c r="X9915" s="2">
        <f ca="1"/>
        <v>23.365847335531505</v>
      </c>
      <c r="AG9915" s="2">
        <f ca="1"/>
        <v>0.64691194284601305</v>
      </c>
      <c r="AH9915" s="2" t="str">
        <f ca="1"/>
        <v>Bad</v>
      </c>
    </row>
    <row r="9916" spans="2:34" x14ac:dyDescent="0.2">
      <c r="B9916" s="2">
        <f ca="1"/>
        <v>9.4043335950501294E-2</v>
      </c>
      <c r="O9916" s="2">
        <f ca="1"/>
        <v>-0.7259703505280698</v>
      </c>
      <c r="X9916" s="2">
        <f ca="1"/>
        <v>48.871942501199079</v>
      </c>
      <c r="AG9916" s="2">
        <f ca="1"/>
        <v>0.11081914810947491</v>
      </c>
      <c r="AH9916" s="2" t="str">
        <f ca="1"/>
        <v>OK</v>
      </c>
    </row>
    <row r="9917" spans="2:34" x14ac:dyDescent="0.2">
      <c r="B9917" s="2">
        <f ca="1"/>
        <v>0.94380623319136014</v>
      </c>
      <c r="O9917" s="2">
        <f ca="1"/>
        <v>-0.32247424444197631</v>
      </c>
      <c r="X9917" s="2">
        <f ca="1"/>
        <v>66.725894978100186</v>
      </c>
      <c r="AG9917" s="2">
        <f ca="1"/>
        <v>0.15793167566517829</v>
      </c>
      <c r="AH9917" s="2" t="str">
        <f ca="1"/>
        <v>OK</v>
      </c>
    </row>
    <row r="9918" spans="2:34" x14ac:dyDescent="0.2">
      <c r="B9918" s="2">
        <f ca="1"/>
        <v>0.4533395162982683</v>
      </c>
      <c r="O9918" s="2">
        <f ca="1"/>
        <v>-0.85488750063003471</v>
      </c>
      <c r="X9918" s="2">
        <f ca="1"/>
        <v>46.918676347254269</v>
      </c>
      <c r="AG9918" s="2">
        <f ca="1"/>
        <v>4.7072442272388715E-2</v>
      </c>
      <c r="AH9918" s="2" t="str">
        <f ca="1"/>
        <v>Good</v>
      </c>
    </row>
    <row r="9919" spans="2:34" x14ac:dyDescent="0.2">
      <c r="B9919" s="2">
        <f ca="1"/>
        <v>0.40360180570059856</v>
      </c>
      <c r="O9919" s="2">
        <f ca="1"/>
        <v>-0.58565776899008748</v>
      </c>
      <c r="X9919" s="2">
        <f ca="1"/>
        <v>77.206031742674682</v>
      </c>
      <c r="AG9919" s="2">
        <f ca="1"/>
        <v>0.88306742140052052</v>
      </c>
      <c r="AH9919" s="2" t="str">
        <f ca="1"/>
        <v>Bad</v>
      </c>
    </row>
    <row r="9920" spans="2:34" x14ac:dyDescent="0.2">
      <c r="B9920" s="2">
        <f ca="1"/>
        <v>9.8454195156814528E-2</v>
      </c>
      <c r="O9920" s="2">
        <f ca="1"/>
        <v>-0.41627786920285886</v>
      </c>
      <c r="X9920" s="2">
        <f ca="1"/>
        <v>32.875991788827854</v>
      </c>
      <c r="AG9920" s="2">
        <f ca="1"/>
        <v>0.28508588293285331</v>
      </c>
      <c r="AH9920" s="2" t="str">
        <f ca="1"/>
        <v>OK</v>
      </c>
    </row>
    <row r="9921" spans="2:34" x14ac:dyDescent="0.2">
      <c r="B9921" s="2">
        <f ca="1"/>
        <v>0.12775510663108136</v>
      </c>
      <c r="O9921" s="2">
        <f ca="1"/>
        <v>-1.7349822230844274</v>
      </c>
      <c r="X9921" s="2">
        <f ca="1"/>
        <v>26.687933595086029</v>
      </c>
      <c r="AG9921" s="2">
        <f ca="1"/>
        <v>0.95079272451495012</v>
      </c>
      <c r="AH9921" s="2" t="str">
        <f ca="1"/>
        <v>Bad</v>
      </c>
    </row>
    <row r="9922" spans="2:34" x14ac:dyDescent="0.2">
      <c r="B9922" s="2">
        <f ca="1"/>
        <v>0.60843835727179241</v>
      </c>
      <c r="O9922" s="2">
        <f ca="1"/>
        <v>-0.85425220478232022</v>
      </c>
      <c r="X9922" s="2">
        <f ca="1"/>
        <v>90.318408742553203</v>
      </c>
      <c r="AG9922" s="2">
        <f ca="1"/>
        <v>0.52230175684799374</v>
      </c>
      <c r="AH9922" s="2" t="str">
        <f ca="1"/>
        <v>Bad</v>
      </c>
    </row>
    <row r="9923" spans="2:34" x14ac:dyDescent="0.2">
      <c r="B9923" s="2">
        <f ca="1"/>
        <v>0.83406990084725785</v>
      </c>
      <c r="O9923" s="2">
        <f ca="1"/>
        <v>-0.73026336157816552</v>
      </c>
      <c r="X9923" s="2">
        <f ca="1"/>
        <v>56.963851984111173</v>
      </c>
      <c r="AG9923" s="2">
        <f ca="1"/>
        <v>0.76426480025418697</v>
      </c>
      <c r="AH9923" s="2" t="str">
        <f ca="1"/>
        <v>Bad</v>
      </c>
    </row>
    <row r="9924" spans="2:34" x14ac:dyDescent="0.2">
      <c r="B9924" s="2">
        <f ca="1"/>
        <v>0.65165902676546672</v>
      </c>
      <c r="O9924" s="2">
        <f ca="1"/>
        <v>-0.55479250367814903</v>
      </c>
      <c r="X9924" s="2">
        <f ca="1"/>
        <v>47.547923157977714</v>
      </c>
      <c r="AG9924" s="2">
        <f ca="1"/>
        <v>0.11810683544916878</v>
      </c>
      <c r="AH9924" s="2" t="str">
        <f ca="1"/>
        <v>OK</v>
      </c>
    </row>
    <row r="9925" spans="2:34" x14ac:dyDescent="0.2">
      <c r="B9925" s="2">
        <f ca="1"/>
        <v>7.5337109805555968E-2</v>
      </c>
      <c r="O9925" s="2">
        <f ca="1"/>
        <v>-4.619066138786717E-2</v>
      </c>
      <c r="X9925" s="2">
        <f ca="1"/>
        <v>30.735130151860798</v>
      </c>
      <c r="AG9925" s="2">
        <f ca="1"/>
        <v>0.74041573423273555</v>
      </c>
      <c r="AH9925" s="2" t="str">
        <f ca="1"/>
        <v>Bad</v>
      </c>
    </row>
    <row r="9926" spans="2:34" x14ac:dyDescent="0.2">
      <c r="B9926" s="2">
        <f ca="1"/>
        <v>0.79830253992210665</v>
      </c>
      <c r="O9926" s="2">
        <f ca="1"/>
        <v>0.70561683753029003</v>
      </c>
      <c r="X9926" s="2">
        <f ca="1"/>
        <v>34.012748029942756</v>
      </c>
      <c r="AG9926" s="2">
        <f ca="1"/>
        <v>0.13697028954166979</v>
      </c>
      <c r="AH9926" s="2" t="str">
        <f ca="1"/>
        <v>OK</v>
      </c>
    </row>
    <row r="9927" spans="2:34" x14ac:dyDescent="0.2">
      <c r="B9927" s="2">
        <f ca="1"/>
        <v>0.40268811158115048</v>
      </c>
      <c r="O9927" s="2">
        <f ca="1"/>
        <v>-0.26834899406062762</v>
      </c>
      <c r="X9927" s="2">
        <f ca="1"/>
        <v>40.821316965868569</v>
      </c>
      <c r="AG9927" s="2">
        <f ca="1"/>
        <v>0.59718781733146598</v>
      </c>
      <c r="AH9927" s="2" t="str">
        <f ca="1"/>
        <v>Bad</v>
      </c>
    </row>
    <row r="9928" spans="2:34" x14ac:dyDescent="0.2">
      <c r="B9928" s="2">
        <f ca="1"/>
        <v>0.82804544395125368</v>
      </c>
      <c r="O9928" s="2">
        <f ca="1"/>
        <v>-1.5226063107021568</v>
      </c>
      <c r="X9928" s="2">
        <f ca="1"/>
        <v>48.115532100023131</v>
      </c>
      <c r="AG9928" s="2">
        <f ca="1"/>
        <v>0.75780583787739419</v>
      </c>
      <c r="AH9928" s="2" t="str">
        <f ca="1"/>
        <v>Bad</v>
      </c>
    </row>
    <row r="9929" spans="2:34" x14ac:dyDescent="0.2">
      <c r="B9929" s="2">
        <f ca="1"/>
        <v>0.75140691395534054</v>
      </c>
      <c r="O9929" s="2">
        <f ca="1"/>
        <v>-0.79116875763395977</v>
      </c>
      <c r="X9929" s="2">
        <f ca="1"/>
        <v>48.366037810184032</v>
      </c>
      <c r="AG9929" s="2">
        <f ca="1"/>
        <v>0.64884602127012769</v>
      </c>
      <c r="AH9929" s="2" t="str">
        <f ca="1"/>
        <v>Bad</v>
      </c>
    </row>
    <row r="9930" spans="2:34" x14ac:dyDescent="0.2">
      <c r="B9930" s="2">
        <f ca="1"/>
        <v>0.22616739366993821</v>
      </c>
      <c r="O9930" s="2">
        <f ca="1"/>
        <v>-1.0401133815218107</v>
      </c>
      <c r="X9930" s="2">
        <f ca="1"/>
        <v>50.344445074248512</v>
      </c>
      <c r="AG9930" s="2">
        <f ca="1"/>
        <v>0.47879170306894503</v>
      </c>
      <c r="AH9930" s="2" t="str">
        <f ca="1"/>
        <v>Bad</v>
      </c>
    </row>
    <row r="9931" spans="2:34" x14ac:dyDescent="0.2">
      <c r="B9931" s="2">
        <f ca="1"/>
        <v>0.25371265578350166</v>
      </c>
      <c r="O9931" s="2">
        <f ca="1"/>
        <v>0.87908642524939229</v>
      </c>
      <c r="X9931" s="2">
        <f ca="1"/>
        <v>40.208765168406273</v>
      </c>
      <c r="AG9931" s="2">
        <f ca="1"/>
        <v>0.73963144225040023</v>
      </c>
      <c r="AH9931" s="2" t="str">
        <f ca="1"/>
        <v>Bad</v>
      </c>
    </row>
    <row r="9932" spans="2:34" x14ac:dyDescent="0.2">
      <c r="B9932" s="2">
        <f ca="1"/>
        <v>0.33408009431593455</v>
      </c>
      <c r="O9932" s="2">
        <f ca="1"/>
        <v>-0.18696644443596763</v>
      </c>
      <c r="X9932" s="2">
        <f ca="1"/>
        <v>77.196267184517566</v>
      </c>
      <c r="AG9932" s="2">
        <f ca="1"/>
        <v>6.7200615718211232E-2</v>
      </c>
      <c r="AH9932" s="2" t="str">
        <f ca="1"/>
        <v>OK</v>
      </c>
    </row>
    <row r="9933" spans="2:34" x14ac:dyDescent="0.2">
      <c r="B9933" s="2">
        <f ca="1"/>
        <v>0.43521804536458752</v>
      </c>
      <c r="O9933" s="2">
        <f ca="1"/>
        <v>-0.30027168050816583</v>
      </c>
      <c r="X9933" s="2">
        <f ca="1"/>
        <v>51.286687195054611</v>
      </c>
      <c r="AG9933" s="2">
        <f ca="1"/>
        <v>5.63302555228955E-2</v>
      </c>
      <c r="AH9933" s="2" t="str">
        <f ca="1"/>
        <v>OK</v>
      </c>
    </row>
    <row r="9934" spans="2:34" x14ac:dyDescent="0.2">
      <c r="B9934" s="2">
        <f ca="1"/>
        <v>0.62367498335998817</v>
      </c>
      <c r="O9934" s="2">
        <f ca="1"/>
        <v>1.2032121981370969</v>
      </c>
      <c r="X9934" s="2">
        <f ca="1"/>
        <v>43.321486896629466</v>
      </c>
      <c r="AG9934" s="2">
        <f ca="1"/>
        <v>0.30796191396480266</v>
      </c>
      <c r="AH9934" s="2" t="str">
        <f ca="1"/>
        <v>OK</v>
      </c>
    </row>
    <row r="9935" spans="2:34" x14ac:dyDescent="0.2">
      <c r="B9935" s="2">
        <f ca="1"/>
        <v>0.77658290445948985</v>
      </c>
      <c r="O9935" s="2">
        <f ca="1"/>
        <v>0.67730337354103876</v>
      </c>
      <c r="X9935" s="2">
        <f ca="1"/>
        <v>30.95754231986399</v>
      </c>
      <c r="AG9935" s="2">
        <f ca="1"/>
        <v>0.61451394233715928</v>
      </c>
      <c r="AH9935" s="2" t="str">
        <f ca="1"/>
        <v>Bad</v>
      </c>
    </row>
    <row r="9936" spans="2:34" x14ac:dyDescent="0.2">
      <c r="B9936" s="2">
        <f ca="1"/>
        <v>9.1537943747499462E-3</v>
      </c>
      <c r="O9936" s="2">
        <f ca="1"/>
        <v>-0.42726052131534209</v>
      </c>
      <c r="X9936" s="2">
        <f ca="1"/>
        <v>47.998800696171429</v>
      </c>
      <c r="AG9936" s="2">
        <f ca="1"/>
        <v>0.63309132540489244</v>
      </c>
      <c r="AH9936" s="2" t="str">
        <f ca="1"/>
        <v>Bad</v>
      </c>
    </row>
    <row r="9937" spans="2:34" x14ac:dyDescent="0.2">
      <c r="B9937" s="2">
        <f ca="1"/>
        <v>0.21780888996440306</v>
      </c>
      <c r="O9937" s="2">
        <f ca="1"/>
        <v>-0.40773302011483409</v>
      </c>
      <c r="X9937" s="2">
        <f ca="1"/>
        <v>43.458077220310415</v>
      </c>
      <c r="AG9937" s="2">
        <f ca="1"/>
        <v>0.73344983579005674</v>
      </c>
      <c r="AH9937" s="2" t="str">
        <f ca="1"/>
        <v>Bad</v>
      </c>
    </row>
    <row r="9938" spans="2:34" x14ac:dyDescent="0.2">
      <c r="B9938" s="2">
        <f ca="1"/>
        <v>0.52430251059475363</v>
      </c>
      <c r="O9938" s="2">
        <f ca="1"/>
        <v>0.87572299775986828</v>
      </c>
      <c r="X9938" s="2">
        <f ca="1"/>
        <v>59.18218210344282</v>
      </c>
      <c r="AG9938" s="2">
        <f ca="1"/>
        <v>0.79185603951410899</v>
      </c>
      <c r="AH9938" s="2" t="str">
        <f ca="1"/>
        <v>Bad</v>
      </c>
    </row>
    <row r="9939" spans="2:34" x14ac:dyDescent="0.2">
      <c r="B9939" s="2">
        <f ca="1"/>
        <v>0.31911546828137394</v>
      </c>
      <c r="O9939" s="2">
        <f ca="1"/>
        <v>-1.0131423100751957</v>
      </c>
      <c r="X9939" s="2">
        <f ca="1"/>
        <v>29.43886654347931</v>
      </c>
      <c r="AG9939" s="2">
        <f ca="1"/>
        <v>0.40554517130064105</v>
      </c>
      <c r="AH9939" s="2" t="str">
        <f ca="1"/>
        <v>Bad</v>
      </c>
    </row>
    <row r="9940" spans="2:34" x14ac:dyDescent="0.2">
      <c r="B9940" s="2">
        <f ca="1"/>
        <v>0.48256856176956275</v>
      </c>
      <c r="O9940" s="2">
        <f ca="1"/>
        <v>-0.23683403684637483</v>
      </c>
      <c r="X9940" s="2">
        <f ca="1"/>
        <v>50.875294188440549</v>
      </c>
      <c r="AG9940" s="2">
        <f ca="1"/>
        <v>0.26090413959454017</v>
      </c>
      <c r="AH9940" s="2" t="str">
        <f ca="1"/>
        <v>OK</v>
      </c>
    </row>
    <row r="9941" spans="2:34" x14ac:dyDescent="0.2">
      <c r="B9941" s="2">
        <f ca="1"/>
        <v>0.88546471463923559</v>
      </c>
      <c r="O9941" s="2">
        <f ca="1"/>
        <v>-1.1446154264250352</v>
      </c>
      <c r="X9941" s="2">
        <f ca="1"/>
        <v>38.054326828799788</v>
      </c>
      <c r="AG9941" s="2">
        <f ca="1"/>
        <v>0.95392198286991703</v>
      </c>
      <c r="AH9941" s="2" t="str">
        <f ca="1"/>
        <v>Bad</v>
      </c>
    </row>
    <row r="9942" spans="2:34" x14ac:dyDescent="0.2">
      <c r="B9942" s="2">
        <f ca="1"/>
        <v>0.34166778240457707</v>
      </c>
      <c r="O9942" s="2">
        <f ca="1"/>
        <v>1.6912162079531883</v>
      </c>
      <c r="X9942" s="2">
        <f ca="1"/>
        <v>55.397138866158038</v>
      </c>
      <c r="AG9942" s="2">
        <f ca="1"/>
        <v>0.23784525123128009</v>
      </c>
      <c r="AH9942" s="2" t="str">
        <f ca="1"/>
        <v>OK</v>
      </c>
    </row>
    <row r="9943" spans="2:34" x14ac:dyDescent="0.2">
      <c r="B9943" s="2">
        <f ca="1"/>
        <v>0.55240189011798391</v>
      </c>
      <c r="O9943" s="2">
        <f ca="1"/>
        <v>1.5204885588435757</v>
      </c>
      <c r="X9943" s="2">
        <f ca="1"/>
        <v>56.484021724449548</v>
      </c>
      <c r="AG9943" s="2">
        <f ca="1"/>
        <v>0.83539741054539829</v>
      </c>
      <c r="AH9943" s="2" t="str">
        <f ca="1"/>
        <v>Bad</v>
      </c>
    </row>
    <row r="9944" spans="2:34" x14ac:dyDescent="0.2">
      <c r="B9944" s="2">
        <f ca="1"/>
        <v>0.60603746839302697</v>
      </c>
      <c r="O9944" s="2">
        <f ca="1"/>
        <v>-0.29326439302432061</v>
      </c>
      <c r="X9944" s="2">
        <f ca="1"/>
        <v>30.331816214976868</v>
      </c>
      <c r="AG9944" s="2">
        <f ca="1"/>
        <v>0.9945648101087079</v>
      </c>
      <c r="AH9944" s="2" t="str">
        <f ca="1"/>
        <v>Bad</v>
      </c>
    </row>
    <row r="9945" spans="2:34" x14ac:dyDescent="0.2">
      <c r="B9945" s="2">
        <f ca="1"/>
        <v>0.21472884494623079</v>
      </c>
      <c r="O9945" s="2">
        <f ca="1"/>
        <v>0.14253185863703341</v>
      </c>
      <c r="X9945" s="2">
        <f ca="1"/>
        <v>40.616968936517111</v>
      </c>
      <c r="AG9945" s="2">
        <f ca="1"/>
        <v>0.12106971023853941</v>
      </c>
      <c r="AH9945" s="2" t="str">
        <f ca="1"/>
        <v>OK</v>
      </c>
    </row>
    <row r="9946" spans="2:34" x14ac:dyDescent="0.2">
      <c r="B9946" s="2">
        <f ca="1"/>
        <v>0.94373348843195726</v>
      </c>
      <c r="O9946" s="2">
        <f ca="1"/>
        <v>-2.0136614064722256E-2</v>
      </c>
      <c r="X9946" s="2">
        <f ca="1"/>
        <v>47.958797672902087</v>
      </c>
      <c r="AG9946" s="2">
        <f ca="1"/>
        <v>1.079524313593816E-2</v>
      </c>
      <c r="AH9946" s="2" t="str">
        <f ca="1"/>
        <v>Good</v>
      </c>
    </row>
    <row r="9947" spans="2:34" x14ac:dyDescent="0.2">
      <c r="B9947" s="2">
        <f ca="1"/>
        <v>0.21062146097997103</v>
      </c>
      <c r="O9947" s="2">
        <f ca="1"/>
        <v>-0.45594884722722645</v>
      </c>
      <c r="X9947" s="2">
        <f ca="1"/>
        <v>31.448877565768733</v>
      </c>
      <c r="AG9947" s="2">
        <f ca="1"/>
        <v>0.8329265137070625</v>
      </c>
      <c r="AH9947" s="2" t="str">
        <f ca="1"/>
        <v>Bad</v>
      </c>
    </row>
    <row r="9948" spans="2:34" x14ac:dyDescent="0.2">
      <c r="B9948" s="2">
        <f ca="1"/>
        <v>0.44213669323794891</v>
      </c>
      <c r="O9948" s="2">
        <f ca="1"/>
        <v>-2.0681971499644111E-2</v>
      </c>
      <c r="X9948" s="2">
        <f ca="1"/>
        <v>90.696717668413541</v>
      </c>
      <c r="AG9948" s="2">
        <f ca="1"/>
        <v>0.26486240778538717</v>
      </c>
      <c r="AH9948" s="2" t="str">
        <f ca="1"/>
        <v>OK</v>
      </c>
    </row>
    <row r="9949" spans="2:34" x14ac:dyDescent="0.2">
      <c r="B9949" s="2">
        <f ca="1"/>
        <v>0.10811854991378511</v>
      </c>
      <c r="O9949" s="2">
        <f ca="1"/>
        <v>0.26471631231978654</v>
      </c>
      <c r="X9949" s="2">
        <f ca="1"/>
        <v>38.817170869183123</v>
      </c>
      <c r="AG9949" s="2">
        <f ca="1"/>
        <v>0.39505114285163789</v>
      </c>
      <c r="AH9949" s="2" t="str">
        <f ca="1"/>
        <v>OK</v>
      </c>
    </row>
    <row r="9950" spans="2:34" x14ac:dyDescent="0.2">
      <c r="B9950" s="2">
        <f ca="1"/>
        <v>0.12122491367373911</v>
      </c>
      <c r="O9950" s="2">
        <f ca="1"/>
        <v>0.43282827753676228</v>
      </c>
      <c r="X9950" s="2">
        <f ca="1"/>
        <v>33.618378997609909</v>
      </c>
      <c r="AG9950" s="2">
        <f ca="1"/>
        <v>0.42922989516505572</v>
      </c>
      <c r="AH9950" s="2" t="str">
        <f ca="1"/>
        <v>Bad</v>
      </c>
    </row>
    <row r="9951" spans="2:34" x14ac:dyDescent="0.2">
      <c r="B9951" s="2">
        <f ca="1"/>
        <v>0.64717252372756939</v>
      </c>
      <c r="O9951" s="2">
        <f ca="1"/>
        <v>-1.2200876951546569</v>
      </c>
      <c r="X9951" s="2">
        <f ca="1"/>
        <v>48.551873996159031</v>
      </c>
      <c r="AG9951" s="2">
        <f ca="1"/>
        <v>0.5140261936468844</v>
      </c>
      <c r="AH9951" s="2" t="str">
        <f ca="1"/>
        <v>Bad</v>
      </c>
    </row>
    <row r="9952" spans="2:34" x14ac:dyDescent="0.2">
      <c r="B9952" s="2">
        <f ca="1"/>
        <v>0.42918111786312552</v>
      </c>
      <c r="O9952" s="2">
        <f ca="1"/>
        <v>1.9484771987245086</v>
      </c>
      <c r="X9952" s="2">
        <f ca="1"/>
        <v>49.715380855142186</v>
      </c>
      <c r="AG9952" s="2">
        <f ca="1"/>
        <v>0.1321893689668252</v>
      </c>
      <c r="AH9952" s="2" t="str">
        <f ca="1"/>
        <v>OK</v>
      </c>
    </row>
    <row r="9953" spans="2:34" x14ac:dyDescent="0.2">
      <c r="B9953" s="2">
        <f ca="1"/>
        <v>0.87756724189351809</v>
      </c>
      <c r="O9953" s="2">
        <f ca="1"/>
        <v>0.38720327880830135</v>
      </c>
      <c r="X9953" s="2">
        <f ca="1"/>
        <v>18.626335910871298</v>
      </c>
      <c r="AG9953" s="2">
        <f ca="1"/>
        <v>0.99848981210274523</v>
      </c>
      <c r="AH9953" s="2" t="str">
        <f ca="1"/>
        <v>Bad</v>
      </c>
    </row>
    <row r="9954" spans="2:34" x14ac:dyDescent="0.2">
      <c r="B9954" s="2">
        <f ca="1"/>
        <v>0.19712145453160668</v>
      </c>
      <c r="O9954" s="2">
        <f ca="1"/>
        <v>0.90432596879105809</v>
      </c>
      <c r="X9954" s="2">
        <f ca="1"/>
        <v>73.553989682371409</v>
      </c>
      <c r="AG9954" s="2">
        <f ca="1"/>
        <v>0.83237878484557526</v>
      </c>
      <c r="AH9954" s="2" t="str">
        <f ca="1"/>
        <v>Bad</v>
      </c>
    </row>
    <row r="9955" spans="2:34" x14ac:dyDescent="0.2">
      <c r="B9955" s="2">
        <f ca="1"/>
        <v>0.95875337681597639</v>
      </c>
      <c r="O9955" s="2">
        <f ca="1"/>
        <v>0.82172349999893179</v>
      </c>
      <c r="X9955" s="2">
        <f ca="1"/>
        <v>60.771326373985595</v>
      </c>
      <c r="AG9955" s="2">
        <f ca="1"/>
        <v>7.5001548119876693E-2</v>
      </c>
      <c r="AH9955" s="2" t="str">
        <f ca="1"/>
        <v>OK</v>
      </c>
    </row>
    <row r="9956" spans="2:34" x14ac:dyDescent="0.2">
      <c r="B9956" s="2">
        <f ca="1"/>
        <v>0.8010149816914145</v>
      </c>
      <c r="O9956" s="2">
        <f ca="1"/>
        <v>-0.13578177416537376</v>
      </c>
      <c r="X9956" s="2">
        <f ca="1"/>
        <v>63.321038578260541</v>
      </c>
      <c r="AG9956" s="2">
        <f ca="1"/>
        <v>0.82787005725997442</v>
      </c>
      <c r="AH9956" s="2" t="str">
        <f ca="1"/>
        <v>Bad</v>
      </c>
    </row>
    <row r="9957" spans="2:34" x14ac:dyDescent="0.2">
      <c r="B9957" s="2">
        <f ca="1"/>
        <v>0.73259960130485169</v>
      </c>
      <c r="O9957" s="2">
        <f ca="1"/>
        <v>-0.93111039770099102</v>
      </c>
      <c r="X9957" s="2">
        <f ca="1"/>
        <v>22.966533344532905</v>
      </c>
      <c r="AG9957" s="2">
        <f ca="1"/>
        <v>0.67293422766627464</v>
      </c>
      <c r="AH9957" s="2" t="str">
        <f ca="1"/>
        <v>Bad</v>
      </c>
    </row>
    <row r="9958" spans="2:34" x14ac:dyDescent="0.2">
      <c r="B9958" s="2">
        <f ca="1"/>
        <v>0.40991928893802476</v>
      </c>
      <c r="O9958" s="2">
        <f ca="1"/>
        <v>-0.17367566513915847</v>
      </c>
      <c r="X9958" s="2">
        <f ca="1"/>
        <v>66.099851574616622</v>
      </c>
      <c r="AG9958" s="2">
        <f ca="1"/>
        <v>0.97315663824303611</v>
      </c>
      <c r="AH9958" s="2" t="str">
        <f ca="1"/>
        <v>Bad</v>
      </c>
    </row>
    <row r="9959" spans="2:34" x14ac:dyDescent="0.2">
      <c r="B9959" s="2">
        <f ca="1"/>
        <v>0.73568482145739011</v>
      </c>
      <c r="O9959" s="2">
        <f ca="1"/>
        <v>1.1162060296621088</v>
      </c>
      <c r="X9959" s="2">
        <f ca="1"/>
        <v>46.186355439759772</v>
      </c>
      <c r="AG9959" s="2">
        <f ca="1"/>
        <v>8.3515793518182058E-2</v>
      </c>
      <c r="AH9959" s="2" t="str">
        <f ca="1"/>
        <v>OK</v>
      </c>
    </row>
    <row r="9960" spans="2:34" x14ac:dyDescent="0.2">
      <c r="B9960" s="2">
        <f ca="1"/>
        <v>0.23555876145378774</v>
      </c>
      <c r="O9960" s="2">
        <f ca="1"/>
        <v>0.57064180569146583</v>
      </c>
      <c r="X9960" s="2">
        <f ca="1"/>
        <v>47.238132396191858</v>
      </c>
      <c r="AG9960" s="2">
        <f ca="1"/>
        <v>0.52539536424596611</v>
      </c>
      <c r="AH9960" s="2" t="str">
        <f ca="1"/>
        <v>Bad</v>
      </c>
    </row>
    <row r="9961" spans="2:34" x14ac:dyDescent="0.2">
      <c r="B9961" s="2">
        <f ca="1"/>
        <v>0.21507816561060311</v>
      </c>
      <c r="O9961" s="2">
        <f ca="1"/>
        <v>1.543040068023293</v>
      </c>
      <c r="X9961" s="2">
        <f ca="1"/>
        <v>62.14662385522</v>
      </c>
      <c r="AG9961" s="2">
        <f ca="1"/>
        <v>3.6899235731756574E-2</v>
      </c>
      <c r="AH9961" s="2" t="str">
        <f ca="1"/>
        <v>Good</v>
      </c>
    </row>
    <row r="9962" spans="2:34" x14ac:dyDescent="0.2">
      <c r="B9962" s="2">
        <f ca="1"/>
        <v>0.69108847610056645</v>
      </c>
      <c r="O9962" s="2">
        <f ca="1"/>
        <v>0.94736146528128384</v>
      </c>
      <c r="X9962" s="2">
        <f ca="1"/>
        <v>29.027491506427666</v>
      </c>
      <c r="AG9962" s="2">
        <f ca="1"/>
        <v>0.32976140613998761</v>
      </c>
      <c r="AH9962" s="2" t="str">
        <f ca="1"/>
        <v>OK</v>
      </c>
    </row>
    <row r="9963" spans="2:34" x14ac:dyDescent="0.2">
      <c r="B9963" s="2">
        <f ca="1"/>
        <v>0.24588877927809882</v>
      </c>
      <c r="O9963" s="2">
        <f ca="1"/>
        <v>-0.32665721016993149</v>
      </c>
      <c r="X9963" s="2">
        <f ca="1"/>
        <v>54.41595479562806</v>
      </c>
      <c r="AG9963" s="2">
        <f ca="1"/>
        <v>0.52344780406516267</v>
      </c>
      <c r="AH9963" s="2" t="str">
        <f ca="1"/>
        <v>Bad</v>
      </c>
    </row>
    <row r="9964" spans="2:34" x14ac:dyDescent="0.2">
      <c r="B9964" s="2">
        <f ca="1"/>
        <v>0.51063163305102144</v>
      </c>
      <c r="O9964" s="2">
        <f ca="1"/>
        <v>-0.25627695217885649</v>
      </c>
      <c r="X9964" s="2">
        <f ca="1"/>
        <v>28.988053621260818</v>
      </c>
      <c r="AG9964" s="2">
        <f ca="1"/>
        <v>0.25949827993431529</v>
      </c>
      <c r="AH9964" s="2" t="str">
        <f ca="1"/>
        <v>OK</v>
      </c>
    </row>
    <row r="9965" spans="2:34" x14ac:dyDescent="0.2">
      <c r="B9965" s="2">
        <f ca="1"/>
        <v>0.98045607950040181</v>
      </c>
      <c r="O9965" s="2">
        <f ca="1"/>
        <v>0.28551860086770364</v>
      </c>
      <c r="X9965" s="2">
        <f ca="1"/>
        <v>43.329251473706108</v>
      </c>
      <c r="AG9965" s="2">
        <f ca="1"/>
        <v>0.49859800678388222</v>
      </c>
      <c r="AH9965" s="2" t="str">
        <f ca="1"/>
        <v>Bad</v>
      </c>
    </row>
    <row r="9966" spans="2:34" x14ac:dyDescent="0.2">
      <c r="B9966" s="2">
        <f ca="1"/>
        <v>0.83094884380536582</v>
      </c>
      <c r="O9966" s="2">
        <f ca="1"/>
        <v>-9.5295959311962972E-3</v>
      </c>
      <c r="X9966" s="2">
        <f ca="1"/>
        <v>32.517292609517227</v>
      </c>
      <c r="AG9966" s="2">
        <f ca="1"/>
        <v>0.51207196614614459</v>
      </c>
      <c r="AH9966" s="2" t="str">
        <f ca="1"/>
        <v>Bad</v>
      </c>
    </row>
    <row r="9967" spans="2:34" x14ac:dyDescent="0.2">
      <c r="B9967" s="2">
        <f ca="1"/>
        <v>0.15713121576106315</v>
      </c>
      <c r="O9967" s="2">
        <f ca="1"/>
        <v>1.2060466808606791</v>
      </c>
      <c r="X9967" s="2">
        <f ca="1"/>
        <v>49.038918203397785</v>
      </c>
      <c r="AG9967" s="2">
        <f ca="1"/>
        <v>2.7349402970842096E-3</v>
      </c>
      <c r="AH9967" s="2" t="str">
        <f ca="1"/>
        <v>Good</v>
      </c>
    </row>
    <row r="9968" spans="2:34" x14ac:dyDescent="0.2">
      <c r="B9968" s="2">
        <f ca="1"/>
        <v>0.50310240649318838</v>
      </c>
      <c r="O9968" s="2">
        <f ca="1"/>
        <v>0.60851546406658041</v>
      </c>
      <c r="X9968" s="2">
        <f ca="1"/>
        <v>24.349193801788797</v>
      </c>
      <c r="AG9968" s="2">
        <f ca="1"/>
        <v>0.37993978366043635</v>
      </c>
      <c r="AH9968" s="2" t="str">
        <f ca="1"/>
        <v>OK</v>
      </c>
    </row>
    <row r="9969" spans="2:34" x14ac:dyDescent="0.2">
      <c r="B9969" s="2">
        <f ca="1"/>
        <v>0.44307700157771679</v>
      </c>
      <c r="O9969" s="2">
        <f ca="1"/>
        <v>-0.48434101094721232</v>
      </c>
      <c r="X9969" s="2">
        <f ca="1"/>
        <v>53.04547720760737</v>
      </c>
      <c r="AG9969" s="2">
        <f ca="1"/>
        <v>0.35073414589514007</v>
      </c>
      <c r="AH9969" s="2" t="str">
        <f ca="1"/>
        <v>OK</v>
      </c>
    </row>
    <row r="9970" spans="2:34" x14ac:dyDescent="0.2">
      <c r="B9970" s="2">
        <f ca="1"/>
        <v>0.74077998888712604</v>
      </c>
      <c r="O9970" s="2">
        <f ca="1"/>
        <v>0.6531135408079829</v>
      </c>
      <c r="X9970" s="2">
        <f ca="1"/>
        <v>41.267076380186026</v>
      </c>
      <c r="AG9970" s="2">
        <f ca="1"/>
        <v>3.2091723635626845E-2</v>
      </c>
      <c r="AH9970" s="2" t="str">
        <f ca="1"/>
        <v>Good</v>
      </c>
    </row>
    <row r="9971" spans="2:34" x14ac:dyDescent="0.2">
      <c r="B9971" s="2">
        <f ca="1"/>
        <v>0.29156029243363135</v>
      </c>
      <c r="O9971" s="2">
        <f ca="1"/>
        <v>-0.71077260694108912</v>
      </c>
      <c r="X9971" s="2">
        <f ca="1"/>
        <v>23.544012418371963</v>
      </c>
      <c r="AG9971" s="2">
        <f ca="1"/>
        <v>0.74477523644778798</v>
      </c>
      <c r="AH9971" s="2" t="str">
        <f ca="1"/>
        <v>Bad</v>
      </c>
    </row>
    <row r="9972" spans="2:34" x14ac:dyDescent="0.2">
      <c r="B9972" s="2">
        <f ca="1"/>
        <v>0.53030329064662585</v>
      </c>
      <c r="O9972" s="2">
        <f ca="1"/>
        <v>0.13151266476122492</v>
      </c>
      <c r="X9972" s="2">
        <f ca="1"/>
        <v>52.787960901868956</v>
      </c>
      <c r="AG9972" s="2">
        <f ca="1"/>
        <v>0.73996378981171262</v>
      </c>
      <c r="AH9972" s="2" t="str">
        <f ca="1"/>
        <v>Bad</v>
      </c>
    </row>
    <row r="9973" spans="2:34" x14ac:dyDescent="0.2">
      <c r="B9973" s="2">
        <f ca="1"/>
        <v>0.44925779901823737</v>
      </c>
      <c r="O9973" s="2">
        <f ca="1"/>
        <v>1.0101883472622775</v>
      </c>
      <c r="X9973" s="2">
        <f ca="1"/>
        <v>32.763327613373164</v>
      </c>
      <c r="AG9973" s="2">
        <f ca="1"/>
        <v>0.41472213163549254</v>
      </c>
      <c r="AH9973" s="2" t="str">
        <f ca="1"/>
        <v>Bad</v>
      </c>
    </row>
    <row r="9974" spans="2:34" x14ac:dyDescent="0.2">
      <c r="B9974" s="2">
        <f ca="1"/>
        <v>0.95937076267629395</v>
      </c>
      <c r="O9974" s="2">
        <f ca="1"/>
        <v>1.276493789027789</v>
      </c>
      <c r="X9974" s="2">
        <f ca="1"/>
        <v>46.798333659989488</v>
      </c>
      <c r="AG9974" s="2">
        <f ca="1"/>
        <v>7.3834729156103673E-2</v>
      </c>
      <c r="AH9974" s="2" t="str">
        <f ca="1"/>
        <v>OK</v>
      </c>
    </row>
    <row r="9975" spans="2:34" x14ac:dyDescent="0.2">
      <c r="B9975" s="2">
        <f ca="1"/>
        <v>0.82381823201036108</v>
      </c>
      <c r="O9975" s="2">
        <f ca="1"/>
        <v>0.72560782377684285</v>
      </c>
      <c r="X9975" s="2">
        <f ca="1"/>
        <v>43.438747257072741</v>
      </c>
      <c r="AG9975" s="2">
        <f ca="1"/>
        <v>0.6890952992021695</v>
      </c>
      <c r="AH9975" s="2" t="str">
        <f ca="1"/>
        <v>Bad</v>
      </c>
    </row>
    <row r="9976" spans="2:34" x14ac:dyDescent="0.2">
      <c r="B9976" s="2">
        <f ca="1"/>
        <v>0.53754865212458469</v>
      </c>
      <c r="O9976" s="2">
        <f ca="1"/>
        <v>0.59761268695291714</v>
      </c>
      <c r="X9976" s="2">
        <f ca="1"/>
        <v>56.706687981139979</v>
      </c>
      <c r="AG9976" s="2">
        <f ca="1"/>
        <v>2.4326750263936603E-2</v>
      </c>
      <c r="AH9976" s="2" t="str">
        <f ca="1"/>
        <v>Good</v>
      </c>
    </row>
    <row r="9977" spans="2:34" x14ac:dyDescent="0.2">
      <c r="B9977" s="2">
        <f ca="1"/>
        <v>0.79016707974205658</v>
      </c>
      <c r="O9977" s="2">
        <f ca="1"/>
        <v>-0.68820176606510863</v>
      </c>
      <c r="X9977" s="2">
        <f ca="1"/>
        <v>34.33167921327184</v>
      </c>
      <c r="AG9977" s="2">
        <f ca="1"/>
        <v>0.5123482192100286</v>
      </c>
      <c r="AH9977" s="2" t="str">
        <f ca="1"/>
        <v>Bad</v>
      </c>
    </row>
    <row r="9978" spans="2:34" x14ac:dyDescent="0.2">
      <c r="B9978" s="2">
        <f ca="1"/>
        <v>4.1838544878018302E-2</v>
      </c>
      <c r="O9978" s="2">
        <f ca="1"/>
        <v>-0.84474915313886645</v>
      </c>
      <c r="X9978" s="2">
        <f ca="1"/>
        <v>60.629787526881046</v>
      </c>
      <c r="AG9978" s="2">
        <f ca="1"/>
        <v>0.39864835041059421</v>
      </c>
      <c r="AH9978" s="2" t="str">
        <f ca="1"/>
        <v>OK</v>
      </c>
    </row>
    <row r="9979" spans="2:34" x14ac:dyDescent="0.2">
      <c r="B9979" s="2">
        <f ca="1"/>
        <v>0.43316408061241063</v>
      </c>
      <c r="O9979" s="2">
        <f ca="1"/>
        <v>-0.17439009604205524</v>
      </c>
      <c r="X9979" s="2">
        <f ca="1"/>
        <v>29.985191409181283</v>
      </c>
      <c r="AG9979" s="2">
        <f ca="1"/>
        <v>0.85710382222417025</v>
      </c>
      <c r="AH9979" s="2" t="str">
        <f ca="1"/>
        <v>Bad</v>
      </c>
    </row>
    <row r="9980" spans="2:34" x14ac:dyDescent="0.2">
      <c r="B9980" s="2">
        <f ca="1"/>
        <v>0.32789785578467301</v>
      </c>
      <c r="O9980" s="2">
        <f ca="1"/>
        <v>0.56769255257207518</v>
      </c>
      <c r="X9980" s="2">
        <f ca="1"/>
        <v>46.483216626389812</v>
      </c>
      <c r="AG9980" s="2">
        <f ca="1"/>
        <v>0.71377736151264748</v>
      </c>
      <c r="AH9980" s="2" t="str">
        <f ca="1"/>
        <v>Bad</v>
      </c>
    </row>
    <row r="9981" spans="2:34" x14ac:dyDescent="0.2">
      <c r="B9981" s="2">
        <f ca="1"/>
        <v>0.8509777747165379</v>
      </c>
      <c r="O9981" s="2">
        <f ca="1"/>
        <v>0.68836219215283179</v>
      </c>
      <c r="X9981" s="2">
        <f ca="1"/>
        <v>76.817653094508827</v>
      </c>
      <c r="AG9981" s="2">
        <f ca="1"/>
        <v>0.96933222216963988</v>
      </c>
      <c r="AH9981" s="2" t="str">
        <f ca="1"/>
        <v>Bad</v>
      </c>
    </row>
    <row r="9982" spans="2:34" x14ac:dyDescent="0.2">
      <c r="B9982" s="2">
        <f ca="1"/>
        <v>0.12591206762297857</v>
      </c>
      <c r="O9982" s="2">
        <f ca="1"/>
        <v>0.8716131921413115</v>
      </c>
      <c r="X9982" s="2">
        <f ca="1"/>
        <v>53.069110617080462</v>
      </c>
      <c r="AG9982" s="2">
        <f ca="1"/>
        <v>0.81698707462614872</v>
      </c>
      <c r="AH9982" s="2" t="str">
        <f ca="1"/>
        <v>Bad</v>
      </c>
    </row>
    <row r="9983" spans="2:34" x14ac:dyDescent="0.2">
      <c r="B9983" s="2">
        <f ca="1"/>
        <v>0.26977849815272092</v>
      </c>
      <c r="O9983" s="2">
        <f ca="1"/>
        <v>0.37270315793937864</v>
      </c>
      <c r="X9983" s="2">
        <f ca="1"/>
        <v>59.027521286884706</v>
      </c>
      <c r="AG9983" s="2">
        <f ca="1"/>
        <v>0.35432809700314194</v>
      </c>
      <c r="AH9983" s="2" t="str">
        <f ca="1"/>
        <v>OK</v>
      </c>
    </row>
    <row r="9984" spans="2:34" x14ac:dyDescent="0.2">
      <c r="B9984" s="2">
        <f ca="1"/>
        <v>0.71736172619321992</v>
      </c>
      <c r="O9984" s="2">
        <f ca="1"/>
        <v>2.2677071356858862</v>
      </c>
      <c r="X9984" s="2">
        <f ca="1"/>
        <v>33.108121528196776</v>
      </c>
      <c r="AG9984" s="2">
        <f ca="1"/>
        <v>4.9437750395924684E-2</v>
      </c>
      <c r="AH9984" s="2" t="str">
        <f ca="1"/>
        <v>Good</v>
      </c>
    </row>
    <row r="9985" spans="2:34" x14ac:dyDescent="0.2">
      <c r="B9985" s="2">
        <f ca="1"/>
        <v>0.3582379053468423</v>
      </c>
      <c r="O9985" s="2">
        <f ca="1"/>
        <v>-0.17705047040426533</v>
      </c>
      <c r="X9985" s="2">
        <f ca="1"/>
        <v>32.549010365906739</v>
      </c>
      <c r="AG9985" s="2">
        <f ca="1"/>
        <v>0.37801295886407216</v>
      </c>
      <c r="AH9985" s="2" t="str">
        <f ca="1"/>
        <v>OK</v>
      </c>
    </row>
    <row r="9986" spans="2:34" x14ac:dyDescent="0.2">
      <c r="B9986" s="2">
        <f ca="1"/>
        <v>0.45645387596289222</v>
      </c>
      <c r="O9986" s="2">
        <f ca="1"/>
        <v>-1.5967337800211066E-2</v>
      </c>
      <c r="X9986" s="2">
        <f ca="1"/>
        <v>30.488556482047567</v>
      </c>
      <c r="AG9986" s="2">
        <f ca="1"/>
        <v>0.82095958788421952</v>
      </c>
      <c r="AH9986" s="2" t="str">
        <f ca="1"/>
        <v>Bad</v>
      </c>
    </row>
    <row r="9987" spans="2:34" x14ac:dyDescent="0.2">
      <c r="B9987" s="2">
        <f ca="1"/>
        <v>0.35261860375930532</v>
      </c>
      <c r="O9987" s="2">
        <f ca="1"/>
        <v>-1.826925906784447</v>
      </c>
      <c r="X9987" s="2">
        <f ca="1"/>
        <v>70.988824475731207</v>
      </c>
      <c r="AG9987" s="2">
        <f ca="1"/>
        <v>0.84043048406032339</v>
      </c>
      <c r="AH9987" s="2" t="str">
        <f ca="1"/>
        <v>Bad</v>
      </c>
    </row>
    <row r="9988" spans="2:34" x14ac:dyDescent="0.2">
      <c r="B9988" s="2">
        <f ca="1"/>
        <v>0.80698740903718735</v>
      </c>
      <c r="O9988" s="2">
        <f ca="1"/>
        <v>-1.0343669433210652</v>
      </c>
      <c r="X9988" s="2">
        <f ca="1"/>
        <v>49.770929708623115</v>
      </c>
      <c r="AG9988" s="2">
        <f ca="1"/>
        <v>0.20397802644266139</v>
      </c>
      <c r="AH9988" s="2" t="str">
        <f ca="1"/>
        <v>OK</v>
      </c>
    </row>
    <row r="9989" spans="2:34" x14ac:dyDescent="0.2">
      <c r="B9989" s="2">
        <f ca="1"/>
        <v>0.26013884360560002</v>
      </c>
      <c r="O9989" s="2">
        <f ca="1"/>
        <v>2.9329952202195458E-2</v>
      </c>
      <c r="X9989" s="2">
        <f ca="1"/>
        <v>49.821254032520443</v>
      </c>
      <c r="AG9989" s="2">
        <f ca="1"/>
        <v>0.66586225676043975</v>
      </c>
      <c r="AH9989" s="2" t="str">
        <f ca="1"/>
        <v>Bad</v>
      </c>
    </row>
    <row r="9990" spans="2:34" x14ac:dyDescent="0.2">
      <c r="B9990" s="2">
        <f ca="1"/>
        <v>0.42596674328459461</v>
      </c>
      <c r="O9990" s="2">
        <f ca="1"/>
        <v>0.58036469329261098</v>
      </c>
      <c r="X9990" s="2">
        <f ca="1"/>
        <v>31.651544056472517</v>
      </c>
      <c r="AG9990" s="2">
        <f ca="1"/>
        <v>0.57671033051705467</v>
      </c>
      <c r="AH9990" s="2" t="str">
        <f ca="1"/>
        <v>Bad</v>
      </c>
    </row>
    <row r="9991" spans="2:34" x14ac:dyDescent="0.2">
      <c r="B9991" s="2">
        <f ca="1"/>
        <v>0.27582204891942941</v>
      </c>
      <c r="O9991" s="2">
        <f ca="1"/>
        <v>1.6412589442308319</v>
      </c>
      <c r="X9991" s="2">
        <f ca="1"/>
        <v>75.732759532079456</v>
      </c>
      <c r="AG9991" s="2">
        <f ca="1"/>
        <v>0.13480978274691591</v>
      </c>
      <c r="AH9991" s="2" t="str">
        <f ca="1"/>
        <v>OK</v>
      </c>
    </row>
    <row r="9992" spans="2:34" x14ac:dyDescent="0.2">
      <c r="B9992" s="2">
        <f ca="1"/>
        <v>0.71289198101184614</v>
      </c>
      <c r="O9992" s="2">
        <f ca="1"/>
        <v>0.29302181561206425</v>
      </c>
      <c r="X9992" s="2">
        <f ca="1"/>
        <v>60.692223365980439</v>
      </c>
      <c r="AG9992" s="2">
        <f ca="1"/>
        <v>5.3918559320318415E-2</v>
      </c>
      <c r="AH9992" s="2" t="str">
        <f ca="1"/>
        <v>OK</v>
      </c>
    </row>
    <row r="9993" spans="2:34" x14ac:dyDescent="0.2">
      <c r="B9993" s="2">
        <f ca="1"/>
        <v>0.93699638227268278</v>
      </c>
      <c r="O9993" s="2">
        <f ca="1"/>
        <v>0.72252907116065523</v>
      </c>
      <c r="X9993" s="2">
        <f ca="1"/>
        <v>56.192776993862296</v>
      </c>
      <c r="AG9993" s="2">
        <f ca="1"/>
        <v>0.1265174777419511</v>
      </c>
      <c r="AH9993" s="2" t="str">
        <f ca="1"/>
        <v>OK</v>
      </c>
    </row>
    <row r="9994" spans="2:34" x14ac:dyDescent="0.2">
      <c r="B9994" s="2">
        <f ca="1"/>
        <v>0.62006940533485388</v>
      </c>
      <c r="O9994" s="2">
        <f ca="1"/>
        <v>-0.3014500979148963</v>
      </c>
      <c r="X9994" s="2">
        <f ca="1"/>
        <v>49.081251546909215</v>
      </c>
      <c r="AG9994" s="2">
        <f ca="1"/>
        <v>0.23623017734847029</v>
      </c>
      <c r="AH9994" s="2" t="str">
        <f ca="1"/>
        <v>OK</v>
      </c>
    </row>
    <row r="9995" spans="2:34" x14ac:dyDescent="0.2">
      <c r="B9995" s="2">
        <f ca="1"/>
        <v>0.44817878896236052</v>
      </c>
      <c r="O9995" s="2">
        <f ca="1"/>
        <v>1.4777481206884209</v>
      </c>
      <c r="X9995" s="2">
        <f ca="1"/>
        <v>63.613295709967758</v>
      </c>
      <c r="AG9995" s="2">
        <f ca="1"/>
        <v>2.0858906658862253E-2</v>
      </c>
      <c r="AH9995" s="2" t="str">
        <f ca="1"/>
        <v>Good</v>
      </c>
    </row>
    <row r="9996" spans="2:34" x14ac:dyDescent="0.2">
      <c r="B9996" s="2">
        <f ca="1"/>
        <v>0.44703217866190403</v>
      </c>
      <c r="O9996" s="2">
        <f ca="1"/>
        <v>-0.2907323511250231</v>
      </c>
      <c r="X9996" s="2">
        <f ca="1"/>
        <v>51.576009036781073</v>
      </c>
      <c r="AG9996" s="2">
        <f ca="1"/>
        <v>0.27751977618484958</v>
      </c>
      <c r="AH9996" s="2" t="str">
        <f ca="1"/>
        <v>OK</v>
      </c>
    </row>
    <row r="9997" spans="2:34" x14ac:dyDescent="0.2">
      <c r="B9997" s="2">
        <f ca="1"/>
        <v>0.54516659208296536</v>
      </c>
      <c r="O9997" s="2">
        <f ca="1"/>
        <v>-0.48112983705726314</v>
      </c>
      <c r="X9997" s="2">
        <f ca="1"/>
        <v>76.995534713684862</v>
      </c>
      <c r="AG9997" s="2">
        <f ca="1"/>
        <v>0.22514356357813692</v>
      </c>
      <c r="AH9997" s="2" t="str">
        <f ca="1"/>
        <v>OK</v>
      </c>
    </row>
    <row r="9998" spans="2:34" x14ac:dyDescent="0.2">
      <c r="B9998" s="2">
        <f ca="1"/>
        <v>0.3238688772197833</v>
      </c>
      <c r="O9998" s="2">
        <f ca="1"/>
        <v>-0.89911640204939225</v>
      </c>
      <c r="X9998" s="2">
        <f ca="1"/>
        <v>50.99171879080928</v>
      </c>
      <c r="AG9998" s="2">
        <f ca="1"/>
        <v>0.78308865459608024</v>
      </c>
      <c r="AH9998" s="2" t="str">
        <f ca="1"/>
        <v>Bad</v>
      </c>
    </row>
    <row r="9999" spans="2:34" x14ac:dyDescent="0.2">
      <c r="B9999" s="2">
        <f ca="1"/>
        <v>0.29067871135711965</v>
      </c>
      <c r="O9999" s="2">
        <f ca="1"/>
        <v>0.3951804747390506</v>
      </c>
      <c r="X9999" s="2">
        <f ca="1"/>
        <v>66.736885185275781</v>
      </c>
      <c r="AG9999" s="2">
        <f ca="1"/>
        <v>0.10235474729111282</v>
      </c>
      <c r="AH9999" s="2" t="str">
        <f ca="1"/>
        <v>OK</v>
      </c>
    </row>
    <row r="10000" spans="2:34" x14ac:dyDescent="0.2">
      <c r="B10000" s="2">
        <f ca="1"/>
        <v>0.39912765325571309</v>
      </c>
      <c r="O10000" s="2">
        <f ca="1"/>
        <v>-0.77943348999796658</v>
      </c>
      <c r="X10000" s="2">
        <f ca="1"/>
        <v>83.404084728041298</v>
      </c>
      <c r="AG10000" s="2">
        <f ca="1"/>
        <v>0.46944815690449326</v>
      </c>
      <c r="AH10000" s="2" t="str">
        <f ca="1"/>
        <v>Bad</v>
      </c>
    </row>
    <row r="10001" spans="2:34" x14ac:dyDescent="0.2">
      <c r="B10001" s="2">
        <f ca="1"/>
        <v>0.24480055337698059</v>
      </c>
      <c r="O10001" s="2">
        <f ca="1"/>
        <v>1.1111401878594183</v>
      </c>
      <c r="X10001" s="2">
        <f ca="1"/>
        <v>43.012874509009499</v>
      </c>
      <c r="AG10001" s="2">
        <f ca="1"/>
        <v>0.92024454377504283</v>
      </c>
      <c r="AH10001" s="2" t="str">
        <f ca="1"/>
        <v>Bad</v>
      </c>
    </row>
    <row r="10002" spans="2:34" x14ac:dyDescent="0.2">
      <c r="B10002" s="2">
        <f ca="1"/>
        <v>5.4557460671226909E-2</v>
      </c>
      <c r="O10002" s="2">
        <f ca="1"/>
        <v>-0.23708324139214601</v>
      </c>
      <c r="X10002" s="2">
        <f ca="1"/>
        <v>61.518472212930043</v>
      </c>
      <c r="AG10002" s="2">
        <f ca="1"/>
        <v>0.81457720706318448</v>
      </c>
      <c r="AH10002" s="2" t="str">
        <f ca="1"/>
        <v>Bad</v>
      </c>
    </row>
    <row r="10003" spans="2:34" x14ac:dyDescent="0.2">
      <c r="B10003" s="2">
        <f ca="1"/>
        <v>0.71589915200667065</v>
      </c>
      <c r="O10003" s="2">
        <f ca="1"/>
        <v>1.1404578974456423</v>
      </c>
      <c r="X10003" s="2">
        <f ca="1"/>
        <v>60.866816578373168</v>
      </c>
      <c r="AG10003" s="2">
        <f ca="1"/>
        <v>0.90836496059117455</v>
      </c>
      <c r="AH10003" s="2" t="str">
        <f ca="1"/>
        <v>Bad</v>
      </c>
    </row>
    <row r="10004" spans="2:34" x14ac:dyDescent="0.2">
      <c r="B10004" s="2">
        <f ca="1"/>
        <v>8.8459042541351174E-3</v>
      </c>
      <c r="AG10004" s="2">
        <f ca="1"/>
        <v>0.37567477779898395</v>
      </c>
      <c r="AH10004" s="2" t="str">
        <f ca="1"/>
        <v>OK</v>
      </c>
    </row>
    <row r="10005" spans="2:34" x14ac:dyDescent="0.2">
      <c r="B10005" s="2">
        <f ca="1"/>
        <v>0.32874694508998048</v>
      </c>
      <c r="AG10005" s="2">
        <f ca="1"/>
        <v>0.29022748290790745</v>
      </c>
      <c r="AH10005" s="2" t="str">
        <f ca="1"/>
        <v>OK</v>
      </c>
    </row>
    <row r="10006" spans="2:34" x14ac:dyDescent="0.2">
      <c r="B10006" s="2">
        <f ca="1"/>
        <v>0.60297806056833458</v>
      </c>
      <c r="AG10006" s="2">
        <f ca="1"/>
        <v>0.48654734659841359</v>
      </c>
      <c r="AH10006" s="2" t="str">
        <f ca="1"/>
        <v>Bad</v>
      </c>
    </row>
    <row r="10007" spans="2:34" x14ac:dyDescent="0.2">
      <c r="B10007" s="2">
        <f ca="1"/>
        <v>3.8739137979915572E-2</v>
      </c>
      <c r="AG10007" s="2">
        <f ca="1"/>
        <v>0.27608864869870842</v>
      </c>
      <c r="AH10007" s="2" t="str">
        <f ca="1"/>
        <v>OK</v>
      </c>
    </row>
    <row r="10008" spans="2:34" x14ac:dyDescent="0.2">
      <c r="B10008" s="2">
        <f ca="1"/>
        <v>5.5007833646972815E-2</v>
      </c>
    </row>
    <row r="10009" spans="2:34" x14ac:dyDescent="0.2">
      <c r="B10009" s="2">
        <f ca="1"/>
        <v>0.23868576564819732</v>
      </c>
    </row>
    <row r="10010" spans="2:34" x14ac:dyDescent="0.2">
      <c r="B10010" s="2">
        <f ca="1"/>
        <v>0.78718219077327767</v>
      </c>
    </row>
    <row r="10011" spans="2:34" x14ac:dyDescent="0.2">
      <c r="B10011" s="2">
        <f ca="1"/>
        <v>0.4443874237015939</v>
      </c>
    </row>
    <row r="10012" spans="2:34" x14ac:dyDescent="0.2">
      <c r="B10012" s="2">
        <f ca="1"/>
        <v>0.47794240758892115</v>
      </c>
    </row>
    <row r="10013" spans="2:34" x14ac:dyDescent="0.2">
      <c r="B10013" s="2">
        <f ca="1"/>
        <v>1.5709384397204929E-2</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DB44A3-47FF-42CC-871D-4995B392C4AA}">
  <sheetPr codeName="Sheet10"/>
  <dimension ref="A1:BA38"/>
  <sheetViews>
    <sheetView tabSelected="1" workbookViewId="0">
      <selection activeCell="G179" sqref="G179"/>
    </sheetView>
  </sheetViews>
  <sheetFormatPr baseColWidth="10" defaultColWidth="8.83203125" defaultRowHeight="16" x14ac:dyDescent="0.2"/>
  <cols>
    <col min="2" max="2" width="9.5" customWidth="1"/>
    <col min="13" max="13" width="13.6640625" bestFit="1" customWidth="1"/>
  </cols>
  <sheetData>
    <row r="1" spans="1:53" x14ac:dyDescent="0.2">
      <c r="A1" s="101"/>
      <c r="B1" s="1"/>
      <c r="C1" s="1"/>
      <c r="D1" s="1"/>
      <c r="E1" s="1"/>
      <c r="F1" s="102"/>
      <c r="G1" s="101"/>
      <c r="H1" s="1"/>
      <c r="I1" s="1"/>
      <c r="J1" s="1"/>
      <c r="K1" s="1"/>
      <c r="L1" s="101"/>
      <c r="M1" s="1"/>
      <c r="N1" s="1"/>
      <c r="O1" s="1"/>
      <c r="P1" s="1"/>
      <c r="Q1" s="1"/>
      <c r="R1" s="1"/>
      <c r="S1" s="1"/>
      <c r="T1" s="1"/>
      <c r="U1" s="101"/>
      <c r="V1" s="1"/>
      <c r="W1" s="1"/>
      <c r="X1" s="1"/>
      <c r="Y1" s="1"/>
      <c r="Z1" s="1"/>
      <c r="AA1" s="102"/>
    </row>
    <row r="2" spans="1:53" x14ac:dyDescent="0.2">
      <c r="A2" s="103"/>
      <c r="B2" s="12" t="s">
        <v>283</v>
      </c>
      <c r="F2" s="104"/>
      <c r="G2" s="103"/>
      <c r="H2" s="12" t="s">
        <v>292</v>
      </c>
      <c r="L2" s="103"/>
      <c r="M2" s="12" t="s">
        <v>295</v>
      </c>
      <c r="U2" s="103"/>
      <c r="V2" s="12" t="s">
        <v>300</v>
      </c>
      <c r="AA2" s="104"/>
      <c r="AC2" s="12" t="s">
        <v>303</v>
      </c>
    </row>
    <row r="3" spans="1:53" x14ac:dyDescent="0.2">
      <c r="A3" s="103"/>
      <c r="F3" s="104"/>
      <c r="G3" s="103"/>
      <c r="L3" s="103"/>
      <c r="U3" s="103"/>
      <c r="AA3" s="104"/>
      <c r="AF3" s="116" t="s">
        <v>305</v>
      </c>
    </row>
    <row r="4" spans="1:53" x14ac:dyDescent="0.2">
      <c r="A4" s="103"/>
      <c r="B4" t="str" cm="1">
        <f t="array" ref="B4:E8">lossratios</f>
        <v>Loss ratios</v>
      </c>
      <c r="C4" t="str">
        <v>NSW</v>
      </c>
      <c r="D4" t="str">
        <v>VIC</v>
      </c>
      <c r="E4" t="str">
        <v>ACT</v>
      </c>
      <c r="F4" s="104"/>
      <c r="G4" s="103"/>
      <c r="L4" s="103"/>
      <c r="M4" t="str" cm="1">
        <f t="array" ref="M4:P8">lossratios</f>
        <v>Loss ratios</v>
      </c>
      <c r="N4" t="str">
        <v>NSW</v>
      </c>
      <c r="O4" t="str">
        <v>VIC</v>
      </c>
      <c r="P4" t="str">
        <v>ACT</v>
      </c>
      <c r="U4" s="103"/>
      <c r="V4" t="str" cm="1">
        <f t="array" ref="V4:W16">monthly_profit</f>
        <v>Month</v>
      </c>
      <c r="W4" t="str">
        <v>Profit</v>
      </c>
      <c r="AA4" s="104"/>
      <c r="AC4" s="2" t="s">
        <v>304</v>
      </c>
      <c r="AD4" s="2"/>
      <c r="AE4" s="2"/>
      <c r="AF4" s="2"/>
      <c r="AG4" s="2"/>
      <c r="AH4" s="2"/>
      <c r="AI4" s="2"/>
      <c r="AJ4" s="2"/>
      <c r="AL4" t="s">
        <v>306</v>
      </c>
    </row>
    <row r="5" spans="1:53" s="112" customFormat="1" ht="24" x14ac:dyDescent="0.3">
      <c r="A5" s="103"/>
      <c r="B5" t="str">
        <v>Motor</v>
      </c>
      <c r="C5">
        <v>0.92900000000000005</v>
      </c>
      <c r="D5">
        <v>0.76500000000000001</v>
      </c>
      <c r="E5">
        <v>0.94099999999999995</v>
      </c>
      <c r="F5" s="104"/>
      <c r="G5" s="103"/>
      <c r="H5" s="2" t="s">
        <v>293</v>
      </c>
      <c r="I5" s="2"/>
      <c r="J5" s="2"/>
      <c r="K5"/>
      <c r="L5" s="103"/>
      <c r="M5" t="str">
        <v>Motor</v>
      </c>
      <c r="N5">
        <v>0.92900000000000005</v>
      </c>
      <c r="O5">
        <v>0.76500000000000001</v>
      </c>
      <c r="P5">
        <v>0.94099999999999995</v>
      </c>
      <c r="U5" s="114"/>
      <c r="V5" t="str">
        <v>Jan</v>
      </c>
      <c r="W5">
        <v>624</v>
      </c>
      <c r="AA5" s="113"/>
      <c r="AB5"/>
      <c r="AC5" s="2"/>
      <c r="AD5" s="2"/>
      <c r="AE5" s="2"/>
      <c r="AF5" s="2"/>
      <c r="AG5" s="2"/>
      <c r="AH5" s="2"/>
      <c r="AI5" s="2"/>
      <c r="AJ5" s="2"/>
      <c r="AK5"/>
      <c r="AL5" s="2"/>
      <c r="AM5" s="2"/>
      <c r="AN5" s="2"/>
      <c r="AO5" s="2"/>
      <c r="AP5" s="2"/>
      <c r="AQ5" s="2"/>
      <c r="AR5" s="2"/>
      <c r="AS5"/>
      <c r="AT5"/>
      <c r="AU5"/>
      <c r="AV5"/>
      <c r="AW5"/>
      <c r="AX5"/>
      <c r="AY5"/>
      <c r="AZ5"/>
      <c r="BA5"/>
    </row>
    <row r="6" spans="1:53" ht="24" x14ac:dyDescent="0.3">
      <c r="A6" s="103"/>
      <c r="B6" t="str">
        <v>Liability</v>
      </c>
      <c r="C6">
        <v>0.61199999999999999</v>
      </c>
      <c r="D6">
        <v>0.76100000000000001</v>
      </c>
      <c r="E6">
        <v>1.093</v>
      </c>
      <c r="F6" s="113"/>
      <c r="G6" s="114"/>
      <c r="H6" s="112"/>
      <c r="I6" s="112"/>
      <c r="J6" s="112"/>
      <c r="K6" s="112"/>
      <c r="L6" s="114"/>
      <c r="M6" t="str">
        <v>Liability</v>
      </c>
      <c r="N6">
        <v>0.61199999999999999</v>
      </c>
      <c r="O6">
        <v>0.76100000000000001</v>
      </c>
      <c r="P6">
        <v>1.093</v>
      </c>
      <c r="U6" s="103"/>
      <c r="V6" t="str">
        <v>Feb</v>
      </c>
      <c r="W6">
        <v>390</v>
      </c>
      <c r="AA6" s="104"/>
      <c r="AE6" s="2"/>
      <c r="AF6" s="2"/>
      <c r="AG6" s="2"/>
      <c r="AH6" s="2"/>
      <c r="AI6" s="2"/>
      <c r="AJ6" s="2"/>
      <c r="AN6" s="2"/>
      <c r="AO6" s="2"/>
      <c r="AP6" s="2"/>
      <c r="AQ6" s="2"/>
      <c r="AR6" s="2"/>
    </row>
    <row r="7" spans="1:53" x14ac:dyDescent="0.2">
      <c r="A7" s="103"/>
      <c r="B7" t="str">
        <v>Life</v>
      </c>
      <c r="C7">
        <v>0.871</v>
      </c>
      <c r="D7">
        <v>0.92800000000000005</v>
      </c>
      <c r="E7">
        <v>0.65900000000000003</v>
      </c>
      <c r="F7" s="104"/>
      <c r="G7" s="103"/>
      <c r="L7" s="103"/>
      <c r="M7" t="str">
        <v>Life</v>
      </c>
      <c r="N7">
        <v>0.871</v>
      </c>
      <c r="O7">
        <v>0.92800000000000005</v>
      </c>
      <c r="P7">
        <v>0.65900000000000003</v>
      </c>
      <c r="U7" s="103"/>
      <c r="V7" t="str">
        <v>Mar</v>
      </c>
      <c r="W7">
        <v>1000</v>
      </c>
      <c r="AA7" s="104"/>
      <c r="AE7" s="2"/>
      <c r="AF7" s="2"/>
      <c r="AG7" s="2"/>
      <c r="AH7" s="2"/>
      <c r="AI7" s="2"/>
      <c r="AJ7" s="2"/>
      <c r="AN7" s="2"/>
      <c r="AO7" s="2"/>
      <c r="AP7" s="2"/>
      <c r="AQ7" s="2"/>
      <c r="AR7" s="2"/>
    </row>
    <row r="8" spans="1:53" ht="24" x14ac:dyDescent="0.3">
      <c r="A8" s="103"/>
      <c r="B8" t="str">
        <v>Property</v>
      </c>
      <c r="C8">
        <v>1.0489999999999999</v>
      </c>
      <c r="D8">
        <v>0.67500000000000004</v>
      </c>
      <c r="E8">
        <v>0.96699999999999997</v>
      </c>
      <c r="F8" s="113"/>
      <c r="G8" s="114"/>
      <c r="H8" s="112"/>
      <c r="I8" s="112"/>
      <c r="J8" s="112"/>
      <c r="K8" s="112"/>
      <c r="L8" s="114"/>
      <c r="M8" t="str">
        <v>Property</v>
      </c>
      <c r="N8">
        <v>1.0489999999999999</v>
      </c>
      <c r="O8">
        <v>0.67500000000000004</v>
      </c>
      <c r="P8">
        <v>0.96699999999999997</v>
      </c>
      <c r="U8" s="103"/>
      <c r="V8" t="str">
        <v>Apr</v>
      </c>
      <c r="W8">
        <v>250</v>
      </c>
      <c r="AA8" s="104"/>
      <c r="AE8" s="2"/>
      <c r="AF8" s="2"/>
      <c r="AG8" s="2"/>
      <c r="AH8" s="2"/>
      <c r="AI8" s="2"/>
      <c r="AJ8" s="2"/>
      <c r="AN8" s="2"/>
      <c r="AO8" s="2"/>
      <c r="AP8" s="2"/>
      <c r="AQ8" s="2"/>
      <c r="AR8" s="2"/>
    </row>
    <row r="9" spans="1:53" x14ac:dyDescent="0.2">
      <c r="A9" s="103"/>
      <c r="F9" s="104"/>
      <c r="G9" s="103"/>
      <c r="H9" s="2" t="s">
        <v>294</v>
      </c>
      <c r="I9" s="2"/>
      <c r="J9" s="2"/>
      <c r="L9" s="103"/>
      <c r="U9" s="103"/>
      <c r="V9" t="str">
        <v>May</v>
      </c>
      <c r="W9">
        <v>439</v>
      </c>
      <c r="AA9" s="104"/>
      <c r="AE9" s="2"/>
      <c r="AF9" s="2"/>
      <c r="AG9" s="2"/>
      <c r="AH9" s="2"/>
      <c r="AI9" s="2"/>
      <c r="AJ9" s="2"/>
      <c r="AN9" s="2"/>
      <c r="AO9" s="2"/>
      <c r="AP9" s="2"/>
      <c r="AQ9" s="2"/>
      <c r="AR9" s="2"/>
    </row>
    <row r="10" spans="1:53" x14ac:dyDescent="0.2">
      <c r="A10" s="103"/>
      <c r="B10" s="2" t="s">
        <v>284</v>
      </c>
      <c r="C10" s="2"/>
      <c r="D10" s="2"/>
      <c r="E10" s="2"/>
      <c r="F10" s="104"/>
      <c r="G10" s="103"/>
      <c r="L10" s="103"/>
      <c r="M10" s="2" t="s">
        <v>296</v>
      </c>
      <c r="N10" s="2"/>
      <c r="O10" s="2"/>
      <c r="P10" s="2"/>
      <c r="Q10" s="2"/>
      <c r="R10" s="2"/>
      <c r="S10" s="2"/>
      <c r="U10" s="103"/>
      <c r="V10" t="str">
        <v>Jun</v>
      </c>
      <c r="W10">
        <v>109</v>
      </c>
      <c r="AA10" s="104"/>
      <c r="AE10" s="2"/>
      <c r="AF10" s="2"/>
      <c r="AG10" s="2"/>
      <c r="AH10" s="2"/>
      <c r="AI10" s="2"/>
      <c r="AJ10" s="2"/>
      <c r="AN10" s="2"/>
      <c r="AO10" s="2"/>
      <c r="AP10" s="2"/>
      <c r="AQ10" s="2"/>
      <c r="AR10" s="2"/>
    </row>
    <row r="11" spans="1:53" x14ac:dyDescent="0.2">
      <c r="A11" s="105"/>
      <c r="B11" s="66"/>
      <c r="C11" s="66"/>
      <c r="D11" s="66"/>
      <c r="E11" s="66"/>
      <c r="F11" s="106"/>
      <c r="G11" s="105"/>
      <c r="H11" s="66"/>
      <c r="I11" s="66"/>
      <c r="J11" s="66"/>
      <c r="K11" s="66"/>
      <c r="L11" s="103"/>
      <c r="M11" s="2" t="s">
        <v>297</v>
      </c>
      <c r="N11" s="2"/>
      <c r="O11" s="2"/>
      <c r="P11" s="2"/>
      <c r="Q11" s="2"/>
      <c r="R11" s="2"/>
      <c r="S11" s="2"/>
      <c r="U11" s="103"/>
      <c r="V11" t="str">
        <v>Jul</v>
      </c>
      <c r="W11">
        <v>530</v>
      </c>
      <c r="AA11" s="104"/>
      <c r="AE11" s="2"/>
      <c r="AF11" s="2"/>
      <c r="AG11" s="2"/>
      <c r="AH11" s="2"/>
      <c r="AI11" s="2"/>
      <c r="AJ11" s="2"/>
      <c r="AN11" s="2"/>
      <c r="AO11" s="2"/>
      <c r="AP11" s="2"/>
      <c r="AQ11" s="2"/>
      <c r="AR11" s="2"/>
    </row>
    <row r="12" spans="1:53" x14ac:dyDescent="0.2">
      <c r="L12" s="103"/>
      <c r="M12" s="2"/>
      <c r="N12" s="2"/>
      <c r="O12" s="2"/>
      <c r="P12" s="2"/>
      <c r="Q12" s="2"/>
      <c r="R12" s="2"/>
      <c r="S12" s="2"/>
      <c r="U12" s="103"/>
      <c r="V12" t="str">
        <v>Aug</v>
      </c>
      <c r="W12">
        <v>123</v>
      </c>
      <c r="AA12" s="104"/>
      <c r="AE12" s="2"/>
      <c r="AF12" s="2"/>
      <c r="AG12" s="2"/>
      <c r="AH12" s="2"/>
      <c r="AI12" s="2"/>
      <c r="AJ12" s="2"/>
      <c r="AN12" s="2"/>
      <c r="AO12" s="2"/>
      <c r="AP12" s="2"/>
      <c r="AQ12" s="2"/>
      <c r="AR12" s="2"/>
    </row>
    <row r="13" spans="1:53" x14ac:dyDescent="0.2">
      <c r="A13" s="101"/>
      <c r="B13" s="111" t="s">
        <v>285</v>
      </c>
      <c r="C13" s="1"/>
      <c r="D13" s="1"/>
      <c r="E13" s="1"/>
      <c r="F13" s="1"/>
      <c r="G13" s="1"/>
      <c r="H13" s="1"/>
      <c r="I13" s="1"/>
      <c r="J13" s="1"/>
      <c r="K13" s="1"/>
      <c r="L13" s="103"/>
      <c r="M13" s="2"/>
      <c r="N13" s="2"/>
      <c r="O13" s="2"/>
      <c r="P13" s="2"/>
      <c r="Q13" s="2"/>
      <c r="R13" s="2"/>
      <c r="S13" s="2"/>
      <c r="U13" s="103"/>
      <c r="V13" t="str">
        <v>Sep</v>
      </c>
      <c r="W13">
        <v>5345</v>
      </c>
      <c r="AA13" s="104"/>
      <c r="AE13" s="2"/>
      <c r="AF13" s="2"/>
      <c r="AG13" s="2"/>
      <c r="AH13" s="2"/>
      <c r="AI13" s="2"/>
      <c r="AJ13" s="2"/>
      <c r="AN13" s="2"/>
      <c r="AO13" s="2"/>
      <c r="AP13" s="2"/>
      <c r="AQ13" s="2"/>
      <c r="AR13" s="2"/>
    </row>
    <row r="14" spans="1:53" x14ac:dyDescent="0.2">
      <c r="A14" s="103"/>
      <c r="L14" s="103"/>
      <c r="U14" s="103"/>
      <c r="V14" t="str">
        <v>Oct</v>
      </c>
      <c r="W14">
        <v>312</v>
      </c>
      <c r="AA14" s="104"/>
      <c r="AE14" s="2"/>
      <c r="AF14" s="2"/>
      <c r="AG14" s="2"/>
      <c r="AH14" s="2"/>
      <c r="AI14" s="2"/>
      <c r="AJ14" s="2"/>
      <c r="AN14" s="2"/>
      <c r="AO14" s="2"/>
      <c r="AP14" s="2"/>
      <c r="AQ14" s="2"/>
      <c r="AR14" s="2"/>
    </row>
    <row r="15" spans="1:53" ht="24" x14ac:dyDescent="0.3">
      <c r="A15" s="103"/>
      <c r="B15" t="str" cm="1">
        <f t="array" ref="B15:C27">monthly_profit</f>
        <v>Month</v>
      </c>
      <c r="C15" t="str">
        <v>Profit</v>
      </c>
      <c r="E15" t="s">
        <v>299</v>
      </c>
      <c r="K15" s="113"/>
      <c r="L15" s="114"/>
      <c r="M15" s="115" t="s">
        <v>298</v>
      </c>
      <c r="N15" s="2"/>
      <c r="O15" s="2"/>
      <c r="P15" s="2"/>
      <c r="Q15" s="2"/>
      <c r="R15" s="2"/>
      <c r="S15" s="2"/>
      <c r="U15" s="103"/>
      <c r="V15" t="str">
        <v>Nov</v>
      </c>
      <c r="W15">
        <v>98</v>
      </c>
      <c r="AA15" s="104"/>
      <c r="AE15" s="2"/>
      <c r="AF15" s="2"/>
      <c r="AG15" s="2"/>
      <c r="AH15" s="2"/>
      <c r="AI15" s="2"/>
      <c r="AJ15" s="2"/>
      <c r="AN15" s="2"/>
      <c r="AO15" s="2"/>
      <c r="AP15" s="2"/>
      <c r="AQ15" s="2"/>
      <c r="AR15" s="2"/>
    </row>
    <row r="16" spans="1:53" x14ac:dyDescent="0.2">
      <c r="A16" s="103"/>
      <c r="B16" t="str">
        <v>Jan</v>
      </c>
      <c r="C16">
        <v>624</v>
      </c>
      <c r="K16" s="104"/>
      <c r="L16" s="103"/>
      <c r="M16" s="2"/>
      <c r="N16" s="2"/>
      <c r="O16" s="2"/>
      <c r="P16" s="2"/>
      <c r="Q16" s="2"/>
      <c r="R16" s="2"/>
      <c r="S16" s="2"/>
      <c r="U16" s="103"/>
      <c r="V16" t="str">
        <v>Dec</v>
      </c>
      <c r="W16">
        <v>672</v>
      </c>
      <c r="AA16" s="104"/>
      <c r="AN16" s="2"/>
      <c r="AO16" s="2"/>
      <c r="AP16" s="2"/>
      <c r="AQ16" s="2"/>
      <c r="AR16" s="2"/>
    </row>
    <row r="17" spans="1:44" ht="24" x14ac:dyDescent="0.3">
      <c r="A17" s="114"/>
      <c r="B17" t="str">
        <v>Feb</v>
      </c>
      <c r="C17">
        <v>390</v>
      </c>
      <c r="K17" s="104"/>
      <c r="L17" s="103"/>
      <c r="M17" s="2"/>
      <c r="N17" s="2"/>
      <c r="O17" s="2"/>
      <c r="P17" s="2"/>
      <c r="Q17" s="2"/>
      <c r="R17" s="2"/>
      <c r="S17" s="2"/>
      <c r="U17" s="103"/>
      <c r="AA17" s="104"/>
      <c r="AN17" s="2"/>
      <c r="AO17" s="2"/>
      <c r="AP17" s="2"/>
      <c r="AQ17" s="2"/>
      <c r="AR17" s="2"/>
    </row>
    <row r="18" spans="1:44" s="112" customFormat="1" ht="24" x14ac:dyDescent="0.3">
      <c r="A18" s="103"/>
      <c r="B18" t="str">
        <v>Mar</v>
      </c>
      <c r="C18">
        <v>1000</v>
      </c>
      <c r="D18"/>
      <c r="E18"/>
      <c r="F18"/>
      <c r="G18"/>
      <c r="H18"/>
      <c r="I18"/>
      <c r="J18"/>
      <c r="K18" s="113"/>
      <c r="L18" s="114"/>
      <c r="M18" s="115"/>
      <c r="N18" s="115"/>
      <c r="O18" s="115"/>
      <c r="P18" s="115"/>
      <c r="Q18" s="115"/>
      <c r="R18" s="115"/>
      <c r="S18" s="115"/>
      <c r="U18" s="114"/>
      <c r="V18" s="2" t="s">
        <v>301</v>
      </c>
      <c r="W18" s="2"/>
      <c r="X18" s="2"/>
      <c r="Y18" s="2"/>
      <c r="Z18" s="2"/>
      <c r="AA18" s="113"/>
      <c r="AB18"/>
      <c r="AC18"/>
      <c r="AL18"/>
      <c r="AN18" s="115"/>
      <c r="AO18" s="115"/>
      <c r="AP18" s="115"/>
      <c r="AQ18" s="115"/>
      <c r="AR18" s="115"/>
    </row>
    <row r="19" spans="1:44" x14ac:dyDescent="0.2">
      <c r="A19" s="103"/>
      <c r="B19" t="str">
        <v>Apr</v>
      </c>
      <c r="C19">
        <v>250</v>
      </c>
      <c r="K19" s="104"/>
      <c r="L19" s="103"/>
      <c r="M19" s="2"/>
      <c r="N19" s="2"/>
      <c r="O19" s="2"/>
      <c r="P19" s="2"/>
      <c r="Q19" s="2"/>
      <c r="R19" s="2"/>
      <c r="S19" s="2"/>
      <c r="U19" s="103"/>
      <c r="V19" s="2" t="s">
        <v>302</v>
      </c>
      <c r="W19" s="2"/>
      <c r="X19" s="2"/>
      <c r="Y19" s="2"/>
      <c r="Z19" s="2"/>
      <c r="AA19" s="104"/>
    </row>
    <row r="20" spans="1:44" x14ac:dyDescent="0.2">
      <c r="A20" s="103"/>
      <c r="B20" t="str">
        <v>May</v>
      </c>
      <c r="C20">
        <v>439</v>
      </c>
      <c r="K20" s="104"/>
      <c r="L20" s="103"/>
      <c r="M20" s="2"/>
      <c r="N20" s="2"/>
      <c r="O20" s="2"/>
      <c r="P20" s="2"/>
      <c r="Q20" s="2"/>
      <c r="R20" s="2"/>
      <c r="S20" s="2"/>
      <c r="U20" s="103"/>
      <c r="V20" s="2"/>
      <c r="W20" s="2"/>
      <c r="X20" s="2"/>
      <c r="Y20" s="2"/>
      <c r="Z20" s="2"/>
      <c r="AA20" s="104"/>
    </row>
    <row r="21" spans="1:44" x14ac:dyDescent="0.2">
      <c r="A21" s="103"/>
      <c r="B21" t="str">
        <v>Jun</v>
      </c>
      <c r="C21">
        <v>109</v>
      </c>
      <c r="K21" s="104"/>
      <c r="L21" s="103"/>
      <c r="M21" s="2"/>
      <c r="N21" s="2"/>
      <c r="O21" s="2"/>
      <c r="P21" s="2"/>
      <c r="Q21" s="2"/>
      <c r="R21" s="2"/>
      <c r="S21" s="2"/>
      <c r="U21" s="103"/>
      <c r="V21" s="2"/>
      <c r="W21" s="2"/>
      <c r="X21" s="2"/>
      <c r="Y21" s="2"/>
      <c r="Z21" s="2"/>
      <c r="AA21" s="104"/>
    </row>
    <row r="22" spans="1:44" x14ac:dyDescent="0.2">
      <c r="A22" s="103"/>
      <c r="B22" t="str">
        <v>Jul</v>
      </c>
      <c r="C22">
        <v>530</v>
      </c>
      <c r="K22" s="104"/>
      <c r="L22" s="103"/>
      <c r="M22" s="2"/>
      <c r="N22" s="2"/>
      <c r="O22" s="2"/>
      <c r="P22" s="2"/>
      <c r="Q22" s="2"/>
      <c r="R22" s="2"/>
      <c r="S22" s="2"/>
      <c r="U22" s="103"/>
      <c r="V22" s="2"/>
      <c r="W22" s="2"/>
      <c r="X22" s="2"/>
      <c r="Y22" s="2"/>
      <c r="Z22" s="2"/>
      <c r="AA22" s="104"/>
    </row>
    <row r="23" spans="1:44" x14ac:dyDescent="0.2">
      <c r="A23" s="103"/>
      <c r="B23" t="str">
        <v>Aug</v>
      </c>
      <c r="C23">
        <v>123</v>
      </c>
      <c r="K23" s="104"/>
      <c r="L23" s="103"/>
      <c r="M23" s="2"/>
      <c r="N23" s="2"/>
      <c r="O23" s="2"/>
      <c r="P23" s="2"/>
      <c r="Q23" s="2"/>
      <c r="R23" s="2"/>
      <c r="S23" s="2"/>
      <c r="U23" s="103"/>
      <c r="V23" s="2"/>
      <c r="W23" s="2"/>
      <c r="X23" s="2"/>
      <c r="Y23" s="2"/>
      <c r="Z23" s="2"/>
      <c r="AA23" s="104"/>
    </row>
    <row r="24" spans="1:44" x14ac:dyDescent="0.2">
      <c r="A24" s="103"/>
      <c r="B24" t="str">
        <v>Sep</v>
      </c>
      <c r="C24">
        <v>5345</v>
      </c>
      <c r="K24" s="104"/>
      <c r="L24" s="103"/>
      <c r="M24" s="2"/>
      <c r="N24" s="2"/>
      <c r="O24" s="2"/>
      <c r="P24" s="2"/>
      <c r="Q24" s="2"/>
      <c r="R24" s="2"/>
      <c r="S24" s="2"/>
      <c r="U24" s="103"/>
      <c r="V24" s="2"/>
      <c r="W24" s="2"/>
      <c r="X24" s="2"/>
      <c r="Y24" s="2"/>
      <c r="Z24" s="2"/>
      <c r="AA24" s="104"/>
    </row>
    <row r="25" spans="1:44" x14ac:dyDescent="0.2">
      <c r="A25" s="103"/>
      <c r="B25" t="str">
        <v>Oct</v>
      </c>
      <c r="C25">
        <v>312</v>
      </c>
      <c r="K25" s="104"/>
      <c r="L25" s="103"/>
      <c r="M25" s="2"/>
      <c r="N25" s="2"/>
      <c r="O25" s="2"/>
      <c r="P25" s="2"/>
      <c r="Q25" s="2"/>
      <c r="R25" s="2"/>
      <c r="S25" s="2"/>
      <c r="U25" s="103"/>
      <c r="V25" s="2"/>
      <c r="W25" s="2"/>
      <c r="X25" s="2"/>
      <c r="Y25" s="2"/>
      <c r="Z25" s="2"/>
      <c r="AA25" s="104"/>
    </row>
    <row r="26" spans="1:44" x14ac:dyDescent="0.2">
      <c r="A26" s="103"/>
      <c r="B26" t="str">
        <v>Nov</v>
      </c>
      <c r="C26">
        <v>98</v>
      </c>
      <c r="K26" s="104"/>
      <c r="L26" s="105"/>
      <c r="M26" s="66"/>
      <c r="N26" s="66"/>
      <c r="O26" s="66"/>
      <c r="P26" s="66"/>
      <c r="Q26" s="66"/>
      <c r="R26" s="66"/>
      <c r="S26" s="66"/>
      <c r="T26" s="66"/>
      <c r="U26" s="103"/>
      <c r="V26" s="2"/>
      <c r="W26" s="2"/>
      <c r="X26" s="2"/>
      <c r="Y26" s="2"/>
      <c r="Z26" s="2"/>
      <c r="AA26" s="104"/>
    </row>
    <row r="27" spans="1:44" x14ac:dyDescent="0.2">
      <c r="A27" s="103"/>
      <c r="B27" t="str">
        <v>Dec</v>
      </c>
      <c r="C27">
        <v>672</v>
      </c>
      <c r="K27" s="104"/>
      <c r="U27" s="103"/>
      <c r="V27" s="2"/>
      <c r="W27" s="2"/>
      <c r="X27" s="2"/>
      <c r="Y27" s="2"/>
      <c r="Z27" s="2"/>
      <c r="AA27" s="104"/>
    </row>
    <row r="28" spans="1:44" x14ac:dyDescent="0.2">
      <c r="A28" s="103"/>
      <c r="C28" s="107"/>
      <c r="D28" s="108"/>
      <c r="K28" s="104"/>
      <c r="U28" s="103"/>
      <c r="V28" s="2"/>
      <c r="W28" s="2"/>
      <c r="X28" s="2"/>
      <c r="Y28" s="2"/>
      <c r="Z28" s="2"/>
      <c r="AA28" s="104"/>
    </row>
    <row r="29" spans="1:44" x14ac:dyDescent="0.2">
      <c r="A29" s="103"/>
      <c r="B29" s="2" t="s">
        <v>286</v>
      </c>
      <c r="C29" s="109"/>
      <c r="D29" s="110"/>
      <c r="E29" s="2"/>
      <c r="F29" s="2"/>
      <c r="G29" s="2"/>
      <c r="H29" s="2"/>
      <c r="I29" s="2"/>
      <c r="J29" s="2"/>
      <c r="K29" s="104"/>
      <c r="U29" s="103"/>
      <c r="V29" s="2"/>
      <c r="W29" s="2"/>
      <c r="X29" s="2"/>
      <c r="Y29" s="2"/>
      <c r="Z29" s="2"/>
      <c r="AA29" s="104"/>
    </row>
    <row r="30" spans="1:44" x14ac:dyDescent="0.2">
      <c r="A30" s="103"/>
      <c r="B30" s="2"/>
      <c r="C30" s="2"/>
      <c r="D30" s="2"/>
      <c r="E30" s="2"/>
      <c r="F30" s="2"/>
      <c r="G30" s="2"/>
      <c r="H30" s="2"/>
      <c r="I30" s="2"/>
      <c r="J30" s="2"/>
      <c r="K30" s="104"/>
      <c r="U30" s="103"/>
      <c r="V30" s="2"/>
      <c r="W30" s="2"/>
      <c r="X30" s="2"/>
      <c r="Y30" s="2"/>
      <c r="Z30" s="2"/>
      <c r="AA30" s="104"/>
    </row>
    <row r="31" spans="1:44" x14ac:dyDescent="0.2">
      <c r="A31" s="103"/>
      <c r="B31" s="2" t="s">
        <v>287</v>
      </c>
      <c r="C31" s="2"/>
      <c r="D31" s="2"/>
      <c r="E31" s="2"/>
      <c r="F31" s="2"/>
      <c r="G31" s="2"/>
      <c r="H31" s="2"/>
      <c r="I31" s="2"/>
      <c r="J31" s="2"/>
      <c r="K31" s="104"/>
      <c r="U31" s="103"/>
      <c r="V31" s="2"/>
      <c r="W31" s="2"/>
      <c r="X31" s="2"/>
      <c r="Y31" s="2"/>
      <c r="Z31" s="2"/>
      <c r="AA31" s="104"/>
    </row>
    <row r="32" spans="1:44" x14ac:dyDescent="0.2">
      <c r="A32" s="103"/>
      <c r="B32" s="2" t="s">
        <v>288</v>
      </c>
      <c r="C32" s="2"/>
      <c r="D32" s="2"/>
      <c r="E32" s="2"/>
      <c r="F32" s="2"/>
      <c r="G32" s="2"/>
      <c r="H32" s="2"/>
      <c r="I32" s="2"/>
      <c r="J32" s="2"/>
      <c r="K32" s="104"/>
      <c r="U32" s="103"/>
      <c r="AA32" s="104"/>
    </row>
    <row r="33" spans="1:27" x14ac:dyDescent="0.2">
      <c r="A33" s="103"/>
      <c r="B33" s="2"/>
      <c r="C33" s="2"/>
      <c r="D33" s="2"/>
      <c r="E33" s="2"/>
      <c r="F33" s="2"/>
      <c r="G33" s="2"/>
      <c r="H33" s="2"/>
      <c r="I33" s="2"/>
      <c r="J33" s="2"/>
      <c r="K33" s="104"/>
      <c r="U33" s="105"/>
      <c r="V33" s="66"/>
      <c r="W33" s="66"/>
      <c r="X33" s="66"/>
      <c r="Y33" s="66"/>
      <c r="Z33" s="66"/>
      <c r="AA33" s="106"/>
    </row>
    <row r="34" spans="1:27" x14ac:dyDescent="0.2">
      <c r="A34" s="103"/>
      <c r="B34" s="2" t="s">
        <v>289</v>
      </c>
      <c r="C34" s="2"/>
      <c r="D34" s="2"/>
      <c r="E34" s="2"/>
      <c r="F34" s="2"/>
      <c r="G34" s="2"/>
      <c r="H34" s="2"/>
      <c r="I34" s="2"/>
      <c r="J34" s="2"/>
      <c r="K34" s="104"/>
    </row>
    <row r="35" spans="1:27" x14ac:dyDescent="0.2">
      <c r="A35" s="103"/>
      <c r="B35" s="2" t="s">
        <v>290</v>
      </c>
      <c r="C35" s="2"/>
      <c r="D35" s="2"/>
      <c r="E35" s="2"/>
      <c r="F35" s="2"/>
      <c r="G35" s="2"/>
      <c r="H35" s="2"/>
      <c r="I35" s="2"/>
      <c r="J35" s="2"/>
      <c r="K35" s="104"/>
    </row>
    <row r="36" spans="1:27" x14ac:dyDescent="0.2">
      <c r="A36" s="103"/>
      <c r="B36" s="2"/>
      <c r="C36" s="2"/>
      <c r="D36" s="2"/>
      <c r="E36" s="2"/>
      <c r="F36" s="2"/>
      <c r="G36" s="2"/>
      <c r="H36" s="2"/>
      <c r="I36" s="2"/>
      <c r="J36" s="2"/>
      <c r="K36" s="104"/>
    </row>
    <row r="37" spans="1:27" x14ac:dyDescent="0.2">
      <c r="A37" s="103"/>
      <c r="B37" s="2" t="s">
        <v>291</v>
      </c>
      <c r="C37" s="2"/>
      <c r="D37" s="2"/>
      <c r="E37" s="2"/>
      <c r="F37" s="2"/>
      <c r="G37" s="2"/>
      <c r="H37" s="2"/>
      <c r="I37" s="2"/>
      <c r="J37" s="2"/>
      <c r="K37" s="104"/>
    </row>
    <row r="38" spans="1:27" x14ac:dyDescent="0.2">
      <c r="A38" s="105"/>
      <c r="B38" s="66"/>
      <c r="C38" s="66"/>
      <c r="D38" s="66"/>
      <c r="E38" s="66"/>
      <c r="F38" s="66"/>
      <c r="G38" s="66"/>
      <c r="H38" s="66"/>
      <c r="I38" s="66"/>
      <c r="J38" s="66"/>
      <c r="K38" s="106"/>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recorded_example1">
                <anchor moveWithCells="1">
                  <from>
                    <xdr:col>7</xdr:col>
                    <xdr:colOff>304800</xdr:colOff>
                    <xdr:row>2</xdr:row>
                    <xdr:rowOff>63500</xdr:rowOff>
                  </from>
                  <to>
                    <xdr:col>9</xdr:col>
                    <xdr:colOff>279400</xdr:colOff>
                    <xdr:row>3</xdr:row>
                    <xdr:rowOff>101600</xdr:rowOff>
                  </to>
                </anchor>
              </controlPr>
            </control>
          </mc:Choice>
        </mc:AlternateContent>
        <mc:AlternateContent xmlns:mc="http://schemas.openxmlformats.org/markup-compatibility/2006">
          <mc:Choice Requires="x14">
            <control shapeId="11266" r:id="rId4" name="Button 2">
              <controlPr defaultSize="0" print="0" autoFill="0" autoPict="0" macro="[0]!recorded_example1_edit">
                <anchor moveWithCells="1">
                  <from>
                    <xdr:col>14</xdr:col>
                    <xdr:colOff>0</xdr:colOff>
                    <xdr:row>11</xdr:row>
                    <xdr:rowOff>50800</xdr:rowOff>
                  </from>
                  <to>
                    <xdr:col>16</xdr:col>
                    <xdr:colOff>406400</xdr:colOff>
                    <xdr:row>12</xdr:row>
                    <xdr:rowOff>101600</xdr:rowOff>
                  </to>
                </anchor>
              </controlPr>
            </control>
          </mc:Choice>
        </mc:AlternateContent>
        <mc:AlternateContent xmlns:mc="http://schemas.openxmlformats.org/markup-compatibility/2006">
          <mc:Choice Requires="x14">
            <control shapeId="11267" r:id="rId5" name="Button 3">
              <controlPr defaultSize="0" print="0" autoFill="0" autoPict="0" macro="[0]!clear_formats">
                <anchor moveWithCells="1">
                  <from>
                    <xdr:col>8</xdr:col>
                    <xdr:colOff>317500</xdr:colOff>
                    <xdr:row>12</xdr:row>
                    <xdr:rowOff>139700</xdr:rowOff>
                  </from>
                  <to>
                    <xdr:col>10</xdr:col>
                    <xdr:colOff>520700</xdr:colOff>
                    <xdr:row>17</xdr:row>
                    <xdr:rowOff>228600</xdr:rowOff>
                  </to>
                </anchor>
              </controlPr>
            </control>
          </mc:Choice>
        </mc:AlternateContent>
        <mc:AlternateContent xmlns:mc="http://schemas.openxmlformats.org/markup-compatibility/2006">
          <mc:Choice Requires="x14">
            <control shapeId="11268" r:id="rId6" name="Button 4">
              <controlPr defaultSize="0" print="0" autoFill="0" autoPict="0" macro="[0]!high_profit">
                <anchor moveWithCells="1">
                  <from>
                    <xdr:col>23</xdr:col>
                    <xdr:colOff>228600</xdr:colOff>
                    <xdr:row>14</xdr:row>
                    <xdr:rowOff>177800</xdr:rowOff>
                  </from>
                  <to>
                    <xdr:col>24</xdr:col>
                    <xdr:colOff>596900</xdr:colOff>
                    <xdr:row>15</xdr:row>
                    <xdr:rowOff>127000</xdr:rowOff>
                  </to>
                </anchor>
              </controlPr>
            </control>
          </mc:Choice>
        </mc:AlternateContent>
        <mc:AlternateContent xmlns:mc="http://schemas.openxmlformats.org/markup-compatibility/2006">
          <mc:Choice Requires="x14">
            <control shapeId="11269" r:id="rId7" name="Button 5">
              <controlPr defaultSize="0" print="0" autoFill="0" autoPict="0" macro="[0]!recorded_relative">
                <anchor moveWithCells="1">
                  <from>
                    <xdr:col>7</xdr:col>
                    <xdr:colOff>25400</xdr:colOff>
                    <xdr:row>16</xdr:row>
                    <xdr:rowOff>25400</xdr:rowOff>
                  </from>
                  <to>
                    <xdr:col>7</xdr:col>
                    <xdr:colOff>596900</xdr:colOff>
                    <xdr:row>16</xdr:row>
                    <xdr:rowOff>266700</xdr:rowOff>
                  </to>
                </anchor>
              </controlPr>
            </control>
          </mc:Choice>
        </mc:AlternateContent>
        <mc:AlternateContent xmlns:mc="http://schemas.openxmlformats.org/markup-compatibility/2006">
          <mc:Choice Requires="x14">
            <control shapeId="11270" r:id="rId8" name="Button 6">
              <controlPr defaultSize="0" print="0" autoFill="0" autoPict="0" macro="[0]!recorded_absolute_example">
                <anchor moveWithCells="1">
                  <from>
                    <xdr:col>6</xdr:col>
                    <xdr:colOff>660400</xdr:colOff>
                    <xdr:row>14</xdr:row>
                    <xdr:rowOff>76200</xdr:rowOff>
                  </from>
                  <to>
                    <xdr:col>7</xdr:col>
                    <xdr:colOff>673100</xdr:colOff>
                    <xdr:row>15</xdr:row>
                    <xdr:rowOff>25400</xdr:rowOff>
                  </to>
                </anchor>
              </controlPr>
            </control>
          </mc:Choice>
        </mc:AlternateContent>
        <mc:AlternateContent xmlns:mc="http://schemas.openxmlformats.org/markup-compatibility/2006">
          <mc:Choice Requires="x14">
            <control shapeId="11271" r:id="rId9" name="Button 7">
              <controlPr defaultSize="0" print="0" autoFill="0" autoPict="0" macro="[0]!print_numbers">
                <anchor moveWithCells="1">
                  <from>
                    <xdr:col>28</xdr:col>
                    <xdr:colOff>50800</xdr:colOff>
                    <xdr:row>4</xdr:row>
                    <xdr:rowOff>25400</xdr:rowOff>
                  </from>
                  <to>
                    <xdr:col>29</xdr:col>
                    <xdr:colOff>520700</xdr:colOff>
                    <xdr:row>4</xdr:row>
                    <xdr:rowOff>266700</xdr:rowOff>
                  </to>
                </anchor>
              </controlPr>
            </control>
          </mc:Choice>
        </mc:AlternateContent>
        <mc:AlternateContent xmlns:mc="http://schemas.openxmlformats.org/markup-compatibility/2006">
          <mc:Choice Requires="x14">
            <control shapeId="11272" r:id="rId10" name="Button 8">
              <controlPr defaultSize="0" print="0" autoFill="0" autoPict="0" macro="[0]!print_numbers_while">
                <anchor moveWithCells="1">
                  <from>
                    <xdr:col>37</xdr:col>
                    <xdr:colOff>190500</xdr:colOff>
                    <xdr:row>4</xdr:row>
                    <xdr:rowOff>25400</xdr:rowOff>
                  </from>
                  <to>
                    <xdr:col>39</xdr:col>
                    <xdr:colOff>292100</xdr:colOff>
                    <xdr:row>4</xdr:row>
                    <xdr:rowOff>266700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10</vt:i4>
      </vt:variant>
      <vt:variant>
        <vt:lpstr>Named Ranges</vt:lpstr>
      </vt:variant>
      <vt:variant>
        <vt:i4>50</vt:i4>
      </vt:variant>
    </vt:vector>
  </HeadingPairs>
  <TitlesOfParts>
    <vt:vector size="60" baseType="lpstr">
      <vt:lpstr>Pokemon data</vt:lpstr>
      <vt:lpstr>FIFA WWC</vt:lpstr>
      <vt:lpstr>M6.1 - Assumed Knowledge</vt:lpstr>
      <vt:lpstr>M6.2 - Pivot table</vt:lpstr>
      <vt:lpstr>M6.2 - Pivot chart</vt:lpstr>
      <vt:lpstr>M6.3 - Dynamic arrays</vt:lpstr>
      <vt:lpstr>M6.4 - Dynamic references</vt:lpstr>
      <vt:lpstr>M6.5 - Dependents</vt:lpstr>
      <vt:lpstr>M6.6 Simulations</vt:lpstr>
      <vt:lpstr>M6.6 Macros and VBA</vt:lpstr>
      <vt:lpstr>age</vt:lpstr>
      <vt:lpstr>assists</vt:lpstr>
      <vt:lpstr>assists_per_90</vt:lpstr>
      <vt:lpstr>Attacking</vt:lpstr>
      <vt:lpstr>Bug</vt:lpstr>
      <vt:lpstr>Dark</vt:lpstr>
      <vt:lpstr>Dragon</vt:lpstr>
      <vt:lpstr>Electric</vt:lpstr>
      <vt:lpstr>Fairy</vt:lpstr>
      <vt:lpstr>FiFA</vt:lpstr>
      <vt:lpstr>Fighting</vt:lpstr>
      <vt:lpstr>Fire</vt:lpstr>
      <vt:lpstr>Flying</vt:lpstr>
      <vt:lpstr>Ghost</vt:lpstr>
      <vt:lpstr>goals</vt:lpstr>
      <vt:lpstr>goals_minus_penalty_kicks_per_90</vt:lpstr>
      <vt:lpstr>goals_per_90</vt:lpstr>
      <vt:lpstr>goals_plus_assists_minus_penalty_kicks_per_90</vt:lpstr>
      <vt:lpstr>goals_plus_assists_per_90</vt:lpstr>
      <vt:lpstr>Grass</vt:lpstr>
      <vt:lpstr>Ground</vt:lpstr>
      <vt:lpstr>Ice</vt:lpstr>
      <vt:lpstr>id</vt:lpstr>
      <vt:lpstr>loss_ratios</vt:lpstr>
      <vt:lpstr>lossratios</vt:lpstr>
      <vt:lpstr>matches_played</vt:lpstr>
      <vt:lpstr>min_playing_time</vt:lpstr>
      <vt:lpstr>minutes_played_90s</vt:lpstr>
      <vt:lpstr>monthly_profit</vt:lpstr>
      <vt:lpstr>months</vt:lpstr>
      <vt:lpstr>non_penalty_goals</vt:lpstr>
      <vt:lpstr>Normal</vt:lpstr>
      <vt:lpstr>penalty_kicks_attempted</vt:lpstr>
      <vt:lpstr>penalty_kicks_made</vt:lpstr>
      <vt:lpstr>players</vt:lpstr>
      <vt:lpstr>Poison</vt:lpstr>
      <vt:lpstr>pokemon</vt:lpstr>
      <vt:lpstr>possesion</vt:lpstr>
      <vt:lpstr>products</vt:lpstr>
      <vt:lpstr>Psychic</vt:lpstr>
      <vt:lpstr>red_cards</vt:lpstr>
      <vt:lpstr>Rock</vt:lpstr>
      <vt:lpstr>squad</vt:lpstr>
      <vt:lpstr>starts</vt:lpstr>
      <vt:lpstr>Steel</vt:lpstr>
      <vt:lpstr>tblProduct</vt:lpstr>
      <vt:lpstr>Water</vt:lpstr>
      <vt:lpstr>weekly_profit</vt:lpstr>
      <vt:lpstr>year</vt:lpstr>
      <vt:lpstr>yellow_cards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Microsoft Office User</dc:creator>
  <cp:keywords/>
  <dc:description/>
  <cp:lastModifiedBy>Benjamin Avanzi</cp:lastModifiedBy>
  <cp:revision/>
  <dcterms:created xsi:type="dcterms:W3CDTF">2023-08-17T06:53:41Z</dcterms:created>
  <dcterms:modified xsi:type="dcterms:W3CDTF">2024-08-11T06:53:10Z</dcterms:modified>
  <cp:category/>
  <cp:contentStatus/>
</cp:coreProperties>
</file>